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shl\Documents\Codex\2026-07-15\walmart-retail-performance\excel\"/>
    </mc:Choice>
  </mc:AlternateContent>
  <xr:revisionPtr revIDLastSave="0" documentId="13_ncr:1_{374BBBBB-1396-4B51-BE01-02443E67B115}" xr6:coauthVersionLast="47" xr6:coauthVersionMax="47" xr10:uidLastSave="{00000000-0000-0000-0000-000000000000}"/>
  <bookViews>
    <workbookView xWindow="2430" yWindow="840" windowWidth="14115" windowHeight="13920" firstSheet="1" activeTab="2" xr2:uid="{00000000-000D-0000-FFFF-FFFF00000000}"/>
  </bookViews>
  <sheets>
    <sheet name="Executive Summary" sheetId="1" r:id="rId1"/>
    <sheet name="Assumptions" sheetId="2" r:id="rId2"/>
    <sheet name="Scenario Summary" sheetId="3" r:id="rId3"/>
    <sheet name="Store Performance" sheetId="4" r:id="rId4"/>
    <sheet name="Department Performance" sheetId="5" r:id="rId5"/>
    <sheet name="Monthly History" sheetId="6" r:id="rId6"/>
    <sheet name="Store Weekly" sheetId="7" r:id="rId7"/>
    <sheet name="Department Weekly" sheetId="8" r:id="rId8"/>
    <sheet name="Checks &amp; Sourc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9" l="1"/>
  <c r="D10" i="9" s="1"/>
  <c r="F10" i="9" s="1"/>
  <c r="B9" i="9"/>
  <c r="D9" i="9" s="1"/>
  <c r="F9" i="9" s="1"/>
  <c r="B6" i="9"/>
  <c r="B5" i="9"/>
  <c r="C6" i="9" s="1"/>
  <c r="J3247" i="8"/>
  <c r="I3247" i="8"/>
  <c r="H3247" i="8"/>
  <c r="J3246" i="8"/>
  <c r="I3246" i="8"/>
  <c r="H3246" i="8"/>
  <c r="J3245" i="8"/>
  <c r="I3245" i="8"/>
  <c r="H3245" i="8"/>
  <c r="J3244" i="8"/>
  <c r="I3244" i="8"/>
  <c r="H3244" i="8"/>
  <c r="J3243" i="8"/>
  <c r="I3243" i="8"/>
  <c r="H3243" i="8"/>
  <c r="J3242" i="8"/>
  <c r="I3242" i="8"/>
  <c r="H3242" i="8"/>
  <c r="J3241" i="8"/>
  <c r="I3241" i="8"/>
  <c r="H3241" i="8"/>
  <c r="J3240" i="8"/>
  <c r="I3240" i="8"/>
  <c r="H3240" i="8"/>
  <c r="J3239" i="8"/>
  <c r="I3239" i="8"/>
  <c r="H3239" i="8"/>
  <c r="J3238" i="8"/>
  <c r="I3238" i="8"/>
  <c r="H3238" i="8"/>
  <c r="J3237" i="8"/>
  <c r="I3237" i="8"/>
  <c r="H3237" i="8"/>
  <c r="J3236" i="8"/>
  <c r="I3236" i="8"/>
  <c r="H3236" i="8"/>
  <c r="J3235" i="8"/>
  <c r="I3235" i="8"/>
  <c r="H3235" i="8"/>
  <c r="J3234" i="8"/>
  <c r="I3234" i="8"/>
  <c r="H3234" i="8"/>
  <c r="J3233" i="8"/>
  <c r="I3233" i="8"/>
  <c r="H3233" i="8"/>
  <c r="J3232" i="8"/>
  <c r="I3232" i="8"/>
  <c r="H3232" i="8"/>
  <c r="J3231" i="8"/>
  <c r="I3231" i="8"/>
  <c r="H3231" i="8"/>
  <c r="J3230" i="8"/>
  <c r="I3230" i="8"/>
  <c r="H3230" i="8"/>
  <c r="J3229" i="8"/>
  <c r="I3229" i="8"/>
  <c r="H3229" i="8"/>
  <c r="J3228" i="8"/>
  <c r="I3228" i="8"/>
  <c r="H3228" i="8"/>
  <c r="J3227" i="8"/>
  <c r="I3227" i="8"/>
  <c r="H3227" i="8"/>
  <c r="J3226" i="8"/>
  <c r="I3226" i="8"/>
  <c r="H3226" i="8"/>
  <c r="J3225" i="8"/>
  <c r="I3225" i="8"/>
  <c r="H3225" i="8"/>
  <c r="J3224" i="8"/>
  <c r="I3224" i="8"/>
  <c r="H3224" i="8"/>
  <c r="J3223" i="8"/>
  <c r="I3223" i="8"/>
  <c r="H3223" i="8"/>
  <c r="J3222" i="8"/>
  <c r="I3222" i="8"/>
  <c r="H3222" i="8"/>
  <c r="J3221" i="8"/>
  <c r="I3221" i="8"/>
  <c r="H3221" i="8"/>
  <c r="J3220" i="8"/>
  <c r="I3220" i="8"/>
  <c r="H3220" i="8"/>
  <c r="J3219" i="8"/>
  <c r="I3219" i="8"/>
  <c r="H3219" i="8"/>
  <c r="J3218" i="8"/>
  <c r="I3218" i="8"/>
  <c r="H3218" i="8"/>
  <c r="J3217" i="8"/>
  <c r="I3217" i="8"/>
  <c r="H3217" i="8"/>
  <c r="J3216" i="8"/>
  <c r="I3216" i="8"/>
  <c r="H3216" i="8"/>
  <c r="J3215" i="8"/>
  <c r="I3215" i="8"/>
  <c r="H3215" i="8"/>
  <c r="J3214" i="8"/>
  <c r="I3214" i="8"/>
  <c r="H3214" i="8"/>
  <c r="J3213" i="8"/>
  <c r="I3213" i="8"/>
  <c r="H3213" i="8"/>
  <c r="J3212" i="8"/>
  <c r="I3212" i="8"/>
  <c r="H3212" i="8"/>
  <c r="J3211" i="8"/>
  <c r="I3211" i="8"/>
  <c r="H3211" i="8"/>
  <c r="J3210" i="8"/>
  <c r="I3210" i="8"/>
  <c r="H3210" i="8"/>
  <c r="J3209" i="8"/>
  <c r="I3209" i="8"/>
  <c r="H3209" i="8"/>
  <c r="J3208" i="8"/>
  <c r="I3208" i="8"/>
  <c r="H3208" i="8"/>
  <c r="J3207" i="8"/>
  <c r="I3207" i="8"/>
  <c r="H3207" i="8"/>
  <c r="J3206" i="8"/>
  <c r="I3206" i="8"/>
  <c r="H3206" i="8"/>
  <c r="J3205" i="8"/>
  <c r="I3205" i="8"/>
  <c r="H3205" i="8"/>
  <c r="J3204" i="8"/>
  <c r="I3204" i="8"/>
  <c r="H3204" i="8"/>
  <c r="J3203" i="8"/>
  <c r="I3203" i="8"/>
  <c r="H3203" i="8"/>
  <c r="J3202" i="8"/>
  <c r="I3202" i="8"/>
  <c r="H3202" i="8"/>
  <c r="J3201" i="8"/>
  <c r="I3201" i="8"/>
  <c r="H3201" i="8"/>
  <c r="J3200" i="8"/>
  <c r="I3200" i="8"/>
  <c r="H3200" i="8"/>
  <c r="J3199" i="8"/>
  <c r="I3199" i="8"/>
  <c r="H3199" i="8"/>
  <c r="J3198" i="8"/>
  <c r="I3198" i="8"/>
  <c r="H3198" i="8"/>
  <c r="J3197" i="8"/>
  <c r="I3197" i="8"/>
  <c r="H3197" i="8"/>
  <c r="J3196" i="8"/>
  <c r="I3196" i="8"/>
  <c r="H3196" i="8"/>
  <c r="J3195" i="8"/>
  <c r="I3195" i="8"/>
  <c r="H3195" i="8"/>
  <c r="J3194" i="8"/>
  <c r="I3194" i="8"/>
  <c r="H3194" i="8"/>
  <c r="J3193" i="8"/>
  <c r="I3193" i="8"/>
  <c r="H3193" i="8"/>
  <c r="J3192" i="8"/>
  <c r="I3192" i="8"/>
  <c r="H3192" i="8"/>
  <c r="J3191" i="8"/>
  <c r="I3191" i="8"/>
  <c r="H3191" i="8"/>
  <c r="J3190" i="8"/>
  <c r="I3190" i="8"/>
  <c r="H3190" i="8"/>
  <c r="J3189" i="8"/>
  <c r="I3189" i="8"/>
  <c r="H3189" i="8"/>
  <c r="J3188" i="8"/>
  <c r="I3188" i="8"/>
  <c r="H3188" i="8"/>
  <c r="J3187" i="8"/>
  <c r="I3187" i="8"/>
  <c r="H3187" i="8"/>
  <c r="J3186" i="8"/>
  <c r="I3186" i="8"/>
  <c r="H3186" i="8"/>
  <c r="J3185" i="8"/>
  <c r="I3185" i="8"/>
  <c r="H3185" i="8"/>
  <c r="J3184" i="8"/>
  <c r="I3184" i="8"/>
  <c r="H3184" i="8"/>
  <c r="J3183" i="8"/>
  <c r="I3183" i="8"/>
  <c r="H3183" i="8"/>
  <c r="J3182" i="8"/>
  <c r="I3182" i="8"/>
  <c r="H3182" i="8"/>
  <c r="J3181" i="8"/>
  <c r="I3181" i="8"/>
  <c r="H3181" i="8"/>
  <c r="J3180" i="8"/>
  <c r="I3180" i="8"/>
  <c r="H3180" i="8"/>
  <c r="J3179" i="8"/>
  <c r="I3179" i="8"/>
  <c r="H3179" i="8"/>
  <c r="J3178" i="8"/>
  <c r="I3178" i="8"/>
  <c r="H3178" i="8"/>
  <c r="J3177" i="8"/>
  <c r="I3177" i="8"/>
  <c r="H3177" i="8"/>
  <c r="J3176" i="8"/>
  <c r="I3176" i="8"/>
  <c r="H3176" i="8"/>
  <c r="J3175" i="8"/>
  <c r="I3175" i="8"/>
  <c r="H3175" i="8"/>
  <c r="J3174" i="8"/>
  <c r="I3174" i="8"/>
  <c r="H3174" i="8"/>
  <c r="J3173" i="8"/>
  <c r="I3173" i="8"/>
  <c r="H3173" i="8"/>
  <c r="J3172" i="8"/>
  <c r="I3172" i="8"/>
  <c r="H3172" i="8"/>
  <c r="J3171" i="8"/>
  <c r="I3171" i="8"/>
  <c r="H3171" i="8"/>
  <c r="J3170" i="8"/>
  <c r="I3170" i="8"/>
  <c r="H3170" i="8"/>
  <c r="J3169" i="8"/>
  <c r="I3169" i="8"/>
  <c r="H3169" i="8"/>
  <c r="J3168" i="8"/>
  <c r="I3168" i="8"/>
  <c r="H3168" i="8"/>
  <c r="J3167" i="8"/>
  <c r="I3167" i="8"/>
  <c r="H3167" i="8"/>
  <c r="J3166" i="8"/>
  <c r="I3166" i="8"/>
  <c r="H3166" i="8"/>
  <c r="J3165" i="8"/>
  <c r="I3165" i="8"/>
  <c r="H3165" i="8"/>
  <c r="J3164" i="8"/>
  <c r="I3164" i="8"/>
  <c r="H3164" i="8"/>
  <c r="J3163" i="8"/>
  <c r="I3163" i="8"/>
  <c r="H3163" i="8"/>
  <c r="J3162" i="8"/>
  <c r="I3162" i="8"/>
  <c r="H3162" i="8"/>
  <c r="J3161" i="8"/>
  <c r="I3161" i="8"/>
  <c r="H3161" i="8"/>
  <c r="J3160" i="8"/>
  <c r="I3160" i="8"/>
  <c r="H3160" i="8"/>
  <c r="J3159" i="8"/>
  <c r="I3159" i="8"/>
  <c r="H3159" i="8"/>
  <c r="J3158" i="8"/>
  <c r="I3158" i="8"/>
  <c r="H3158" i="8"/>
  <c r="J3157" i="8"/>
  <c r="I3157" i="8"/>
  <c r="H3157" i="8"/>
  <c r="J3156" i="8"/>
  <c r="I3156" i="8"/>
  <c r="H3156" i="8"/>
  <c r="J3155" i="8"/>
  <c r="I3155" i="8"/>
  <c r="H3155" i="8"/>
  <c r="J3154" i="8"/>
  <c r="I3154" i="8"/>
  <c r="H3154" i="8"/>
  <c r="J3153" i="8"/>
  <c r="I3153" i="8"/>
  <c r="H3153" i="8"/>
  <c r="J3152" i="8"/>
  <c r="I3152" i="8"/>
  <c r="H3152" i="8"/>
  <c r="J3151" i="8"/>
  <c r="I3151" i="8"/>
  <c r="H3151" i="8"/>
  <c r="J3150" i="8"/>
  <c r="I3150" i="8"/>
  <c r="H3150" i="8"/>
  <c r="J3149" i="8"/>
  <c r="I3149" i="8"/>
  <c r="H3149" i="8"/>
  <c r="J3148" i="8"/>
  <c r="I3148" i="8"/>
  <c r="H3148" i="8"/>
  <c r="J3147" i="8"/>
  <c r="I3147" i="8"/>
  <c r="H3147" i="8"/>
  <c r="J3146" i="8"/>
  <c r="I3146" i="8"/>
  <c r="H3146" i="8"/>
  <c r="J3145" i="8"/>
  <c r="I3145" i="8"/>
  <c r="H3145" i="8"/>
  <c r="J3144" i="8"/>
  <c r="I3144" i="8"/>
  <c r="H3144" i="8"/>
  <c r="J3143" i="8"/>
  <c r="I3143" i="8"/>
  <c r="H3143" i="8"/>
  <c r="J3142" i="8"/>
  <c r="I3142" i="8"/>
  <c r="H3142" i="8"/>
  <c r="J3141" i="8"/>
  <c r="I3141" i="8"/>
  <c r="H3141" i="8"/>
  <c r="J3140" i="8"/>
  <c r="I3140" i="8"/>
  <c r="H3140" i="8"/>
  <c r="J3139" i="8"/>
  <c r="I3139" i="8"/>
  <c r="H3139" i="8"/>
  <c r="J3138" i="8"/>
  <c r="I3138" i="8"/>
  <c r="H3138" i="8"/>
  <c r="J3137" i="8"/>
  <c r="I3137" i="8"/>
  <c r="H3137" i="8"/>
  <c r="J3136" i="8"/>
  <c r="I3136" i="8"/>
  <c r="H3136" i="8"/>
  <c r="J3135" i="8"/>
  <c r="I3135" i="8"/>
  <c r="H3135" i="8"/>
  <c r="J3134" i="8"/>
  <c r="I3134" i="8"/>
  <c r="H3134" i="8"/>
  <c r="J3133" i="8"/>
  <c r="I3133" i="8"/>
  <c r="H3133" i="8"/>
  <c r="J3132" i="8"/>
  <c r="I3132" i="8"/>
  <c r="H3132" i="8"/>
  <c r="J3131" i="8"/>
  <c r="I3131" i="8"/>
  <c r="H3131" i="8"/>
  <c r="J3130" i="8"/>
  <c r="I3130" i="8"/>
  <c r="H3130" i="8"/>
  <c r="J3129" i="8"/>
  <c r="I3129" i="8"/>
  <c r="H3129" i="8"/>
  <c r="J3128" i="8"/>
  <c r="I3128" i="8"/>
  <c r="H3128" i="8"/>
  <c r="J3127" i="8"/>
  <c r="I3127" i="8"/>
  <c r="H3127" i="8"/>
  <c r="J3126" i="8"/>
  <c r="I3126" i="8"/>
  <c r="H3126" i="8"/>
  <c r="J3125" i="8"/>
  <c r="I3125" i="8"/>
  <c r="H3125" i="8"/>
  <c r="J3124" i="8"/>
  <c r="I3124" i="8"/>
  <c r="H3124" i="8"/>
  <c r="J3123" i="8"/>
  <c r="I3123" i="8"/>
  <c r="H3123" i="8"/>
  <c r="J3122" i="8"/>
  <c r="I3122" i="8"/>
  <c r="H3122" i="8"/>
  <c r="J3121" i="8"/>
  <c r="I3121" i="8"/>
  <c r="H3121" i="8"/>
  <c r="J3120" i="8"/>
  <c r="I3120" i="8"/>
  <c r="H3120" i="8"/>
  <c r="J3119" i="8"/>
  <c r="I3119" i="8"/>
  <c r="H3119" i="8"/>
  <c r="J3118" i="8"/>
  <c r="I3118" i="8"/>
  <c r="H3118" i="8"/>
  <c r="J3117" i="8"/>
  <c r="I3117" i="8"/>
  <c r="H3117" i="8"/>
  <c r="J3116" i="8"/>
  <c r="I3116" i="8"/>
  <c r="H3116" i="8"/>
  <c r="J3115" i="8"/>
  <c r="I3115" i="8"/>
  <c r="H3115" i="8"/>
  <c r="J3114" i="8"/>
  <c r="I3114" i="8"/>
  <c r="H3114" i="8"/>
  <c r="J3113" i="8"/>
  <c r="I3113" i="8"/>
  <c r="H3113" i="8"/>
  <c r="J3112" i="8"/>
  <c r="I3112" i="8"/>
  <c r="H3112" i="8"/>
  <c r="J3111" i="8"/>
  <c r="I3111" i="8"/>
  <c r="H3111" i="8"/>
  <c r="J3110" i="8"/>
  <c r="I3110" i="8"/>
  <c r="H3110" i="8"/>
  <c r="J3109" i="8"/>
  <c r="I3109" i="8"/>
  <c r="H3109" i="8"/>
  <c r="J3108" i="8"/>
  <c r="I3108" i="8"/>
  <c r="H3108" i="8"/>
  <c r="J3107" i="8"/>
  <c r="I3107" i="8"/>
  <c r="H3107" i="8"/>
  <c r="J3106" i="8"/>
  <c r="I3106" i="8"/>
  <c r="H3106" i="8"/>
  <c r="J3105" i="8"/>
  <c r="I3105" i="8"/>
  <c r="H3105" i="8"/>
  <c r="J3104" i="8"/>
  <c r="I3104" i="8"/>
  <c r="H3104" i="8"/>
  <c r="J3103" i="8"/>
  <c r="I3103" i="8"/>
  <c r="H3103" i="8"/>
  <c r="J3102" i="8"/>
  <c r="I3102" i="8"/>
  <c r="H3102" i="8"/>
  <c r="J3101" i="8"/>
  <c r="I3101" i="8"/>
  <c r="H3101" i="8"/>
  <c r="J3100" i="8"/>
  <c r="I3100" i="8"/>
  <c r="H3100" i="8"/>
  <c r="J3099" i="8"/>
  <c r="I3099" i="8"/>
  <c r="H3099" i="8"/>
  <c r="J3098" i="8"/>
  <c r="I3098" i="8"/>
  <c r="H3098" i="8"/>
  <c r="J3097" i="8"/>
  <c r="I3097" i="8"/>
  <c r="H3097" i="8"/>
  <c r="J3096" i="8"/>
  <c r="I3096" i="8"/>
  <c r="H3096" i="8"/>
  <c r="J3095" i="8"/>
  <c r="I3095" i="8"/>
  <c r="H3095" i="8"/>
  <c r="J3094" i="8"/>
  <c r="I3094" i="8"/>
  <c r="H3094" i="8"/>
  <c r="J3093" i="8"/>
  <c r="I3093" i="8"/>
  <c r="H3093" i="8"/>
  <c r="J3092" i="8"/>
  <c r="I3092" i="8"/>
  <c r="H3092" i="8"/>
  <c r="J3091" i="8"/>
  <c r="I3091" i="8"/>
  <c r="H3091" i="8"/>
  <c r="J3090" i="8"/>
  <c r="I3090" i="8"/>
  <c r="H3090" i="8"/>
  <c r="J3089" i="8"/>
  <c r="I3089" i="8"/>
  <c r="H3089" i="8"/>
  <c r="J3088" i="8"/>
  <c r="I3088" i="8"/>
  <c r="H3088" i="8"/>
  <c r="J3087" i="8"/>
  <c r="I3087" i="8"/>
  <c r="H3087" i="8"/>
  <c r="J3086" i="8"/>
  <c r="I3086" i="8"/>
  <c r="H3086" i="8"/>
  <c r="J3085" i="8"/>
  <c r="I3085" i="8"/>
  <c r="H3085" i="8"/>
  <c r="J3084" i="8"/>
  <c r="I3084" i="8"/>
  <c r="H3084" i="8"/>
  <c r="J3083" i="8"/>
  <c r="I3083" i="8"/>
  <c r="H3083" i="8"/>
  <c r="J3082" i="8"/>
  <c r="I3082" i="8"/>
  <c r="H3082" i="8"/>
  <c r="J3081" i="8"/>
  <c r="I3081" i="8"/>
  <c r="H3081" i="8"/>
  <c r="J3080" i="8"/>
  <c r="I3080" i="8"/>
  <c r="H3080" i="8"/>
  <c r="J3079" i="8"/>
  <c r="I3079" i="8"/>
  <c r="H3079" i="8"/>
  <c r="J3078" i="8"/>
  <c r="I3078" i="8"/>
  <c r="H3078" i="8"/>
  <c r="J3077" i="8"/>
  <c r="I3077" i="8"/>
  <c r="H3077" i="8"/>
  <c r="J3076" i="8"/>
  <c r="I3076" i="8"/>
  <c r="H3076" i="8"/>
  <c r="J3075" i="8"/>
  <c r="I3075" i="8"/>
  <c r="H3075" i="8"/>
  <c r="J3074" i="8"/>
  <c r="I3074" i="8"/>
  <c r="H3074" i="8"/>
  <c r="J3073" i="8"/>
  <c r="I3073" i="8"/>
  <c r="H3073" i="8"/>
  <c r="J3072" i="8"/>
  <c r="I3072" i="8"/>
  <c r="H3072" i="8"/>
  <c r="J3071" i="8"/>
  <c r="I3071" i="8"/>
  <c r="H3071" i="8"/>
  <c r="J3070" i="8"/>
  <c r="I3070" i="8"/>
  <c r="H3070" i="8"/>
  <c r="J3069" i="8"/>
  <c r="I3069" i="8"/>
  <c r="H3069" i="8"/>
  <c r="J3068" i="8"/>
  <c r="I3068" i="8"/>
  <c r="H3068" i="8"/>
  <c r="J3067" i="8"/>
  <c r="I3067" i="8"/>
  <c r="H3067" i="8"/>
  <c r="J3066" i="8"/>
  <c r="I3066" i="8"/>
  <c r="H3066" i="8"/>
  <c r="J3065" i="8"/>
  <c r="I3065" i="8"/>
  <c r="H3065" i="8"/>
  <c r="J3064" i="8"/>
  <c r="I3064" i="8"/>
  <c r="H3064" i="8"/>
  <c r="J3063" i="8"/>
  <c r="I3063" i="8"/>
  <c r="H3063" i="8"/>
  <c r="J3062" i="8"/>
  <c r="I3062" i="8"/>
  <c r="H3062" i="8"/>
  <c r="J3061" i="8"/>
  <c r="I3061" i="8"/>
  <c r="H3061" i="8"/>
  <c r="J3060" i="8"/>
  <c r="I3060" i="8"/>
  <c r="H3060" i="8"/>
  <c r="J3059" i="8"/>
  <c r="I3059" i="8"/>
  <c r="H3059" i="8"/>
  <c r="J3058" i="8"/>
  <c r="I3058" i="8"/>
  <c r="H3058" i="8"/>
  <c r="J3057" i="8"/>
  <c r="I3057" i="8"/>
  <c r="H3057" i="8"/>
  <c r="J3056" i="8"/>
  <c r="I3056" i="8"/>
  <c r="H3056" i="8"/>
  <c r="J3055" i="8"/>
  <c r="I3055" i="8"/>
  <c r="H3055" i="8"/>
  <c r="J3054" i="8"/>
  <c r="I3054" i="8"/>
  <c r="H3054" i="8"/>
  <c r="J3053" i="8"/>
  <c r="I3053" i="8"/>
  <c r="H3053" i="8"/>
  <c r="J3052" i="8"/>
  <c r="I3052" i="8"/>
  <c r="H3052" i="8"/>
  <c r="J3051" i="8"/>
  <c r="I3051" i="8"/>
  <c r="H3051" i="8"/>
  <c r="J3050" i="8"/>
  <c r="I3050" i="8"/>
  <c r="H3050" i="8"/>
  <c r="J3049" i="8"/>
  <c r="I3049" i="8"/>
  <c r="H3049" i="8"/>
  <c r="J3048" i="8"/>
  <c r="I3048" i="8"/>
  <c r="H3048" i="8"/>
  <c r="J3047" i="8"/>
  <c r="I3047" i="8"/>
  <c r="H3047" i="8"/>
  <c r="J3046" i="8"/>
  <c r="I3046" i="8"/>
  <c r="H3046" i="8"/>
  <c r="J3045" i="8"/>
  <c r="I3045" i="8"/>
  <c r="H3045" i="8"/>
  <c r="J3044" i="8"/>
  <c r="I3044" i="8"/>
  <c r="H3044" i="8"/>
  <c r="J3043" i="8"/>
  <c r="I3043" i="8"/>
  <c r="H3043" i="8"/>
  <c r="J3042" i="8"/>
  <c r="I3042" i="8"/>
  <c r="H3042" i="8"/>
  <c r="J3041" i="8"/>
  <c r="I3041" i="8"/>
  <c r="H3041" i="8"/>
  <c r="J3040" i="8"/>
  <c r="I3040" i="8"/>
  <c r="H3040" i="8"/>
  <c r="J3039" i="8"/>
  <c r="I3039" i="8"/>
  <c r="H3039" i="8"/>
  <c r="J3038" i="8"/>
  <c r="I3038" i="8"/>
  <c r="H3038" i="8"/>
  <c r="J3037" i="8"/>
  <c r="I3037" i="8"/>
  <c r="H3037" i="8"/>
  <c r="J3036" i="8"/>
  <c r="I3036" i="8"/>
  <c r="H3036" i="8"/>
  <c r="J3035" i="8"/>
  <c r="I3035" i="8"/>
  <c r="H3035" i="8"/>
  <c r="J3034" i="8"/>
  <c r="I3034" i="8"/>
  <c r="H3034" i="8"/>
  <c r="J3033" i="8"/>
  <c r="I3033" i="8"/>
  <c r="H3033" i="8"/>
  <c r="J3032" i="8"/>
  <c r="I3032" i="8"/>
  <c r="H3032" i="8"/>
  <c r="J3031" i="8"/>
  <c r="I3031" i="8"/>
  <c r="H3031" i="8"/>
  <c r="J3030" i="8"/>
  <c r="I3030" i="8"/>
  <c r="H3030" i="8"/>
  <c r="J3029" i="8"/>
  <c r="I3029" i="8"/>
  <c r="H3029" i="8"/>
  <c r="J3028" i="8"/>
  <c r="I3028" i="8"/>
  <c r="H3028" i="8"/>
  <c r="J3027" i="8"/>
  <c r="I3027" i="8"/>
  <c r="H3027" i="8"/>
  <c r="J3026" i="8"/>
  <c r="I3026" i="8"/>
  <c r="H3026" i="8"/>
  <c r="J3025" i="8"/>
  <c r="I3025" i="8"/>
  <c r="H3025" i="8"/>
  <c r="J3024" i="8"/>
  <c r="I3024" i="8"/>
  <c r="H3024" i="8"/>
  <c r="J3023" i="8"/>
  <c r="I3023" i="8"/>
  <c r="H3023" i="8"/>
  <c r="J3022" i="8"/>
  <c r="I3022" i="8"/>
  <c r="H3022" i="8"/>
  <c r="J3021" i="8"/>
  <c r="I3021" i="8"/>
  <c r="H3021" i="8"/>
  <c r="J3020" i="8"/>
  <c r="I3020" i="8"/>
  <c r="H3020" i="8"/>
  <c r="J3019" i="8"/>
  <c r="I3019" i="8"/>
  <c r="H3019" i="8"/>
  <c r="J3018" i="8"/>
  <c r="I3018" i="8"/>
  <c r="H3018" i="8"/>
  <c r="J3017" i="8"/>
  <c r="I3017" i="8"/>
  <c r="H3017" i="8"/>
  <c r="J3016" i="8"/>
  <c r="I3016" i="8"/>
  <c r="H3016" i="8"/>
  <c r="J3015" i="8"/>
  <c r="I3015" i="8"/>
  <c r="H3015" i="8"/>
  <c r="J3014" i="8"/>
  <c r="I3014" i="8"/>
  <c r="H3014" i="8"/>
  <c r="J3013" i="8"/>
  <c r="I3013" i="8"/>
  <c r="H3013" i="8"/>
  <c r="J3012" i="8"/>
  <c r="I3012" i="8"/>
  <c r="H3012" i="8"/>
  <c r="J3011" i="8"/>
  <c r="I3011" i="8"/>
  <c r="H3011" i="8"/>
  <c r="J3010" i="8"/>
  <c r="I3010" i="8"/>
  <c r="H3010" i="8"/>
  <c r="J3009" i="8"/>
  <c r="I3009" i="8"/>
  <c r="H3009" i="8"/>
  <c r="J3008" i="8"/>
  <c r="I3008" i="8"/>
  <c r="H3008" i="8"/>
  <c r="J3007" i="8"/>
  <c r="I3007" i="8"/>
  <c r="H3007" i="8"/>
  <c r="J3006" i="8"/>
  <c r="I3006" i="8"/>
  <c r="H3006" i="8"/>
  <c r="J3005" i="8"/>
  <c r="I3005" i="8"/>
  <c r="H3005" i="8"/>
  <c r="J3004" i="8"/>
  <c r="I3004" i="8"/>
  <c r="H3004" i="8"/>
  <c r="J3003" i="8"/>
  <c r="I3003" i="8"/>
  <c r="H3003" i="8"/>
  <c r="J3002" i="8"/>
  <c r="I3002" i="8"/>
  <c r="H3002" i="8"/>
  <c r="J3001" i="8"/>
  <c r="I3001" i="8"/>
  <c r="H3001" i="8"/>
  <c r="J3000" i="8"/>
  <c r="I3000" i="8"/>
  <c r="H3000" i="8"/>
  <c r="J2999" i="8"/>
  <c r="I2999" i="8"/>
  <c r="H2999" i="8"/>
  <c r="J2998" i="8"/>
  <c r="I2998" i="8"/>
  <c r="H2998" i="8"/>
  <c r="J2997" i="8"/>
  <c r="I2997" i="8"/>
  <c r="H2997" i="8"/>
  <c r="J2996" i="8"/>
  <c r="I2996" i="8"/>
  <c r="H2996" i="8"/>
  <c r="J2995" i="8"/>
  <c r="I2995" i="8"/>
  <c r="H2995" i="8"/>
  <c r="J2994" i="8"/>
  <c r="I2994" i="8"/>
  <c r="H2994" i="8"/>
  <c r="J2993" i="8"/>
  <c r="I2993" i="8"/>
  <c r="H2993" i="8"/>
  <c r="J2992" i="8"/>
  <c r="I2992" i="8"/>
  <c r="H2992" i="8"/>
  <c r="J2991" i="8"/>
  <c r="I2991" i="8"/>
  <c r="H2991" i="8"/>
  <c r="J2990" i="8"/>
  <c r="I2990" i="8"/>
  <c r="H2990" i="8"/>
  <c r="J2989" i="8"/>
  <c r="I2989" i="8"/>
  <c r="H2989" i="8"/>
  <c r="J2988" i="8"/>
  <c r="I2988" i="8"/>
  <c r="H2988" i="8"/>
  <c r="J2987" i="8"/>
  <c r="I2987" i="8"/>
  <c r="H2987" i="8"/>
  <c r="J2986" i="8"/>
  <c r="I2986" i="8"/>
  <c r="H2986" i="8"/>
  <c r="J2985" i="8"/>
  <c r="I2985" i="8"/>
  <c r="H2985" i="8"/>
  <c r="J2984" i="8"/>
  <c r="I2984" i="8"/>
  <c r="H2984" i="8"/>
  <c r="J2983" i="8"/>
  <c r="I2983" i="8"/>
  <c r="H2983" i="8"/>
  <c r="J2982" i="8"/>
  <c r="I2982" i="8"/>
  <c r="H2982" i="8"/>
  <c r="J2981" i="8"/>
  <c r="I2981" i="8"/>
  <c r="H2981" i="8"/>
  <c r="J2980" i="8"/>
  <c r="I2980" i="8"/>
  <c r="H2980" i="8"/>
  <c r="J2979" i="8"/>
  <c r="I2979" i="8"/>
  <c r="H2979" i="8"/>
  <c r="J2978" i="8"/>
  <c r="I2978" i="8"/>
  <c r="H2978" i="8"/>
  <c r="J2977" i="8"/>
  <c r="I2977" i="8"/>
  <c r="H2977" i="8"/>
  <c r="J2976" i="8"/>
  <c r="I2976" i="8"/>
  <c r="H2976" i="8"/>
  <c r="J2975" i="8"/>
  <c r="I2975" i="8"/>
  <c r="H2975" i="8"/>
  <c r="J2974" i="8"/>
  <c r="I2974" i="8"/>
  <c r="H2974" i="8"/>
  <c r="J2973" i="8"/>
  <c r="I2973" i="8"/>
  <c r="H2973" i="8"/>
  <c r="J2972" i="8"/>
  <c r="I2972" i="8"/>
  <c r="H2972" i="8"/>
  <c r="J2971" i="8"/>
  <c r="I2971" i="8"/>
  <c r="H2971" i="8"/>
  <c r="J2970" i="8"/>
  <c r="I2970" i="8"/>
  <c r="H2970" i="8"/>
  <c r="J2969" i="8"/>
  <c r="I2969" i="8"/>
  <c r="H2969" i="8"/>
  <c r="J2968" i="8"/>
  <c r="I2968" i="8"/>
  <c r="H2968" i="8"/>
  <c r="J2967" i="8"/>
  <c r="I2967" i="8"/>
  <c r="H2967" i="8"/>
  <c r="J2966" i="8"/>
  <c r="I2966" i="8"/>
  <c r="H2966" i="8"/>
  <c r="J2965" i="8"/>
  <c r="I2965" i="8"/>
  <c r="H2965" i="8"/>
  <c r="J2964" i="8"/>
  <c r="I2964" i="8"/>
  <c r="H2964" i="8"/>
  <c r="J2963" i="8"/>
  <c r="I2963" i="8"/>
  <c r="H2963" i="8"/>
  <c r="J2962" i="8"/>
  <c r="I2962" i="8"/>
  <c r="H2962" i="8"/>
  <c r="J2961" i="8"/>
  <c r="I2961" i="8"/>
  <c r="H2961" i="8"/>
  <c r="J2960" i="8"/>
  <c r="I2960" i="8"/>
  <c r="H2960" i="8"/>
  <c r="J2959" i="8"/>
  <c r="I2959" i="8"/>
  <c r="H2959" i="8"/>
  <c r="J2958" i="8"/>
  <c r="I2958" i="8"/>
  <c r="H2958" i="8"/>
  <c r="J2957" i="8"/>
  <c r="I2957" i="8"/>
  <c r="H2957" i="8"/>
  <c r="J2956" i="8"/>
  <c r="I2956" i="8"/>
  <c r="H2956" i="8"/>
  <c r="J2955" i="8"/>
  <c r="I2955" i="8"/>
  <c r="H2955" i="8"/>
  <c r="J2954" i="8"/>
  <c r="I2954" i="8"/>
  <c r="H2954" i="8"/>
  <c r="J2953" i="8"/>
  <c r="I2953" i="8"/>
  <c r="H2953" i="8"/>
  <c r="J2952" i="8"/>
  <c r="I2952" i="8"/>
  <c r="H2952" i="8"/>
  <c r="J2951" i="8"/>
  <c r="I2951" i="8"/>
  <c r="H2951" i="8"/>
  <c r="J2950" i="8"/>
  <c r="I2950" i="8"/>
  <c r="H2950" i="8"/>
  <c r="J2949" i="8"/>
  <c r="I2949" i="8"/>
  <c r="H2949" i="8"/>
  <c r="J2948" i="8"/>
  <c r="I2948" i="8"/>
  <c r="H2948" i="8"/>
  <c r="J2947" i="8"/>
  <c r="I2947" i="8"/>
  <c r="H2947" i="8"/>
  <c r="J2946" i="8"/>
  <c r="I2946" i="8"/>
  <c r="H2946" i="8"/>
  <c r="J2945" i="8"/>
  <c r="I2945" i="8"/>
  <c r="H2945" i="8"/>
  <c r="J2944" i="8"/>
  <c r="I2944" i="8"/>
  <c r="H2944" i="8"/>
  <c r="J2943" i="8"/>
  <c r="I2943" i="8"/>
  <c r="H2943" i="8"/>
  <c r="J2942" i="8"/>
  <c r="I2942" i="8"/>
  <c r="H2942" i="8"/>
  <c r="J2941" i="8"/>
  <c r="I2941" i="8"/>
  <c r="H2941" i="8"/>
  <c r="J2940" i="8"/>
  <c r="I2940" i="8"/>
  <c r="H2940" i="8"/>
  <c r="J2939" i="8"/>
  <c r="I2939" i="8"/>
  <c r="H2939" i="8"/>
  <c r="J2938" i="8"/>
  <c r="I2938" i="8"/>
  <c r="H2938" i="8"/>
  <c r="J2937" i="8"/>
  <c r="I2937" i="8"/>
  <c r="H2937" i="8"/>
  <c r="J2936" i="8"/>
  <c r="I2936" i="8"/>
  <c r="H2936" i="8"/>
  <c r="J2935" i="8"/>
  <c r="I2935" i="8"/>
  <c r="H2935" i="8"/>
  <c r="J2934" i="8"/>
  <c r="I2934" i="8"/>
  <c r="H2934" i="8"/>
  <c r="J2933" i="8"/>
  <c r="I2933" i="8"/>
  <c r="H2933" i="8"/>
  <c r="J2932" i="8"/>
  <c r="I2932" i="8"/>
  <c r="H2932" i="8"/>
  <c r="J2931" i="8"/>
  <c r="I2931" i="8"/>
  <c r="H2931" i="8"/>
  <c r="J2930" i="8"/>
  <c r="I2930" i="8"/>
  <c r="H2930" i="8"/>
  <c r="J2929" i="8"/>
  <c r="I2929" i="8"/>
  <c r="H2929" i="8"/>
  <c r="J2928" i="8"/>
  <c r="I2928" i="8"/>
  <c r="H2928" i="8"/>
  <c r="J2927" i="8"/>
  <c r="I2927" i="8"/>
  <c r="H2927" i="8"/>
  <c r="J2926" i="8"/>
  <c r="I2926" i="8"/>
  <c r="H2926" i="8"/>
  <c r="J2925" i="8"/>
  <c r="I2925" i="8"/>
  <c r="H2925" i="8"/>
  <c r="J2924" i="8"/>
  <c r="I2924" i="8"/>
  <c r="H2924" i="8"/>
  <c r="J2923" i="8"/>
  <c r="I2923" i="8"/>
  <c r="H2923" i="8"/>
  <c r="J2922" i="8"/>
  <c r="I2922" i="8"/>
  <c r="H2922" i="8"/>
  <c r="J2921" i="8"/>
  <c r="I2921" i="8"/>
  <c r="H2921" i="8"/>
  <c r="J2920" i="8"/>
  <c r="I2920" i="8"/>
  <c r="H2920" i="8"/>
  <c r="J2919" i="8"/>
  <c r="I2919" i="8"/>
  <c r="H2919" i="8"/>
  <c r="J2918" i="8"/>
  <c r="I2918" i="8"/>
  <c r="H2918" i="8"/>
  <c r="J2917" i="8"/>
  <c r="I2917" i="8"/>
  <c r="H2917" i="8"/>
  <c r="J2916" i="8"/>
  <c r="I2916" i="8"/>
  <c r="H2916" i="8"/>
  <c r="J2915" i="8"/>
  <c r="I2915" i="8"/>
  <c r="H2915" i="8"/>
  <c r="J2914" i="8"/>
  <c r="I2914" i="8"/>
  <c r="H2914" i="8"/>
  <c r="J2913" i="8"/>
  <c r="I2913" i="8"/>
  <c r="H2913" i="8"/>
  <c r="J2912" i="8"/>
  <c r="I2912" i="8"/>
  <c r="H2912" i="8"/>
  <c r="J2911" i="8"/>
  <c r="I2911" i="8"/>
  <c r="H2911" i="8"/>
  <c r="J2910" i="8"/>
  <c r="I2910" i="8"/>
  <c r="H2910" i="8"/>
  <c r="J2909" i="8"/>
  <c r="I2909" i="8"/>
  <c r="H2909" i="8"/>
  <c r="J2908" i="8"/>
  <c r="I2908" i="8"/>
  <c r="H2908" i="8"/>
  <c r="J2907" i="8"/>
  <c r="I2907" i="8"/>
  <c r="H2907" i="8"/>
  <c r="J2906" i="8"/>
  <c r="I2906" i="8"/>
  <c r="H2906" i="8"/>
  <c r="J2905" i="8"/>
  <c r="I2905" i="8"/>
  <c r="H2905" i="8"/>
  <c r="J2904" i="8"/>
  <c r="I2904" i="8"/>
  <c r="H2904" i="8"/>
  <c r="J2903" i="8"/>
  <c r="I2903" i="8"/>
  <c r="H2903" i="8"/>
  <c r="J2902" i="8"/>
  <c r="I2902" i="8"/>
  <c r="H2902" i="8"/>
  <c r="J2901" i="8"/>
  <c r="I2901" i="8"/>
  <c r="H2901" i="8"/>
  <c r="J2900" i="8"/>
  <c r="I2900" i="8"/>
  <c r="H2900" i="8"/>
  <c r="J2899" i="8"/>
  <c r="I2899" i="8"/>
  <c r="H2899" i="8"/>
  <c r="J2898" i="8"/>
  <c r="I2898" i="8"/>
  <c r="H2898" i="8"/>
  <c r="J2897" i="8"/>
  <c r="I2897" i="8"/>
  <c r="H2897" i="8"/>
  <c r="J2896" i="8"/>
  <c r="I2896" i="8"/>
  <c r="H2896" i="8"/>
  <c r="J2895" i="8"/>
  <c r="I2895" i="8"/>
  <c r="H2895" i="8"/>
  <c r="J2894" i="8"/>
  <c r="I2894" i="8"/>
  <c r="H2894" i="8"/>
  <c r="J2893" i="8"/>
  <c r="I2893" i="8"/>
  <c r="H2893" i="8"/>
  <c r="J2892" i="8"/>
  <c r="I2892" i="8"/>
  <c r="H2892" i="8"/>
  <c r="J2891" i="8"/>
  <c r="I2891" i="8"/>
  <c r="H2891" i="8"/>
  <c r="J2890" i="8"/>
  <c r="I2890" i="8"/>
  <c r="H2890" i="8"/>
  <c r="J2889" i="8"/>
  <c r="I2889" i="8"/>
  <c r="H2889" i="8"/>
  <c r="J2888" i="8"/>
  <c r="I2888" i="8"/>
  <c r="H2888" i="8"/>
  <c r="J2887" i="8"/>
  <c r="I2887" i="8"/>
  <c r="H2887" i="8"/>
  <c r="J2886" i="8"/>
  <c r="I2886" i="8"/>
  <c r="H2886" i="8"/>
  <c r="J2885" i="8"/>
  <c r="I2885" i="8"/>
  <c r="H2885" i="8"/>
  <c r="J2884" i="8"/>
  <c r="I2884" i="8"/>
  <c r="H2884" i="8"/>
  <c r="J2883" i="8"/>
  <c r="I2883" i="8"/>
  <c r="H2883" i="8"/>
  <c r="J2882" i="8"/>
  <c r="I2882" i="8"/>
  <c r="H2882" i="8"/>
  <c r="J2881" i="8"/>
  <c r="I2881" i="8"/>
  <c r="H2881" i="8"/>
  <c r="J2880" i="8"/>
  <c r="I2880" i="8"/>
  <c r="H2880" i="8"/>
  <c r="J2879" i="8"/>
  <c r="I2879" i="8"/>
  <c r="H2879" i="8"/>
  <c r="J2878" i="8"/>
  <c r="I2878" i="8"/>
  <c r="H2878" i="8"/>
  <c r="J2877" i="8"/>
  <c r="I2877" i="8"/>
  <c r="H2877" i="8"/>
  <c r="J2876" i="8"/>
  <c r="I2876" i="8"/>
  <c r="H2876" i="8"/>
  <c r="J2875" i="8"/>
  <c r="I2875" i="8"/>
  <c r="H2875" i="8"/>
  <c r="J2874" i="8"/>
  <c r="I2874" i="8"/>
  <c r="H2874" i="8"/>
  <c r="J2873" i="8"/>
  <c r="I2873" i="8"/>
  <c r="H2873" i="8"/>
  <c r="J2872" i="8"/>
  <c r="I2872" i="8"/>
  <c r="H2872" i="8"/>
  <c r="J2871" i="8"/>
  <c r="I2871" i="8"/>
  <c r="H2871" i="8"/>
  <c r="J2870" i="8"/>
  <c r="I2870" i="8"/>
  <c r="H2870" i="8"/>
  <c r="J2869" i="8"/>
  <c r="I2869" i="8"/>
  <c r="H2869" i="8"/>
  <c r="J2868" i="8"/>
  <c r="I2868" i="8"/>
  <c r="H2868" i="8"/>
  <c r="J2867" i="8"/>
  <c r="I2867" i="8"/>
  <c r="H2867" i="8"/>
  <c r="J2866" i="8"/>
  <c r="I2866" i="8"/>
  <c r="H2866" i="8"/>
  <c r="J2865" i="8"/>
  <c r="I2865" i="8"/>
  <c r="H2865" i="8"/>
  <c r="J2864" i="8"/>
  <c r="I2864" i="8"/>
  <c r="H2864" i="8"/>
  <c r="J2863" i="8"/>
  <c r="I2863" i="8"/>
  <c r="H2863" i="8"/>
  <c r="J2862" i="8"/>
  <c r="I2862" i="8"/>
  <c r="H2862" i="8"/>
  <c r="J2861" i="8"/>
  <c r="I2861" i="8"/>
  <c r="H2861" i="8"/>
  <c r="J2860" i="8"/>
  <c r="I2860" i="8"/>
  <c r="H2860" i="8"/>
  <c r="J2859" i="8"/>
  <c r="I2859" i="8"/>
  <c r="H2859" i="8"/>
  <c r="J2858" i="8"/>
  <c r="I2858" i="8"/>
  <c r="H2858" i="8"/>
  <c r="J2857" i="8"/>
  <c r="I2857" i="8"/>
  <c r="H2857" i="8"/>
  <c r="J2856" i="8"/>
  <c r="I2856" i="8"/>
  <c r="H2856" i="8"/>
  <c r="J2855" i="8"/>
  <c r="I2855" i="8"/>
  <c r="H2855" i="8"/>
  <c r="J2854" i="8"/>
  <c r="I2854" i="8"/>
  <c r="H2854" i="8"/>
  <c r="J2853" i="8"/>
  <c r="I2853" i="8"/>
  <c r="H2853" i="8"/>
  <c r="J2852" i="8"/>
  <c r="I2852" i="8"/>
  <c r="H2852" i="8"/>
  <c r="J2851" i="8"/>
  <c r="I2851" i="8"/>
  <c r="H2851" i="8"/>
  <c r="J2850" i="8"/>
  <c r="I2850" i="8"/>
  <c r="H2850" i="8"/>
  <c r="J2849" i="8"/>
  <c r="I2849" i="8"/>
  <c r="H2849" i="8"/>
  <c r="J2848" i="8"/>
  <c r="I2848" i="8"/>
  <c r="H2848" i="8"/>
  <c r="J2847" i="8"/>
  <c r="I2847" i="8"/>
  <c r="H2847" i="8"/>
  <c r="J2846" i="8"/>
  <c r="I2846" i="8"/>
  <c r="H2846" i="8"/>
  <c r="J2845" i="8"/>
  <c r="I2845" i="8"/>
  <c r="H2845" i="8"/>
  <c r="J2844" i="8"/>
  <c r="I2844" i="8"/>
  <c r="H2844" i="8"/>
  <c r="J2843" i="8"/>
  <c r="I2843" i="8"/>
  <c r="H2843" i="8"/>
  <c r="J2842" i="8"/>
  <c r="I2842" i="8"/>
  <c r="H2842" i="8"/>
  <c r="J2841" i="8"/>
  <c r="I2841" i="8"/>
  <c r="H2841" i="8"/>
  <c r="J2840" i="8"/>
  <c r="I2840" i="8"/>
  <c r="H2840" i="8"/>
  <c r="J2839" i="8"/>
  <c r="I2839" i="8"/>
  <c r="H2839" i="8"/>
  <c r="J2838" i="8"/>
  <c r="I2838" i="8"/>
  <c r="H2838" i="8"/>
  <c r="J2837" i="8"/>
  <c r="I2837" i="8"/>
  <c r="H2837" i="8"/>
  <c r="J2836" i="8"/>
  <c r="I2836" i="8"/>
  <c r="H2836" i="8"/>
  <c r="J2835" i="8"/>
  <c r="I2835" i="8"/>
  <c r="H2835" i="8"/>
  <c r="J2834" i="8"/>
  <c r="I2834" i="8"/>
  <c r="H2834" i="8"/>
  <c r="J2833" i="8"/>
  <c r="I2833" i="8"/>
  <c r="H2833" i="8"/>
  <c r="J2832" i="8"/>
  <c r="I2832" i="8"/>
  <c r="H2832" i="8"/>
  <c r="J2831" i="8"/>
  <c r="I2831" i="8"/>
  <c r="H2831" i="8"/>
  <c r="J2830" i="8"/>
  <c r="I2830" i="8"/>
  <c r="H2830" i="8"/>
  <c r="J2829" i="8"/>
  <c r="I2829" i="8"/>
  <c r="H2829" i="8"/>
  <c r="J2828" i="8"/>
  <c r="I2828" i="8"/>
  <c r="H2828" i="8"/>
  <c r="J2827" i="8"/>
  <c r="I2827" i="8"/>
  <c r="H2827" i="8"/>
  <c r="J2826" i="8"/>
  <c r="I2826" i="8"/>
  <c r="H2826" i="8"/>
  <c r="J2825" i="8"/>
  <c r="I2825" i="8"/>
  <c r="H2825" i="8"/>
  <c r="J2824" i="8"/>
  <c r="I2824" i="8"/>
  <c r="H2824" i="8"/>
  <c r="J2823" i="8"/>
  <c r="I2823" i="8"/>
  <c r="H2823" i="8"/>
  <c r="J2822" i="8"/>
  <c r="I2822" i="8"/>
  <c r="H2822" i="8"/>
  <c r="J2821" i="8"/>
  <c r="I2821" i="8"/>
  <c r="H2821" i="8"/>
  <c r="J2820" i="8"/>
  <c r="I2820" i="8"/>
  <c r="H2820" i="8"/>
  <c r="J2819" i="8"/>
  <c r="I2819" i="8"/>
  <c r="H2819" i="8"/>
  <c r="J2818" i="8"/>
  <c r="I2818" i="8"/>
  <c r="H2818" i="8"/>
  <c r="J2817" i="8"/>
  <c r="I2817" i="8"/>
  <c r="H2817" i="8"/>
  <c r="J2816" i="8"/>
  <c r="I2816" i="8"/>
  <c r="H2816" i="8"/>
  <c r="J2815" i="8"/>
  <c r="I2815" i="8"/>
  <c r="H2815" i="8"/>
  <c r="J2814" i="8"/>
  <c r="I2814" i="8"/>
  <c r="H2814" i="8"/>
  <c r="J2813" i="8"/>
  <c r="I2813" i="8"/>
  <c r="H2813" i="8"/>
  <c r="J2812" i="8"/>
  <c r="I2812" i="8"/>
  <c r="H2812" i="8"/>
  <c r="J2811" i="8"/>
  <c r="I2811" i="8"/>
  <c r="H2811" i="8"/>
  <c r="J2810" i="8"/>
  <c r="I2810" i="8"/>
  <c r="H2810" i="8"/>
  <c r="J2809" i="8"/>
  <c r="I2809" i="8"/>
  <c r="H2809" i="8"/>
  <c r="J2808" i="8"/>
  <c r="I2808" i="8"/>
  <c r="H2808" i="8"/>
  <c r="J2807" i="8"/>
  <c r="I2807" i="8"/>
  <c r="H2807" i="8"/>
  <c r="J2806" i="8"/>
  <c r="I2806" i="8"/>
  <c r="H2806" i="8"/>
  <c r="J2805" i="8"/>
  <c r="I2805" i="8"/>
  <c r="H2805" i="8"/>
  <c r="J2804" i="8"/>
  <c r="I2804" i="8"/>
  <c r="H2804" i="8"/>
  <c r="J2803" i="8"/>
  <c r="I2803" i="8"/>
  <c r="H2803" i="8"/>
  <c r="J2802" i="8"/>
  <c r="I2802" i="8"/>
  <c r="H2802" i="8"/>
  <c r="J2801" i="8"/>
  <c r="I2801" i="8"/>
  <c r="H2801" i="8"/>
  <c r="J2800" i="8"/>
  <c r="I2800" i="8"/>
  <c r="H2800" i="8"/>
  <c r="J2799" i="8"/>
  <c r="I2799" i="8"/>
  <c r="H2799" i="8"/>
  <c r="J2798" i="8"/>
  <c r="I2798" i="8"/>
  <c r="H2798" i="8"/>
  <c r="J2797" i="8"/>
  <c r="I2797" i="8"/>
  <c r="H2797" i="8"/>
  <c r="J2796" i="8"/>
  <c r="I2796" i="8"/>
  <c r="H2796" i="8"/>
  <c r="J2795" i="8"/>
  <c r="I2795" i="8"/>
  <c r="H2795" i="8"/>
  <c r="J2794" i="8"/>
  <c r="I2794" i="8"/>
  <c r="H2794" i="8"/>
  <c r="J2793" i="8"/>
  <c r="I2793" i="8"/>
  <c r="H2793" i="8"/>
  <c r="J2792" i="8"/>
  <c r="I2792" i="8"/>
  <c r="H2792" i="8"/>
  <c r="J2791" i="8"/>
  <c r="I2791" i="8"/>
  <c r="H2791" i="8"/>
  <c r="J2790" i="8"/>
  <c r="I2790" i="8"/>
  <c r="H2790" i="8"/>
  <c r="J2789" i="8"/>
  <c r="I2789" i="8"/>
  <c r="H2789" i="8"/>
  <c r="J2788" i="8"/>
  <c r="I2788" i="8"/>
  <c r="H2788" i="8"/>
  <c r="J2787" i="8"/>
  <c r="I2787" i="8"/>
  <c r="H2787" i="8"/>
  <c r="J2786" i="8"/>
  <c r="I2786" i="8"/>
  <c r="H2786" i="8"/>
  <c r="J2785" i="8"/>
  <c r="I2785" i="8"/>
  <c r="H2785" i="8"/>
  <c r="J2784" i="8"/>
  <c r="I2784" i="8"/>
  <c r="H2784" i="8"/>
  <c r="J2783" i="8"/>
  <c r="I2783" i="8"/>
  <c r="H2783" i="8"/>
  <c r="J2782" i="8"/>
  <c r="I2782" i="8"/>
  <c r="H2782" i="8"/>
  <c r="J2781" i="8"/>
  <c r="I2781" i="8"/>
  <c r="H2781" i="8"/>
  <c r="J2780" i="8"/>
  <c r="I2780" i="8"/>
  <c r="H2780" i="8"/>
  <c r="J2779" i="8"/>
  <c r="I2779" i="8"/>
  <c r="H2779" i="8"/>
  <c r="J2778" i="8"/>
  <c r="I2778" i="8"/>
  <c r="H2778" i="8"/>
  <c r="J2777" i="8"/>
  <c r="I2777" i="8"/>
  <c r="H2777" i="8"/>
  <c r="J2776" i="8"/>
  <c r="I2776" i="8"/>
  <c r="H2776" i="8"/>
  <c r="J2775" i="8"/>
  <c r="I2775" i="8"/>
  <c r="H2775" i="8"/>
  <c r="J2774" i="8"/>
  <c r="I2774" i="8"/>
  <c r="H2774" i="8"/>
  <c r="J2773" i="8"/>
  <c r="I2773" i="8"/>
  <c r="H2773" i="8"/>
  <c r="J2772" i="8"/>
  <c r="I2772" i="8"/>
  <c r="H2772" i="8"/>
  <c r="J2771" i="8"/>
  <c r="I2771" i="8"/>
  <c r="H2771" i="8"/>
  <c r="J2770" i="8"/>
  <c r="I2770" i="8"/>
  <c r="H2770" i="8"/>
  <c r="J2769" i="8"/>
  <c r="I2769" i="8"/>
  <c r="H2769" i="8"/>
  <c r="J2768" i="8"/>
  <c r="I2768" i="8"/>
  <c r="H2768" i="8"/>
  <c r="J2767" i="8"/>
  <c r="I2767" i="8"/>
  <c r="H2767" i="8"/>
  <c r="J2766" i="8"/>
  <c r="I2766" i="8"/>
  <c r="H2766" i="8"/>
  <c r="J2765" i="8"/>
  <c r="I2765" i="8"/>
  <c r="H2765" i="8"/>
  <c r="J2764" i="8"/>
  <c r="I2764" i="8"/>
  <c r="H2764" i="8"/>
  <c r="J2763" i="8"/>
  <c r="I2763" i="8"/>
  <c r="H2763" i="8"/>
  <c r="J2762" i="8"/>
  <c r="I2762" i="8"/>
  <c r="H2762" i="8"/>
  <c r="J2761" i="8"/>
  <c r="I2761" i="8"/>
  <c r="H2761" i="8"/>
  <c r="J2760" i="8"/>
  <c r="I2760" i="8"/>
  <c r="H2760" i="8"/>
  <c r="J2759" i="8"/>
  <c r="I2759" i="8"/>
  <c r="H2759" i="8"/>
  <c r="J2758" i="8"/>
  <c r="I2758" i="8"/>
  <c r="H2758" i="8"/>
  <c r="J2757" i="8"/>
  <c r="I2757" i="8"/>
  <c r="H2757" i="8"/>
  <c r="J2756" i="8"/>
  <c r="I2756" i="8"/>
  <c r="H2756" i="8"/>
  <c r="J2755" i="8"/>
  <c r="I2755" i="8"/>
  <c r="H2755" i="8"/>
  <c r="J2754" i="8"/>
  <c r="I2754" i="8"/>
  <c r="H2754" i="8"/>
  <c r="J2753" i="8"/>
  <c r="I2753" i="8"/>
  <c r="H2753" i="8"/>
  <c r="J2752" i="8"/>
  <c r="I2752" i="8"/>
  <c r="H2752" i="8"/>
  <c r="J2751" i="8"/>
  <c r="I2751" i="8"/>
  <c r="H2751" i="8"/>
  <c r="J2750" i="8"/>
  <c r="I2750" i="8"/>
  <c r="H2750" i="8"/>
  <c r="J2749" i="8"/>
  <c r="I2749" i="8"/>
  <c r="H2749" i="8"/>
  <c r="J2748" i="8"/>
  <c r="I2748" i="8"/>
  <c r="H2748" i="8"/>
  <c r="J2747" i="8"/>
  <c r="I2747" i="8"/>
  <c r="H2747" i="8"/>
  <c r="J2746" i="8"/>
  <c r="I2746" i="8"/>
  <c r="H2746" i="8"/>
  <c r="J2745" i="8"/>
  <c r="I2745" i="8"/>
  <c r="H2745" i="8"/>
  <c r="J2744" i="8"/>
  <c r="I2744" i="8"/>
  <c r="H2744" i="8"/>
  <c r="J2743" i="8"/>
  <c r="I2743" i="8"/>
  <c r="H2743" i="8"/>
  <c r="J2742" i="8"/>
  <c r="I2742" i="8"/>
  <c r="H2742" i="8"/>
  <c r="J2741" i="8"/>
  <c r="I2741" i="8"/>
  <c r="H2741" i="8"/>
  <c r="J2740" i="8"/>
  <c r="I2740" i="8"/>
  <c r="H2740" i="8"/>
  <c r="J2739" i="8"/>
  <c r="I2739" i="8"/>
  <c r="H2739" i="8"/>
  <c r="J2738" i="8"/>
  <c r="I2738" i="8"/>
  <c r="H2738" i="8"/>
  <c r="J2737" i="8"/>
  <c r="I2737" i="8"/>
  <c r="H2737" i="8"/>
  <c r="J2736" i="8"/>
  <c r="I2736" i="8"/>
  <c r="H2736" i="8"/>
  <c r="J2735" i="8"/>
  <c r="I2735" i="8"/>
  <c r="H2735" i="8"/>
  <c r="J2734" i="8"/>
  <c r="I2734" i="8"/>
  <c r="H2734" i="8"/>
  <c r="J2733" i="8"/>
  <c r="I2733" i="8"/>
  <c r="H2733" i="8"/>
  <c r="J2732" i="8"/>
  <c r="I2732" i="8"/>
  <c r="H2732" i="8"/>
  <c r="J2731" i="8"/>
  <c r="I2731" i="8"/>
  <c r="H2731" i="8"/>
  <c r="J2730" i="8"/>
  <c r="I2730" i="8"/>
  <c r="H2730" i="8"/>
  <c r="J2729" i="8"/>
  <c r="I2729" i="8"/>
  <c r="H2729" i="8"/>
  <c r="J2728" i="8"/>
  <c r="I2728" i="8"/>
  <c r="H2728" i="8"/>
  <c r="J2727" i="8"/>
  <c r="I2727" i="8"/>
  <c r="H2727" i="8"/>
  <c r="J2726" i="8"/>
  <c r="I2726" i="8"/>
  <c r="H2726" i="8"/>
  <c r="J2725" i="8"/>
  <c r="I2725" i="8"/>
  <c r="H2725" i="8"/>
  <c r="J2724" i="8"/>
  <c r="I2724" i="8"/>
  <c r="H2724" i="8"/>
  <c r="J2723" i="8"/>
  <c r="I2723" i="8"/>
  <c r="H2723" i="8"/>
  <c r="J2722" i="8"/>
  <c r="I2722" i="8"/>
  <c r="H2722" i="8"/>
  <c r="J2721" i="8"/>
  <c r="I2721" i="8"/>
  <c r="H2721" i="8"/>
  <c r="J2720" i="8"/>
  <c r="I2720" i="8"/>
  <c r="H2720" i="8"/>
  <c r="J2719" i="8"/>
  <c r="I2719" i="8"/>
  <c r="H2719" i="8"/>
  <c r="J2718" i="8"/>
  <c r="I2718" i="8"/>
  <c r="H2718" i="8"/>
  <c r="J2717" i="8"/>
  <c r="I2717" i="8"/>
  <c r="H2717" i="8"/>
  <c r="J2716" i="8"/>
  <c r="I2716" i="8"/>
  <c r="H2716" i="8"/>
  <c r="J2715" i="8"/>
  <c r="I2715" i="8"/>
  <c r="H2715" i="8"/>
  <c r="J2714" i="8"/>
  <c r="I2714" i="8"/>
  <c r="H2714" i="8"/>
  <c r="J2713" i="8"/>
  <c r="I2713" i="8"/>
  <c r="H2713" i="8"/>
  <c r="J2712" i="8"/>
  <c r="I2712" i="8"/>
  <c r="H2712" i="8"/>
  <c r="J2711" i="8"/>
  <c r="I2711" i="8"/>
  <c r="H2711" i="8"/>
  <c r="J2710" i="8"/>
  <c r="I2710" i="8"/>
  <c r="H2710" i="8"/>
  <c r="J2709" i="8"/>
  <c r="I2709" i="8"/>
  <c r="H2709" i="8"/>
  <c r="J2708" i="8"/>
  <c r="I2708" i="8"/>
  <c r="H2708" i="8"/>
  <c r="J2707" i="8"/>
  <c r="I2707" i="8"/>
  <c r="H2707" i="8"/>
  <c r="J2706" i="8"/>
  <c r="I2706" i="8"/>
  <c r="H2706" i="8"/>
  <c r="J2705" i="8"/>
  <c r="I2705" i="8"/>
  <c r="H2705" i="8"/>
  <c r="J2704" i="8"/>
  <c r="I2704" i="8"/>
  <c r="H2704" i="8"/>
  <c r="J2703" i="8"/>
  <c r="I2703" i="8"/>
  <c r="H2703" i="8"/>
  <c r="J2702" i="8"/>
  <c r="I2702" i="8"/>
  <c r="H2702" i="8"/>
  <c r="J2701" i="8"/>
  <c r="I2701" i="8"/>
  <c r="H2701" i="8"/>
  <c r="J2700" i="8"/>
  <c r="I2700" i="8"/>
  <c r="H2700" i="8"/>
  <c r="J2699" i="8"/>
  <c r="I2699" i="8"/>
  <c r="H2699" i="8"/>
  <c r="J2698" i="8"/>
  <c r="I2698" i="8"/>
  <c r="H2698" i="8"/>
  <c r="J2697" i="8"/>
  <c r="I2697" i="8"/>
  <c r="H2697" i="8"/>
  <c r="J2696" i="8"/>
  <c r="I2696" i="8"/>
  <c r="H2696" i="8"/>
  <c r="J2695" i="8"/>
  <c r="I2695" i="8"/>
  <c r="H2695" i="8"/>
  <c r="J2694" i="8"/>
  <c r="I2694" i="8"/>
  <c r="H2694" i="8"/>
  <c r="J2693" i="8"/>
  <c r="I2693" i="8"/>
  <c r="H2693" i="8"/>
  <c r="J2692" i="8"/>
  <c r="I2692" i="8"/>
  <c r="H2692" i="8"/>
  <c r="J2691" i="8"/>
  <c r="I2691" i="8"/>
  <c r="H2691" i="8"/>
  <c r="J2690" i="8"/>
  <c r="I2690" i="8"/>
  <c r="H2690" i="8"/>
  <c r="J2689" i="8"/>
  <c r="I2689" i="8"/>
  <c r="H2689" i="8"/>
  <c r="J2688" i="8"/>
  <c r="I2688" i="8"/>
  <c r="H2688" i="8"/>
  <c r="J2687" i="8"/>
  <c r="I2687" i="8"/>
  <c r="H2687" i="8"/>
  <c r="J2686" i="8"/>
  <c r="I2686" i="8"/>
  <c r="H2686" i="8"/>
  <c r="J2685" i="8"/>
  <c r="I2685" i="8"/>
  <c r="H2685" i="8"/>
  <c r="J2684" i="8"/>
  <c r="I2684" i="8"/>
  <c r="H2684" i="8"/>
  <c r="J2683" i="8"/>
  <c r="I2683" i="8"/>
  <c r="H2683" i="8"/>
  <c r="J2682" i="8"/>
  <c r="I2682" i="8"/>
  <c r="H2682" i="8"/>
  <c r="J2681" i="8"/>
  <c r="I2681" i="8"/>
  <c r="H2681" i="8"/>
  <c r="J2680" i="8"/>
  <c r="I2680" i="8"/>
  <c r="H2680" i="8"/>
  <c r="J2679" i="8"/>
  <c r="I2679" i="8"/>
  <c r="H2679" i="8"/>
  <c r="J2678" i="8"/>
  <c r="I2678" i="8"/>
  <c r="H2678" i="8"/>
  <c r="J2677" i="8"/>
  <c r="I2677" i="8"/>
  <c r="H2677" i="8"/>
  <c r="J2676" i="8"/>
  <c r="I2676" i="8"/>
  <c r="H2676" i="8"/>
  <c r="J2675" i="8"/>
  <c r="I2675" i="8"/>
  <c r="H2675" i="8"/>
  <c r="J2674" i="8"/>
  <c r="I2674" i="8"/>
  <c r="H2674" i="8"/>
  <c r="J2673" i="8"/>
  <c r="I2673" i="8"/>
  <c r="H2673" i="8"/>
  <c r="J2672" i="8"/>
  <c r="I2672" i="8"/>
  <c r="H2672" i="8"/>
  <c r="J2671" i="8"/>
  <c r="I2671" i="8"/>
  <c r="H2671" i="8"/>
  <c r="J2670" i="8"/>
  <c r="I2670" i="8"/>
  <c r="H2670" i="8"/>
  <c r="J2669" i="8"/>
  <c r="I2669" i="8"/>
  <c r="H2669" i="8"/>
  <c r="J2668" i="8"/>
  <c r="I2668" i="8"/>
  <c r="H2668" i="8"/>
  <c r="J2667" i="8"/>
  <c r="I2667" i="8"/>
  <c r="H2667" i="8"/>
  <c r="J2666" i="8"/>
  <c r="I2666" i="8"/>
  <c r="H2666" i="8"/>
  <c r="J2665" i="8"/>
  <c r="I2665" i="8"/>
  <c r="H2665" i="8"/>
  <c r="J2664" i="8"/>
  <c r="I2664" i="8"/>
  <c r="H2664" i="8"/>
  <c r="J2663" i="8"/>
  <c r="I2663" i="8"/>
  <c r="H2663" i="8"/>
  <c r="J2662" i="8"/>
  <c r="I2662" i="8"/>
  <c r="H2662" i="8"/>
  <c r="J2661" i="8"/>
  <c r="I2661" i="8"/>
  <c r="H2661" i="8"/>
  <c r="J2660" i="8"/>
  <c r="I2660" i="8"/>
  <c r="H2660" i="8"/>
  <c r="J2659" i="8"/>
  <c r="I2659" i="8"/>
  <c r="H2659" i="8"/>
  <c r="J2658" i="8"/>
  <c r="I2658" i="8"/>
  <c r="H2658" i="8"/>
  <c r="J2657" i="8"/>
  <c r="I2657" i="8"/>
  <c r="H2657" i="8"/>
  <c r="J2656" i="8"/>
  <c r="I2656" i="8"/>
  <c r="H2656" i="8"/>
  <c r="J2655" i="8"/>
  <c r="I2655" i="8"/>
  <c r="H2655" i="8"/>
  <c r="J2654" i="8"/>
  <c r="I2654" i="8"/>
  <c r="H2654" i="8"/>
  <c r="J2653" i="8"/>
  <c r="I2653" i="8"/>
  <c r="H2653" i="8"/>
  <c r="J2652" i="8"/>
  <c r="I2652" i="8"/>
  <c r="H2652" i="8"/>
  <c r="J2651" i="8"/>
  <c r="I2651" i="8"/>
  <c r="H2651" i="8"/>
  <c r="J2650" i="8"/>
  <c r="I2650" i="8"/>
  <c r="H2650" i="8"/>
  <c r="J2649" i="8"/>
  <c r="I2649" i="8"/>
  <c r="H2649" i="8"/>
  <c r="J2648" i="8"/>
  <c r="I2648" i="8"/>
  <c r="H2648" i="8"/>
  <c r="J2647" i="8"/>
  <c r="I2647" i="8"/>
  <c r="H2647" i="8"/>
  <c r="J2646" i="8"/>
  <c r="I2646" i="8"/>
  <c r="H2646" i="8"/>
  <c r="J2645" i="8"/>
  <c r="I2645" i="8"/>
  <c r="H2645" i="8"/>
  <c r="J2644" i="8"/>
  <c r="I2644" i="8"/>
  <c r="H2644" i="8"/>
  <c r="J2643" i="8"/>
  <c r="I2643" i="8"/>
  <c r="H2643" i="8"/>
  <c r="J2642" i="8"/>
  <c r="I2642" i="8"/>
  <c r="H2642" i="8"/>
  <c r="J2641" i="8"/>
  <c r="I2641" i="8"/>
  <c r="H2641" i="8"/>
  <c r="J2640" i="8"/>
  <c r="I2640" i="8"/>
  <c r="H2640" i="8"/>
  <c r="J2639" i="8"/>
  <c r="I2639" i="8"/>
  <c r="H2639" i="8"/>
  <c r="J2638" i="8"/>
  <c r="I2638" i="8"/>
  <c r="H2638" i="8"/>
  <c r="J2637" i="8"/>
  <c r="I2637" i="8"/>
  <c r="H2637" i="8"/>
  <c r="J2636" i="8"/>
  <c r="I2636" i="8"/>
  <c r="H2636" i="8"/>
  <c r="J2635" i="8"/>
  <c r="I2635" i="8"/>
  <c r="H2635" i="8"/>
  <c r="J2634" i="8"/>
  <c r="I2634" i="8"/>
  <c r="H2634" i="8"/>
  <c r="J2633" i="8"/>
  <c r="I2633" i="8"/>
  <c r="H2633" i="8"/>
  <c r="J2632" i="8"/>
  <c r="I2632" i="8"/>
  <c r="H2632" i="8"/>
  <c r="J2631" i="8"/>
  <c r="I2631" i="8"/>
  <c r="H2631" i="8"/>
  <c r="J2630" i="8"/>
  <c r="I2630" i="8"/>
  <c r="H2630" i="8"/>
  <c r="J2629" i="8"/>
  <c r="I2629" i="8"/>
  <c r="H2629" i="8"/>
  <c r="J2628" i="8"/>
  <c r="I2628" i="8"/>
  <c r="H2628" i="8"/>
  <c r="J2627" i="8"/>
  <c r="I2627" i="8"/>
  <c r="H2627" i="8"/>
  <c r="J2626" i="8"/>
  <c r="I2626" i="8"/>
  <c r="H2626" i="8"/>
  <c r="J2625" i="8"/>
  <c r="I2625" i="8"/>
  <c r="H2625" i="8"/>
  <c r="J2624" i="8"/>
  <c r="I2624" i="8"/>
  <c r="H2624" i="8"/>
  <c r="J2623" i="8"/>
  <c r="I2623" i="8"/>
  <c r="H2623" i="8"/>
  <c r="J2622" i="8"/>
  <c r="I2622" i="8"/>
  <c r="H2622" i="8"/>
  <c r="J2621" i="8"/>
  <c r="I2621" i="8"/>
  <c r="H2621" i="8"/>
  <c r="J2620" i="8"/>
  <c r="I2620" i="8"/>
  <c r="H2620" i="8"/>
  <c r="J2619" i="8"/>
  <c r="I2619" i="8"/>
  <c r="H2619" i="8"/>
  <c r="J2618" i="8"/>
  <c r="I2618" i="8"/>
  <c r="H2618" i="8"/>
  <c r="J2617" i="8"/>
  <c r="I2617" i="8"/>
  <c r="H2617" i="8"/>
  <c r="J2616" i="8"/>
  <c r="I2616" i="8"/>
  <c r="H2616" i="8"/>
  <c r="J2615" i="8"/>
  <c r="I2615" i="8"/>
  <c r="H2615" i="8"/>
  <c r="J2614" i="8"/>
  <c r="I2614" i="8"/>
  <c r="H2614" i="8"/>
  <c r="J2613" i="8"/>
  <c r="I2613" i="8"/>
  <c r="H2613" i="8"/>
  <c r="J2612" i="8"/>
  <c r="I2612" i="8"/>
  <c r="H2612" i="8"/>
  <c r="J2611" i="8"/>
  <c r="I2611" i="8"/>
  <c r="H2611" i="8"/>
  <c r="J2610" i="8"/>
  <c r="I2610" i="8"/>
  <c r="H2610" i="8"/>
  <c r="J2609" i="8"/>
  <c r="I2609" i="8"/>
  <c r="H2609" i="8"/>
  <c r="J2608" i="8"/>
  <c r="I2608" i="8"/>
  <c r="H2608" i="8"/>
  <c r="J2607" i="8"/>
  <c r="I2607" i="8"/>
  <c r="H2607" i="8"/>
  <c r="J2606" i="8"/>
  <c r="I2606" i="8"/>
  <c r="H2606" i="8"/>
  <c r="J2605" i="8"/>
  <c r="I2605" i="8"/>
  <c r="H2605" i="8"/>
  <c r="J2604" i="8"/>
  <c r="I2604" i="8"/>
  <c r="H2604" i="8"/>
  <c r="J2603" i="8"/>
  <c r="I2603" i="8"/>
  <c r="H2603" i="8"/>
  <c r="J2602" i="8"/>
  <c r="I2602" i="8"/>
  <c r="H2602" i="8"/>
  <c r="J2601" i="8"/>
  <c r="I2601" i="8"/>
  <c r="H2601" i="8"/>
  <c r="J2600" i="8"/>
  <c r="I2600" i="8"/>
  <c r="H2600" i="8"/>
  <c r="J2599" i="8"/>
  <c r="I2599" i="8"/>
  <c r="H2599" i="8"/>
  <c r="J2598" i="8"/>
  <c r="I2598" i="8"/>
  <c r="H2598" i="8"/>
  <c r="J2597" i="8"/>
  <c r="I2597" i="8"/>
  <c r="H2597" i="8"/>
  <c r="J2596" i="8"/>
  <c r="I2596" i="8"/>
  <c r="H2596" i="8"/>
  <c r="J2595" i="8"/>
  <c r="I2595" i="8"/>
  <c r="H2595" i="8"/>
  <c r="J2594" i="8"/>
  <c r="I2594" i="8"/>
  <c r="H2594" i="8"/>
  <c r="J2593" i="8"/>
  <c r="I2593" i="8"/>
  <c r="H2593" i="8"/>
  <c r="J2592" i="8"/>
  <c r="I2592" i="8"/>
  <c r="H2592" i="8"/>
  <c r="J2591" i="8"/>
  <c r="I2591" i="8"/>
  <c r="H2591" i="8"/>
  <c r="J2590" i="8"/>
  <c r="I2590" i="8"/>
  <c r="H2590" i="8"/>
  <c r="J2589" i="8"/>
  <c r="I2589" i="8"/>
  <c r="H2589" i="8"/>
  <c r="J2588" i="8"/>
  <c r="I2588" i="8"/>
  <c r="H2588" i="8"/>
  <c r="J2587" i="8"/>
  <c r="I2587" i="8"/>
  <c r="H2587" i="8"/>
  <c r="J2586" i="8"/>
  <c r="I2586" i="8"/>
  <c r="H2586" i="8"/>
  <c r="J2585" i="8"/>
  <c r="I2585" i="8"/>
  <c r="H2585" i="8"/>
  <c r="J2584" i="8"/>
  <c r="I2584" i="8"/>
  <c r="H2584" i="8"/>
  <c r="J2583" i="8"/>
  <c r="I2583" i="8"/>
  <c r="H2583" i="8"/>
  <c r="J2582" i="8"/>
  <c r="I2582" i="8"/>
  <c r="H2582" i="8"/>
  <c r="J2581" i="8"/>
  <c r="I2581" i="8"/>
  <c r="H2581" i="8"/>
  <c r="J2580" i="8"/>
  <c r="I2580" i="8"/>
  <c r="H2580" i="8"/>
  <c r="J2579" i="8"/>
  <c r="I2579" i="8"/>
  <c r="H2579" i="8"/>
  <c r="J2578" i="8"/>
  <c r="I2578" i="8"/>
  <c r="H2578" i="8"/>
  <c r="J2577" i="8"/>
  <c r="I2577" i="8"/>
  <c r="H2577" i="8"/>
  <c r="J2576" i="8"/>
  <c r="I2576" i="8"/>
  <c r="H2576" i="8"/>
  <c r="J2575" i="8"/>
  <c r="I2575" i="8"/>
  <c r="H2575" i="8"/>
  <c r="J2574" i="8"/>
  <c r="I2574" i="8"/>
  <c r="H2574" i="8"/>
  <c r="J2573" i="8"/>
  <c r="I2573" i="8"/>
  <c r="H2573" i="8"/>
  <c r="J2572" i="8"/>
  <c r="I2572" i="8"/>
  <c r="H2572" i="8"/>
  <c r="J2571" i="8"/>
  <c r="I2571" i="8"/>
  <c r="H2571" i="8"/>
  <c r="J2570" i="8"/>
  <c r="I2570" i="8"/>
  <c r="H2570" i="8"/>
  <c r="J2569" i="8"/>
  <c r="I2569" i="8"/>
  <c r="H2569" i="8"/>
  <c r="J2568" i="8"/>
  <c r="I2568" i="8"/>
  <c r="H2568" i="8"/>
  <c r="J2567" i="8"/>
  <c r="I2567" i="8"/>
  <c r="H2567" i="8"/>
  <c r="J2566" i="8"/>
  <c r="I2566" i="8"/>
  <c r="H2566" i="8"/>
  <c r="J2565" i="8"/>
  <c r="I2565" i="8"/>
  <c r="H2565" i="8"/>
  <c r="J2564" i="8"/>
  <c r="I2564" i="8"/>
  <c r="H2564" i="8"/>
  <c r="J2563" i="8"/>
  <c r="I2563" i="8"/>
  <c r="H2563" i="8"/>
  <c r="J2562" i="8"/>
  <c r="I2562" i="8"/>
  <c r="H2562" i="8"/>
  <c r="J2561" i="8"/>
  <c r="I2561" i="8"/>
  <c r="H2561" i="8"/>
  <c r="J2560" i="8"/>
  <c r="I2560" i="8"/>
  <c r="H2560" i="8"/>
  <c r="J2559" i="8"/>
  <c r="I2559" i="8"/>
  <c r="H2559" i="8"/>
  <c r="J2558" i="8"/>
  <c r="I2558" i="8"/>
  <c r="H2558" i="8"/>
  <c r="J2557" i="8"/>
  <c r="I2557" i="8"/>
  <c r="H2557" i="8"/>
  <c r="J2556" i="8"/>
  <c r="I2556" i="8"/>
  <c r="H2556" i="8"/>
  <c r="J2555" i="8"/>
  <c r="I2555" i="8"/>
  <c r="H2555" i="8"/>
  <c r="J2554" i="8"/>
  <c r="I2554" i="8"/>
  <c r="H2554" i="8"/>
  <c r="J2553" i="8"/>
  <c r="I2553" i="8"/>
  <c r="H2553" i="8"/>
  <c r="J2552" i="8"/>
  <c r="I2552" i="8"/>
  <c r="H2552" i="8"/>
  <c r="J2551" i="8"/>
  <c r="I2551" i="8"/>
  <c r="H2551" i="8"/>
  <c r="J2550" i="8"/>
  <c r="I2550" i="8"/>
  <c r="H2550" i="8"/>
  <c r="J2549" i="8"/>
  <c r="I2549" i="8"/>
  <c r="H2549" i="8"/>
  <c r="J2548" i="8"/>
  <c r="I2548" i="8"/>
  <c r="H2548" i="8"/>
  <c r="J2547" i="8"/>
  <c r="I2547" i="8"/>
  <c r="H2547" i="8"/>
  <c r="J2546" i="8"/>
  <c r="I2546" i="8"/>
  <c r="H2546" i="8"/>
  <c r="J2545" i="8"/>
  <c r="I2545" i="8"/>
  <c r="H2545" i="8"/>
  <c r="J2544" i="8"/>
  <c r="I2544" i="8"/>
  <c r="H2544" i="8"/>
  <c r="J2543" i="8"/>
  <c r="I2543" i="8"/>
  <c r="H2543" i="8"/>
  <c r="J2542" i="8"/>
  <c r="I2542" i="8"/>
  <c r="H2542" i="8"/>
  <c r="J2541" i="8"/>
  <c r="I2541" i="8"/>
  <c r="H2541" i="8"/>
  <c r="J2540" i="8"/>
  <c r="I2540" i="8"/>
  <c r="H2540" i="8"/>
  <c r="J2539" i="8"/>
  <c r="I2539" i="8"/>
  <c r="H2539" i="8"/>
  <c r="J2538" i="8"/>
  <c r="I2538" i="8"/>
  <c r="H2538" i="8"/>
  <c r="J2537" i="8"/>
  <c r="I2537" i="8"/>
  <c r="H2537" i="8"/>
  <c r="J2536" i="8"/>
  <c r="I2536" i="8"/>
  <c r="H2536" i="8"/>
  <c r="J2535" i="8"/>
  <c r="I2535" i="8"/>
  <c r="H2535" i="8"/>
  <c r="J2534" i="8"/>
  <c r="I2534" i="8"/>
  <c r="H2534" i="8"/>
  <c r="J2533" i="8"/>
  <c r="I2533" i="8"/>
  <c r="H2533" i="8"/>
  <c r="J2532" i="8"/>
  <c r="I2532" i="8"/>
  <c r="H2532" i="8"/>
  <c r="J2531" i="8"/>
  <c r="I2531" i="8"/>
  <c r="H2531" i="8"/>
  <c r="J2530" i="8"/>
  <c r="I2530" i="8"/>
  <c r="H2530" i="8"/>
  <c r="J2529" i="8"/>
  <c r="I2529" i="8"/>
  <c r="H2529" i="8"/>
  <c r="J2528" i="8"/>
  <c r="I2528" i="8"/>
  <c r="H2528" i="8"/>
  <c r="J2527" i="8"/>
  <c r="I2527" i="8"/>
  <c r="H2527" i="8"/>
  <c r="J2526" i="8"/>
  <c r="I2526" i="8"/>
  <c r="H2526" i="8"/>
  <c r="J2525" i="8"/>
  <c r="I2525" i="8"/>
  <c r="H2525" i="8"/>
  <c r="J2524" i="8"/>
  <c r="I2524" i="8"/>
  <c r="H2524" i="8"/>
  <c r="J2523" i="8"/>
  <c r="I2523" i="8"/>
  <c r="H2523" i="8"/>
  <c r="J2522" i="8"/>
  <c r="I2522" i="8"/>
  <c r="H2522" i="8"/>
  <c r="J2521" i="8"/>
  <c r="I2521" i="8"/>
  <c r="H2521" i="8"/>
  <c r="J2520" i="8"/>
  <c r="I2520" i="8"/>
  <c r="H2520" i="8"/>
  <c r="J2519" i="8"/>
  <c r="I2519" i="8"/>
  <c r="H2519" i="8"/>
  <c r="J2518" i="8"/>
  <c r="I2518" i="8"/>
  <c r="H2518" i="8"/>
  <c r="J2517" i="8"/>
  <c r="I2517" i="8"/>
  <c r="H2517" i="8"/>
  <c r="J2516" i="8"/>
  <c r="I2516" i="8"/>
  <c r="H2516" i="8"/>
  <c r="J2515" i="8"/>
  <c r="I2515" i="8"/>
  <c r="H2515" i="8"/>
  <c r="J2514" i="8"/>
  <c r="I2514" i="8"/>
  <c r="H2514" i="8"/>
  <c r="J2513" i="8"/>
  <c r="I2513" i="8"/>
  <c r="H2513" i="8"/>
  <c r="J2512" i="8"/>
  <c r="I2512" i="8"/>
  <c r="H2512" i="8"/>
  <c r="J2511" i="8"/>
  <c r="I2511" i="8"/>
  <c r="H2511" i="8"/>
  <c r="J2510" i="8"/>
  <c r="I2510" i="8"/>
  <c r="H2510" i="8"/>
  <c r="J2509" i="8"/>
  <c r="I2509" i="8"/>
  <c r="H2509" i="8"/>
  <c r="J2508" i="8"/>
  <c r="I2508" i="8"/>
  <c r="H2508" i="8"/>
  <c r="J2507" i="8"/>
  <c r="I2507" i="8"/>
  <c r="H2507" i="8"/>
  <c r="J2506" i="8"/>
  <c r="I2506" i="8"/>
  <c r="H2506" i="8"/>
  <c r="J2505" i="8"/>
  <c r="I2505" i="8"/>
  <c r="H2505" i="8"/>
  <c r="J2504" i="8"/>
  <c r="I2504" i="8"/>
  <c r="H2504" i="8"/>
  <c r="J2503" i="8"/>
  <c r="I2503" i="8"/>
  <c r="H2503" i="8"/>
  <c r="J2502" i="8"/>
  <c r="I2502" i="8"/>
  <c r="H2502" i="8"/>
  <c r="J2501" i="8"/>
  <c r="I2501" i="8"/>
  <c r="H2501" i="8"/>
  <c r="J2500" i="8"/>
  <c r="I2500" i="8"/>
  <c r="H2500" i="8"/>
  <c r="J2499" i="8"/>
  <c r="I2499" i="8"/>
  <c r="H2499" i="8"/>
  <c r="J2498" i="8"/>
  <c r="I2498" i="8"/>
  <c r="H2498" i="8"/>
  <c r="J2497" i="8"/>
  <c r="I2497" i="8"/>
  <c r="H2497" i="8"/>
  <c r="J2496" i="8"/>
  <c r="I2496" i="8"/>
  <c r="H2496" i="8"/>
  <c r="J2495" i="8"/>
  <c r="I2495" i="8"/>
  <c r="H2495" i="8"/>
  <c r="J2494" i="8"/>
  <c r="I2494" i="8"/>
  <c r="H2494" i="8"/>
  <c r="J2493" i="8"/>
  <c r="I2493" i="8"/>
  <c r="H2493" i="8"/>
  <c r="J2492" i="8"/>
  <c r="I2492" i="8"/>
  <c r="H2492" i="8"/>
  <c r="J2491" i="8"/>
  <c r="I2491" i="8"/>
  <c r="H2491" i="8"/>
  <c r="J2490" i="8"/>
  <c r="I2490" i="8"/>
  <c r="H2490" i="8"/>
  <c r="J2489" i="8"/>
  <c r="I2489" i="8"/>
  <c r="H2489" i="8"/>
  <c r="J2488" i="8"/>
  <c r="I2488" i="8"/>
  <c r="H2488" i="8"/>
  <c r="J2487" i="8"/>
  <c r="I2487" i="8"/>
  <c r="H2487" i="8"/>
  <c r="J2486" i="8"/>
  <c r="I2486" i="8"/>
  <c r="H2486" i="8"/>
  <c r="J2485" i="8"/>
  <c r="I2485" i="8"/>
  <c r="H2485" i="8"/>
  <c r="J2484" i="8"/>
  <c r="I2484" i="8"/>
  <c r="H2484" i="8"/>
  <c r="J2483" i="8"/>
  <c r="I2483" i="8"/>
  <c r="H2483" i="8"/>
  <c r="J2482" i="8"/>
  <c r="I2482" i="8"/>
  <c r="H2482" i="8"/>
  <c r="J2481" i="8"/>
  <c r="I2481" i="8"/>
  <c r="H2481" i="8"/>
  <c r="J2480" i="8"/>
  <c r="I2480" i="8"/>
  <c r="H2480" i="8"/>
  <c r="J2479" i="8"/>
  <c r="I2479" i="8"/>
  <c r="H2479" i="8"/>
  <c r="J2478" i="8"/>
  <c r="I2478" i="8"/>
  <c r="H2478" i="8"/>
  <c r="J2477" i="8"/>
  <c r="I2477" i="8"/>
  <c r="H2477" i="8"/>
  <c r="J2476" i="8"/>
  <c r="I2476" i="8"/>
  <c r="H2476" i="8"/>
  <c r="J2475" i="8"/>
  <c r="I2475" i="8"/>
  <c r="H2475" i="8"/>
  <c r="J2474" i="8"/>
  <c r="I2474" i="8"/>
  <c r="H2474" i="8"/>
  <c r="J2473" i="8"/>
  <c r="I2473" i="8"/>
  <c r="H2473" i="8"/>
  <c r="J2472" i="8"/>
  <c r="I2472" i="8"/>
  <c r="H2472" i="8"/>
  <c r="J2471" i="8"/>
  <c r="I2471" i="8"/>
  <c r="H2471" i="8"/>
  <c r="J2470" i="8"/>
  <c r="I2470" i="8"/>
  <c r="H2470" i="8"/>
  <c r="J2469" i="8"/>
  <c r="I2469" i="8"/>
  <c r="H2469" i="8"/>
  <c r="J2468" i="8"/>
  <c r="I2468" i="8"/>
  <c r="H2468" i="8"/>
  <c r="J2467" i="8"/>
  <c r="I2467" i="8"/>
  <c r="H2467" i="8"/>
  <c r="J2466" i="8"/>
  <c r="I2466" i="8"/>
  <c r="H2466" i="8"/>
  <c r="J2465" i="8"/>
  <c r="I2465" i="8"/>
  <c r="H2465" i="8"/>
  <c r="J2464" i="8"/>
  <c r="I2464" i="8"/>
  <c r="H2464" i="8"/>
  <c r="J2463" i="8"/>
  <c r="I2463" i="8"/>
  <c r="H2463" i="8"/>
  <c r="J2462" i="8"/>
  <c r="I2462" i="8"/>
  <c r="H2462" i="8"/>
  <c r="J2461" i="8"/>
  <c r="I2461" i="8"/>
  <c r="H2461" i="8"/>
  <c r="J2460" i="8"/>
  <c r="I2460" i="8"/>
  <c r="H2460" i="8"/>
  <c r="J2459" i="8"/>
  <c r="I2459" i="8"/>
  <c r="H2459" i="8"/>
  <c r="J2458" i="8"/>
  <c r="I2458" i="8"/>
  <c r="H2458" i="8"/>
  <c r="J2457" i="8"/>
  <c r="I2457" i="8"/>
  <c r="H2457" i="8"/>
  <c r="J2456" i="8"/>
  <c r="I2456" i="8"/>
  <c r="H2456" i="8"/>
  <c r="J2455" i="8"/>
  <c r="I2455" i="8"/>
  <c r="H2455" i="8"/>
  <c r="J2454" i="8"/>
  <c r="I2454" i="8"/>
  <c r="H2454" i="8"/>
  <c r="J2453" i="8"/>
  <c r="I2453" i="8"/>
  <c r="H2453" i="8"/>
  <c r="J2452" i="8"/>
  <c r="I2452" i="8"/>
  <c r="H2452" i="8"/>
  <c r="J2451" i="8"/>
  <c r="I2451" i="8"/>
  <c r="H2451" i="8"/>
  <c r="J2450" i="8"/>
  <c r="I2450" i="8"/>
  <c r="H2450" i="8"/>
  <c r="J2449" i="8"/>
  <c r="I2449" i="8"/>
  <c r="H2449" i="8"/>
  <c r="J2448" i="8"/>
  <c r="I2448" i="8"/>
  <c r="H2448" i="8"/>
  <c r="J2447" i="8"/>
  <c r="I2447" i="8"/>
  <c r="H2447" i="8"/>
  <c r="J2446" i="8"/>
  <c r="I2446" i="8"/>
  <c r="H2446" i="8"/>
  <c r="J2445" i="8"/>
  <c r="I2445" i="8"/>
  <c r="H2445" i="8"/>
  <c r="J2444" i="8"/>
  <c r="I2444" i="8"/>
  <c r="H2444" i="8"/>
  <c r="J2443" i="8"/>
  <c r="I2443" i="8"/>
  <c r="H2443" i="8"/>
  <c r="J2442" i="8"/>
  <c r="I2442" i="8"/>
  <c r="H2442" i="8"/>
  <c r="J2441" i="8"/>
  <c r="I2441" i="8"/>
  <c r="H2441" i="8"/>
  <c r="J2440" i="8"/>
  <c r="I2440" i="8"/>
  <c r="H2440" i="8"/>
  <c r="J2439" i="8"/>
  <c r="I2439" i="8"/>
  <c r="H2439" i="8"/>
  <c r="J2438" i="8"/>
  <c r="I2438" i="8"/>
  <c r="H2438" i="8"/>
  <c r="J2437" i="8"/>
  <c r="I2437" i="8"/>
  <c r="H2437" i="8"/>
  <c r="J2436" i="8"/>
  <c r="I2436" i="8"/>
  <c r="H2436" i="8"/>
  <c r="J2435" i="8"/>
  <c r="I2435" i="8"/>
  <c r="H2435" i="8"/>
  <c r="J2434" i="8"/>
  <c r="I2434" i="8"/>
  <c r="H2434" i="8"/>
  <c r="J2433" i="8"/>
  <c r="I2433" i="8"/>
  <c r="H2433" i="8"/>
  <c r="J2432" i="8"/>
  <c r="I2432" i="8"/>
  <c r="H2432" i="8"/>
  <c r="J2431" i="8"/>
  <c r="I2431" i="8"/>
  <c r="H2431" i="8"/>
  <c r="J2430" i="8"/>
  <c r="I2430" i="8"/>
  <c r="H2430" i="8"/>
  <c r="J2429" i="8"/>
  <c r="I2429" i="8"/>
  <c r="H2429" i="8"/>
  <c r="J2428" i="8"/>
  <c r="I2428" i="8"/>
  <c r="H2428" i="8"/>
  <c r="J2427" i="8"/>
  <c r="I2427" i="8"/>
  <c r="H2427" i="8"/>
  <c r="J2426" i="8"/>
  <c r="I2426" i="8"/>
  <c r="H2426" i="8"/>
  <c r="J2425" i="8"/>
  <c r="I2425" i="8"/>
  <c r="H2425" i="8"/>
  <c r="J2424" i="8"/>
  <c r="I2424" i="8"/>
  <c r="H2424" i="8"/>
  <c r="J2423" i="8"/>
  <c r="I2423" i="8"/>
  <c r="H2423" i="8"/>
  <c r="J2422" i="8"/>
  <c r="I2422" i="8"/>
  <c r="H2422" i="8"/>
  <c r="J2421" i="8"/>
  <c r="I2421" i="8"/>
  <c r="H2421" i="8"/>
  <c r="J2420" i="8"/>
  <c r="I2420" i="8"/>
  <c r="H2420" i="8"/>
  <c r="J2419" i="8"/>
  <c r="I2419" i="8"/>
  <c r="H2419" i="8"/>
  <c r="J2418" i="8"/>
  <c r="I2418" i="8"/>
  <c r="H2418" i="8"/>
  <c r="J2417" i="8"/>
  <c r="I2417" i="8"/>
  <c r="H2417" i="8"/>
  <c r="J2416" i="8"/>
  <c r="I2416" i="8"/>
  <c r="H2416" i="8"/>
  <c r="J2415" i="8"/>
  <c r="I2415" i="8"/>
  <c r="H2415" i="8"/>
  <c r="J2414" i="8"/>
  <c r="I2414" i="8"/>
  <c r="H2414" i="8"/>
  <c r="J2413" i="8"/>
  <c r="I2413" i="8"/>
  <c r="H2413" i="8"/>
  <c r="J2412" i="8"/>
  <c r="I2412" i="8"/>
  <c r="H2412" i="8"/>
  <c r="J2411" i="8"/>
  <c r="I2411" i="8"/>
  <c r="H2411" i="8"/>
  <c r="J2410" i="8"/>
  <c r="I2410" i="8"/>
  <c r="H2410" i="8"/>
  <c r="J2409" i="8"/>
  <c r="I2409" i="8"/>
  <c r="H2409" i="8"/>
  <c r="J2408" i="8"/>
  <c r="I2408" i="8"/>
  <c r="H2408" i="8"/>
  <c r="J2407" i="8"/>
  <c r="I2407" i="8"/>
  <c r="H2407" i="8"/>
  <c r="J2406" i="8"/>
  <c r="I2406" i="8"/>
  <c r="H2406" i="8"/>
  <c r="J2405" i="8"/>
  <c r="I2405" i="8"/>
  <c r="H2405" i="8"/>
  <c r="J2404" i="8"/>
  <c r="I2404" i="8"/>
  <c r="H2404" i="8"/>
  <c r="J2403" i="8"/>
  <c r="I2403" i="8"/>
  <c r="H2403" i="8"/>
  <c r="J2402" i="8"/>
  <c r="I2402" i="8"/>
  <c r="H2402" i="8"/>
  <c r="J2401" i="8"/>
  <c r="I2401" i="8"/>
  <c r="H2401" i="8"/>
  <c r="J2400" i="8"/>
  <c r="I2400" i="8"/>
  <c r="H2400" i="8"/>
  <c r="J2399" i="8"/>
  <c r="I2399" i="8"/>
  <c r="H2399" i="8"/>
  <c r="J2398" i="8"/>
  <c r="I2398" i="8"/>
  <c r="H2398" i="8"/>
  <c r="J2397" i="8"/>
  <c r="I2397" i="8"/>
  <c r="H2397" i="8"/>
  <c r="J2396" i="8"/>
  <c r="I2396" i="8"/>
  <c r="H2396" i="8"/>
  <c r="J2395" i="8"/>
  <c r="I2395" i="8"/>
  <c r="H2395" i="8"/>
  <c r="J2394" i="8"/>
  <c r="I2394" i="8"/>
  <c r="H2394" i="8"/>
  <c r="J2393" i="8"/>
  <c r="I2393" i="8"/>
  <c r="H2393" i="8"/>
  <c r="J2392" i="8"/>
  <c r="I2392" i="8"/>
  <c r="H2392" i="8"/>
  <c r="J2391" i="8"/>
  <c r="I2391" i="8"/>
  <c r="H2391" i="8"/>
  <c r="J2390" i="8"/>
  <c r="I2390" i="8"/>
  <c r="H2390" i="8"/>
  <c r="J2389" i="8"/>
  <c r="I2389" i="8"/>
  <c r="H2389" i="8"/>
  <c r="J2388" i="8"/>
  <c r="I2388" i="8"/>
  <c r="H2388" i="8"/>
  <c r="J2387" i="8"/>
  <c r="I2387" i="8"/>
  <c r="H2387" i="8"/>
  <c r="J2386" i="8"/>
  <c r="I2386" i="8"/>
  <c r="H2386" i="8"/>
  <c r="J2385" i="8"/>
  <c r="I2385" i="8"/>
  <c r="H2385" i="8"/>
  <c r="J2384" i="8"/>
  <c r="I2384" i="8"/>
  <c r="H2384" i="8"/>
  <c r="J2383" i="8"/>
  <c r="I2383" i="8"/>
  <c r="H2383" i="8"/>
  <c r="J2382" i="8"/>
  <c r="I2382" i="8"/>
  <c r="H2382" i="8"/>
  <c r="J2381" i="8"/>
  <c r="I2381" i="8"/>
  <c r="H2381" i="8"/>
  <c r="J2380" i="8"/>
  <c r="I2380" i="8"/>
  <c r="H2380" i="8"/>
  <c r="J2379" i="8"/>
  <c r="I2379" i="8"/>
  <c r="H2379" i="8"/>
  <c r="J2378" i="8"/>
  <c r="I2378" i="8"/>
  <c r="H2378" i="8"/>
  <c r="J2377" i="8"/>
  <c r="I2377" i="8"/>
  <c r="H2377" i="8"/>
  <c r="J2376" i="8"/>
  <c r="I2376" i="8"/>
  <c r="H2376" i="8"/>
  <c r="J2375" i="8"/>
  <c r="I2375" i="8"/>
  <c r="H2375" i="8"/>
  <c r="J2374" i="8"/>
  <c r="I2374" i="8"/>
  <c r="H2374" i="8"/>
  <c r="J2373" i="8"/>
  <c r="I2373" i="8"/>
  <c r="H2373" i="8"/>
  <c r="J2372" i="8"/>
  <c r="I2372" i="8"/>
  <c r="H2372" i="8"/>
  <c r="J2371" i="8"/>
  <c r="I2371" i="8"/>
  <c r="H2371" i="8"/>
  <c r="J2370" i="8"/>
  <c r="I2370" i="8"/>
  <c r="H2370" i="8"/>
  <c r="J2369" i="8"/>
  <c r="I2369" i="8"/>
  <c r="H2369" i="8"/>
  <c r="J2368" i="8"/>
  <c r="I2368" i="8"/>
  <c r="H2368" i="8"/>
  <c r="J2367" i="8"/>
  <c r="I2367" i="8"/>
  <c r="H2367" i="8"/>
  <c r="J2366" i="8"/>
  <c r="I2366" i="8"/>
  <c r="H2366" i="8"/>
  <c r="J2365" i="8"/>
  <c r="I2365" i="8"/>
  <c r="H2365" i="8"/>
  <c r="J2364" i="8"/>
  <c r="I2364" i="8"/>
  <c r="H2364" i="8"/>
  <c r="J2363" i="8"/>
  <c r="I2363" i="8"/>
  <c r="H2363" i="8"/>
  <c r="J2362" i="8"/>
  <c r="I2362" i="8"/>
  <c r="H2362" i="8"/>
  <c r="J2361" i="8"/>
  <c r="I2361" i="8"/>
  <c r="H2361" i="8"/>
  <c r="J2360" i="8"/>
  <c r="I2360" i="8"/>
  <c r="H2360" i="8"/>
  <c r="J2359" i="8"/>
  <c r="I2359" i="8"/>
  <c r="H2359" i="8"/>
  <c r="J2358" i="8"/>
  <c r="I2358" i="8"/>
  <c r="H2358" i="8"/>
  <c r="J2357" i="8"/>
  <c r="I2357" i="8"/>
  <c r="H2357" i="8"/>
  <c r="J2356" i="8"/>
  <c r="I2356" i="8"/>
  <c r="H2356" i="8"/>
  <c r="J2355" i="8"/>
  <c r="I2355" i="8"/>
  <c r="H2355" i="8"/>
  <c r="J2354" i="8"/>
  <c r="I2354" i="8"/>
  <c r="H2354" i="8"/>
  <c r="J2353" i="8"/>
  <c r="I2353" i="8"/>
  <c r="H2353" i="8"/>
  <c r="J2352" i="8"/>
  <c r="I2352" i="8"/>
  <c r="H2352" i="8"/>
  <c r="J2351" i="8"/>
  <c r="I2351" i="8"/>
  <c r="H2351" i="8"/>
  <c r="J2350" i="8"/>
  <c r="I2350" i="8"/>
  <c r="H2350" i="8"/>
  <c r="J2349" i="8"/>
  <c r="I2349" i="8"/>
  <c r="H2349" i="8"/>
  <c r="J2348" i="8"/>
  <c r="I2348" i="8"/>
  <c r="H2348" i="8"/>
  <c r="J2347" i="8"/>
  <c r="I2347" i="8"/>
  <c r="H2347" i="8"/>
  <c r="J2346" i="8"/>
  <c r="I2346" i="8"/>
  <c r="H2346" i="8"/>
  <c r="J2345" i="8"/>
  <c r="I2345" i="8"/>
  <c r="H2345" i="8"/>
  <c r="J2344" i="8"/>
  <c r="I2344" i="8"/>
  <c r="H2344" i="8"/>
  <c r="J2343" i="8"/>
  <c r="I2343" i="8"/>
  <c r="H2343" i="8"/>
  <c r="J2342" i="8"/>
  <c r="I2342" i="8"/>
  <c r="H2342" i="8"/>
  <c r="J2341" i="8"/>
  <c r="I2341" i="8"/>
  <c r="H2341" i="8"/>
  <c r="J2340" i="8"/>
  <c r="I2340" i="8"/>
  <c r="H2340" i="8"/>
  <c r="J2339" i="8"/>
  <c r="I2339" i="8"/>
  <c r="H2339" i="8"/>
  <c r="J2338" i="8"/>
  <c r="I2338" i="8"/>
  <c r="H2338" i="8"/>
  <c r="J2337" i="8"/>
  <c r="I2337" i="8"/>
  <c r="H2337" i="8"/>
  <c r="J2336" i="8"/>
  <c r="I2336" i="8"/>
  <c r="H2336" i="8"/>
  <c r="J2335" i="8"/>
  <c r="I2335" i="8"/>
  <c r="H2335" i="8"/>
  <c r="J2334" i="8"/>
  <c r="I2334" i="8"/>
  <c r="H2334" i="8"/>
  <c r="J2333" i="8"/>
  <c r="I2333" i="8"/>
  <c r="H2333" i="8"/>
  <c r="J2332" i="8"/>
  <c r="I2332" i="8"/>
  <c r="H2332" i="8"/>
  <c r="J2331" i="8"/>
  <c r="I2331" i="8"/>
  <c r="H2331" i="8"/>
  <c r="J2330" i="8"/>
  <c r="I2330" i="8"/>
  <c r="H2330" i="8"/>
  <c r="J2329" i="8"/>
  <c r="I2329" i="8"/>
  <c r="H2329" i="8"/>
  <c r="J2328" i="8"/>
  <c r="I2328" i="8"/>
  <c r="H2328" i="8"/>
  <c r="J2327" i="8"/>
  <c r="I2327" i="8"/>
  <c r="H2327" i="8"/>
  <c r="J2326" i="8"/>
  <c r="I2326" i="8"/>
  <c r="H2326" i="8"/>
  <c r="J2325" i="8"/>
  <c r="I2325" i="8"/>
  <c r="H2325" i="8"/>
  <c r="J2324" i="8"/>
  <c r="I2324" i="8"/>
  <c r="H2324" i="8"/>
  <c r="J2323" i="8"/>
  <c r="I2323" i="8"/>
  <c r="H2323" i="8"/>
  <c r="J2322" i="8"/>
  <c r="I2322" i="8"/>
  <c r="H2322" i="8"/>
  <c r="J2321" i="8"/>
  <c r="I2321" i="8"/>
  <c r="H2321" i="8"/>
  <c r="J2320" i="8"/>
  <c r="I2320" i="8"/>
  <c r="H2320" i="8"/>
  <c r="J2319" i="8"/>
  <c r="I2319" i="8"/>
  <c r="H2319" i="8"/>
  <c r="J2318" i="8"/>
  <c r="I2318" i="8"/>
  <c r="H2318" i="8"/>
  <c r="J2317" i="8"/>
  <c r="I2317" i="8"/>
  <c r="H2317" i="8"/>
  <c r="J2316" i="8"/>
  <c r="I2316" i="8"/>
  <c r="H2316" i="8"/>
  <c r="J2315" i="8"/>
  <c r="I2315" i="8"/>
  <c r="H2315" i="8"/>
  <c r="J2314" i="8"/>
  <c r="I2314" i="8"/>
  <c r="H2314" i="8"/>
  <c r="J2313" i="8"/>
  <c r="I2313" i="8"/>
  <c r="H2313" i="8"/>
  <c r="J2312" i="8"/>
  <c r="I2312" i="8"/>
  <c r="H2312" i="8"/>
  <c r="J2311" i="8"/>
  <c r="I2311" i="8"/>
  <c r="H2311" i="8"/>
  <c r="J2310" i="8"/>
  <c r="I2310" i="8"/>
  <c r="H2310" i="8"/>
  <c r="J2309" i="8"/>
  <c r="I2309" i="8"/>
  <c r="H2309" i="8"/>
  <c r="J2308" i="8"/>
  <c r="I2308" i="8"/>
  <c r="H2308" i="8"/>
  <c r="J2307" i="8"/>
  <c r="I2307" i="8"/>
  <c r="H2307" i="8"/>
  <c r="J2306" i="8"/>
  <c r="I2306" i="8"/>
  <c r="H2306" i="8"/>
  <c r="J2305" i="8"/>
  <c r="I2305" i="8"/>
  <c r="H2305" i="8"/>
  <c r="J2304" i="8"/>
  <c r="I2304" i="8"/>
  <c r="H2304" i="8"/>
  <c r="J2303" i="8"/>
  <c r="I2303" i="8"/>
  <c r="H2303" i="8"/>
  <c r="J2302" i="8"/>
  <c r="I2302" i="8"/>
  <c r="H2302" i="8"/>
  <c r="J2301" i="8"/>
  <c r="I2301" i="8"/>
  <c r="H2301" i="8"/>
  <c r="J2300" i="8"/>
  <c r="I2300" i="8"/>
  <c r="H2300" i="8"/>
  <c r="J2299" i="8"/>
  <c r="I2299" i="8"/>
  <c r="H2299" i="8"/>
  <c r="J2298" i="8"/>
  <c r="I2298" i="8"/>
  <c r="H2298" i="8"/>
  <c r="J2297" i="8"/>
  <c r="I2297" i="8"/>
  <c r="H2297" i="8"/>
  <c r="J2296" i="8"/>
  <c r="I2296" i="8"/>
  <c r="H2296" i="8"/>
  <c r="J2295" i="8"/>
  <c r="I2295" i="8"/>
  <c r="H2295" i="8"/>
  <c r="J2294" i="8"/>
  <c r="I2294" i="8"/>
  <c r="H2294" i="8"/>
  <c r="J2293" i="8"/>
  <c r="I2293" i="8"/>
  <c r="H2293" i="8"/>
  <c r="J2292" i="8"/>
  <c r="I2292" i="8"/>
  <c r="H2292" i="8"/>
  <c r="J2291" i="8"/>
  <c r="I2291" i="8"/>
  <c r="H2291" i="8"/>
  <c r="J2290" i="8"/>
  <c r="I2290" i="8"/>
  <c r="H2290" i="8"/>
  <c r="J2289" i="8"/>
  <c r="I2289" i="8"/>
  <c r="H2289" i="8"/>
  <c r="J2288" i="8"/>
  <c r="I2288" i="8"/>
  <c r="H2288" i="8"/>
  <c r="J2287" i="8"/>
  <c r="I2287" i="8"/>
  <c r="H2287" i="8"/>
  <c r="J2286" i="8"/>
  <c r="I2286" i="8"/>
  <c r="H2286" i="8"/>
  <c r="J2285" i="8"/>
  <c r="I2285" i="8"/>
  <c r="H2285" i="8"/>
  <c r="J2284" i="8"/>
  <c r="I2284" i="8"/>
  <c r="H2284" i="8"/>
  <c r="J2283" i="8"/>
  <c r="I2283" i="8"/>
  <c r="H2283" i="8"/>
  <c r="J2282" i="8"/>
  <c r="I2282" i="8"/>
  <c r="H2282" i="8"/>
  <c r="J2281" i="8"/>
  <c r="I2281" i="8"/>
  <c r="H2281" i="8"/>
  <c r="J2280" i="8"/>
  <c r="I2280" i="8"/>
  <c r="H2280" i="8"/>
  <c r="J2279" i="8"/>
  <c r="I2279" i="8"/>
  <c r="H2279" i="8"/>
  <c r="J2278" i="8"/>
  <c r="I2278" i="8"/>
  <c r="H2278" i="8"/>
  <c r="J2277" i="8"/>
  <c r="I2277" i="8"/>
  <c r="H2277" i="8"/>
  <c r="J2276" i="8"/>
  <c r="I2276" i="8"/>
  <c r="H2276" i="8"/>
  <c r="J2275" i="8"/>
  <c r="I2275" i="8"/>
  <c r="H2275" i="8"/>
  <c r="J2274" i="8"/>
  <c r="I2274" i="8"/>
  <c r="H2274" i="8"/>
  <c r="J2273" i="8"/>
  <c r="I2273" i="8"/>
  <c r="H2273" i="8"/>
  <c r="J2272" i="8"/>
  <c r="I2272" i="8"/>
  <c r="H2272" i="8"/>
  <c r="J2271" i="8"/>
  <c r="I2271" i="8"/>
  <c r="H2271" i="8"/>
  <c r="J2270" i="8"/>
  <c r="I2270" i="8"/>
  <c r="H2270" i="8"/>
  <c r="J2269" i="8"/>
  <c r="I2269" i="8"/>
  <c r="H2269" i="8"/>
  <c r="J2268" i="8"/>
  <c r="I2268" i="8"/>
  <c r="H2268" i="8"/>
  <c r="J2267" i="8"/>
  <c r="I2267" i="8"/>
  <c r="H2267" i="8"/>
  <c r="J2266" i="8"/>
  <c r="I2266" i="8"/>
  <c r="H2266" i="8"/>
  <c r="J2265" i="8"/>
  <c r="I2265" i="8"/>
  <c r="H2265" i="8"/>
  <c r="J2264" i="8"/>
  <c r="I2264" i="8"/>
  <c r="H2264" i="8"/>
  <c r="J2263" i="8"/>
  <c r="I2263" i="8"/>
  <c r="H2263" i="8"/>
  <c r="J2262" i="8"/>
  <c r="I2262" i="8"/>
  <c r="H2262" i="8"/>
  <c r="J2261" i="8"/>
  <c r="I2261" i="8"/>
  <c r="H2261" i="8"/>
  <c r="J2260" i="8"/>
  <c r="I2260" i="8"/>
  <c r="H2260" i="8"/>
  <c r="J2259" i="8"/>
  <c r="I2259" i="8"/>
  <c r="H2259" i="8"/>
  <c r="J2258" i="8"/>
  <c r="I2258" i="8"/>
  <c r="H2258" i="8"/>
  <c r="J2257" i="8"/>
  <c r="I2257" i="8"/>
  <c r="H2257" i="8"/>
  <c r="J2256" i="8"/>
  <c r="I2256" i="8"/>
  <c r="H2256" i="8"/>
  <c r="J2255" i="8"/>
  <c r="I2255" i="8"/>
  <c r="H2255" i="8"/>
  <c r="J2254" i="8"/>
  <c r="I2254" i="8"/>
  <c r="H2254" i="8"/>
  <c r="J2253" i="8"/>
  <c r="I2253" i="8"/>
  <c r="H2253" i="8"/>
  <c r="J2252" i="8"/>
  <c r="I2252" i="8"/>
  <c r="H2252" i="8"/>
  <c r="J2251" i="8"/>
  <c r="I2251" i="8"/>
  <c r="H2251" i="8"/>
  <c r="J2250" i="8"/>
  <c r="I2250" i="8"/>
  <c r="H2250" i="8"/>
  <c r="J2249" i="8"/>
  <c r="I2249" i="8"/>
  <c r="H2249" i="8"/>
  <c r="J2248" i="8"/>
  <c r="I2248" i="8"/>
  <c r="H2248" i="8"/>
  <c r="J2247" i="8"/>
  <c r="I2247" i="8"/>
  <c r="H2247" i="8"/>
  <c r="J2246" i="8"/>
  <c r="I2246" i="8"/>
  <c r="H2246" i="8"/>
  <c r="J2245" i="8"/>
  <c r="I2245" i="8"/>
  <c r="H2245" i="8"/>
  <c r="J2244" i="8"/>
  <c r="I2244" i="8"/>
  <c r="H2244" i="8"/>
  <c r="J2243" i="8"/>
  <c r="I2243" i="8"/>
  <c r="H2243" i="8"/>
  <c r="J2242" i="8"/>
  <c r="I2242" i="8"/>
  <c r="H2242" i="8"/>
  <c r="J2241" i="8"/>
  <c r="I2241" i="8"/>
  <c r="H2241" i="8"/>
  <c r="J2240" i="8"/>
  <c r="I2240" i="8"/>
  <c r="H2240" i="8"/>
  <c r="J2239" i="8"/>
  <c r="I2239" i="8"/>
  <c r="H2239" i="8"/>
  <c r="J2238" i="8"/>
  <c r="I2238" i="8"/>
  <c r="H2238" i="8"/>
  <c r="J2237" i="8"/>
  <c r="I2237" i="8"/>
  <c r="H2237" i="8"/>
  <c r="J2236" i="8"/>
  <c r="I2236" i="8"/>
  <c r="H2236" i="8"/>
  <c r="J2235" i="8"/>
  <c r="I2235" i="8"/>
  <c r="H2235" i="8"/>
  <c r="J2234" i="8"/>
  <c r="I2234" i="8"/>
  <c r="H2234" i="8"/>
  <c r="J2233" i="8"/>
  <c r="I2233" i="8"/>
  <c r="H2233" i="8"/>
  <c r="J2232" i="8"/>
  <c r="I2232" i="8"/>
  <c r="H2232" i="8"/>
  <c r="J2231" i="8"/>
  <c r="I2231" i="8"/>
  <c r="H2231" i="8"/>
  <c r="J2230" i="8"/>
  <c r="I2230" i="8"/>
  <c r="H2230" i="8"/>
  <c r="J2229" i="8"/>
  <c r="I2229" i="8"/>
  <c r="H2229" i="8"/>
  <c r="J2228" i="8"/>
  <c r="I2228" i="8"/>
  <c r="H2228" i="8"/>
  <c r="J2227" i="8"/>
  <c r="I2227" i="8"/>
  <c r="H2227" i="8"/>
  <c r="J2226" i="8"/>
  <c r="I2226" i="8"/>
  <c r="H2226" i="8"/>
  <c r="J2225" i="8"/>
  <c r="I2225" i="8"/>
  <c r="H2225" i="8"/>
  <c r="J2224" i="8"/>
  <c r="I2224" i="8"/>
  <c r="H2224" i="8"/>
  <c r="J2223" i="8"/>
  <c r="I2223" i="8"/>
  <c r="H2223" i="8"/>
  <c r="J2222" i="8"/>
  <c r="I2222" i="8"/>
  <c r="H2222" i="8"/>
  <c r="J2221" i="8"/>
  <c r="I2221" i="8"/>
  <c r="H2221" i="8"/>
  <c r="J2220" i="8"/>
  <c r="I2220" i="8"/>
  <c r="H2220" i="8"/>
  <c r="J2219" i="8"/>
  <c r="I2219" i="8"/>
  <c r="H2219" i="8"/>
  <c r="J2218" i="8"/>
  <c r="I2218" i="8"/>
  <c r="H2218" i="8"/>
  <c r="J2217" i="8"/>
  <c r="I2217" i="8"/>
  <c r="H2217" i="8"/>
  <c r="J2216" i="8"/>
  <c r="I2216" i="8"/>
  <c r="H2216" i="8"/>
  <c r="J2215" i="8"/>
  <c r="I2215" i="8"/>
  <c r="H2215" i="8"/>
  <c r="J2214" i="8"/>
  <c r="I2214" i="8"/>
  <c r="H2214" i="8"/>
  <c r="J2213" i="8"/>
  <c r="I2213" i="8"/>
  <c r="H2213" i="8"/>
  <c r="J2212" i="8"/>
  <c r="I2212" i="8"/>
  <c r="H2212" i="8"/>
  <c r="J2211" i="8"/>
  <c r="I2211" i="8"/>
  <c r="H2211" i="8"/>
  <c r="J2210" i="8"/>
  <c r="I2210" i="8"/>
  <c r="H2210" i="8"/>
  <c r="J2209" i="8"/>
  <c r="I2209" i="8"/>
  <c r="H2209" i="8"/>
  <c r="J2208" i="8"/>
  <c r="I2208" i="8"/>
  <c r="H2208" i="8"/>
  <c r="J2207" i="8"/>
  <c r="I2207" i="8"/>
  <c r="H2207" i="8"/>
  <c r="J2206" i="8"/>
  <c r="I2206" i="8"/>
  <c r="H2206" i="8"/>
  <c r="J2205" i="8"/>
  <c r="I2205" i="8"/>
  <c r="H2205" i="8"/>
  <c r="J2204" i="8"/>
  <c r="I2204" i="8"/>
  <c r="H2204" i="8"/>
  <c r="J2203" i="8"/>
  <c r="I2203" i="8"/>
  <c r="H2203" i="8"/>
  <c r="J2202" i="8"/>
  <c r="I2202" i="8"/>
  <c r="H2202" i="8"/>
  <c r="J2201" i="8"/>
  <c r="I2201" i="8"/>
  <c r="H2201" i="8"/>
  <c r="J2200" i="8"/>
  <c r="I2200" i="8"/>
  <c r="H2200" i="8"/>
  <c r="J2199" i="8"/>
  <c r="I2199" i="8"/>
  <c r="H2199" i="8"/>
  <c r="J2198" i="8"/>
  <c r="I2198" i="8"/>
  <c r="H2198" i="8"/>
  <c r="J2197" i="8"/>
  <c r="I2197" i="8"/>
  <c r="H2197" i="8"/>
  <c r="J2196" i="8"/>
  <c r="I2196" i="8"/>
  <c r="H2196" i="8"/>
  <c r="J2195" i="8"/>
  <c r="I2195" i="8"/>
  <c r="H2195" i="8"/>
  <c r="J2194" i="8"/>
  <c r="I2194" i="8"/>
  <c r="H2194" i="8"/>
  <c r="J2193" i="8"/>
  <c r="I2193" i="8"/>
  <c r="H2193" i="8"/>
  <c r="J2192" i="8"/>
  <c r="I2192" i="8"/>
  <c r="H2192" i="8"/>
  <c r="J2191" i="8"/>
  <c r="I2191" i="8"/>
  <c r="H2191" i="8"/>
  <c r="J2190" i="8"/>
  <c r="I2190" i="8"/>
  <c r="H2190" i="8"/>
  <c r="J2189" i="8"/>
  <c r="I2189" i="8"/>
  <c r="H2189" i="8"/>
  <c r="J2188" i="8"/>
  <c r="I2188" i="8"/>
  <c r="H2188" i="8"/>
  <c r="J2187" i="8"/>
  <c r="I2187" i="8"/>
  <c r="H2187" i="8"/>
  <c r="J2186" i="8"/>
  <c r="I2186" i="8"/>
  <c r="H2186" i="8"/>
  <c r="J2185" i="8"/>
  <c r="I2185" i="8"/>
  <c r="H2185" i="8"/>
  <c r="J2184" i="8"/>
  <c r="I2184" i="8"/>
  <c r="H2184" i="8"/>
  <c r="J2183" i="8"/>
  <c r="I2183" i="8"/>
  <c r="H2183" i="8"/>
  <c r="J2182" i="8"/>
  <c r="I2182" i="8"/>
  <c r="H2182" i="8"/>
  <c r="J2181" i="8"/>
  <c r="I2181" i="8"/>
  <c r="H2181" i="8"/>
  <c r="J2180" i="8"/>
  <c r="I2180" i="8"/>
  <c r="H2180" i="8"/>
  <c r="J2179" i="8"/>
  <c r="I2179" i="8"/>
  <c r="H2179" i="8"/>
  <c r="J2178" i="8"/>
  <c r="I2178" i="8"/>
  <c r="H2178" i="8"/>
  <c r="J2177" i="8"/>
  <c r="I2177" i="8"/>
  <c r="H2177" i="8"/>
  <c r="J2176" i="8"/>
  <c r="I2176" i="8"/>
  <c r="H2176" i="8"/>
  <c r="J2175" i="8"/>
  <c r="I2175" i="8"/>
  <c r="H2175" i="8"/>
  <c r="J2174" i="8"/>
  <c r="I2174" i="8"/>
  <c r="H2174" i="8"/>
  <c r="J2173" i="8"/>
  <c r="I2173" i="8"/>
  <c r="H2173" i="8"/>
  <c r="J2172" i="8"/>
  <c r="I2172" i="8"/>
  <c r="H2172" i="8"/>
  <c r="J2171" i="8"/>
  <c r="I2171" i="8"/>
  <c r="H2171" i="8"/>
  <c r="J2170" i="8"/>
  <c r="I2170" i="8"/>
  <c r="H2170" i="8"/>
  <c r="J2169" i="8"/>
  <c r="I2169" i="8"/>
  <c r="H2169" i="8"/>
  <c r="J2168" i="8"/>
  <c r="I2168" i="8"/>
  <c r="H2168" i="8"/>
  <c r="J2167" i="8"/>
  <c r="I2167" i="8"/>
  <c r="H2167" i="8"/>
  <c r="J2166" i="8"/>
  <c r="I2166" i="8"/>
  <c r="H2166" i="8"/>
  <c r="J2165" i="8"/>
  <c r="I2165" i="8"/>
  <c r="H2165" i="8"/>
  <c r="J2164" i="8"/>
  <c r="I2164" i="8"/>
  <c r="H2164" i="8"/>
  <c r="J2163" i="8"/>
  <c r="I2163" i="8"/>
  <c r="H2163" i="8"/>
  <c r="J2162" i="8"/>
  <c r="I2162" i="8"/>
  <c r="H2162" i="8"/>
  <c r="J2161" i="8"/>
  <c r="I2161" i="8"/>
  <c r="H2161" i="8"/>
  <c r="J2160" i="8"/>
  <c r="I2160" i="8"/>
  <c r="H2160" i="8"/>
  <c r="J2159" i="8"/>
  <c r="I2159" i="8"/>
  <c r="H2159" i="8"/>
  <c r="J2158" i="8"/>
  <c r="I2158" i="8"/>
  <c r="H2158" i="8"/>
  <c r="J2157" i="8"/>
  <c r="I2157" i="8"/>
  <c r="H2157" i="8"/>
  <c r="J2156" i="8"/>
  <c r="I2156" i="8"/>
  <c r="H2156" i="8"/>
  <c r="J2155" i="8"/>
  <c r="I2155" i="8"/>
  <c r="H2155" i="8"/>
  <c r="J2154" i="8"/>
  <c r="I2154" i="8"/>
  <c r="H2154" i="8"/>
  <c r="J2153" i="8"/>
  <c r="I2153" i="8"/>
  <c r="H2153" i="8"/>
  <c r="J2152" i="8"/>
  <c r="I2152" i="8"/>
  <c r="H2152" i="8"/>
  <c r="J2151" i="8"/>
  <c r="I2151" i="8"/>
  <c r="H2151" i="8"/>
  <c r="J2150" i="8"/>
  <c r="I2150" i="8"/>
  <c r="H2150" i="8"/>
  <c r="J2149" i="8"/>
  <c r="I2149" i="8"/>
  <c r="H2149" i="8"/>
  <c r="J2148" i="8"/>
  <c r="I2148" i="8"/>
  <c r="H2148" i="8"/>
  <c r="J2147" i="8"/>
  <c r="I2147" i="8"/>
  <c r="H2147" i="8"/>
  <c r="J2146" i="8"/>
  <c r="I2146" i="8"/>
  <c r="H2146" i="8"/>
  <c r="J2145" i="8"/>
  <c r="I2145" i="8"/>
  <c r="H2145" i="8"/>
  <c r="J2144" i="8"/>
  <c r="I2144" i="8"/>
  <c r="H2144" i="8"/>
  <c r="J2143" i="8"/>
  <c r="I2143" i="8"/>
  <c r="H2143" i="8"/>
  <c r="J2142" i="8"/>
  <c r="I2142" i="8"/>
  <c r="H2142" i="8"/>
  <c r="J2141" i="8"/>
  <c r="I2141" i="8"/>
  <c r="H2141" i="8"/>
  <c r="J2140" i="8"/>
  <c r="I2140" i="8"/>
  <c r="H2140" i="8"/>
  <c r="J2139" i="8"/>
  <c r="I2139" i="8"/>
  <c r="H2139" i="8"/>
  <c r="J2138" i="8"/>
  <c r="I2138" i="8"/>
  <c r="H2138" i="8"/>
  <c r="J2137" i="8"/>
  <c r="I2137" i="8"/>
  <c r="H2137" i="8"/>
  <c r="J2136" i="8"/>
  <c r="I2136" i="8"/>
  <c r="H2136" i="8"/>
  <c r="J2135" i="8"/>
  <c r="I2135" i="8"/>
  <c r="H2135" i="8"/>
  <c r="J2134" i="8"/>
  <c r="I2134" i="8"/>
  <c r="H2134" i="8"/>
  <c r="J2133" i="8"/>
  <c r="I2133" i="8"/>
  <c r="H2133" i="8"/>
  <c r="J2132" i="8"/>
  <c r="I2132" i="8"/>
  <c r="H2132" i="8"/>
  <c r="J2131" i="8"/>
  <c r="I2131" i="8"/>
  <c r="H2131" i="8"/>
  <c r="J2130" i="8"/>
  <c r="I2130" i="8"/>
  <c r="H2130" i="8"/>
  <c r="J2129" i="8"/>
  <c r="I2129" i="8"/>
  <c r="H2129" i="8"/>
  <c r="J2128" i="8"/>
  <c r="I2128" i="8"/>
  <c r="H2128" i="8"/>
  <c r="J2127" i="8"/>
  <c r="I2127" i="8"/>
  <c r="H2127" i="8"/>
  <c r="J2126" i="8"/>
  <c r="I2126" i="8"/>
  <c r="H2126" i="8"/>
  <c r="J2125" i="8"/>
  <c r="I2125" i="8"/>
  <c r="H2125" i="8"/>
  <c r="J2124" i="8"/>
  <c r="I2124" i="8"/>
  <c r="H2124" i="8"/>
  <c r="J2123" i="8"/>
  <c r="I2123" i="8"/>
  <c r="H2123" i="8"/>
  <c r="J2122" i="8"/>
  <c r="I2122" i="8"/>
  <c r="H2122" i="8"/>
  <c r="J2121" i="8"/>
  <c r="I2121" i="8"/>
  <c r="H2121" i="8"/>
  <c r="J2120" i="8"/>
  <c r="I2120" i="8"/>
  <c r="H2120" i="8"/>
  <c r="J2119" i="8"/>
  <c r="I2119" i="8"/>
  <c r="H2119" i="8"/>
  <c r="J2118" i="8"/>
  <c r="I2118" i="8"/>
  <c r="H2118" i="8"/>
  <c r="J2117" i="8"/>
  <c r="I2117" i="8"/>
  <c r="H2117" i="8"/>
  <c r="J2116" i="8"/>
  <c r="I2116" i="8"/>
  <c r="H2116" i="8"/>
  <c r="J2115" i="8"/>
  <c r="I2115" i="8"/>
  <c r="H2115" i="8"/>
  <c r="J2114" i="8"/>
  <c r="I2114" i="8"/>
  <c r="H2114" i="8"/>
  <c r="J2113" i="8"/>
  <c r="I2113" i="8"/>
  <c r="H2113" i="8"/>
  <c r="J2112" i="8"/>
  <c r="I2112" i="8"/>
  <c r="H2112" i="8"/>
  <c r="J2111" i="8"/>
  <c r="I2111" i="8"/>
  <c r="H2111" i="8"/>
  <c r="J2110" i="8"/>
  <c r="I2110" i="8"/>
  <c r="H2110" i="8"/>
  <c r="J2109" i="8"/>
  <c r="I2109" i="8"/>
  <c r="H2109" i="8"/>
  <c r="J2108" i="8"/>
  <c r="I2108" i="8"/>
  <c r="H2108" i="8"/>
  <c r="J2107" i="8"/>
  <c r="I2107" i="8"/>
  <c r="H2107" i="8"/>
  <c r="J2106" i="8"/>
  <c r="I2106" i="8"/>
  <c r="H2106" i="8"/>
  <c r="J2105" i="8"/>
  <c r="I2105" i="8"/>
  <c r="H2105" i="8"/>
  <c r="J2104" i="8"/>
  <c r="I2104" i="8"/>
  <c r="H2104" i="8"/>
  <c r="J2103" i="8"/>
  <c r="I2103" i="8"/>
  <c r="H2103" i="8"/>
  <c r="J2102" i="8"/>
  <c r="I2102" i="8"/>
  <c r="H2102" i="8"/>
  <c r="J2101" i="8"/>
  <c r="I2101" i="8"/>
  <c r="H2101" i="8"/>
  <c r="J2100" i="8"/>
  <c r="I2100" i="8"/>
  <c r="H2100" i="8"/>
  <c r="J2099" i="8"/>
  <c r="I2099" i="8"/>
  <c r="H2099" i="8"/>
  <c r="J2098" i="8"/>
  <c r="I2098" i="8"/>
  <c r="H2098" i="8"/>
  <c r="J2097" i="8"/>
  <c r="I2097" i="8"/>
  <c r="H2097" i="8"/>
  <c r="J2096" i="8"/>
  <c r="I2096" i="8"/>
  <c r="H2096" i="8"/>
  <c r="J2095" i="8"/>
  <c r="I2095" i="8"/>
  <c r="H2095" i="8"/>
  <c r="J2094" i="8"/>
  <c r="I2094" i="8"/>
  <c r="H2094" i="8"/>
  <c r="J2093" i="8"/>
  <c r="I2093" i="8"/>
  <c r="H2093" i="8"/>
  <c r="J2092" i="8"/>
  <c r="I2092" i="8"/>
  <c r="H2092" i="8"/>
  <c r="J2091" i="8"/>
  <c r="I2091" i="8"/>
  <c r="H2091" i="8"/>
  <c r="J2090" i="8"/>
  <c r="I2090" i="8"/>
  <c r="H2090" i="8"/>
  <c r="J2089" i="8"/>
  <c r="I2089" i="8"/>
  <c r="H2089" i="8"/>
  <c r="J2088" i="8"/>
  <c r="I2088" i="8"/>
  <c r="H2088" i="8"/>
  <c r="J2087" i="8"/>
  <c r="I2087" i="8"/>
  <c r="H2087" i="8"/>
  <c r="J2086" i="8"/>
  <c r="I2086" i="8"/>
  <c r="H2086" i="8"/>
  <c r="J2085" i="8"/>
  <c r="I2085" i="8"/>
  <c r="H2085" i="8"/>
  <c r="J2084" i="8"/>
  <c r="I2084" i="8"/>
  <c r="H2084" i="8"/>
  <c r="J2083" i="8"/>
  <c r="I2083" i="8"/>
  <c r="H2083" i="8"/>
  <c r="J2082" i="8"/>
  <c r="I2082" i="8"/>
  <c r="H2082" i="8"/>
  <c r="J2081" i="8"/>
  <c r="I2081" i="8"/>
  <c r="H2081" i="8"/>
  <c r="J2080" i="8"/>
  <c r="I2080" i="8"/>
  <c r="H2080" i="8"/>
  <c r="J2079" i="8"/>
  <c r="I2079" i="8"/>
  <c r="H2079" i="8"/>
  <c r="J2078" i="8"/>
  <c r="I2078" i="8"/>
  <c r="H2078" i="8"/>
  <c r="J2077" i="8"/>
  <c r="I2077" i="8"/>
  <c r="H2077" i="8"/>
  <c r="J2076" i="8"/>
  <c r="I2076" i="8"/>
  <c r="H2076" i="8"/>
  <c r="J2075" i="8"/>
  <c r="I2075" i="8"/>
  <c r="H2075" i="8"/>
  <c r="J2074" i="8"/>
  <c r="I2074" i="8"/>
  <c r="H2074" i="8"/>
  <c r="J2073" i="8"/>
  <c r="I2073" i="8"/>
  <c r="H2073" i="8"/>
  <c r="J2072" i="8"/>
  <c r="I2072" i="8"/>
  <c r="H2072" i="8"/>
  <c r="J2071" i="8"/>
  <c r="I2071" i="8"/>
  <c r="H2071" i="8"/>
  <c r="J2070" i="8"/>
  <c r="I2070" i="8"/>
  <c r="H2070" i="8"/>
  <c r="J2069" i="8"/>
  <c r="I2069" i="8"/>
  <c r="H2069" i="8"/>
  <c r="J2068" i="8"/>
  <c r="I2068" i="8"/>
  <c r="H2068" i="8"/>
  <c r="J2067" i="8"/>
  <c r="I2067" i="8"/>
  <c r="H2067" i="8"/>
  <c r="J2066" i="8"/>
  <c r="I2066" i="8"/>
  <c r="H2066" i="8"/>
  <c r="J2065" i="8"/>
  <c r="I2065" i="8"/>
  <c r="H2065" i="8"/>
  <c r="J2064" i="8"/>
  <c r="I2064" i="8"/>
  <c r="H2064" i="8"/>
  <c r="J2063" i="8"/>
  <c r="I2063" i="8"/>
  <c r="H2063" i="8"/>
  <c r="J2062" i="8"/>
  <c r="I2062" i="8"/>
  <c r="H2062" i="8"/>
  <c r="J2061" i="8"/>
  <c r="I2061" i="8"/>
  <c r="H2061" i="8"/>
  <c r="J2060" i="8"/>
  <c r="I2060" i="8"/>
  <c r="H2060" i="8"/>
  <c r="J2059" i="8"/>
  <c r="I2059" i="8"/>
  <c r="H2059" i="8"/>
  <c r="J2058" i="8"/>
  <c r="I2058" i="8"/>
  <c r="H2058" i="8"/>
  <c r="J2057" i="8"/>
  <c r="I2057" i="8"/>
  <c r="H2057" i="8"/>
  <c r="J2056" i="8"/>
  <c r="I2056" i="8"/>
  <c r="H2056" i="8"/>
  <c r="J2055" i="8"/>
  <c r="I2055" i="8"/>
  <c r="H2055" i="8"/>
  <c r="J2054" i="8"/>
  <c r="I2054" i="8"/>
  <c r="H2054" i="8"/>
  <c r="J2053" i="8"/>
  <c r="I2053" i="8"/>
  <c r="H2053" i="8"/>
  <c r="J2052" i="8"/>
  <c r="I2052" i="8"/>
  <c r="H2052" i="8"/>
  <c r="J2051" i="8"/>
  <c r="I2051" i="8"/>
  <c r="H2051" i="8"/>
  <c r="J2050" i="8"/>
  <c r="I2050" i="8"/>
  <c r="H2050" i="8"/>
  <c r="J2049" i="8"/>
  <c r="I2049" i="8"/>
  <c r="H2049" i="8"/>
  <c r="J2048" i="8"/>
  <c r="I2048" i="8"/>
  <c r="H2048" i="8"/>
  <c r="J2047" i="8"/>
  <c r="I2047" i="8"/>
  <c r="H2047" i="8"/>
  <c r="J2046" i="8"/>
  <c r="I2046" i="8"/>
  <c r="H2046" i="8"/>
  <c r="J2045" i="8"/>
  <c r="I2045" i="8"/>
  <c r="H2045" i="8"/>
  <c r="J2044" i="8"/>
  <c r="I2044" i="8"/>
  <c r="H2044" i="8"/>
  <c r="J2043" i="8"/>
  <c r="I2043" i="8"/>
  <c r="H2043" i="8"/>
  <c r="J2042" i="8"/>
  <c r="I2042" i="8"/>
  <c r="H2042" i="8"/>
  <c r="J2041" i="8"/>
  <c r="I2041" i="8"/>
  <c r="H2041" i="8"/>
  <c r="J2040" i="8"/>
  <c r="I2040" i="8"/>
  <c r="H2040" i="8"/>
  <c r="J2039" i="8"/>
  <c r="I2039" i="8"/>
  <c r="H2039" i="8"/>
  <c r="J2038" i="8"/>
  <c r="I2038" i="8"/>
  <c r="H2038" i="8"/>
  <c r="J2037" i="8"/>
  <c r="I2037" i="8"/>
  <c r="H2037" i="8"/>
  <c r="J2036" i="8"/>
  <c r="I2036" i="8"/>
  <c r="H2036" i="8"/>
  <c r="J2035" i="8"/>
  <c r="I2035" i="8"/>
  <c r="H2035" i="8"/>
  <c r="J2034" i="8"/>
  <c r="I2034" i="8"/>
  <c r="H2034" i="8"/>
  <c r="J2033" i="8"/>
  <c r="I2033" i="8"/>
  <c r="H2033" i="8"/>
  <c r="J2032" i="8"/>
  <c r="I2032" i="8"/>
  <c r="H2032" i="8"/>
  <c r="J2031" i="8"/>
  <c r="I2031" i="8"/>
  <c r="H2031" i="8"/>
  <c r="J2030" i="8"/>
  <c r="I2030" i="8"/>
  <c r="H2030" i="8"/>
  <c r="J2029" i="8"/>
  <c r="I2029" i="8"/>
  <c r="H2029" i="8"/>
  <c r="J2028" i="8"/>
  <c r="I2028" i="8"/>
  <c r="H2028" i="8"/>
  <c r="J2027" i="8"/>
  <c r="I2027" i="8"/>
  <c r="H2027" i="8"/>
  <c r="J2026" i="8"/>
  <c r="I2026" i="8"/>
  <c r="H2026" i="8"/>
  <c r="J2025" i="8"/>
  <c r="I2025" i="8"/>
  <c r="H2025" i="8"/>
  <c r="J2024" i="8"/>
  <c r="I2024" i="8"/>
  <c r="H2024" i="8"/>
  <c r="J2023" i="8"/>
  <c r="I2023" i="8"/>
  <c r="H2023" i="8"/>
  <c r="J2022" i="8"/>
  <c r="I2022" i="8"/>
  <c r="H2022" i="8"/>
  <c r="J2021" i="8"/>
  <c r="I2021" i="8"/>
  <c r="H2021" i="8"/>
  <c r="J2020" i="8"/>
  <c r="I2020" i="8"/>
  <c r="H2020" i="8"/>
  <c r="J2019" i="8"/>
  <c r="I2019" i="8"/>
  <c r="H2019" i="8"/>
  <c r="J2018" i="8"/>
  <c r="I2018" i="8"/>
  <c r="H2018" i="8"/>
  <c r="J2017" i="8"/>
  <c r="I2017" i="8"/>
  <c r="H2017" i="8"/>
  <c r="J2016" i="8"/>
  <c r="I2016" i="8"/>
  <c r="H2016" i="8"/>
  <c r="J2015" i="8"/>
  <c r="I2015" i="8"/>
  <c r="H2015" i="8"/>
  <c r="J2014" i="8"/>
  <c r="I2014" i="8"/>
  <c r="H2014" i="8"/>
  <c r="J2013" i="8"/>
  <c r="I2013" i="8"/>
  <c r="H2013" i="8"/>
  <c r="J2012" i="8"/>
  <c r="I2012" i="8"/>
  <c r="H2012" i="8"/>
  <c r="J2011" i="8"/>
  <c r="I2011" i="8"/>
  <c r="H2011" i="8"/>
  <c r="J2010" i="8"/>
  <c r="I2010" i="8"/>
  <c r="H2010" i="8"/>
  <c r="J2009" i="8"/>
  <c r="I2009" i="8"/>
  <c r="H2009" i="8"/>
  <c r="J2008" i="8"/>
  <c r="I2008" i="8"/>
  <c r="H2008" i="8"/>
  <c r="J2007" i="8"/>
  <c r="I2007" i="8"/>
  <c r="H2007" i="8"/>
  <c r="J2006" i="8"/>
  <c r="I2006" i="8"/>
  <c r="H2006" i="8"/>
  <c r="J2005" i="8"/>
  <c r="I2005" i="8"/>
  <c r="H2005" i="8"/>
  <c r="J2004" i="8"/>
  <c r="I2004" i="8"/>
  <c r="H2004" i="8"/>
  <c r="J2003" i="8"/>
  <c r="I2003" i="8"/>
  <c r="H2003" i="8"/>
  <c r="J2002" i="8"/>
  <c r="I2002" i="8"/>
  <c r="H2002" i="8"/>
  <c r="J2001" i="8"/>
  <c r="I2001" i="8"/>
  <c r="H2001" i="8"/>
  <c r="J2000" i="8"/>
  <c r="I2000" i="8"/>
  <c r="H2000" i="8"/>
  <c r="J1999" i="8"/>
  <c r="I1999" i="8"/>
  <c r="H1999" i="8"/>
  <c r="J1998" i="8"/>
  <c r="I1998" i="8"/>
  <c r="H1998" i="8"/>
  <c r="J1997" i="8"/>
  <c r="I1997" i="8"/>
  <c r="H1997" i="8"/>
  <c r="J1996" i="8"/>
  <c r="I1996" i="8"/>
  <c r="H1996" i="8"/>
  <c r="J1995" i="8"/>
  <c r="I1995" i="8"/>
  <c r="H1995" i="8"/>
  <c r="J1994" i="8"/>
  <c r="I1994" i="8"/>
  <c r="H1994" i="8"/>
  <c r="J1993" i="8"/>
  <c r="I1993" i="8"/>
  <c r="H1993" i="8"/>
  <c r="J1992" i="8"/>
  <c r="I1992" i="8"/>
  <c r="H1992" i="8"/>
  <c r="J1991" i="8"/>
  <c r="I1991" i="8"/>
  <c r="H1991" i="8"/>
  <c r="J1990" i="8"/>
  <c r="I1990" i="8"/>
  <c r="H1990" i="8"/>
  <c r="J1989" i="8"/>
  <c r="I1989" i="8"/>
  <c r="H1989" i="8"/>
  <c r="J1988" i="8"/>
  <c r="I1988" i="8"/>
  <c r="H1988" i="8"/>
  <c r="J1987" i="8"/>
  <c r="I1987" i="8"/>
  <c r="H1987" i="8"/>
  <c r="J1986" i="8"/>
  <c r="I1986" i="8"/>
  <c r="H1986" i="8"/>
  <c r="J1985" i="8"/>
  <c r="I1985" i="8"/>
  <c r="H1985" i="8"/>
  <c r="J1984" i="8"/>
  <c r="I1984" i="8"/>
  <c r="H1984" i="8"/>
  <c r="J1983" i="8"/>
  <c r="I1983" i="8"/>
  <c r="H1983" i="8"/>
  <c r="J1982" i="8"/>
  <c r="I1982" i="8"/>
  <c r="H1982" i="8"/>
  <c r="J1981" i="8"/>
  <c r="I1981" i="8"/>
  <c r="H1981" i="8"/>
  <c r="J1980" i="8"/>
  <c r="I1980" i="8"/>
  <c r="H1980" i="8"/>
  <c r="J1979" i="8"/>
  <c r="I1979" i="8"/>
  <c r="H1979" i="8"/>
  <c r="J1978" i="8"/>
  <c r="I1978" i="8"/>
  <c r="H1978" i="8"/>
  <c r="J1977" i="8"/>
  <c r="I1977" i="8"/>
  <c r="H1977" i="8"/>
  <c r="J1976" i="8"/>
  <c r="I1976" i="8"/>
  <c r="H1976" i="8"/>
  <c r="J1975" i="8"/>
  <c r="I1975" i="8"/>
  <c r="H1975" i="8"/>
  <c r="J1974" i="8"/>
  <c r="I1974" i="8"/>
  <c r="H1974" i="8"/>
  <c r="J1973" i="8"/>
  <c r="I1973" i="8"/>
  <c r="H1973" i="8"/>
  <c r="J1972" i="8"/>
  <c r="I1972" i="8"/>
  <c r="H1972" i="8"/>
  <c r="J1971" i="8"/>
  <c r="I1971" i="8"/>
  <c r="H1971" i="8"/>
  <c r="J1970" i="8"/>
  <c r="I1970" i="8"/>
  <c r="H1970" i="8"/>
  <c r="J1969" i="8"/>
  <c r="I1969" i="8"/>
  <c r="H1969" i="8"/>
  <c r="J1968" i="8"/>
  <c r="I1968" i="8"/>
  <c r="H1968" i="8"/>
  <c r="J1967" i="8"/>
  <c r="I1967" i="8"/>
  <c r="H1967" i="8"/>
  <c r="J1966" i="8"/>
  <c r="I1966" i="8"/>
  <c r="H1966" i="8"/>
  <c r="J1965" i="8"/>
  <c r="I1965" i="8"/>
  <c r="H1965" i="8"/>
  <c r="J1964" i="8"/>
  <c r="I1964" i="8"/>
  <c r="H1964" i="8"/>
  <c r="J1963" i="8"/>
  <c r="I1963" i="8"/>
  <c r="H1963" i="8"/>
  <c r="J1962" i="8"/>
  <c r="I1962" i="8"/>
  <c r="H1962" i="8"/>
  <c r="J1961" i="8"/>
  <c r="I1961" i="8"/>
  <c r="H1961" i="8"/>
  <c r="J1960" i="8"/>
  <c r="I1960" i="8"/>
  <c r="H1960" i="8"/>
  <c r="J1959" i="8"/>
  <c r="I1959" i="8"/>
  <c r="H1959" i="8"/>
  <c r="J1958" i="8"/>
  <c r="I1958" i="8"/>
  <c r="H1958" i="8"/>
  <c r="J1957" i="8"/>
  <c r="I1957" i="8"/>
  <c r="H1957" i="8"/>
  <c r="J1956" i="8"/>
  <c r="I1956" i="8"/>
  <c r="H1956" i="8"/>
  <c r="J1955" i="8"/>
  <c r="I1955" i="8"/>
  <c r="H1955" i="8"/>
  <c r="J1954" i="8"/>
  <c r="I1954" i="8"/>
  <c r="H1954" i="8"/>
  <c r="J1953" i="8"/>
  <c r="I1953" i="8"/>
  <c r="H1953" i="8"/>
  <c r="J1952" i="8"/>
  <c r="I1952" i="8"/>
  <c r="H1952" i="8"/>
  <c r="J1951" i="8"/>
  <c r="I1951" i="8"/>
  <c r="H1951" i="8"/>
  <c r="J1950" i="8"/>
  <c r="I1950" i="8"/>
  <c r="H1950" i="8"/>
  <c r="J1949" i="8"/>
  <c r="I1949" i="8"/>
  <c r="H1949" i="8"/>
  <c r="J1948" i="8"/>
  <c r="I1948" i="8"/>
  <c r="H1948" i="8"/>
  <c r="J1947" i="8"/>
  <c r="I1947" i="8"/>
  <c r="H1947" i="8"/>
  <c r="J1946" i="8"/>
  <c r="I1946" i="8"/>
  <c r="H1946" i="8"/>
  <c r="J1945" i="8"/>
  <c r="I1945" i="8"/>
  <c r="H1945" i="8"/>
  <c r="J1944" i="8"/>
  <c r="I1944" i="8"/>
  <c r="H1944" i="8"/>
  <c r="J1943" i="8"/>
  <c r="I1943" i="8"/>
  <c r="H1943" i="8"/>
  <c r="J1942" i="8"/>
  <c r="I1942" i="8"/>
  <c r="H1942" i="8"/>
  <c r="J1941" i="8"/>
  <c r="I1941" i="8"/>
  <c r="H1941" i="8"/>
  <c r="J1940" i="8"/>
  <c r="I1940" i="8"/>
  <c r="H1940" i="8"/>
  <c r="J1939" i="8"/>
  <c r="I1939" i="8"/>
  <c r="H1939" i="8"/>
  <c r="J1938" i="8"/>
  <c r="I1938" i="8"/>
  <c r="H1938" i="8"/>
  <c r="J1937" i="8"/>
  <c r="I1937" i="8"/>
  <c r="H1937" i="8"/>
  <c r="J1936" i="8"/>
  <c r="I1936" i="8"/>
  <c r="H1936" i="8"/>
  <c r="J1935" i="8"/>
  <c r="I1935" i="8"/>
  <c r="H1935" i="8"/>
  <c r="J1934" i="8"/>
  <c r="I1934" i="8"/>
  <c r="H1934" i="8"/>
  <c r="J1933" i="8"/>
  <c r="I1933" i="8"/>
  <c r="H1933" i="8"/>
  <c r="J1932" i="8"/>
  <c r="I1932" i="8"/>
  <c r="H1932" i="8"/>
  <c r="J1931" i="8"/>
  <c r="I1931" i="8"/>
  <c r="H1931" i="8"/>
  <c r="J1930" i="8"/>
  <c r="I1930" i="8"/>
  <c r="H1930" i="8"/>
  <c r="J1929" i="8"/>
  <c r="I1929" i="8"/>
  <c r="H1929" i="8"/>
  <c r="J1928" i="8"/>
  <c r="I1928" i="8"/>
  <c r="H1928" i="8"/>
  <c r="J1927" i="8"/>
  <c r="I1927" i="8"/>
  <c r="H1927" i="8"/>
  <c r="J1926" i="8"/>
  <c r="I1926" i="8"/>
  <c r="H1926" i="8"/>
  <c r="J1925" i="8"/>
  <c r="I1925" i="8"/>
  <c r="H1925" i="8"/>
  <c r="J1924" i="8"/>
  <c r="I1924" i="8"/>
  <c r="H1924" i="8"/>
  <c r="J1923" i="8"/>
  <c r="I1923" i="8"/>
  <c r="H1923" i="8"/>
  <c r="J1922" i="8"/>
  <c r="I1922" i="8"/>
  <c r="H1922" i="8"/>
  <c r="J1921" i="8"/>
  <c r="I1921" i="8"/>
  <c r="H1921" i="8"/>
  <c r="J1920" i="8"/>
  <c r="I1920" i="8"/>
  <c r="H1920" i="8"/>
  <c r="J1919" i="8"/>
  <c r="I1919" i="8"/>
  <c r="H1919" i="8"/>
  <c r="J1918" i="8"/>
  <c r="I1918" i="8"/>
  <c r="H1918" i="8"/>
  <c r="J1917" i="8"/>
  <c r="I1917" i="8"/>
  <c r="H1917" i="8"/>
  <c r="J1916" i="8"/>
  <c r="I1916" i="8"/>
  <c r="H1916" i="8"/>
  <c r="J1915" i="8"/>
  <c r="I1915" i="8"/>
  <c r="H1915" i="8"/>
  <c r="J1914" i="8"/>
  <c r="I1914" i="8"/>
  <c r="H1914" i="8"/>
  <c r="J1913" i="8"/>
  <c r="I1913" i="8"/>
  <c r="H1913" i="8"/>
  <c r="J1912" i="8"/>
  <c r="I1912" i="8"/>
  <c r="H1912" i="8"/>
  <c r="J1911" i="8"/>
  <c r="I1911" i="8"/>
  <c r="H1911" i="8"/>
  <c r="J1910" i="8"/>
  <c r="I1910" i="8"/>
  <c r="H1910" i="8"/>
  <c r="J1909" i="8"/>
  <c r="I1909" i="8"/>
  <c r="H1909" i="8"/>
  <c r="J1908" i="8"/>
  <c r="I1908" i="8"/>
  <c r="H1908" i="8"/>
  <c r="J1907" i="8"/>
  <c r="I1907" i="8"/>
  <c r="H1907" i="8"/>
  <c r="J1906" i="8"/>
  <c r="I1906" i="8"/>
  <c r="H1906" i="8"/>
  <c r="J1905" i="8"/>
  <c r="I1905" i="8"/>
  <c r="H1905" i="8"/>
  <c r="J1904" i="8"/>
  <c r="I1904" i="8"/>
  <c r="H1904" i="8"/>
  <c r="J1903" i="8"/>
  <c r="I1903" i="8"/>
  <c r="H1903" i="8"/>
  <c r="J1902" i="8"/>
  <c r="I1902" i="8"/>
  <c r="H1902" i="8"/>
  <c r="J1901" i="8"/>
  <c r="I1901" i="8"/>
  <c r="H1901" i="8"/>
  <c r="J1900" i="8"/>
  <c r="I1900" i="8"/>
  <c r="H1900" i="8"/>
  <c r="J1899" i="8"/>
  <c r="I1899" i="8"/>
  <c r="H1899" i="8"/>
  <c r="J1898" i="8"/>
  <c r="I1898" i="8"/>
  <c r="H1898" i="8"/>
  <c r="J1897" i="8"/>
  <c r="I1897" i="8"/>
  <c r="H1897" i="8"/>
  <c r="J1896" i="8"/>
  <c r="I1896" i="8"/>
  <c r="H1896" i="8"/>
  <c r="J1895" i="8"/>
  <c r="I1895" i="8"/>
  <c r="H1895" i="8"/>
  <c r="J1894" i="8"/>
  <c r="I1894" i="8"/>
  <c r="H1894" i="8"/>
  <c r="J1893" i="8"/>
  <c r="I1893" i="8"/>
  <c r="H1893" i="8"/>
  <c r="J1892" i="8"/>
  <c r="I1892" i="8"/>
  <c r="H1892" i="8"/>
  <c r="J1891" i="8"/>
  <c r="I1891" i="8"/>
  <c r="H1891" i="8"/>
  <c r="J1890" i="8"/>
  <c r="I1890" i="8"/>
  <c r="H1890" i="8"/>
  <c r="J1889" i="8"/>
  <c r="I1889" i="8"/>
  <c r="H1889" i="8"/>
  <c r="J1888" i="8"/>
  <c r="I1888" i="8"/>
  <c r="H1888" i="8"/>
  <c r="J1887" i="8"/>
  <c r="I1887" i="8"/>
  <c r="H1887" i="8"/>
  <c r="J1886" i="8"/>
  <c r="I1886" i="8"/>
  <c r="H1886" i="8"/>
  <c r="J1885" i="8"/>
  <c r="I1885" i="8"/>
  <c r="H1885" i="8"/>
  <c r="J1884" i="8"/>
  <c r="I1884" i="8"/>
  <c r="H1884" i="8"/>
  <c r="J1883" i="8"/>
  <c r="I1883" i="8"/>
  <c r="H1883" i="8"/>
  <c r="J1882" i="8"/>
  <c r="I1882" i="8"/>
  <c r="H1882" i="8"/>
  <c r="J1881" i="8"/>
  <c r="I1881" i="8"/>
  <c r="H1881" i="8"/>
  <c r="J1880" i="8"/>
  <c r="I1880" i="8"/>
  <c r="H1880" i="8"/>
  <c r="J1879" i="8"/>
  <c r="I1879" i="8"/>
  <c r="H1879" i="8"/>
  <c r="J1878" i="8"/>
  <c r="I1878" i="8"/>
  <c r="H1878" i="8"/>
  <c r="J1877" i="8"/>
  <c r="I1877" i="8"/>
  <c r="H1877" i="8"/>
  <c r="J1876" i="8"/>
  <c r="I1876" i="8"/>
  <c r="H1876" i="8"/>
  <c r="J1875" i="8"/>
  <c r="I1875" i="8"/>
  <c r="H1875" i="8"/>
  <c r="J1874" i="8"/>
  <c r="I1874" i="8"/>
  <c r="H1874" i="8"/>
  <c r="J1873" i="8"/>
  <c r="I1873" i="8"/>
  <c r="H1873" i="8"/>
  <c r="J1872" i="8"/>
  <c r="I1872" i="8"/>
  <c r="H1872" i="8"/>
  <c r="J1871" i="8"/>
  <c r="I1871" i="8"/>
  <c r="H1871" i="8"/>
  <c r="J1870" i="8"/>
  <c r="I1870" i="8"/>
  <c r="H1870" i="8"/>
  <c r="J1869" i="8"/>
  <c r="I1869" i="8"/>
  <c r="H1869" i="8"/>
  <c r="J1868" i="8"/>
  <c r="I1868" i="8"/>
  <c r="H1868" i="8"/>
  <c r="J1867" i="8"/>
  <c r="I1867" i="8"/>
  <c r="H1867" i="8"/>
  <c r="J1866" i="8"/>
  <c r="I1866" i="8"/>
  <c r="H1866" i="8"/>
  <c r="J1865" i="8"/>
  <c r="I1865" i="8"/>
  <c r="H1865" i="8"/>
  <c r="J1864" i="8"/>
  <c r="I1864" i="8"/>
  <c r="H1864" i="8"/>
  <c r="J1863" i="8"/>
  <c r="I1863" i="8"/>
  <c r="H1863" i="8"/>
  <c r="J1862" i="8"/>
  <c r="I1862" i="8"/>
  <c r="H1862" i="8"/>
  <c r="J1861" i="8"/>
  <c r="I1861" i="8"/>
  <c r="H1861" i="8"/>
  <c r="J1860" i="8"/>
  <c r="I1860" i="8"/>
  <c r="H1860" i="8"/>
  <c r="J1859" i="8"/>
  <c r="I1859" i="8"/>
  <c r="H1859" i="8"/>
  <c r="J1858" i="8"/>
  <c r="I1858" i="8"/>
  <c r="H1858" i="8"/>
  <c r="J1857" i="8"/>
  <c r="I1857" i="8"/>
  <c r="H1857" i="8"/>
  <c r="J1856" i="8"/>
  <c r="I1856" i="8"/>
  <c r="H1856" i="8"/>
  <c r="J1855" i="8"/>
  <c r="I1855" i="8"/>
  <c r="H1855" i="8"/>
  <c r="J1854" i="8"/>
  <c r="I1854" i="8"/>
  <c r="H1854" i="8"/>
  <c r="J1853" i="8"/>
  <c r="I1853" i="8"/>
  <c r="H1853" i="8"/>
  <c r="J1852" i="8"/>
  <c r="I1852" i="8"/>
  <c r="H1852" i="8"/>
  <c r="J1851" i="8"/>
  <c r="I1851" i="8"/>
  <c r="H1851" i="8"/>
  <c r="J1850" i="8"/>
  <c r="I1850" i="8"/>
  <c r="H1850" i="8"/>
  <c r="J1849" i="8"/>
  <c r="I1849" i="8"/>
  <c r="H1849" i="8"/>
  <c r="J1848" i="8"/>
  <c r="I1848" i="8"/>
  <c r="H1848" i="8"/>
  <c r="J1847" i="8"/>
  <c r="I1847" i="8"/>
  <c r="H1847" i="8"/>
  <c r="J1846" i="8"/>
  <c r="I1846" i="8"/>
  <c r="H1846" i="8"/>
  <c r="J1845" i="8"/>
  <c r="I1845" i="8"/>
  <c r="H1845" i="8"/>
  <c r="J1844" i="8"/>
  <c r="I1844" i="8"/>
  <c r="H1844" i="8"/>
  <c r="J1843" i="8"/>
  <c r="I1843" i="8"/>
  <c r="H1843" i="8"/>
  <c r="J1842" i="8"/>
  <c r="I1842" i="8"/>
  <c r="H1842" i="8"/>
  <c r="J1841" i="8"/>
  <c r="I1841" i="8"/>
  <c r="H1841" i="8"/>
  <c r="J1840" i="8"/>
  <c r="I1840" i="8"/>
  <c r="H1840" i="8"/>
  <c r="J1839" i="8"/>
  <c r="I1839" i="8"/>
  <c r="H1839" i="8"/>
  <c r="J1838" i="8"/>
  <c r="I1838" i="8"/>
  <c r="H1838" i="8"/>
  <c r="J1837" i="8"/>
  <c r="I1837" i="8"/>
  <c r="H1837" i="8"/>
  <c r="J1836" i="8"/>
  <c r="I1836" i="8"/>
  <c r="H1836" i="8"/>
  <c r="J1835" i="8"/>
  <c r="I1835" i="8"/>
  <c r="H1835" i="8"/>
  <c r="J1834" i="8"/>
  <c r="I1834" i="8"/>
  <c r="H1834" i="8"/>
  <c r="J1833" i="8"/>
  <c r="I1833" i="8"/>
  <c r="H1833" i="8"/>
  <c r="J1832" i="8"/>
  <c r="I1832" i="8"/>
  <c r="H1832" i="8"/>
  <c r="J1831" i="8"/>
  <c r="I1831" i="8"/>
  <c r="H1831" i="8"/>
  <c r="J1830" i="8"/>
  <c r="I1830" i="8"/>
  <c r="H1830" i="8"/>
  <c r="J1829" i="8"/>
  <c r="I1829" i="8"/>
  <c r="H1829" i="8"/>
  <c r="J1828" i="8"/>
  <c r="I1828" i="8"/>
  <c r="H1828" i="8"/>
  <c r="J1827" i="8"/>
  <c r="I1827" i="8"/>
  <c r="H1827" i="8"/>
  <c r="J1826" i="8"/>
  <c r="I1826" i="8"/>
  <c r="H1826" i="8"/>
  <c r="J1825" i="8"/>
  <c r="I1825" i="8"/>
  <c r="H1825" i="8"/>
  <c r="J1824" i="8"/>
  <c r="I1824" i="8"/>
  <c r="H1824" i="8"/>
  <c r="J1823" i="8"/>
  <c r="I1823" i="8"/>
  <c r="H1823" i="8"/>
  <c r="J1822" i="8"/>
  <c r="I1822" i="8"/>
  <c r="H1822" i="8"/>
  <c r="J1821" i="8"/>
  <c r="I1821" i="8"/>
  <c r="H1821" i="8"/>
  <c r="J1820" i="8"/>
  <c r="I1820" i="8"/>
  <c r="H1820" i="8"/>
  <c r="J1819" i="8"/>
  <c r="I1819" i="8"/>
  <c r="H1819" i="8"/>
  <c r="J1818" i="8"/>
  <c r="I1818" i="8"/>
  <c r="H1818" i="8"/>
  <c r="J1817" i="8"/>
  <c r="I1817" i="8"/>
  <c r="H1817" i="8"/>
  <c r="J1816" i="8"/>
  <c r="I1816" i="8"/>
  <c r="H1816" i="8"/>
  <c r="J1815" i="8"/>
  <c r="I1815" i="8"/>
  <c r="H1815" i="8"/>
  <c r="J1814" i="8"/>
  <c r="I1814" i="8"/>
  <c r="H1814" i="8"/>
  <c r="J1813" i="8"/>
  <c r="I1813" i="8"/>
  <c r="H1813" i="8"/>
  <c r="J1812" i="8"/>
  <c r="I1812" i="8"/>
  <c r="H1812" i="8"/>
  <c r="J1811" i="8"/>
  <c r="I1811" i="8"/>
  <c r="H1811" i="8"/>
  <c r="J1810" i="8"/>
  <c r="I1810" i="8"/>
  <c r="H1810" i="8"/>
  <c r="J1809" i="8"/>
  <c r="I1809" i="8"/>
  <c r="H1809" i="8"/>
  <c r="J1808" i="8"/>
  <c r="I1808" i="8"/>
  <c r="H1808" i="8"/>
  <c r="J1807" i="8"/>
  <c r="I1807" i="8"/>
  <c r="H1807" i="8"/>
  <c r="J1806" i="8"/>
  <c r="I1806" i="8"/>
  <c r="H1806" i="8"/>
  <c r="J1805" i="8"/>
  <c r="I1805" i="8"/>
  <c r="H1805" i="8"/>
  <c r="J1804" i="8"/>
  <c r="I1804" i="8"/>
  <c r="H1804" i="8"/>
  <c r="J1803" i="8"/>
  <c r="I1803" i="8"/>
  <c r="H1803" i="8"/>
  <c r="J1802" i="8"/>
  <c r="I1802" i="8"/>
  <c r="H1802" i="8"/>
  <c r="J1801" i="8"/>
  <c r="I1801" i="8"/>
  <c r="H1801" i="8"/>
  <c r="J1800" i="8"/>
  <c r="I1800" i="8"/>
  <c r="H1800" i="8"/>
  <c r="J1799" i="8"/>
  <c r="I1799" i="8"/>
  <c r="H1799" i="8"/>
  <c r="J1798" i="8"/>
  <c r="I1798" i="8"/>
  <c r="H1798" i="8"/>
  <c r="J1797" i="8"/>
  <c r="I1797" i="8"/>
  <c r="H1797" i="8"/>
  <c r="J1796" i="8"/>
  <c r="I1796" i="8"/>
  <c r="H1796" i="8"/>
  <c r="J1795" i="8"/>
  <c r="I1795" i="8"/>
  <c r="H1795" i="8"/>
  <c r="J1794" i="8"/>
  <c r="I1794" i="8"/>
  <c r="H1794" i="8"/>
  <c r="J1793" i="8"/>
  <c r="I1793" i="8"/>
  <c r="H1793" i="8"/>
  <c r="J1792" i="8"/>
  <c r="I1792" i="8"/>
  <c r="H1792" i="8"/>
  <c r="J1791" i="8"/>
  <c r="I1791" i="8"/>
  <c r="H1791" i="8"/>
  <c r="J1790" i="8"/>
  <c r="I1790" i="8"/>
  <c r="H1790" i="8"/>
  <c r="J1789" i="8"/>
  <c r="I1789" i="8"/>
  <c r="H1789" i="8"/>
  <c r="J1788" i="8"/>
  <c r="I1788" i="8"/>
  <c r="H1788" i="8"/>
  <c r="J1787" i="8"/>
  <c r="I1787" i="8"/>
  <c r="H1787" i="8"/>
  <c r="J1786" i="8"/>
  <c r="I1786" i="8"/>
  <c r="H1786" i="8"/>
  <c r="J1785" i="8"/>
  <c r="I1785" i="8"/>
  <c r="H1785" i="8"/>
  <c r="J1784" i="8"/>
  <c r="I1784" i="8"/>
  <c r="H1784" i="8"/>
  <c r="J1783" i="8"/>
  <c r="I1783" i="8"/>
  <c r="H1783" i="8"/>
  <c r="J1782" i="8"/>
  <c r="I1782" i="8"/>
  <c r="H1782" i="8"/>
  <c r="J1781" i="8"/>
  <c r="I1781" i="8"/>
  <c r="H1781" i="8"/>
  <c r="J1780" i="8"/>
  <c r="I1780" i="8"/>
  <c r="H1780" i="8"/>
  <c r="J1779" i="8"/>
  <c r="I1779" i="8"/>
  <c r="H1779" i="8"/>
  <c r="J1778" i="8"/>
  <c r="I1778" i="8"/>
  <c r="H1778" i="8"/>
  <c r="J1777" i="8"/>
  <c r="I1777" i="8"/>
  <c r="H1777" i="8"/>
  <c r="J1776" i="8"/>
  <c r="I1776" i="8"/>
  <c r="H1776" i="8"/>
  <c r="J1775" i="8"/>
  <c r="I1775" i="8"/>
  <c r="H1775" i="8"/>
  <c r="J1774" i="8"/>
  <c r="I1774" i="8"/>
  <c r="H1774" i="8"/>
  <c r="J1773" i="8"/>
  <c r="I1773" i="8"/>
  <c r="H1773" i="8"/>
  <c r="J1772" i="8"/>
  <c r="I1772" i="8"/>
  <c r="H1772" i="8"/>
  <c r="J1771" i="8"/>
  <c r="I1771" i="8"/>
  <c r="H1771" i="8"/>
  <c r="J1770" i="8"/>
  <c r="I1770" i="8"/>
  <c r="H1770" i="8"/>
  <c r="J1769" i="8"/>
  <c r="I1769" i="8"/>
  <c r="H1769" i="8"/>
  <c r="J1768" i="8"/>
  <c r="I1768" i="8"/>
  <c r="H1768" i="8"/>
  <c r="J1767" i="8"/>
  <c r="I1767" i="8"/>
  <c r="H1767" i="8"/>
  <c r="J1766" i="8"/>
  <c r="I1766" i="8"/>
  <c r="H1766" i="8"/>
  <c r="J1765" i="8"/>
  <c r="I1765" i="8"/>
  <c r="H1765" i="8"/>
  <c r="J1764" i="8"/>
  <c r="I1764" i="8"/>
  <c r="H1764" i="8"/>
  <c r="J1763" i="8"/>
  <c r="I1763" i="8"/>
  <c r="H1763" i="8"/>
  <c r="J1762" i="8"/>
  <c r="I1762" i="8"/>
  <c r="H1762" i="8"/>
  <c r="J1761" i="8"/>
  <c r="I1761" i="8"/>
  <c r="H1761" i="8"/>
  <c r="J1760" i="8"/>
  <c r="I1760" i="8"/>
  <c r="H1760" i="8"/>
  <c r="J1759" i="8"/>
  <c r="I1759" i="8"/>
  <c r="H1759" i="8"/>
  <c r="J1758" i="8"/>
  <c r="I1758" i="8"/>
  <c r="H1758" i="8"/>
  <c r="J1757" i="8"/>
  <c r="I1757" i="8"/>
  <c r="H1757" i="8"/>
  <c r="J1756" i="8"/>
  <c r="I1756" i="8"/>
  <c r="H1756" i="8"/>
  <c r="J1755" i="8"/>
  <c r="I1755" i="8"/>
  <c r="H1755" i="8"/>
  <c r="J1754" i="8"/>
  <c r="I1754" i="8"/>
  <c r="H1754" i="8"/>
  <c r="J1753" i="8"/>
  <c r="I1753" i="8"/>
  <c r="H1753" i="8"/>
  <c r="J1752" i="8"/>
  <c r="I1752" i="8"/>
  <c r="H1752" i="8"/>
  <c r="J1751" i="8"/>
  <c r="I1751" i="8"/>
  <c r="H1751" i="8"/>
  <c r="J1750" i="8"/>
  <c r="I1750" i="8"/>
  <c r="H1750" i="8"/>
  <c r="J1749" i="8"/>
  <c r="I1749" i="8"/>
  <c r="H1749" i="8"/>
  <c r="J1748" i="8"/>
  <c r="I1748" i="8"/>
  <c r="H1748" i="8"/>
  <c r="J1747" i="8"/>
  <c r="I1747" i="8"/>
  <c r="H1747" i="8"/>
  <c r="J1746" i="8"/>
  <c r="I1746" i="8"/>
  <c r="H1746" i="8"/>
  <c r="J1745" i="8"/>
  <c r="I1745" i="8"/>
  <c r="H1745" i="8"/>
  <c r="J1744" i="8"/>
  <c r="I1744" i="8"/>
  <c r="H1744" i="8"/>
  <c r="J1743" i="8"/>
  <c r="I1743" i="8"/>
  <c r="H1743" i="8"/>
  <c r="J1742" i="8"/>
  <c r="I1742" i="8"/>
  <c r="H1742" i="8"/>
  <c r="J1741" i="8"/>
  <c r="I1741" i="8"/>
  <c r="H1741" i="8"/>
  <c r="J1740" i="8"/>
  <c r="I1740" i="8"/>
  <c r="H1740" i="8"/>
  <c r="J1739" i="8"/>
  <c r="I1739" i="8"/>
  <c r="H1739" i="8"/>
  <c r="J1738" i="8"/>
  <c r="I1738" i="8"/>
  <c r="H1738" i="8"/>
  <c r="J1737" i="8"/>
  <c r="I1737" i="8"/>
  <c r="H1737" i="8"/>
  <c r="J1736" i="8"/>
  <c r="I1736" i="8"/>
  <c r="H1736" i="8"/>
  <c r="J1735" i="8"/>
  <c r="I1735" i="8"/>
  <c r="H1735" i="8"/>
  <c r="J1734" i="8"/>
  <c r="I1734" i="8"/>
  <c r="H1734" i="8"/>
  <c r="J1733" i="8"/>
  <c r="I1733" i="8"/>
  <c r="H1733" i="8"/>
  <c r="J1732" i="8"/>
  <c r="I1732" i="8"/>
  <c r="H1732" i="8"/>
  <c r="J1731" i="8"/>
  <c r="I1731" i="8"/>
  <c r="H1731" i="8"/>
  <c r="J1730" i="8"/>
  <c r="I1730" i="8"/>
  <c r="H1730" i="8"/>
  <c r="J1729" i="8"/>
  <c r="I1729" i="8"/>
  <c r="H1729" i="8"/>
  <c r="J1728" i="8"/>
  <c r="I1728" i="8"/>
  <c r="H1728" i="8"/>
  <c r="J1727" i="8"/>
  <c r="I1727" i="8"/>
  <c r="H1727" i="8"/>
  <c r="J1726" i="8"/>
  <c r="I1726" i="8"/>
  <c r="H1726" i="8"/>
  <c r="J1725" i="8"/>
  <c r="I1725" i="8"/>
  <c r="H1725" i="8"/>
  <c r="J1724" i="8"/>
  <c r="I1724" i="8"/>
  <c r="H1724" i="8"/>
  <c r="J1723" i="8"/>
  <c r="I1723" i="8"/>
  <c r="H1723" i="8"/>
  <c r="J1722" i="8"/>
  <c r="I1722" i="8"/>
  <c r="H1722" i="8"/>
  <c r="J1721" i="8"/>
  <c r="I1721" i="8"/>
  <c r="H1721" i="8"/>
  <c r="J1720" i="8"/>
  <c r="I1720" i="8"/>
  <c r="H1720" i="8"/>
  <c r="J1719" i="8"/>
  <c r="I1719" i="8"/>
  <c r="H1719" i="8"/>
  <c r="J1718" i="8"/>
  <c r="I1718" i="8"/>
  <c r="H1718" i="8"/>
  <c r="J1717" i="8"/>
  <c r="I1717" i="8"/>
  <c r="H1717" i="8"/>
  <c r="J1716" i="8"/>
  <c r="I1716" i="8"/>
  <c r="H1716" i="8"/>
  <c r="J1715" i="8"/>
  <c r="I1715" i="8"/>
  <c r="H1715" i="8"/>
  <c r="J1714" i="8"/>
  <c r="I1714" i="8"/>
  <c r="H1714" i="8"/>
  <c r="J1713" i="8"/>
  <c r="I1713" i="8"/>
  <c r="H1713" i="8"/>
  <c r="J1712" i="8"/>
  <c r="I1712" i="8"/>
  <c r="H1712" i="8"/>
  <c r="J1711" i="8"/>
  <c r="I1711" i="8"/>
  <c r="H1711" i="8"/>
  <c r="J1710" i="8"/>
  <c r="I1710" i="8"/>
  <c r="H1710" i="8"/>
  <c r="J1709" i="8"/>
  <c r="I1709" i="8"/>
  <c r="H1709" i="8"/>
  <c r="J1708" i="8"/>
  <c r="I1708" i="8"/>
  <c r="H1708" i="8"/>
  <c r="J1707" i="8"/>
  <c r="I1707" i="8"/>
  <c r="H1707" i="8"/>
  <c r="J1706" i="8"/>
  <c r="I1706" i="8"/>
  <c r="H1706" i="8"/>
  <c r="J1705" i="8"/>
  <c r="I1705" i="8"/>
  <c r="H1705" i="8"/>
  <c r="J1704" i="8"/>
  <c r="I1704" i="8"/>
  <c r="H1704" i="8"/>
  <c r="J1703" i="8"/>
  <c r="I1703" i="8"/>
  <c r="H1703" i="8"/>
  <c r="J1702" i="8"/>
  <c r="I1702" i="8"/>
  <c r="H1702" i="8"/>
  <c r="J1701" i="8"/>
  <c r="I1701" i="8"/>
  <c r="H1701" i="8"/>
  <c r="J1700" i="8"/>
  <c r="I1700" i="8"/>
  <c r="H1700" i="8"/>
  <c r="J1699" i="8"/>
  <c r="I1699" i="8"/>
  <c r="H1699" i="8"/>
  <c r="J1698" i="8"/>
  <c r="I1698" i="8"/>
  <c r="H1698" i="8"/>
  <c r="J1697" i="8"/>
  <c r="I1697" i="8"/>
  <c r="H1697" i="8"/>
  <c r="J1696" i="8"/>
  <c r="I1696" i="8"/>
  <c r="H1696" i="8"/>
  <c r="J1695" i="8"/>
  <c r="I1695" i="8"/>
  <c r="H1695" i="8"/>
  <c r="J1694" i="8"/>
  <c r="I1694" i="8"/>
  <c r="H1694" i="8"/>
  <c r="J1693" i="8"/>
  <c r="I1693" i="8"/>
  <c r="H1693" i="8"/>
  <c r="J1692" i="8"/>
  <c r="I1692" i="8"/>
  <c r="H1692" i="8"/>
  <c r="J1691" i="8"/>
  <c r="I1691" i="8"/>
  <c r="H1691" i="8"/>
  <c r="J1690" i="8"/>
  <c r="I1690" i="8"/>
  <c r="H1690" i="8"/>
  <c r="J1689" i="8"/>
  <c r="I1689" i="8"/>
  <c r="H1689" i="8"/>
  <c r="J1688" i="8"/>
  <c r="I1688" i="8"/>
  <c r="H1688" i="8"/>
  <c r="J1687" i="8"/>
  <c r="I1687" i="8"/>
  <c r="H1687" i="8"/>
  <c r="J1686" i="8"/>
  <c r="I1686" i="8"/>
  <c r="H1686" i="8"/>
  <c r="J1685" i="8"/>
  <c r="I1685" i="8"/>
  <c r="H1685" i="8"/>
  <c r="J1684" i="8"/>
  <c r="I1684" i="8"/>
  <c r="H1684" i="8"/>
  <c r="J1683" i="8"/>
  <c r="I1683" i="8"/>
  <c r="H1683" i="8"/>
  <c r="J1682" i="8"/>
  <c r="I1682" i="8"/>
  <c r="H1682" i="8"/>
  <c r="J1681" i="8"/>
  <c r="I1681" i="8"/>
  <c r="H1681" i="8"/>
  <c r="J1680" i="8"/>
  <c r="I1680" i="8"/>
  <c r="H1680" i="8"/>
  <c r="J1679" i="8"/>
  <c r="I1679" i="8"/>
  <c r="H1679" i="8"/>
  <c r="J1678" i="8"/>
  <c r="I1678" i="8"/>
  <c r="H1678" i="8"/>
  <c r="J1677" i="8"/>
  <c r="I1677" i="8"/>
  <c r="H1677" i="8"/>
  <c r="J1676" i="8"/>
  <c r="I1676" i="8"/>
  <c r="H1676" i="8"/>
  <c r="J1675" i="8"/>
  <c r="I1675" i="8"/>
  <c r="H1675" i="8"/>
  <c r="J1674" i="8"/>
  <c r="I1674" i="8"/>
  <c r="H1674" i="8"/>
  <c r="J1673" i="8"/>
  <c r="I1673" i="8"/>
  <c r="H1673" i="8"/>
  <c r="J1672" i="8"/>
  <c r="I1672" i="8"/>
  <c r="H1672" i="8"/>
  <c r="J1671" i="8"/>
  <c r="I1671" i="8"/>
  <c r="H1671" i="8"/>
  <c r="J1670" i="8"/>
  <c r="I1670" i="8"/>
  <c r="H1670" i="8"/>
  <c r="J1669" i="8"/>
  <c r="I1669" i="8"/>
  <c r="H1669" i="8"/>
  <c r="J1668" i="8"/>
  <c r="I1668" i="8"/>
  <c r="H1668" i="8"/>
  <c r="J1667" i="8"/>
  <c r="I1667" i="8"/>
  <c r="H1667" i="8"/>
  <c r="J1666" i="8"/>
  <c r="I1666" i="8"/>
  <c r="H1666" i="8"/>
  <c r="J1665" i="8"/>
  <c r="I1665" i="8"/>
  <c r="H1665" i="8"/>
  <c r="J1664" i="8"/>
  <c r="I1664" i="8"/>
  <c r="H1664" i="8"/>
  <c r="J1663" i="8"/>
  <c r="I1663" i="8"/>
  <c r="H1663" i="8"/>
  <c r="J1662" i="8"/>
  <c r="I1662" i="8"/>
  <c r="H1662" i="8"/>
  <c r="J1661" i="8"/>
  <c r="I1661" i="8"/>
  <c r="H1661" i="8"/>
  <c r="J1660" i="8"/>
  <c r="I1660" i="8"/>
  <c r="H1660" i="8"/>
  <c r="J1659" i="8"/>
  <c r="I1659" i="8"/>
  <c r="H1659" i="8"/>
  <c r="J1658" i="8"/>
  <c r="I1658" i="8"/>
  <c r="H1658" i="8"/>
  <c r="J1657" i="8"/>
  <c r="I1657" i="8"/>
  <c r="H1657" i="8"/>
  <c r="J1656" i="8"/>
  <c r="I1656" i="8"/>
  <c r="H1656" i="8"/>
  <c r="J1655" i="8"/>
  <c r="I1655" i="8"/>
  <c r="H1655" i="8"/>
  <c r="J1654" i="8"/>
  <c r="I1654" i="8"/>
  <c r="H1654" i="8"/>
  <c r="J1653" i="8"/>
  <c r="I1653" i="8"/>
  <c r="H1653" i="8"/>
  <c r="J1652" i="8"/>
  <c r="I1652" i="8"/>
  <c r="H1652" i="8"/>
  <c r="J1651" i="8"/>
  <c r="I1651" i="8"/>
  <c r="H1651" i="8"/>
  <c r="J1650" i="8"/>
  <c r="I1650" i="8"/>
  <c r="H1650" i="8"/>
  <c r="J1649" i="8"/>
  <c r="I1649" i="8"/>
  <c r="H1649" i="8"/>
  <c r="J1648" i="8"/>
  <c r="I1648" i="8"/>
  <c r="H1648" i="8"/>
  <c r="J1647" i="8"/>
  <c r="I1647" i="8"/>
  <c r="H1647" i="8"/>
  <c r="J1646" i="8"/>
  <c r="I1646" i="8"/>
  <c r="H1646" i="8"/>
  <c r="J1645" i="8"/>
  <c r="I1645" i="8"/>
  <c r="H1645" i="8"/>
  <c r="J1644" i="8"/>
  <c r="I1644" i="8"/>
  <c r="H1644" i="8"/>
  <c r="J1643" i="8"/>
  <c r="I1643" i="8"/>
  <c r="H1643" i="8"/>
  <c r="J1642" i="8"/>
  <c r="I1642" i="8"/>
  <c r="H1642" i="8"/>
  <c r="J1641" i="8"/>
  <c r="I1641" i="8"/>
  <c r="H1641" i="8"/>
  <c r="J1640" i="8"/>
  <c r="I1640" i="8"/>
  <c r="H1640" i="8"/>
  <c r="J1639" i="8"/>
  <c r="I1639" i="8"/>
  <c r="H1639" i="8"/>
  <c r="J1638" i="8"/>
  <c r="I1638" i="8"/>
  <c r="H1638" i="8"/>
  <c r="J1637" i="8"/>
  <c r="I1637" i="8"/>
  <c r="H1637" i="8"/>
  <c r="J1636" i="8"/>
  <c r="I1636" i="8"/>
  <c r="H1636" i="8"/>
  <c r="J1635" i="8"/>
  <c r="I1635" i="8"/>
  <c r="H1635" i="8"/>
  <c r="J1634" i="8"/>
  <c r="I1634" i="8"/>
  <c r="H1634" i="8"/>
  <c r="J1633" i="8"/>
  <c r="I1633" i="8"/>
  <c r="H1633" i="8"/>
  <c r="J1632" i="8"/>
  <c r="I1632" i="8"/>
  <c r="H1632" i="8"/>
  <c r="J1631" i="8"/>
  <c r="I1631" i="8"/>
  <c r="H1631" i="8"/>
  <c r="J1630" i="8"/>
  <c r="I1630" i="8"/>
  <c r="H1630" i="8"/>
  <c r="J1629" i="8"/>
  <c r="I1629" i="8"/>
  <c r="H1629" i="8"/>
  <c r="J1628" i="8"/>
  <c r="I1628" i="8"/>
  <c r="H1628" i="8"/>
  <c r="J1627" i="8"/>
  <c r="I1627" i="8"/>
  <c r="H1627" i="8"/>
  <c r="J1626" i="8"/>
  <c r="I1626" i="8"/>
  <c r="H1626" i="8"/>
  <c r="J1625" i="8"/>
  <c r="I1625" i="8"/>
  <c r="H1625" i="8"/>
  <c r="J1624" i="8"/>
  <c r="I1624" i="8"/>
  <c r="H1624" i="8"/>
  <c r="J1623" i="8"/>
  <c r="I1623" i="8"/>
  <c r="H1623" i="8"/>
  <c r="J1622" i="8"/>
  <c r="I1622" i="8"/>
  <c r="H1622" i="8"/>
  <c r="J1621" i="8"/>
  <c r="I1621" i="8"/>
  <c r="H1621" i="8"/>
  <c r="J1620" i="8"/>
  <c r="I1620" i="8"/>
  <c r="H1620" i="8"/>
  <c r="J1619" i="8"/>
  <c r="I1619" i="8"/>
  <c r="H1619" i="8"/>
  <c r="J1618" i="8"/>
  <c r="I1618" i="8"/>
  <c r="H1618" i="8"/>
  <c r="J1617" i="8"/>
  <c r="I1617" i="8"/>
  <c r="H1617" i="8"/>
  <c r="J1616" i="8"/>
  <c r="I1616" i="8"/>
  <c r="H1616" i="8"/>
  <c r="J1615" i="8"/>
  <c r="I1615" i="8"/>
  <c r="H1615" i="8"/>
  <c r="J1614" i="8"/>
  <c r="I1614" i="8"/>
  <c r="H1614" i="8"/>
  <c r="J1613" i="8"/>
  <c r="I1613" i="8"/>
  <c r="H1613" i="8"/>
  <c r="J1612" i="8"/>
  <c r="I1612" i="8"/>
  <c r="H1612" i="8"/>
  <c r="J1611" i="8"/>
  <c r="I1611" i="8"/>
  <c r="H1611" i="8"/>
  <c r="J1610" i="8"/>
  <c r="I1610" i="8"/>
  <c r="H1610" i="8"/>
  <c r="J1609" i="8"/>
  <c r="I1609" i="8"/>
  <c r="H1609" i="8"/>
  <c r="J1608" i="8"/>
  <c r="I1608" i="8"/>
  <c r="H1608" i="8"/>
  <c r="J1607" i="8"/>
  <c r="I1607" i="8"/>
  <c r="H1607" i="8"/>
  <c r="J1606" i="8"/>
  <c r="I1606" i="8"/>
  <c r="H1606" i="8"/>
  <c r="J1605" i="8"/>
  <c r="I1605" i="8"/>
  <c r="H1605" i="8"/>
  <c r="J1604" i="8"/>
  <c r="I1604" i="8"/>
  <c r="H1604" i="8"/>
  <c r="J1603" i="8"/>
  <c r="I1603" i="8"/>
  <c r="H1603" i="8"/>
  <c r="J1602" i="8"/>
  <c r="I1602" i="8"/>
  <c r="H1602" i="8"/>
  <c r="J1601" i="8"/>
  <c r="I1601" i="8"/>
  <c r="H1601" i="8"/>
  <c r="J1600" i="8"/>
  <c r="I1600" i="8"/>
  <c r="H1600" i="8"/>
  <c r="J1599" i="8"/>
  <c r="I1599" i="8"/>
  <c r="H1599" i="8"/>
  <c r="J1598" i="8"/>
  <c r="I1598" i="8"/>
  <c r="H1598" i="8"/>
  <c r="J1597" i="8"/>
  <c r="I1597" i="8"/>
  <c r="H1597" i="8"/>
  <c r="J1596" i="8"/>
  <c r="I1596" i="8"/>
  <c r="H1596" i="8"/>
  <c r="J1595" i="8"/>
  <c r="I1595" i="8"/>
  <c r="H1595" i="8"/>
  <c r="J1594" i="8"/>
  <c r="I1594" i="8"/>
  <c r="H1594" i="8"/>
  <c r="J1593" i="8"/>
  <c r="I1593" i="8"/>
  <c r="H1593" i="8"/>
  <c r="J1592" i="8"/>
  <c r="I1592" i="8"/>
  <c r="H1592" i="8"/>
  <c r="J1591" i="8"/>
  <c r="I1591" i="8"/>
  <c r="H1591" i="8"/>
  <c r="J1590" i="8"/>
  <c r="I1590" i="8"/>
  <c r="H1590" i="8"/>
  <c r="J1589" i="8"/>
  <c r="I1589" i="8"/>
  <c r="H1589" i="8"/>
  <c r="J1588" i="8"/>
  <c r="I1588" i="8"/>
  <c r="H1588" i="8"/>
  <c r="J1587" i="8"/>
  <c r="I1587" i="8"/>
  <c r="H1587" i="8"/>
  <c r="J1586" i="8"/>
  <c r="I1586" i="8"/>
  <c r="H1586" i="8"/>
  <c r="J1585" i="8"/>
  <c r="I1585" i="8"/>
  <c r="H1585" i="8"/>
  <c r="J1584" i="8"/>
  <c r="I1584" i="8"/>
  <c r="H1584" i="8"/>
  <c r="J1583" i="8"/>
  <c r="I1583" i="8"/>
  <c r="H1583" i="8"/>
  <c r="J1582" i="8"/>
  <c r="I1582" i="8"/>
  <c r="H1582" i="8"/>
  <c r="J1581" i="8"/>
  <c r="I1581" i="8"/>
  <c r="H1581" i="8"/>
  <c r="J1580" i="8"/>
  <c r="I1580" i="8"/>
  <c r="H1580" i="8"/>
  <c r="J1579" i="8"/>
  <c r="I1579" i="8"/>
  <c r="H1579" i="8"/>
  <c r="J1578" i="8"/>
  <c r="I1578" i="8"/>
  <c r="H1578" i="8"/>
  <c r="J1577" i="8"/>
  <c r="I1577" i="8"/>
  <c r="H1577" i="8"/>
  <c r="J1576" i="8"/>
  <c r="I1576" i="8"/>
  <c r="H1576" i="8"/>
  <c r="J1575" i="8"/>
  <c r="I1575" i="8"/>
  <c r="H1575" i="8"/>
  <c r="J1574" i="8"/>
  <c r="I1574" i="8"/>
  <c r="H1574" i="8"/>
  <c r="J1573" i="8"/>
  <c r="I1573" i="8"/>
  <c r="H1573" i="8"/>
  <c r="J1572" i="8"/>
  <c r="I1572" i="8"/>
  <c r="H1572" i="8"/>
  <c r="J1571" i="8"/>
  <c r="I1571" i="8"/>
  <c r="H1571" i="8"/>
  <c r="J1570" i="8"/>
  <c r="I1570" i="8"/>
  <c r="H1570" i="8"/>
  <c r="J1569" i="8"/>
  <c r="I1569" i="8"/>
  <c r="H1569" i="8"/>
  <c r="J1568" i="8"/>
  <c r="I1568" i="8"/>
  <c r="H1568" i="8"/>
  <c r="J1567" i="8"/>
  <c r="I1567" i="8"/>
  <c r="H1567" i="8"/>
  <c r="J1566" i="8"/>
  <c r="I1566" i="8"/>
  <c r="H1566" i="8"/>
  <c r="J1565" i="8"/>
  <c r="I1565" i="8"/>
  <c r="H1565" i="8"/>
  <c r="J1564" i="8"/>
  <c r="I1564" i="8"/>
  <c r="H1564" i="8"/>
  <c r="J1563" i="8"/>
  <c r="I1563" i="8"/>
  <c r="H1563" i="8"/>
  <c r="J1562" i="8"/>
  <c r="I1562" i="8"/>
  <c r="H1562" i="8"/>
  <c r="J1561" i="8"/>
  <c r="I1561" i="8"/>
  <c r="H1561" i="8"/>
  <c r="J1560" i="8"/>
  <c r="I1560" i="8"/>
  <c r="H1560" i="8"/>
  <c r="J1559" i="8"/>
  <c r="I1559" i="8"/>
  <c r="H1559" i="8"/>
  <c r="J1558" i="8"/>
  <c r="I1558" i="8"/>
  <c r="H1558" i="8"/>
  <c r="J1557" i="8"/>
  <c r="I1557" i="8"/>
  <c r="H1557" i="8"/>
  <c r="J1556" i="8"/>
  <c r="I1556" i="8"/>
  <c r="H1556" i="8"/>
  <c r="J1555" i="8"/>
  <c r="I1555" i="8"/>
  <c r="H1555" i="8"/>
  <c r="J1554" i="8"/>
  <c r="I1554" i="8"/>
  <c r="H1554" i="8"/>
  <c r="J1553" i="8"/>
  <c r="I1553" i="8"/>
  <c r="H1553" i="8"/>
  <c r="J1552" i="8"/>
  <c r="I1552" i="8"/>
  <c r="H1552" i="8"/>
  <c r="J1551" i="8"/>
  <c r="I1551" i="8"/>
  <c r="H1551" i="8"/>
  <c r="J1550" i="8"/>
  <c r="I1550" i="8"/>
  <c r="H1550" i="8"/>
  <c r="J1549" i="8"/>
  <c r="I1549" i="8"/>
  <c r="H1549" i="8"/>
  <c r="J1548" i="8"/>
  <c r="I1548" i="8"/>
  <c r="H1548" i="8"/>
  <c r="J1547" i="8"/>
  <c r="I1547" i="8"/>
  <c r="H1547" i="8"/>
  <c r="J1546" i="8"/>
  <c r="I1546" i="8"/>
  <c r="H1546" i="8"/>
  <c r="J1545" i="8"/>
  <c r="I1545" i="8"/>
  <c r="H1545" i="8"/>
  <c r="J1544" i="8"/>
  <c r="I1544" i="8"/>
  <c r="H1544" i="8"/>
  <c r="J1543" i="8"/>
  <c r="I1543" i="8"/>
  <c r="H1543" i="8"/>
  <c r="J1542" i="8"/>
  <c r="I1542" i="8"/>
  <c r="H1542" i="8"/>
  <c r="J1541" i="8"/>
  <c r="I1541" i="8"/>
  <c r="H1541" i="8"/>
  <c r="J1540" i="8"/>
  <c r="I1540" i="8"/>
  <c r="H1540" i="8"/>
  <c r="J1539" i="8"/>
  <c r="I1539" i="8"/>
  <c r="H1539" i="8"/>
  <c r="J1538" i="8"/>
  <c r="I1538" i="8"/>
  <c r="H1538" i="8"/>
  <c r="J1537" i="8"/>
  <c r="I1537" i="8"/>
  <c r="H1537" i="8"/>
  <c r="J1536" i="8"/>
  <c r="I1536" i="8"/>
  <c r="H1536" i="8"/>
  <c r="J1535" i="8"/>
  <c r="I1535" i="8"/>
  <c r="H1535" i="8"/>
  <c r="J1534" i="8"/>
  <c r="I1534" i="8"/>
  <c r="H1534" i="8"/>
  <c r="J1533" i="8"/>
  <c r="I1533" i="8"/>
  <c r="H1533" i="8"/>
  <c r="J1532" i="8"/>
  <c r="I1532" i="8"/>
  <c r="H1532" i="8"/>
  <c r="J1531" i="8"/>
  <c r="I1531" i="8"/>
  <c r="H1531" i="8"/>
  <c r="J1530" i="8"/>
  <c r="I1530" i="8"/>
  <c r="H1530" i="8"/>
  <c r="J1529" i="8"/>
  <c r="I1529" i="8"/>
  <c r="H1529" i="8"/>
  <c r="J1528" i="8"/>
  <c r="I1528" i="8"/>
  <c r="H1528" i="8"/>
  <c r="J1527" i="8"/>
  <c r="I1527" i="8"/>
  <c r="H1527" i="8"/>
  <c r="J1526" i="8"/>
  <c r="I1526" i="8"/>
  <c r="H1526" i="8"/>
  <c r="J1525" i="8"/>
  <c r="I1525" i="8"/>
  <c r="H1525" i="8"/>
  <c r="J1524" i="8"/>
  <c r="I1524" i="8"/>
  <c r="H1524" i="8"/>
  <c r="J1523" i="8"/>
  <c r="I1523" i="8"/>
  <c r="H1523" i="8"/>
  <c r="J1522" i="8"/>
  <c r="I1522" i="8"/>
  <c r="H1522" i="8"/>
  <c r="J1521" i="8"/>
  <c r="I1521" i="8"/>
  <c r="H1521" i="8"/>
  <c r="J1520" i="8"/>
  <c r="I1520" i="8"/>
  <c r="H1520" i="8"/>
  <c r="J1519" i="8"/>
  <c r="I1519" i="8"/>
  <c r="H1519" i="8"/>
  <c r="J1518" i="8"/>
  <c r="I1518" i="8"/>
  <c r="H1518" i="8"/>
  <c r="J1517" i="8"/>
  <c r="I1517" i="8"/>
  <c r="H1517" i="8"/>
  <c r="J1516" i="8"/>
  <c r="I1516" i="8"/>
  <c r="H1516" i="8"/>
  <c r="J1515" i="8"/>
  <c r="I1515" i="8"/>
  <c r="H1515" i="8"/>
  <c r="J1514" i="8"/>
  <c r="I1514" i="8"/>
  <c r="H1514" i="8"/>
  <c r="J1513" i="8"/>
  <c r="I1513" i="8"/>
  <c r="H1513" i="8"/>
  <c r="J1512" i="8"/>
  <c r="I1512" i="8"/>
  <c r="H1512" i="8"/>
  <c r="J1511" i="8"/>
  <c r="I1511" i="8"/>
  <c r="H1511" i="8"/>
  <c r="J1510" i="8"/>
  <c r="I1510" i="8"/>
  <c r="H1510" i="8"/>
  <c r="J1509" i="8"/>
  <c r="I1509" i="8"/>
  <c r="H1509" i="8"/>
  <c r="J1508" i="8"/>
  <c r="I1508" i="8"/>
  <c r="H1508" i="8"/>
  <c r="J1507" i="8"/>
  <c r="I1507" i="8"/>
  <c r="H1507" i="8"/>
  <c r="J1506" i="8"/>
  <c r="I1506" i="8"/>
  <c r="H1506" i="8"/>
  <c r="J1505" i="8"/>
  <c r="I1505" i="8"/>
  <c r="H1505" i="8"/>
  <c r="J1504" i="8"/>
  <c r="I1504" i="8"/>
  <c r="H1504" i="8"/>
  <c r="J1503" i="8"/>
  <c r="I1503" i="8"/>
  <c r="H1503" i="8"/>
  <c r="J1502" i="8"/>
  <c r="I1502" i="8"/>
  <c r="H1502" i="8"/>
  <c r="J1501" i="8"/>
  <c r="I1501" i="8"/>
  <c r="H1501" i="8"/>
  <c r="J1500" i="8"/>
  <c r="I1500" i="8"/>
  <c r="H1500" i="8"/>
  <c r="J1499" i="8"/>
  <c r="I1499" i="8"/>
  <c r="H1499" i="8"/>
  <c r="J1498" i="8"/>
  <c r="I1498" i="8"/>
  <c r="H1498" i="8"/>
  <c r="J1497" i="8"/>
  <c r="I1497" i="8"/>
  <c r="H1497" i="8"/>
  <c r="J1496" i="8"/>
  <c r="I1496" i="8"/>
  <c r="H1496" i="8"/>
  <c r="J1495" i="8"/>
  <c r="I1495" i="8"/>
  <c r="H1495" i="8"/>
  <c r="J1494" i="8"/>
  <c r="I1494" i="8"/>
  <c r="H1494" i="8"/>
  <c r="J1493" i="8"/>
  <c r="I1493" i="8"/>
  <c r="H1493" i="8"/>
  <c r="J1492" i="8"/>
  <c r="I1492" i="8"/>
  <c r="H1492" i="8"/>
  <c r="J1491" i="8"/>
  <c r="I1491" i="8"/>
  <c r="H1491" i="8"/>
  <c r="J1490" i="8"/>
  <c r="I1490" i="8"/>
  <c r="H1490" i="8"/>
  <c r="J1489" i="8"/>
  <c r="I1489" i="8"/>
  <c r="H1489" i="8"/>
  <c r="J1488" i="8"/>
  <c r="I1488" i="8"/>
  <c r="H1488" i="8"/>
  <c r="J1487" i="8"/>
  <c r="I1487" i="8"/>
  <c r="H1487" i="8"/>
  <c r="J1486" i="8"/>
  <c r="I1486" i="8"/>
  <c r="H1486" i="8"/>
  <c r="J1485" i="8"/>
  <c r="I1485" i="8"/>
  <c r="H1485" i="8"/>
  <c r="J1484" i="8"/>
  <c r="I1484" i="8"/>
  <c r="H1484" i="8"/>
  <c r="J1483" i="8"/>
  <c r="I1483" i="8"/>
  <c r="H1483" i="8"/>
  <c r="J1482" i="8"/>
  <c r="I1482" i="8"/>
  <c r="H1482" i="8"/>
  <c r="J1481" i="8"/>
  <c r="I1481" i="8"/>
  <c r="H1481" i="8"/>
  <c r="J1480" i="8"/>
  <c r="I1480" i="8"/>
  <c r="H1480" i="8"/>
  <c r="J1479" i="8"/>
  <c r="I1479" i="8"/>
  <c r="H1479" i="8"/>
  <c r="J1478" i="8"/>
  <c r="I1478" i="8"/>
  <c r="H1478" i="8"/>
  <c r="J1477" i="8"/>
  <c r="I1477" i="8"/>
  <c r="H1477" i="8"/>
  <c r="J1476" i="8"/>
  <c r="I1476" i="8"/>
  <c r="H1476" i="8"/>
  <c r="J1475" i="8"/>
  <c r="I1475" i="8"/>
  <c r="H1475" i="8"/>
  <c r="J1474" i="8"/>
  <c r="I1474" i="8"/>
  <c r="H1474" i="8"/>
  <c r="J1473" i="8"/>
  <c r="I1473" i="8"/>
  <c r="H1473" i="8"/>
  <c r="J1472" i="8"/>
  <c r="I1472" i="8"/>
  <c r="H1472" i="8"/>
  <c r="J1471" i="8"/>
  <c r="I1471" i="8"/>
  <c r="H1471" i="8"/>
  <c r="J1470" i="8"/>
  <c r="I1470" i="8"/>
  <c r="H1470" i="8"/>
  <c r="J1469" i="8"/>
  <c r="I1469" i="8"/>
  <c r="H1469" i="8"/>
  <c r="J1468" i="8"/>
  <c r="I1468" i="8"/>
  <c r="H1468" i="8"/>
  <c r="J1467" i="8"/>
  <c r="I1467" i="8"/>
  <c r="H1467" i="8"/>
  <c r="J1466" i="8"/>
  <c r="I1466" i="8"/>
  <c r="H1466" i="8"/>
  <c r="J1465" i="8"/>
  <c r="I1465" i="8"/>
  <c r="H1465" i="8"/>
  <c r="J1464" i="8"/>
  <c r="I1464" i="8"/>
  <c r="H1464" i="8"/>
  <c r="J1463" i="8"/>
  <c r="I1463" i="8"/>
  <c r="H1463" i="8"/>
  <c r="J1462" i="8"/>
  <c r="I1462" i="8"/>
  <c r="H1462" i="8"/>
  <c r="J1461" i="8"/>
  <c r="I1461" i="8"/>
  <c r="H1461" i="8"/>
  <c r="J1460" i="8"/>
  <c r="I1460" i="8"/>
  <c r="H1460" i="8"/>
  <c r="J1459" i="8"/>
  <c r="I1459" i="8"/>
  <c r="H1459" i="8"/>
  <c r="J1458" i="8"/>
  <c r="I1458" i="8"/>
  <c r="H1458" i="8"/>
  <c r="J1457" i="8"/>
  <c r="I1457" i="8"/>
  <c r="H1457" i="8"/>
  <c r="J1456" i="8"/>
  <c r="I1456" i="8"/>
  <c r="H1456" i="8"/>
  <c r="J1455" i="8"/>
  <c r="I1455" i="8"/>
  <c r="H1455" i="8"/>
  <c r="J1454" i="8"/>
  <c r="I1454" i="8"/>
  <c r="H1454" i="8"/>
  <c r="J1453" i="8"/>
  <c r="I1453" i="8"/>
  <c r="H1453" i="8"/>
  <c r="J1452" i="8"/>
  <c r="I1452" i="8"/>
  <c r="H1452" i="8"/>
  <c r="J1451" i="8"/>
  <c r="I1451" i="8"/>
  <c r="H1451" i="8"/>
  <c r="J1450" i="8"/>
  <c r="I1450" i="8"/>
  <c r="H1450" i="8"/>
  <c r="J1449" i="8"/>
  <c r="I1449" i="8"/>
  <c r="H1449" i="8"/>
  <c r="J1448" i="8"/>
  <c r="I1448" i="8"/>
  <c r="H1448" i="8"/>
  <c r="J1447" i="8"/>
  <c r="I1447" i="8"/>
  <c r="H1447" i="8"/>
  <c r="J1446" i="8"/>
  <c r="I1446" i="8"/>
  <c r="H1446" i="8"/>
  <c r="J1445" i="8"/>
  <c r="I1445" i="8"/>
  <c r="H1445" i="8"/>
  <c r="J1444" i="8"/>
  <c r="I1444" i="8"/>
  <c r="H1444" i="8"/>
  <c r="J1443" i="8"/>
  <c r="I1443" i="8"/>
  <c r="H1443" i="8"/>
  <c r="J1442" i="8"/>
  <c r="I1442" i="8"/>
  <c r="H1442" i="8"/>
  <c r="J1441" i="8"/>
  <c r="I1441" i="8"/>
  <c r="H1441" i="8"/>
  <c r="J1440" i="8"/>
  <c r="I1440" i="8"/>
  <c r="H1440" i="8"/>
  <c r="J1439" i="8"/>
  <c r="I1439" i="8"/>
  <c r="H1439" i="8"/>
  <c r="J1438" i="8"/>
  <c r="I1438" i="8"/>
  <c r="H1438" i="8"/>
  <c r="J1437" i="8"/>
  <c r="I1437" i="8"/>
  <c r="H1437" i="8"/>
  <c r="J1436" i="8"/>
  <c r="I1436" i="8"/>
  <c r="H1436" i="8"/>
  <c r="J1435" i="8"/>
  <c r="I1435" i="8"/>
  <c r="H1435" i="8"/>
  <c r="J1434" i="8"/>
  <c r="I1434" i="8"/>
  <c r="H1434" i="8"/>
  <c r="J1433" i="8"/>
  <c r="I1433" i="8"/>
  <c r="H1433" i="8"/>
  <c r="J1432" i="8"/>
  <c r="I1432" i="8"/>
  <c r="H1432" i="8"/>
  <c r="J1431" i="8"/>
  <c r="I1431" i="8"/>
  <c r="H1431" i="8"/>
  <c r="J1430" i="8"/>
  <c r="I1430" i="8"/>
  <c r="H1430" i="8"/>
  <c r="J1429" i="8"/>
  <c r="I1429" i="8"/>
  <c r="H1429" i="8"/>
  <c r="J1428" i="8"/>
  <c r="I1428" i="8"/>
  <c r="H1428" i="8"/>
  <c r="J1427" i="8"/>
  <c r="I1427" i="8"/>
  <c r="H1427" i="8"/>
  <c r="J1426" i="8"/>
  <c r="I1426" i="8"/>
  <c r="H1426" i="8"/>
  <c r="J1425" i="8"/>
  <c r="I1425" i="8"/>
  <c r="H1425" i="8"/>
  <c r="J1424" i="8"/>
  <c r="I1424" i="8"/>
  <c r="H1424" i="8"/>
  <c r="J1423" i="8"/>
  <c r="I1423" i="8"/>
  <c r="H1423" i="8"/>
  <c r="J1422" i="8"/>
  <c r="I1422" i="8"/>
  <c r="H1422" i="8"/>
  <c r="J1421" i="8"/>
  <c r="I1421" i="8"/>
  <c r="H1421" i="8"/>
  <c r="J1420" i="8"/>
  <c r="I1420" i="8"/>
  <c r="H1420" i="8"/>
  <c r="J1419" i="8"/>
  <c r="I1419" i="8"/>
  <c r="H1419" i="8"/>
  <c r="J1418" i="8"/>
  <c r="I1418" i="8"/>
  <c r="H1418" i="8"/>
  <c r="J1417" i="8"/>
  <c r="I1417" i="8"/>
  <c r="H1417" i="8"/>
  <c r="J1416" i="8"/>
  <c r="I1416" i="8"/>
  <c r="H1416" i="8"/>
  <c r="J1415" i="8"/>
  <c r="I1415" i="8"/>
  <c r="H1415" i="8"/>
  <c r="J1414" i="8"/>
  <c r="I1414" i="8"/>
  <c r="H1414" i="8"/>
  <c r="J1413" i="8"/>
  <c r="I1413" i="8"/>
  <c r="H1413" i="8"/>
  <c r="J1412" i="8"/>
  <c r="I1412" i="8"/>
  <c r="H1412" i="8"/>
  <c r="J1411" i="8"/>
  <c r="I1411" i="8"/>
  <c r="H1411" i="8"/>
  <c r="J1410" i="8"/>
  <c r="I1410" i="8"/>
  <c r="H1410" i="8"/>
  <c r="J1409" i="8"/>
  <c r="I1409" i="8"/>
  <c r="H1409" i="8"/>
  <c r="J1408" i="8"/>
  <c r="I1408" i="8"/>
  <c r="H1408" i="8"/>
  <c r="J1407" i="8"/>
  <c r="I1407" i="8"/>
  <c r="H1407" i="8"/>
  <c r="J1406" i="8"/>
  <c r="I1406" i="8"/>
  <c r="H1406" i="8"/>
  <c r="J1405" i="8"/>
  <c r="I1405" i="8"/>
  <c r="H1405" i="8"/>
  <c r="J1404" i="8"/>
  <c r="I1404" i="8"/>
  <c r="H1404" i="8"/>
  <c r="J1403" i="8"/>
  <c r="I1403" i="8"/>
  <c r="H1403" i="8"/>
  <c r="J1402" i="8"/>
  <c r="I1402" i="8"/>
  <c r="H1402" i="8"/>
  <c r="J1401" i="8"/>
  <c r="I1401" i="8"/>
  <c r="H1401" i="8"/>
  <c r="J1400" i="8"/>
  <c r="I1400" i="8"/>
  <c r="H1400" i="8"/>
  <c r="J1399" i="8"/>
  <c r="I1399" i="8"/>
  <c r="H1399" i="8"/>
  <c r="J1398" i="8"/>
  <c r="I1398" i="8"/>
  <c r="H1398" i="8"/>
  <c r="J1397" i="8"/>
  <c r="I1397" i="8"/>
  <c r="H1397" i="8"/>
  <c r="J1396" i="8"/>
  <c r="I1396" i="8"/>
  <c r="H1396" i="8"/>
  <c r="J1395" i="8"/>
  <c r="I1395" i="8"/>
  <c r="H1395" i="8"/>
  <c r="J1394" i="8"/>
  <c r="I1394" i="8"/>
  <c r="H1394" i="8"/>
  <c r="J1393" i="8"/>
  <c r="I1393" i="8"/>
  <c r="H1393" i="8"/>
  <c r="J1392" i="8"/>
  <c r="I1392" i="8"/>
  <c r="H1392" i="8"/>
  <c r="J1391" i="8"/>
  <c r="I1391" i="8"/>
  <c r="H1391" i="8"/>
  <c r="J1390" i="8"/>
  <c r="I1390" i="8"/>
  <c r="H1390" i="8"/>
  <c r="J1389" i="8"/>
  <c r="I1389" i="8"/>
  <c r="H1389" i="8"/>
  <c r="J1388" i="8"/>
  <c r="I1388" i="8"/>
  <c r="H1388" i="8"/>
  <c r="J1387" i="8"/>
  <c r="I1387" i="8"/>
  <c r="H1387" i="8"/>
  <c r="J1386" i="8"/>
  <c r="I1386" i="8"/>
  <c r="H1386" i="8"/>
  <c r="J1385" i="8"/>
  <c r="I1385" i="8"/>
  <c r="H1385" i="8"/>
  <c r="J1384" i="8"/>
  <c r="I1384" i="8"/>
  <c r="H1384" i="8"/>
  <c r="J1383" i="8"/>
  <c r="I1383" i="8"/>
  <c r="H1383" i="8"/>
  <c r="J1382" i="8"/>
  <c r="I1382" i="8"/>
  <c r="H1382" i="8"/>
  <c r="J1381" i="8"/>
  <c r="I1381" i="8"/>
  <c r="H1381" i="8"/>
  <c r="J1380" i="8"/>
  <c r="I1380" i="8"/>
  <c r="H1380" i="8"/>
  <c r="J1379" i="8"/>
  <c r="I1379" i="8"/>
  <c r="H1379" i="8"/>
  <c r="J1378" i="8"/>
  <c r="I1378" i="8"/>
  <c r="H1378" i="8"/>
  <c r="J1377" i="8"/>
  <c r="I1377" i="8"/>
  <c r="H1377" i="8"/>
  <c r="J1376" i="8"/>
  <c r="I1376" i="8"/>
  <c r="H1376" i="8"/>
  <c r="J1375" i="8"/>
  <c r="I1375" i="8"/>
  <c r="H1375" i="8"/>
  <c r="J1374" i="8"/>
  <c r="I1374" i="8"/>
  <c r="H1374" i="8"/>
  <c r="J1373" i="8"/>
  <c r="I1373" i="8"/>
  <c r="H1373" i="8"/>
  <c r="J1372" i="8"/>
  <c r="I1372" i="8"/>
  <c r="H1372" i="8"/>
  <c r="J1371" i="8"/>
  <c r="I1371" i="8"/>
  <c r="H1371" i="8"/>
  <c r="J1370" i="8"/>
  <c r="I1370" i="8"/>
  <c r="H1370" i="8"/>
  <c r="J1369" i="8"/>
  <c r="I1369" i="8"/>
  <c r="H1369" i="8"/>
  <c r="J1368" i="8"/>
  <c r="I1368" i="8"/>
  <c r="H1368" i="8"/>
  <c r="J1367" i="8"/>
  <c r="I1367" i="8"/>
  <c r="H1367" i="8"/>
  <c r="J1366" i="8"/>
  <c r="I1366" i="8"/>
  <c r="H1366" i="8"/>
  <c r="J1365" i="8"/>
  <c r="I1365" i="8"/>
  <c r="H1365" i="8"/>
  <c r="J1364" i="8"/>
  <c r="I1364" i="8"/>
  <c r="H1364" i="8"/>
  <c r="J1363" i="8"/>
  <c r="I1363" i="8"/>
  <c r="H1363" i="8"/>
  <c r="J1362" i="8"/>
  <c r="I1362" i="8"/>
  <c r="H1362" i="8"/>
  <c r="J1361" i="8"/>
  <c r="I1361" i="8"/>
  <c r="H1361" i="8"/>
  <c r="J1360" i="8"/>
  <c r="I1360" i="8"/>
  <c r="H1360" i="8"/>
  <c r="J1359" i="8"/>
  <c r="I1359" i="8"/>
  <c r="H1359" i="8"/>
  <c r="J1358" i="8"/>
  <c r="I1358" i="8"/>
  <c r="H1358" i="8"/>
  <c r="J1357" i="8"/>
  <c r="I1357" i="8"/>
  <c r="H1357" i="8"/>
  <c r="J1356" i="8"/>
  <c r="I1356" i="8"/>
  <c r="H1356" i="8"/>
  <c r="J1355" i="8"/>
  <c r="I1355" i="8"/>
  <c r="H1355" i="8"/>
  <c r="J1354" i="8"/>
  <c r="I1354" i="8"/>
  <c r="H1354" i="8"/>
  <c r="J1353" i="8"/>
  <c r="I1353" i="8"/>
  <c r="H1353" i="8"/>
  <c r="J1352" i="8"/>
  <c r="I1352" i="8"/>
  <c r="H1352" i="8"/>
  <c r="J1351" i="8"/>
  <c r="I1351" i="8"/>
  <c r="H1351" i="8"/>
  <c r="J1350" i="8"/>
  <c r="I1350" i="8"/>
  <c r="H1350" i="8"/>
  <c r="J1349" i="8"/>
  <c r="I1349" i="8"/>
  <c r="H1349" i="8"/>
  <c r="J1348" i="8"/>
  <c r="I1348" i="8"/>
  <c r="H1348" i="8"/>
  <c r="J1347" i="8"/>
  <c r="I1347" i="8"/>
  <c r="H1347" i="8"/>
  <c r="J1346" i="8"/>
  <c r="I1346" i="8"/>
  <c r="H1346" i="8"/>
  <c r="J1345" i="8"/>
  <c r="I1345" i="8"/>
  <c r="H1345" i="8"/>
  <c r="J1344" i="8"/>
  <c r="I1344" i="8"/>
  <c r="H1344" i="8"/>
  <c r="J1343" i="8"/>
  <c r="I1343" i="8"/>
  <c r="H1343" i="8"/>
  <c r="J1342" i="8"/>
  <c r="I1342" i="8"/>
  <c r="H1342" i="8"/>
  <c r="J1341" i="8"/>
  <c r="I1341" i="8"/>
  <c r="H1341" i="8"/>
  <c r="J1340" i="8"/>
  <c r="I1340" i="8"/>
  <c r="H1340" i="8"/>
  <c r="J1339" i="8"/>
  <c r="I1339" i="8"/>
  <c r="H1339" i="8"/>
  <c r="J1338" i="8"/>
  <c r="I1338" i="8"/>
  <c r="H1338" i="8"/>
  <c r="J1337" i="8"/>
  <c r="I1337" i="8"/>
  <c r="H1337" i="8"/>
  <c r="J1336" i="8"/>
  <c r="I1336" i="8"/>
  <c r="H1336" i="8"/>
  <c r="J1335" i="8"/>
  <c r="I1335" i="8"/>
  <c r="H1335" i="8"/>
  <c r="J1334" i="8"/>
  <c r="I1334" i="8"/>
  <c r="H1334" i="8"/>
  <c r="J1333" i="8"/>
  <c r="I1333" i="8"/>
  <c r="H1333" i="8"/>
  <c r="J1332" i="8"/>
  <c r="I1332" i="8"/>
  <c r="H1332" i="8"/>
  <c r="J1331" i="8"/>
  <c r="I1331" i="8"/>
  <c r="H1331" i="8"/>
  <c r="J1330" i="8"/>
  <c r="I1330" i="8"/>
  <c r="H1330" i="8"/>
  <c r="J1329" i="8"/>
  <c r="I1329" i="8"/>
  <c r="H1329" i="8"/>
  <c r="J1328" i="8"/>
  <c r="I1328" i="8"/>
  <c r="H1328" i="8"/>
  <c r="J1327" i="8"/>
  <c r="I1327" i="8"/>
  <c r="H1327" i="8"/>
  <c r="J1326" i="8"/>
  <c r="I1326" i="8"/>
  <c r="H1326" i="8"/>
  <c r="J1325" i="8"/>
  <c r="I1325" i="8"/>
  <c r="H1325" i="8"/>
  <c r="J1324" i="8"/>
  <c r="I1324" i="8"/>
  <c r="H1324" i="8"/>
  <c r="J1323" i="8"/>
  <c r="I1323" i="8"/>
  <c r="H1323" i="8"/>
  <c r="J1322" i="8"/>
  <c r="I1322" i="8"/>
  <c r="H1322" i="8"/>
  <c r="J1321" i="8"/>
  <c r="I1321" i="8"/>
  <c r="H1321" i="8"/>
  <c r="J1320" i="8"/>
  <c r="I1320" i="8"/>
  <c r="H1320" i="8"/>
  <c r="J1319" i="8"/>
  <c r="I1319" i="8"/>
  <c r="H1319" i="8"/>
  <c r="J1318" i="8"/>
  <c r="I1318" i="8"/>
  <c r="H1318" i="8"/>
  <c r="J1317" i="8"/>
  <c r="I1317" i="8"/>
  <c r="H1317" i="8"/>
  <c r="J1316" i="8"/>
  <c r="I1316" i="8"/>
  <c r="H1316" i="8"/>
  <c r="J1315" i="8"/>
  <c r="I1315" i="8"/>
  <c r="H1315" i="8"/>
  <c r="J1314" i="8"/>
  <c r="I1314" i="8"/>
  <c r="H1314" i="8"/>
  <c r="J1313" i="8"/>
  <c r="I1313" i="8"/>
  <c r="H1313" i="8"/>
  <c r="J1312" i="8"/>
  <c r="I1312" i="8"/>
  <c r="H1312" i="8"/>
  <c r="J1311" i="8"/>
  <c r="I1311" i="8"/>
  <c r="H1311" i="8"/>
  <c r="J1310" i="8"/>
  <c r="I1310" i="8"/>
  <c r="H1310" i="8"/>
  <c r="J1309" i="8"/>
  <c r="I1309" i="8"/>
  <c r="H1309" i="8"/>
  <c r="J1308" i="8"/>
  <c r="I1308" i="8"/>
  <c r="H1308" i="8"/>
  <c r="J1307" i="8"/>
  <c r="I1307" i="8"/>
  <c r="H1307" i="8"/>
  <c r="J1306" i="8"/>
  <c r="I1306" i="8"/>
  <c r="H1306" i="8"/>
  <c r="J1305" i="8"/>
  <c r="I1305" i="8"/>
  <c r="H1305" i="8"/>
  <c r="J1304" i="8"/>
  <c r="I1304" i="8"/>
  <c r="H1304" i="8"/>
  <c r="J1303" i="8"/>
  <c r="I1303" i="8"/>
  <c r="H1303" i="8"/>
  <c r="J1302" i="8"/>
  <c r="I1302" i="8"/>
  <c r="H1302" i="8"/>
  <c r="J1301" i="8"/>
  <c r="I1301" i="8"/>
  <c r="H1301" i="8"/>
  <c r="J1300" i="8"/>
  <c r="I1300" i="8"/>
  <c r="H1300" i="8"/>
  <c r="J1299" i="8"/>
  <c r="I1299" i="8"/>
  <c r="H1299" i="8"/>
  <c r="J1298" i="8"/>
  <c r="I1298" i="8"/>
  <c r="H1298" i="8"/>
  <c r="J1297" i="8"/>
  <c r="I1297" i="8"/>
  <c r="H1297" i="8"/>
  <c r="J1296" i="8"/>
  <c r="I1296" i="8"/>
  <c r="H1296" i="8"/>
  <c r="J1295" i="8"/>
  <c r="I1295" i="8"/>
  <c r="H1295" i="8"/>
  <c r="J1294" i="8"/>
  <c r="I1294" i="8"/>
  <c r="H1294" i="8"/>
  <c r="J1293" i="8"/>
  <c r="I1293" i="8"/>
  <c r="H1293" i="8"/>
  <c r="J1292" i="8"/>
  <c r="I1292" i="8"/>
  <c r="H1292" i="8"/>
  <c r="J1291" i="8"/>
  <c r="I1291" i="8"/>
  <c r="H1291" i="8"/>
  <c r="J1290" i="8"/>
  <c r="I1290" i="8"/>
  <c r="H1290" i="8"/>
  <c r="J1289" i="8"/>
  <c r="I1289" i="8"/>
  <c r="H1289" i="8"/>
  <c r="J1288" i="8"/>
  <c r="I1288" i="8"/>
  <c r="H1288" i="8"/>
  <c r="J1287" i="8"/>
  <c r="I1287" i="8"/>
  <c r="H1287" i="8"/>
  <c r="J1286" i="8"/>
  <c r="I1286" i="8"/>
  <c r="H1286" i="8"/>
  <c r="J1285" i="8"/>
  <c r="I1285" i="8"/>
  <c r="H1285" i="8"/>
  <c r="J1284" i="8"/>
  <c r="I1284" i="8"/>
  <c r="H1284" i="8"/>
  <c r="J1283" i="8"/>
  <c r="I1283" i="8"/>
  <c r="H1283" i="8"/>
  <c r="J1282" i="8"/>
  <c r="I1282" i="8"/>
  <c r="H1282" i="8"/>
  <c r="J1281" i="8"/>
  <c r="I1281" i="8"/>
  <c r="H1281" i="8"/>
  <c r="J1280" i="8"/>
  <c r="I1280" i="8"/>
  <c r="H1280" i="8"/>
  <c r="J1279" i="8"/>
  <c r="I1279" i="8"/>
  <c r="H1279" i="8"/>
  <c r="J1278" i="8"/>
  <c r="I1278" i="8"/>
  <c r="H1278" i="8"/>
  <c r="J1277" i="8"/>
  <c r="I1277" i="8"/>
  <c r="H1277" i="8"/>
  <c r="J1276" i="8"/>
  <c r="I1276" i="8"/>
  <c r="H1276" i="8"/>
  <c r="J1275" i="8"/>
  <c r="I1275" i="8"/>
  <c r="H1275" i="8"/>
  <c r="J1274" i="8"/>
  <c r="I1274" i="8"/>
  <c r="H1274" i="8"/>
  <c r="J1273" i="8"/>
  <c r="I1273" i="8"/>
  <c r="H1273" i="8"/>
  <c r="J1272" i="8"/>
  <c r="I1272" i="8"/>
  <c r="H1272" i="8"/>
  <c r="J1271" i="8"/>
  <c r="I1271" i="8"/>
  <c r="H1271" i="8"/>
  <c r="J1270" i="8"/>
  <c r="I1270" i="8"/>
  <c r="H1270" i="8"/>
  <c r="J1269" i="8"/>
  <c r="I1269" i="8"/>
  <c r="H1269" i="8"/>
  <c r="J1268" i="8"/>
  <c r="I1268" i="8"/>
  <c r="H1268" i="8"/>
  <c r="J1267" i="8"/>
  <c r="I1267" i="8"/>
  <c r="H1267" i="8"/>
  <c r="J1266" i="8"/>
  <c r="I1266" i="8"/>
  <c r="H1266" i="8"/>
  <c r="J1265" i="8"/>
  <c r="I1265" i="8"/>
  <c r="H1265" i="8"/>
  <c r="J1264" i="8"/>
  <c r="I1264" i="8"/>
  <c r="H1264" i="8"/>
  <c r="J1263" i="8"/>
  <c r="I1263" i="8"/>
  <c r="H1263" i="8"/>
  <c r="J1262" i="8"/>
  <c r="I1262" i="8"/>
  <c r="H1262" i="8"/>
  <c r="J1261" i="8"/>
  <c r="I1261" i="8"/>
  <c r="H1261" i="8"/>
  <c r="J1260" i="8"/>
  <c r="I1260" i="8"/>
  <c r="H1260" i="8"/>
  <c r="J1259" i="8"/>
  <c r="I1259" i="8"/>
  <c r="H1259" i="8"/>
  <c r="J1258" i="8"/>
  <c r="I1258" i="8"/>
  <c r="H1258" i="8"/>
  <c r="J1257" i="8"/>
  <c r="I1257" i="8"/>
  <c r="H1257" i="8"/>
  <c r="J1256" i="8"/>
  <c r="I1256" i="8"/>
  <c r="H1256" i="8"/>
  <c r="J1255" i="8"/>
  <c r="I1255" i="8"/>
  <c r="H1255" i="8"/>
  <c r="J1254" i="8"/>
  <c r="I1254" i="8"/>
  <c r="H1254" i="8"/>
  <c r="J1253" i="8"/>
  <c r="I1253" i="8"/>
  <c r="H1253" i="8"/>
  <c r="J1252" i="8"/>
  <c r="I1252" i="8"/>
  <c r="H1252" i="8"/>
  <c r="J1251" i="8"/>
  <c r="I1251" i="8"/>
  <c r="H1251" i="8"/>
  <c r="J1250" i="8"/>
  <c r="I1250" i="8"/>
  <c r="H1250" i="8"/>
  <c r="J1249" i="8"/>
  <c r="I1249" i="8"/>
  <c r="H1249" i="8"/>
  <c r="J1248" i="8"/>
  <c r="I1248" i="8"/>
  <c r="H1248" i="8"/>
  <c r="J1247" i="8"/>
  <c r="I1247" i="8"/>
  <c r="H1247" i="8"/>
  <c r="J1246" i="8"/>
  <c r="I1246" i="8"/>
  <c r="H1246" i="8"/>
  <c r="J1245" i="8"/>
  <c r="I1245" i="8"/>
  <c r="H1245" i="8"/>
  <c r="J1244" i="8"/>
  <c r="I1244" i="8"/>
  <c r="H1244" i="8"/>
  <c r="J1243" i="8"/>
  <c r="I1243" i="8"/>
  <c r="H1243" i="8"/>
  <c r="J1242" i="8"/>
  <c r="I1242" i="8"/>
  <c r="H1242" i="8"/>
  <c r="J1241" i="8"/>
  <c r="I1241" i="8"/>
  <c r="H1241" i="8"/>
  <c r="J1240" i="8"/>
  <c r="I1240" i="8"/>
  <c r="H1240" i="8"/>
  <c r="J1239" i="8"/>
  <c r="I1239" i="8"/>
  <c r="H1239" i="8"/>
  <c r="J1238" i="8"/>
  <c r="I1238" i="8"/>
  <c r="H1238" i="8"/>
  <c r="J1237" i="8"/>
  <c r="I1237" i="8"/>
  <c r="H1237" i="8"/>
  <c r="J1236" i="8"/>
  <c r="I1236" i="8"/>
  <c r="H1236" i="8"/>
  <c r="J1235" i="8"/>
  <c r="I1235" i="8"/>
  <c r="H1235" i="8"/>
  <c r="J1234" i="8"/>
  <c r="I1234" i="8"/>
  <c r="H1234" i="8"/>
  <c r="J1233" i="8"/>
  <c r="I1233" i="8"/>
  <c r="H1233" i="8"/>
  <c r="J1232" i="8"/>
  <c r="I1232" i="8"/>
  <c r="H1232" i="8"/>
  <c r="J1231" i="8"/>
  <c r="I1231" i="8"/>
  <c r="H1231" i="8"/>
  <c r="J1230" i="8"/>
  <c r="I1230" i="8"/>
  <c r="H1230" i="8"/>
  <c r="J1229" i="8"/>
  <c r="I1229" i="8"/>
  <c r="H1229" i="8"/>
  <c r="J1228" i="8"/>
  <c r="I1228" i="8"/>
  <c r="H1228" i="8"/>
  <c r="J1227" i="8"/>
  <c r="I1227" i="8"/>
  <c r="H1227" i="8"/>
  <c r="J1226" i="8"/>
  <c r="I1226" i="8"/>
  <c r="H1226" i="8"/>
  <c r="J1225" i="8"/>
  <c r="I1225" i="8"/>
  <c r="H1225" i="8"/>
  <c r="J1224" i="8"/>
  <c r="I1224" i="8"/>
  <c r="H1224" i="8"/>
  <c r="J1223" i="8"/>
  <c r="I1223" i="8"/>
  <c r="H1223" i="8"/>
  <c r="J1222" i="8"/>
  <c r="I1222" i="8"/>
  <c r="H1222" i="8"/>
  <c r="J1221" i="8"/>
  <c r="I1221" i="8"/>
  <c r="H1221" i="8"/>
  <c r="J1220" i="8"/>
  <c r="I1220" i="8"/>
  <c r="H1220" i="8"/>
  <c r="J1219" i="8"/>
  <c r="I1219" i="8"/>
  <c r="H1219" i="8"/>
  <c r="J1218" i="8"/>
  <c r="I1218" i="8"/>
  <c r="H1218" i="8"/>
  <c r="J1217" i="8"/>
  <c r="I1217" i="8"/>
  <c r="H1217" i="8"/>
  <c r="J1216" i="8"/>
  <c r="I1216" i="8"/>
  <c r="H1216" i="8"/>
  <c r="J1215" i="8"/>
  <c r="I1215" i="8"/>
  <c r="H1215" i="8"/>
  <c r="J1214" i="8"/>
  <c r="I1214" i="8"/>
  <c r="H1214" i="8"/>
  <c r="J1213" i="8"/>
  <c r="I1213" i="8"/>
  <c r="H1213" i="8"/>
  <c r="J1212" i="8"/>
  <c r="I1212" i="8"/>
  <c r="H1212" i="8"/>
  <c r="J1211" i="8"/>
  <c r="I1211" i="8"/>
  <c r="H1211" i="8"/>
  <c r="J1210" i="8"/>
  <c r="I1210" i="8"/>
  <c r="H1210" i="8"/>
  <c r="J1209" i="8"/>
  <c r="I1209" i="8"/>
  <c r="H1209" i="8"/>
  <c r="J1208" i="8"/>
  <c r="I1208" i="8"/>
  <c r="H1208" i="8"/>
  <c r="J1207" i="8"/>
  <c r="I1207" i="8"/>
  <c r="H1207" i="8"/>
  <c r="J1206" i="8"/>
  <c r="I1206" i="8"/>
  <c r="H1206" i="8"/>
  <c r="J1205" i="8"/>
  <c r="I1205" i="8"/>
  <c r="H1205" i="8"/>
  <c r="J1204" i="8"/>
  <c r="I1204" i="8"/>
  <c r="H1204" i="8"/>
  <c r="J1203" i="8"/>
  <c r="I1203" i="8"/>
  <c r="H1203" i="8"/>
  <c r="J1202" i="8"/>
  <c r="I1202" i="8"/>
  <c r="H1202" i="8"/>
  <c r="J1201" i="8"/>
  <c r="I1201" i="8"/>
  <c r="H1201" i="8"/>
  <c r="J1200" i="8"/>
  <c r="I1200" i="8"/>
  <c r="H1200" i="8"/>
  <c r="J1199" i="8"/>
  <c r="I1199" i="8"/>
  <c r="H1199" i="8"/>
  <c r="J1198" i="8"/>
  <c r="I1198" i="8"/>
  <c r="H1198" i="8"/>
  <c r="J1197" i="8"/>
  <c r="I1197" i="8"/>
  <c r="H1197" i="8"/>
  <c r="J1196" i="8"/>
  <c r="I1196" i="8"/>
  <c r="H1196" i="8"/>
  <c r="J1195" i="8"/>
  <c r="I1195" i="8"/>
  <c r="H1195" i="8"/>
  <c r="J1194" i="8"/>
  <c r="I1194" i="8"/>
  <c r="H1194" i="8"/>
  <c r="J1193" i="8"/>
  <c r="I1193" i="8"/>
  <c r="H1193" i="8"/>
  <c r="J1192" i="8"/>
  <c r="I1192" i="8"/>
  <c r="H1192" i="8"/>
  <c r="J1191" i="8"/>
  <c r="I1191" i="8"/>
  <c r="H1191" i="8"/>
  <c r="J1190" i="8"/>
  <c r="I1190" i="8"/>
  <c r="H1190" i="8"/>
  <c r="J1189" i="8"/>
  <c r="I1189" i="8"/>
  <c r="H1189" i="8"/>
  <c r="J1188" i="8"/>
  <c r="I1188" i="8"/>
  <c r="H1188" i="8"/>
  <c r="J1187" i="8"/>
  <c r="I1187" i="8"/>
  <c r="H1187" i="8"/>
  <c r="J1186" i="8"/>
  <c r="I1186" i="8"/>
  <c r="H1186" i="8"/>
  <c r="J1185" i="8"/>
  <c r="I1185" i="8"/>
  <c r="H1185" i="8"/>
  <c r="J1184" i="8"/>
  <c r="I1184" i="8"/>
  <c r="H1184" i="8"/>
  <c r="J1183" i="8"/>
  <c r="I1183" i="8"/>
  <c r="H1183" i="8"/>
  <c r="J1182" i="8"/>
  <c r="I1182" i="8"/>
  <c r="H1182" i="8"/>
  <c r="J1181" i="8"/>
  <c r="I1181" i="8"/>
  <c r="H1181" i="8"/>
  <c r="J1180" i="8"/>
  <c r="I1180" i="8"/>
  <c r="H1180" i="8"/>
  <c r="J1179" i="8"/>
  <c r="I1179" i="8"/>
  <c r="H1179" i="8"/>
  <c r="J1178" i="8"/>
  <c r="I1178" i="8"/>
  <c r="H1178" i="8"/>
  <c r="J1177" i="8"/>
  <c r="I1177" i="8"/>
  <c r="H1177" i="8"/>
  <c r="J1176" i="8"/>
  <c r="I1176" i="8"/>
  <c r="H1176" i="8"/>
  <c r="J1175" i="8"/>
  <c r="I1175" i="8"/>
  <c r="H1175" i="8"/>
  <c r="J1174" i="8"/>
  <c r="I1174" i="8"/>
  <c r="H1174" i="8"/>
  <c r="J1173" i="8"/>
  <c r="I1173" i="8"/>
  <c r="H1173" i="8"/>
  <c r="J1172" i="8"/>
  <c r="I1172" i="8"/>
  <c r="H1172" i="8"/>
  <c r="J1171" i="8"/>
  <c r="I1171" i="8"/>
  <c r="H1171" i="8"/>
  <c r="J1170" i="8"/>
  <c r="I1170" i="8"/>
  <c r="H1170" i="8"/>
  <c r="J1169" i="8"/>
  <c r="I1169" i="8"/>
  <c r="H1169" i="8"/>
  <c r="J1168" i="8"/>
  <c r="I1168" i="8"/>
  <c r="H1168" i="8"/>
  <c r="J1167" i="8"/>
  <c r="I1167" i="8"/>
  <c r="H1167" i="8"/>
  <c r="J1166" i="8"/>
  <c r="I1166" i="8"/>
  <c r="H1166" i="8"/>
  <c r="J1165" i="8"/>
  <c r="I1165" i="8"/>
  <c r="H1165" i="8"/>
  <c r="J1164" i="8"/>
  <c r="I1164" i="8"/>
  <c r="H1164" i="8"/>
  <c r="J1163" i="8"/>
  <c r="I1163" i="8"/>
  <c r="H1163" i="8"/>
  <c r="J1162" i="8"/>
  <c r="I1162" i="8"/>
  <c r="H1162" i="8"/>
  <c r="J1161" i="8"/>
  <c r="I1161" i="8"/>
  <c r="H1161" i="8"/>
  <c r="J1160" i="8"/>
  <c r="I1160" i="8"/>
  <c r="H1160" i="8"/>
  <c r="J1159" i="8"/>
  <c r="I1159" i="8"/>
  <c r="H1159" i="8"/>
  <c r="J1158" i="8"/>
  <c r="I1158" i="8"/>
  <c r="H1158" i="8"/>
  <c r="J1157" i="8"/>
  <c r="I1157" i="8"/>
  <c r="H1157" i="8"/>
  <c r="J1156" i="8"/>
  <c r="I1156" i="8"/>
  <c r="H1156" i="8"/>
  <c r="J1155" i="8"/>
  <c r="I1155" i="8"/>
  <c r="H1155" i="8"/>
  <c r="J1154" i="8"/>
  <c r="I1154" i="8"/>
  <c r="H1154" i="8"/>
  <c r="J1153" i="8"/>
  <c r="I1153" i="8"/>
  <c r="H1153" i="8"/>
  <c r="J1152" i="8"/>
  <c r="I1152" i="8"/>
  <c r="H1152" i="8"/>
  <c r="J1151" i="8"/>
  <c r="I1151" i="8"/>
  <c r="H1151" i="8"/>
  <c r="J1150" i="8"/>
  <c r="I1150" i="8"/>
  <c r="H1150" i="8"/>
  <c r="J1149" i="8"/>
  <c r="I1149" i="8"/>
  <c r="H1149" i="8"/>
  <c r="J1148" i="8"/>
  <c r="I1148" i="8"/>
  <c r="H1148" i="8"/>
  <c r="J1147" i="8"/>
  <c r="I1147" i="8"/>
  <c r="H1147" i="8"/>
  <c r="J1146" i="8"/>
  <c r="I1146" i="8"/>
  <c r="H1146" i="8"/>
  <c r="J1145" i="8"/>
  <c r="I1145" i="8"/>
  <c r="H1145" i="8"/>
  <c r="J1144" i="8"/>
  <c r="I1144" i="8"/>
  <c r="H1144" i="8"/>
  <c r="J1143" i="8"/>
  <c r="I1143" i="8"/>
  <c r="H1143" i="8"/>
  <c r="J1142" i="8"/>
  <c r="I1142" i="8"/>
  <c r="H1142" i="8"/>
  <c r="J1141" i="8"/>
  <c r="I1141" i="8"/>
  <c r="H1141" i="8"/>
  <c r="J1140" i="8"/>
  <c r="I1140" i="8"/>
  <c r="H1140" i="8"/>
  <c r="J1139" i="8"/>
  <c r="I1139" i="8"/>
  <c r="H1139" i="8"/>
  <c r="J1138" i="8"/>
  <c r="I1138" i="8"/>
  <c r="H1138" i="8"/>
  <c r="J1137" i="8"/>
  <c r="I1137" i="8"/>
  <c r="H1137" i="8"/>
  <c r="J1136" i="8"/>
  <c r="I1136" i="8"/>
  <c r="H1136" i="8"/>
  <c r="J1135" i="8"/>
  <c r="I1135" i="8"/>
  <c r="H1135" i="8"/>
  <c r="J1134" i="8"/>
  <c r="I1134" i="8"/>
  <c r="H1134" i="8"/>
  <c r="J1133" i="8"/>
  <c r="I1133" i="8"/>
  <c r="H1133" i="8"/>
  <c r="J1132" i="8"/>
  <c r="I1132" i="8"/>
  <c r="H1132" i="8"/>
  <c r="J1131" i="8"/>
  <c r="I1131" i="8"/>
  <c r="H1131" i="8"/>
  <c r="J1130" i="8"/>
  <c r="I1130" i="8"/>
  <c r="H1130" i="8"/>
  <c r="J1129" i="8"/>
  <c r="I1129" i="8"/>
  <c r="H1129" i="8"/>
  <c r="J1128" i="8"/>
  <c r="I1128" i="8"/>
  <c r="H1128" i="8"/>
  <c r="J1127" i="8"/>
  <c r="I1127" i="8"/>
  <c r="H1127" i="8"/>
  <c r="J1126" i="8"/>
  <c r="I1126" i="8"/>
  <c r="H1126" i="8"/>
  <c r="J1125" i="8"/>
  <c r="I1125" i="8"/>
  <c r="H1125" i="8"/>
  <c r="J1124" i="8"/>
  <c r="I1124" i="8"/>
  <c r="H1124" i="8"/>
  <c r="J1123" i="8"/>
  <c r="I1123" i="8"/>
  <c r="H1123" i="8"/>
  <c r="J1122" i="8"/>
  <c r="I1122" i="8"/>
  <c r="H1122" i="8"/>
  <c r="J1121" i="8"/>
  <c r="I1121" i="8"/>
  <c r="H1121" i="8"/>
  <c r="J1120" i="8"/>
  <c r="I1120" i="8"/>
  <c r="H1120" i="8"/>
  <c r="J1119" i="8"/>
  <c r="I1119" i="8"/>
  <c r="H1119" i="8"/>
  <c r="J1118" i="8"/>
  <c r="I1118" i="8"/>
  <c r="H1118" i="8"/>
  <c r="J1117" i="8"/>
  <c r="I1117" i="8"/>
  <c r="H1117" i="8"/>
  <c r="J1116" i="8"/>
  <c r="I1116" i="8"/>
  <c r="H1116" i="8"/>
  <c r="J1115" i="8"/>
  <c r="I1115" i="8"/>
  <c r="H1115" i="8"/>
  <c r="J1114" i="8"/>
  <c r="I1114" i="8"/>
  <c r="H1114" i="8"/>
  <c r="J1113" i="8"/>
  <c r="I1113" i="8"/>
  <c r="H1113" i="8"/>
  <c r="J1112" i="8"/>
  <c r="I1112" i="8"/>
  <c r="H1112" i="8"/>
  <c r="J1111" i="8"/>
  <c r="I1111" i="8"/>
  <c r="H1111" i="8"/>
  <c r="J1110" i="8"/>
  <c r="I1110" i="8"/>
  <c r="H1110" i="8"/>
  <c r="J1109" i="8"/>
  <c r="I1109" i="8"/>
  <c r="H1109" i="8"/>
  <c r="J1108" i="8"/>
  <c r="I1108" i="8"/>
  <c r="H1108" i="8"/>
  <c r="J1107" i="8"/>
  <c r="I1107" i="8"/>
  <c r="H1107" i="8"/>
  <c r="J1106" i="8"/>
  <c r="I1106" i="8"/>
  <c r="H1106" i="8"/>
  <c r="J1105" i="8"/>
  <c r="I1105" i="8"/>
  <c r="H1105" i="8"/>
  <c r="J1104" i="8"/>
  <c r="I1104" i="8"/>
  <c r="H1104" i="8"/>
  <c r="J1103" i="8"/>
  <c r="I1103" i="8"/>
  <c r="H1103" i="8"/>
  <c r="J1102" i="8"/>
  <c r="I1102" i="8"/>
  <c r="H1102" i="8"/>
  <c r="J1101" i="8"/>
  <c r="I1101" i="8"/>
  <c r="H1101" i="8"/>
  <c r="J1100" i="8"/>
  <c r="I1100" i="8"/>
  <c r="H1100" i="8"/>
  <c r="J1099" i="8"/>
  <c r="I1099" i="8"/>
  <c r="H1099" i="8"/>
  <c r="J1098" i="8"/>
  <c r="I1098" i="8"/>
  <c r="H1098" i="8"/>
  <c r="J1097" i="8"/>
  <c r="I1097" i="8"/>
  <c r="H1097" i="8"/>
  <c r="J1096" i="8"/>
  <c r="I1096" i="8"/>
  <c r="H1096" i="8"/>
  <c r="J1095" i="8"/>
  <c r="I1095" i="8"/>
  <c r="H1095" i="8"/>
  <c r="J1094" i="8"/>
  <c r="I1094" i="8"/>
  <c r="H1094" i="8"/>
  <c r="J1093" i="8"/>
  <c r="I1093" i="8"/>
  <c r="H1093" i="8"/>
  <c r="J1092" i="8"/>
  <c r="I1092" i="8"/>
  <c r="H1092" i="8"/>
  <c r="J1091" i="8"/>
  <c r="I1091" i="8"/>
  <c r="H1091" i="8"/>
  <c r="J1090" i="8"/>
  <c r="I1090" i="8"/>
  <c r="H1090" i="8"/>
  <c r="J1089" i="8"/>
  <c r="I1089" i="8"/>
  <c r="H1089" i="8"/>
  <c r="J1088" i="8"/>
  <c r="I1088" i="8"/>
  <c r="H1088" i="8"/>
  <c r="J1087" i="8"/>
  <c r="I1087" i="8"/>
  <c r="H1087" i="8"/>
  <c r="J1086" i="8"/>
  <c r="I1086" i="8"/>
  <c r="H1086" i="8"/>
  <c r="J1085" i="8"/>
  <c r="I1085" i="8"/>
  <c r="H1085" i="8"/>
  <c r="J1084" i="8"/>
  <c r="I1084" i="8"/>
  <c r="H1084" i="8"/>
  <c r="J1083" i="8"/>
  <c r="I1083" i="8"/>
  <c r="H1083" i="8"/>
  <c r="J1082" i="8"/>
  <c r="I1082" i="8"/>
  <c r="H1082" i="8"/>
  <c r="J1081" i="8"/>
  <c r="I1081" i="8"/>
  <c r="H1081" i="8"/>
  <c r="J1080" i="8"/>
  <c r="I1080" i="8"/>
  <c r="H1080" i="8"/>
  <c r="J1079" i="8"/>
  <c r="I1079" i="8"/>
  <c r="H1079" i="8"/>
  <c r="J1078" i="8"/>
  <c r="I1078" i="8"/>
  <c r="H1078" i="8"/>
  <c r="J1077" i="8"/>
  <c r="I1077" i="8"/>
  <c r="H1077" i="8"/>
  <c r="J1076" i="8"/>
  <c r="I1076" i="8"/>
  <c r="H1076" i="8"/>
  <c r="J1075" i="8"/>
  <c r="I1075" i="8"/>
  <c r="H1075" i="8"/>
  <c r="J1074" i="8"/>
  <c r="I1074" i="8"/>
  <c r="H1074" i="8"/>
  <c r="J1073" i="8"/>
  <c r="I1073" i="8"/>
  <c r="H1073" i="8"/>
  <c r="J1072" i="8"/>
  <c r="I1072" i="8"/>
  <c r="H1072" i="8"/>
  <c r="J1071" i="8"/>
  <c r="I1071" i="8"/>
  <c r="H1071" i="8"/>
  <c r="J1070" i="8"/>
  <c r="I1070" i="8"/>
  <c r="H1070" i="8"/>
  <c r="J1069" i="8"/>
  <c r="I1069" i="8"/>
  <c r="H1069" i="8"/>
  <c r="J1068" i="8"/>
  <c r="I1068" i="8"/>
  <c r="H1068" i="8"/>
  <c r="J1067" i="8"/>
  <c r="I1067" i="8"/>
  <c r="H1067" i="8"/>
  <c r="J1066" i="8"/>
  <c r="I1066" i="8"/>
  <c r="H1066" i="8"/>
  <c r="J1065" i="8"/>
  <c r="I1065" i="8"/>
  <c r="H1065" i="8"/>
  <c r="J1064" i="8"/>
  <c r="I1064" i="8"/>
  <c r="H1064" i="8"/>
  <c r="J1063" i="8"/>
  <c r="I1063" i="8"/>
  <c r="H1063" i="8"/>
  <c r="J1062" i="8"/>
  <c r="I1062" i="8"/>
  <c r="H1062" i="8"/>
  <c r="J1061" i="8"/>
  <c r="I1061" i="8"/>
  <c r="H1061" i="8"/>
  <c r="J1060" i="8"/>
  <c r="I1060" i="8"/>
  <c r="H1060" i="8"/>
  <c r="J1059" i="8"/>
  <c r="I1059" i="8"/>
  <c r="H1059" i="8"/>
  <c r="J1058" i="8"/>
  <c r="I1058" i="8"/>
  <c r="H1058" i="8"/>
  <c r="J1057" i="8"/>
  <c r="I1057" i="8"/>
  <c r="H1057" i="8"/>
  <c r="J1056" i="8"/>
  <c r="I1056" i="8"/>
  <c r="H1056" i="8"/>
  <c r="J1055" i="8"/>
  <c r="I1055" i="8"/>
  <c r="H1055" i="8"/>
  <c r="J1054" i="8"/>
  <c r="I1054" i="8"/>
  <c r="H1054" i="8"/>
  <c r="J1053" i="8"/>
  <c r="I1053" i="8"/>
  <c r="H1053" i="8"/>
  <c r="J1052" i="8"/>
  <c r="I1052" i="8"/>
  <c r="H1052" i="8"/>
  <c r="J1051" i="8"/>
  <c r="I1051" i="8"/>
  <c r="H1051" i="8"/>
  <c r="J1050" i="8"/>
  <c r="I1050" i="8"/>
  <c r="H1050" i="8"/>
  <c r="J1049" i="8"/>
  <c r="I1049" i="8"/>
  <c r="H1049" i="8"/>
  <c r="J1048" i="8"/>
  <c r="I1048" i="8"/>
  <c r="H1048" i="8"/>
  <c r="J1047" i="8"/>
  <c r="I1047" i="8"/>
  <c r="H1047" i="8"/>
  <c r="J1046" i="8"/>
  <c r="I1046" i="8"/>
  <c r="H1046" i="8"/>
  <c r="J1045" i="8"/>
  <c r="I1045" i="8"/>
  <c r="H1045" i="8"/>
  <c r="J1044" i="8"/>
  <c r="I1044" i="8"/>
  <c r="H1044" i="8"/>
  <c r="J1043" i="8"/>
  <c r="I1043" i="8"/>
  <c r="H1043" i="8"/>
  <c r="J1042" i="8"/>
  <c r="I1042" i="8"/>
  <c r="H1042" i="8"/>
  <c r="J1041" i="8"/>
  <c r="I1041" i="8"/>
  <c r="H1041" i="8"/>
  <c r="J1040" i="8"/>
  <c r="I1040" i="8"/>
  <c r="H1040" i="8"/>
  <c r="J1039" i="8"/>
  <c r="I1039" i="8"/>
  <c r="H1039" i="8"/>
  <c r="J1038" i="8"/>
  <c r="I1038" i="8"/>
  <c r="H1038" i="8"/>
  <c r="J1037" i="8"/>
  <c r="I1037" i="8"/>
  <c r="H1037" i="8"/>
  <c r="J1036" i="8"/>
  <c r="I1036" i="8"/>
  <c r="H1036" i="8"/>
  <c r="J1035" i="8"/>
  <c r="I1035" i="8"/>
  <c r="H1035" i="8"/>
  <c r="J1034" i="8"/>
  <c r="I1034" i="8"/>
  <c r="H1034" i="8"/>
  <c r="J1033" i="8"/>
  <c r="I1033" i="8"/>
  <c r="H1033" i="8"/>
  <c r="J1032" i="8"/>
  <c r="I1032" i="8"/>
  <c r="H1032" i="8"/>
  <c r="J1031" i="8"/>
  <c r="I1031" i="8"/>
  <c r="H1031" i="8"/>
  <c r="J1030" i="8"/>
  <c r="I1030" i="8"/>
  <c r="H1030" i="8"/>
  <c r="J1029" i="8"/>
  <c r="I1029" i="8"/>
  <c r="H1029" i="8"/>
  <c r="J1028" i="8"/>
  <c r="I1028" i="8"/>
  <c r="H1028" i="8"/>
  <c r="J1027" i="8"/>
  <c r="I1027" i="8"/>
  <c r="H1027" i="8"/>
  <c r="J1026" i="8"/>
  <c r="I1026" i="8"/>
  <c r="H1026" i="8"/>
  <c r="J1025" i="8"/>
  <c r="I1025" i="8"/>
  <c r="H1025" i="8"/>
  <c r="J1024" i="8"/>
  <c r="I1024" i="8"/>
  <c r="H1024" i="8"/>
  <c r="J1023" i="8"/>
  <c r="I1023" i="8"/>
  <c r="H1023" i="8"/>
  <c r="J1022" i="8"/>
  <c r="I1022" i="8"/>
  <c r="H1022" i="8"/>
  <c r="J1021" i="8"/>
  <c r="I1021" i="8"/>
  <c r="H1021" i="8"/>
  <c r="J1020" i="8"/>
  <c r="I1020" i="8"/>
  <c r="H1020" i="8"/>
  <c r="J1019" i="8"/>
  <c r="I1019" i="8"/>
  <c r="H1019" i="8"/>
  <c r="J1018" i="8"/>
  <c r="I1018" i="8"/>
  <c r="H1018" i="8"/>
  <c r="J1017" i="8"/>
  <c r="I1017" i="8"/>
  <c r="H1017" i="8"/>
  <c r="J1016" i="8"/>
  <c r="I1016" i="8"/>
  <c r="H1016" i="8"/>
  <c r="J1015" i="8"/>
  <c r="I1015" i="8"/>
  <c r="H1015" i="8"/>
  <c r="J1014" i="8"/>
  <c r="I1014" i="8"/>
  <c r="H1014" i="8"/>
  <c r="J1013" i="8"/>
  <c r="I1013" i="8"/>
  <c r="H1013" i="8"/>
  <c r="J1012" i="8"/>
  <c r="I1012" i="8"/>
  <c r="H1012" i="8"/>
  <c r="J1011" i="8"/>
  <c r="I1011" i="8"/>
  <c r="H1011" i="8"/>
  <c r="J1010" i="8"/>
  <c r="I1010" i="8"/>
  <c r="H1010" i="8"/>
  <c r="J1009" i="8"/>
  <c r="I1009" i="8"/>
  <c r="H1009" i="8"/>
  <c r="J1008" i="8"/>
  <c r="I1008" i="8"/>
  <c r="H1008" i="8"/>
  <c r="J1007" i="8"/>
  <c r="I1007" i="8"/>
  <c r="H1007" i="8"/>
  <c r="J1006" i="8"/>
  <c r="I1006" i="8"/>
  <c r="H1006" i="8"/>
  <c r="J1005" i="8"/>
  <c r="I1005" i="8"/>
  <c r="H1005" i="8"/>
  <c r="J1004" i="8"/>
  <c r="I1004" i="8"/>
  <c r="H1004" i="8"/>
  <c r="J1003" i="8"/>
  <c r="I1003" i="8"/>
  <c r="H1003" i="8"/>
  <c r="J1002" i="8"/>
  <c r="I1002" i="8"/>
  <c r="H1002" i="8"/>
  <c r="J1001" i="8"/>
  <c r="I1001" i="8"/>
  <c r="H1001" i="8"/>
  <c r="J1000" i="8"/>
  <c r="I1000" i="8"/>
  <c r="H1000" i="8"/>
  <c r="J999" i="8"/>
  <c r="I999" i="8"/>
  <c r="H999" i="8"/>
  <c r="J998" i="8"/>
  <c r="I998" i="8"/>
  <c r="H998" i="8"/>
  <c r="J997" i="8"/>
  <c r="I997" i="8"/>
  <c r="H997" i="8"/>
  <c r="J996" i="8"/>
  <c r="I996" i="8"/>
  <c r="H996" i="8"/>
  <c r="J995" i="8"/>
  <c r="I995" i="8"/>
  <c r="H995" i="8"/>
  <c r="J994" i="8"/>
  <c r="I994" i="8"/>
  <c r="H994" i="8"/>
  <c r="J993" i="8"/>
  <c r="I993" i="8"/>
  <c r="H993" i="8"/>
  <c r="J992" i="8"/>
  <c r="I992" i="8"/>
  <c r="H992" i="8"/>
  <c r="J991" i="8"/>
  <c r="I991" i="8"/>
  <c r="H991" i="8"/>
  <c r="J990" i="8"/>
  <c r="I990" i="8"/>
  <c r="H990" i="8"/>
  <c r="J989" i="8"/>
  <c r="I989" i="8"/>
  <c r="H989" i="8"/>
  <c r="J988" i="8"/>
  <c r="I988" i="8"/>
  <c r="H988" i="8"/>
  <c r="J987" i="8"/>
  <c r="I987" i="8"/>
  <c r="H987" i="8"/>
  <c r="J986" i="8"/>
  <c r="I986" i="8"/>
  <c r="H986" i="8"/>
  <c r="J985" i="8"/>
  <c r="I985" i="8"/>
  <c r="H985" i="8"/>
  <c r="J984" i="8"/>
  <c r="I984" i="8"/>
  <c r="H984" i="8"/>
  <c r="J983" i="8"/>
  <c r="I983" i="8"/>
  <c r="H983" i="8"/>
  <c r="J982" i="8"/>
  <c r="I982" i="8"/>
  <c r="H982" i="8"/>
  <c r="J981" i="8"/>
  <c r="I981" i="8"/>
  <c r="H981" i="8"/>
  <c r="J980" i="8"/>
  <c r="I980" i="8"/>
  <c r="H980" i="8"/>
  <c r="J979" i="8"/>
  <c r="I979" i="8"/>
  <c r="H979" i="8"/>
  <c r="J978" i="8"/>
  <c r="I978" i="8"/>
  <c r="H978" i="8"/>
  <c r="J977" i="8"/>
  <c r="I977" i="8"/>
  <c r="H977" i="8"/>
  <c r="J976" i="8"/>
  <c r="I976" i="8"/>
  <c r="H976" i="8"/>
  <c r="J975" i="8"/>
  <c r="I975" i="8"/>
  <c r="H975" i="8"/>
  <c r="J974" i="8"/>
  <c r="I974" i="8"/>
  <c r="H974" i="8"/>
  <c r="J973" i="8"/>
  <c r="I973" i="8"/>
  <c r="H973" i="8"/>
  <c r="J972" i="8"/>
  <c r="I972" i="8"/>
  <c r="H972" i="8"/>
  <c r="J971" i="8"/>
  <c r="I971" i="8"/>
  <c r="H971" i="8"/>
  <c r="J970" i="8"/>
  <c r="I970" i="8"/>
  <c r="H970" i="8"/>
  <c r="J969" i="8"/>
  <c r="I969" i="8"/>
  <c r="H969" i="8"/>
  <c r="J968" i="8"/>
  <c r="I968" i="8"/>
  <c r="H968" i="8"/>
  <c r="J967" i="8"/>
  <c r="I967" i="8"/>
  <c r="H967" i="8"/>
  <c r="J966" i="8"/>
  <c r="I966" i="8"/>
  <c r="H966" i="8"/>
  <c r="J965" i="8"/>
  <c r="I965" i="8"/>
  <c r="H965" i="8"/>
  <c r="J964" i="8"/>
  <c r="I964" i="8"/>
  <c r="H964" i="8"/>
  <c r="J963" i="8"/>
  <c r="I963" i="8"/>
  <c r="H963" i="8"/>
  <c r="J962" i="8"/>
  <c r="I962" i="8"/>
  <c r="H962" i="8"/>
  <c r="J961" i="8"/>
  <c r="I961" i="8"/>
  <c r="H961" i="8"/>
  <c r="J960" i="8"/>
  <c r="I960" i="8"/>
  <c r="H960" i="8"/>
  <c r="J959" i="8"/>
  <c r="I959" i="8"/>
  <c r="H959" i="8"/>
  <c r="J958" i="8"/>
  <c r="I958" i="8"/>
  <c r="H958" i="8"/>
  <c r="J957" i="8"/>
  <c r="I957" i="8"/>
  <c r="H957" i="8"/>
  <c r="J956" i="8"/>
  <c r="I956" i="8"/>
  <c r="H956" i="8"/>
  <c r="J955" i="8"/>
  <c r="I955" i="8"/>
  <c r="H955" i="8"/>
  <c r="J954" i="8"/>
  <c r="I954" i="8"/>
  <c r="H954" i="8"/>
  <c r="J953" i="8"/>
  <c r="I953" i="8"/>
  <c r="H953" i="8"/>
  <c r="J952" i="8"/>
  <c r="I952" i="8"/>
  <c r="H952" i="8"/>
  <c r="J951" i="8"/>
  <c r="I951" i="8"/>
  <c r="H951" i="8"/>
  <c r="J950" i="8"/>
  <c r="I950" i="8"/>
  <c r="H950" i="8"/>
  <c r="J949" i="8"/>
  <c r="I949" i="8"/>
  <c r="H949" i="8"/>
  <c r="J948" i="8"/>
  <c r="I948" i="8"/>
  <c r="H948" i="8"/>
  <c r="J947" i="8"/>
  <c r="I947" i="8"/>
  <c r="H947" i="8"/>
  <c r="J946" i="8"/>
  <c r="I946" i="8"/>
  <c r="H946" i="8"/>
  <c r="J945" i="8"/>
  <c r="I945" i="8"/>
  <c r="H945" i="8"/>
  <c r="J944" i="8"/>
  <c r="I944" i="8"/>
  <c r="H944" i="8"/>
  <c r="J943" i="8"/>
  <c r="I943" i="8"/>
  <c r="H943" i="8"/>
  <c r="J942" i="8"/>
  <c r="I942" i="8"/>
  <c r="H942" i="8"/>
  <c r="J941" i="8"/>
  <c r="I941" i="8"/>
  <c r="H941" i="8"/>
  <c r="J940" i="8"/>
  <c r="I940" i="8"/>
  <c r="H940" i="8"/>
  <c r="J939" i="8"/>
  <c r="I939" i="8"/>
  <c r="H939" i="8"/>
  <c r="J938" i="8"/>
  <c r="I938" i="8"/>
  <c r="H938" i="8"/>
  <c r="J937" i="8"/>
  <c r="I937" i="8"/>
  <c r="H937" i="8"/>
  <c r="J936" i="8"/>
  <c r="I936" i="8"/>
  <c r="H936" i="8"/>
  <c r="J935" i="8"/>
  <c r="I935" i="8"/>
  <c r="H935" i="8"/>
  <c r="J934" i="8"/>
  <c r="I934" i="8"/>
  <c r="H934" i="8"/>
  <c r="J933" i="8"/>
  <c r="I933" i="8"/>
  <c r="H933" i="8"/>
  <c r="J932" i="8"/>
  <c r="I932" i="8"/>
  <c r="H932" i="8"/>
  <c r="J931" i="8"/>
  <c r="I931" i="8"/>
  <c r="H931" i="8"/>
  <c r="J930" i="8"/>
  <c r="I930" i="8"/>
  <c r="H930" i="8"/>
  <c r="J929" i="8"/>
  <c r="I929" i="8"/>
  <c r="H929" i="8"/>
  <c r="J928" i="8"/>
  <c r="I928" i="8"/>
  <c r="H928" i="8"/>
  <c r="J927" i="8"/>
  <c r="I927" i="8"/>
  <c r="H927" i="8"/>
  <c r="J926" i="8"/>
  <c r="I926" i="8"/>
  <c r="H926" i="8"/>
  <c r="J925" i="8"/>
  <c r="I925" i="8"/>
  <c r="H925" i="8"/>
  <c r="J924" i="8"/>
  <c r="I924" i="8"/>
  <c r="H924" i="8"/>
  <c r="J923" i="8"/>
  <c r="I923" i="8"/>
  <c r="H923" i="8"/>
  <c r="J922" i="8"/>
  <c r="I922" i="8"/>
  <c r="H922" i="8"/>
  <c r="J921" i="8"/>
  <c r="I921" i="8"/>
  <c r="H921" i="8"/>
  <c r="J920" i="8"/>
  <c r="I920" i="8"/>
  <c r="H920" i="8"/>
  <c r="J919" i="8"/>
  <c r="I919" i="8"/>
  <c r="H919" i="8"/>
  <c r="J918" i="8"/>
  <c r="I918" i="8"/>
  <c r="H918" i="8"/>
  <c r="J917" i="8"/>
  <c r="I917" i="8"/>
  <c r="H917" i="8"/>
  <c r="J916" i="8"/>
  <c r="I916" i="8"/>
  <c r="H916" i="8"/>
  <c r="J915" i="8"/>
  <c r="I915" i="8"/>
  <c r="H915" i="8"/>
  <c r="J914" i="8"/>
  <c r="I914" i="8"/>
  <c r="H914" i="8"/>
  <c r="J913" i="8"/>
  <c r="I913" i="8"/>
  <c r="H913" i="8"/>
  <c r="J912" i="8"/>
  <c r="I912" i="8"/>
  <c r="H912" i="8"/>
  <c r="J911" i="8"/>
  <c r="I911" i="8"/>
  <c r="H911" i="8"/>
  <c r="J910" i="8"/>
  <c r="I910" i="8"/>
  <c r="H910" i="8"/>
  <c r="J909" i="8"/>
  <c r="I909" i="8"/>
  <c r="H909" i="8"/>
  <c r="J908" i="8"/>
  <c r="I908" i="8"/>
  <c r="H908" i="8"/>
  <c r="J907" i="8"/>
  <c r="I907" i="8"/>
  <c r="H907" i="8"/>
  <c r="J906" i="8"/>
  <c r="I906" i="8"/>
  <c r="H906" i="8"/>
  <c r="J905" i="8"/>
  <c r="I905" i="8"/>
  <c r="H905" i="8"/>
  <c r="J904" i="8"/>
  <c r="I904" i="8"/>
  <c r="H904" i="8"/>
  <c r="J903" i="8"/>
  <c r="I903" i="8"/>
  <c r="H903" i="8"/>
  <c r="J902" i="8"/>
  <c r="I902" i="8"/>
  <c r="H902" i="8"/>
  <c r="J901" i="8"/>
  <c r="I901" i="8"/>
  <c r="H901" i="8"/>
  <c r="J900" i="8"/>
  <c r="I900" i="8"/>
  <c r="H900" i="8"/>
  <c r="J899" i="8"/>
  <c r="I899" i="8"/>
  <c r="H899" i="8"/>
  <c r="J898" i="8"/>
  <c r="I898" i="8"/>
  <c r="H898" i="8"/>
  <c r="J897" i="8"/>
  <c r="I897" i="8"/>
  <c r="H897" i="8"/>
  <c r="J896" i="8"/>
  <c r="I896" i="8"/>
  <c r="H896" i="8"/>
  <c r="J895" i="8"/>
  <c r="I895" i="8"/>
  <c r="H895" i="8"/>
  <c r="J894" i="8"/>
  <c r="I894" i="8"/>
  <c r="H894" i="8"/>
  <c r="J893" i="8"/>
  <c r="I893" i="8"/>
  <c r="H893" i="8"/>
  <c r="J892" i="8"/>
  <c r="I892" i="8"/>
  <c r="H892" i="8"/>
  <c r="J891" i="8"/>
  <c r="I891" i="8"/>
  <c r="H891" i="8"/>
  <c r="J890" i="8"/>
  <c r="I890" i="8"/>
  <c r="H890" i="8"/>
  <c r="J889" i="8"/>
  <c r="I889" i="8"/>
  <c r="H889" i="8"/>
  <c r="J888" i="8"/>
  <c r="I888" i="8"/>
  <c r="H888" i="8"/>
  <c r="J887" i="8"/>
  <c r="I887" i="8"/>
  <c r="H887" i="8"/>
  <c r="J886" i="8"/>
  <c r="I886" i="8"/>
  <c r="H886" i="8"/>
  <c r="J885" i="8"/>
  <c r="I885" i="8"/>
  <c r="H885" i="8"/>
  <c r="J884" i="8"/>
  <c r="I884" i="8"/>
  <c r="H884" i="8"/>
  <c r="J883" i="8"/>
  <c r="I883" i="8"/>
  <c r="H883" i="8"/>
  <c r="J882" i="8"/>
  <c r="I882" i="8"/>
  <c r="H882" i="8"/>
  <c r="J881" i="8"/>
  <c r="I881" i="8"/>
  <c r="H881" i="8"/>
  <c r="J880" i="8"/>
  <c r="I880" i="8"/>
  <c r="H880" i="8"/>
  <c r="J879" i="8"/>
  <c r="I879" i="8"/>
  <c r="H879" i="8"/>
  <c r="J878" i="8"/>
  <c r="I878" i="8"/>
  <c r="H878" i="8"/>
  <c r="J877" i="8"/>
  <c r="I877" i="8"/>
  <c r="H877" i="8"/>
  <c r="J876" i="8"/>
  <c r="I876" i="8"/>
  <c r="H876" i="8"/>
  <c r="J875" i="8"/>
  <c r="I875" i="8"/>
  <c r="H875" i="8"/>
  <c r="J874" i="8"/>
  <c r="I874" i="8"/>
  <c r="H874" i="8"/>
  <c r="J873" i="8"/>
  <c r="I873" i="8"/>
  <c r="H873" i="8"/>
  <c r="J872" i="8"/>
  <c r="I872" i="8"/>
  <c r="H872" i="8"/>
  <c r="J871" i="8"/>
  <c r="I871" i="8"/>
  <c r="H871" i="8"/>
  <c r="J870" i="8"/>
  <c r="I870" i="8"/>
  <c r="H870" i="8"/>
  <c r="J869" i="8"/>
  <c r="I869" i="8"/>
  <c r="H869" i="8"/>
  <c r="J868" i="8"/>
  <c r="I868" i="8"/>
  <c r="H868" i="8"/>
  <c r="J867" i="8"/>
  <c r="I867" i="8"/>
  <c r="H867" i="8"/>
  <c r="J866" i="8"/>
  <c r="I866" i="8"/>
  <c r="H866" i="8"/>
  <c r="J865" i="8"/>
  <c r="I865" i="8"/>
  <c r="H865" i="8"/>
  <c r="J864" i="8"/>
  <c r="I864" i="8"/>
  <c r="H864" i="8"/>
  <c r="J863" i="8"/>
  <c r="I863" i="8"/>
  <c r="H863" i="8"/>
  <c r="J862" i="8"/>
  <c r="I862" i="8"/>
  <c r="H862" i="8"/>
  <c r="J861" i="8"/>
  <c r="I861" i="8"/>
  <c r="H861" i="8"/>
  <c r="J860" i="8"/>
  <c r="I860" i="8"/>
  <c r="H860" i="8"/>
  <c r="J859" i="8"/>
  <c r="I859" i="8"/>
  <c r="H859" i="8"/>
  <c r="J858" i="8"/>
  <c r="I858" i="8"/>
  <c r="H858" i="8"/>
  <c r="J857" i="8"/>
  <c r="I857" i="8"/>
  <c r="H857" i="8"/>
  <c r="J856" i="8"/>
  <c r="I856" i="8"/>
  <c r="H856" i="8"/>
  <c r="J855" i="8"/>
  <c r="I855" i="8"/>
  <c r="H855" i="8"/>
  <c r="J854" i="8"/>
  <c r="I854" i="8"/>
  <c r="H854" i="8"/>
  <c r="J853" i="8"/>
  <c r="I853" i="8"/>
  <c r="H853" i="8"/>
  <c r="J852" i="8"/>
  <c r="I852" i="8"/>
  <c r="H852" i="8"/>
  <c r="J851" i="8"/>
  <c r="I851" i="8"/>
  <c r="H851" i="8"/>
  <c r="J850" i="8"/>
  <c r="I850" i="8"/>
  <c r="H850" i="8"/>
  <c r="J849" i="8"/>
  <c r="I849" i="8"/>
  <c r="H849" i="8"/>
  <c r="J848" i="8"/>
  <c r="I848" i="8"/>
  <c r="H848" i="8"/>
  <c r="J847" i="8"/>
  <c r="I847" i="8"/>
  <c r="H847" i="8"/>
  <c r="J846" i="8"/>
  <c r="I846" i="8"/>
  <c r="H846" i="8"/>
  <c r="J845" i="8"/>
  <c r="I845" i="8"/>
  <c r="H845" i="8"/>
  <c r="J844" i="8"/>
  <c r="I844" i="8"/>
  <c r="H844" i="8"/>
  <c r="J843" i="8"/>
  <c r="I843" i="8"/>
  <c r="H843" i="8"/>
  <c r="J842" i="8"/>
  <c r="I842" i="8"/>
  <c r="H842" i="8"/>
  <c r="J841" i="8"/>
  <c r="I841" i="8"/>
  <c r="H841" i="8"/>
  <c r="J840" i="8"/>
  <c r="I840" i="8"/>
  <c r="H840" i="8"/>
  <c r="J839" i="8"/>
  <c r="I839" i="8"/>
  <c r="H839" i="8"/>
  <c r="J838" i="8"/>
  <c r="I838" i="8"/>
  <c r="H838" i="8"/>
  <c r="J837" i="8"/>
  <c r="I837" i="8"/>
  <c r="H837" i="8"/>
  <c r="J836" i="8"/>
  <c r="I836" i="8"/>
  <c r="H836" i="8"/>
  <c r="J835" i="8"/>
  <c r="I835" i="8"/>
  <c r="H835" i="8"/>
  <c r="J834" i="8"/>
  <c r="I834" i="8"/>
  <c r="H834" i="8"/>
  <c r="J833" i="8"/>
  <c r="I833" i="8"/>
  <c r="H833" i="8"/>
  <c r="J832" i="8"/>
  <c r="I832" i="8"/>
  <c r="H832" i="8"/>
  <c r="J831" i="8"/>
  <c r="I831" i="8"/>
  <c r="H831" i="8"/>
  <c r="J830" i="8"/>
  <c r="I830" i="8"/>
  <c r="H830" i="8"/>
  <c r="J829" i="8"/>
  <c r="I829" i="8"/>
  <c r="H829" i="8"/>
  <c r="J828" i="8"/>
  <c r="I828" i="8"/>
  <c r="H828" i="8"/>
  <c r="J827" i="8"/>
  <c r="I827" i="8"/>
  <c r="H827" i="8"/>
  <c r="J826" i="8"/>
  <c r="I826" i="8"/>
  <c r="H826" i="8"/>
  <c r="J825" i="8"/>
  <c r="I825" i="8"/>
  <c r="H825" i="8"/>
  <c r="J824" i="8"/>
  <c r="I824" i="8"/>
  <c r="H824" i="8"/>
  <c r="J823" i="8"/>
  <c r="I823" i="8"/>
  <c r="H823" i="8"/>
  <c r="J822" i="8"/>
  <c r="I822" i="8"/>
  <c r="H822" i="8"/>
  <c r="J821" i="8"/>
  <c r="I821" i="8"/>
  <c r="H821" i="8"/>
  <c r="J820" i="8"/>
  <c r="I820" i="8"/>
  <c r="H820" i="8"/>
  <c r="J819" i="8"/>
  <c r="I819" i="8"/>
  <c r="H819" i="8"/>
  <c r="J818" i="8"/>
  <c r="I818" i="8"/>
  <c r="H818" i="8"/>
  <c r="J817" i="8"/>
  <c r="I817" i="8"/>
  <c r="H817" i="8"/>
  <c r="J816" i="8"/>
  <c r="I816" i="8"/>
  <c r="H816" i="8"/>
  <c r="J815" i="8"/>
  <c r="I815" i="8"/>
  <c r="H815" i="8"/>
  <c r="J814" i="8"/>
  <c r="I814" i="8"/>
  <c r="H814" i="8"/>
  <c r="J813" i="8"/>
  <c r="I813" i="8"/>
  <c r="H813" i="8"/>
  <c r="J812" i="8"/>
  <c r="I812" i="8"/>
  <c r="H812" i="8"/>
  <c r="J811" i="8"/>
  <c r="I811" i="8"/>
  <c r="H811" i="8"/>
  <c r="J810" i="8"/>
  <c r="I810" i="8"/>
  <c r="H810" i="8"/>
  <c r="J809" i="8"/>
  <c r="I809" i="8"/>
  <c r="H809" i="8"/>
  <c r="J808" i="8"/>
  <c r="I808" i="8"/>
  <c r="H808" i="8"/>
  <c r="J807" i="8"/>
  <c r="I807" i="8"/>
  <c r="H807" i="8"/>
  <c r="J806" i="8"/>
  <c r="I806" i="8"/>
  <c r="H806" i="8"/>
  <c r="J805" i="8"/>
  <c r="I805" i="8"/>
  <c r="H805" i="8"/>
  <c r="J804" i="8"/>
  <c r="I804" i="8"/>
  <c r="H804" i="8"/>
  <c r="J803" i="8"/>
  <c r="I803" i="8"/>
  <c r="H803" i="8"/>
  <c r="J802" i="8"/>
  <c r="I802" i="8"/>
  <c r="H802" i="8"/>
  <c r="C52" i="5" s="1"/>
  <c r="D52" i="5" s="1"/>
  <c r="J801" i="8"/>
  <c r="I801" i="8"/>
  <c r="H801" i="8"/>
  <c r="J800" i="8"/>
  <c r="I800" i="8"/>
  <c r="H800" i="8"/>
  <c r="J799" i="8"/>
  <c r="I799" i="8"/>
  <c r="H799" i="8"/>
  <c r="J798" i="8"/>
  <c r="I798" i="8"/>
  <c r="H798" i="8"/>
  <c r="J797" i="8"/>
  <c r="I797" i="8"/>
  <c r="H797" i="8"/>
  <c r="J796" i="8"/>
  <c r="I796" i="8"/>
  <c r="H796" i="8"/>
  <c r="J795" i="8"/>
  <c r="I795" i="8"/>
  <c r="H795" i="8"/>
  <c r="J794" i="8"/>
  <c r="I794" i="8"/>
  <c r="H794" i="8"/>
  <c r="J793" i="8"/>
  <c r="I793" i="8"/>
  <c r="H793" i="8"/>
  <c r="J792" i="8"/>
  <c r="I792" i="8"/>
  <c r="H792" i="8"/>
  <c r="J791" i="8"/>
  <c r="I791" i="8"/>
  <c r="H791" i="8"/>
  <c r="J790" i="8"/>
  <c r="I790" i="8"/>
  <c r="H790" i="8"/>
  <c r="J789" i="8"/>
  <c r="I789" i="8"/>
  <c r="H789" i="8"/>
  <c r="J788" i="8"/>
  <c r="I788" i="8"/>
  <c r="H788" i="8"/>
  <c r="J787" i="8"/>
  <c r="I787" i="8"/>
  <c r="H787" i="8"/>
  <c r="J786" i="8"/>
  <c r="I786" i="8"/>
  <c r="H786" i="8"/>
  <c r="J785" i="8"/>
  <c r="I785" i="8"/>
  <c r="H785" i="8"/>
  <c r="J784" i="8"/>
  <c r="I784" i="8"/>
  <c r="H784" i="8"/>
  <c r="J783" i="8"/>
  <c r="I783" i="8"/>
  <c r="H783" i="8"/>
  <c r="J782" i="8"/>
  <c r="I782" i="8"/>
  <c r="H782" i="8"/>
  <c r="J781" i="8"/>
  <c r="I781" i="8"/>
  <c r="H781" i="8"/>
  <c r="J780" i="8"/>
  <c r="I780" i="8"/>
  <c r="H780" i="8"/>
  <c r="J779" i="8"/>
  <c r="I779" i="8"/>
  <c r="H779" i="8"/>
  <c r="J778" i="8"/>
  <c r="I778" i="8"/>
  <c r="H778" i="8"/>
  <c r="J777" i="8"/>
  <c r="I777" i="8"/>
  <c r="H777" i="8"/>
  <c r="J776" i="8"/>
  <c r="I776" i="8"/>
  <c r="H776" i="8"/>
  <c r="J775" i="8"/>
  <c r="I775" i="8"/>
  <c r="H775" i="8"/>
  <c r="J774" i="8"/>
  <c r="I774" i="8"/>
  <c r="H774" i="8"/>
  <c r="J773" i="8"/>
  <c r="I773" i="8"/>
  <c r="H773" i="8"/>
  <c r="J772" i="8"/>
  <c r="I772" i="8"/>
  <c r="H772" i="8"/>
  <c r="J771" i="8"/>
  <c r="I771" i="8"/>
  <c r="H771" i="8"/>
  <c r="J770" i="8"/>
  <c r="I770" i="8"/>
  <c r="H770" i="8"/>
  <c r="J769" i="8"/>
  <c r="I769" i="8"/>
  <c r="H769" i="8"/>
  <c r="J768" i="8"/>
  <c r="I768" i="8"/>
  <c r="H768" i="8"/>
  <c r="J767" i="8"/>
  <c r="I767" i="8"/>
  <c r="H767" i="8"/>
  <c r="J766" i="8"/>
  <c r="I766" i="8"/>
  <c r="H766" i="8"/>
  <c r="J765" i="8"/>
  <c r="I765" i="8"/>
  <c r="H765" i="8"/>
  <c r="J764" i="8"/>
  <c r="I764" i="8"/>
  <c r="H764" i="8"/>
  <c r="J763" i="8"/>
  <c r="I763" i="8"/>
  <c r="H763" i="8"/>
  <c r="J762" i="8"/>
  <c r="I762" i="8"/>
  <c r="H762" i="8"/>
  <c r="J761" i="8"/>
  <c r="I761" i="8"/>
  <c r="H761" i="8"/>
  <c r="J760" i="8"/>
  <c r="I760" i="8"/>
  <c r="H760" i="8"/>
  <c r="J759" i="8"/>
  <c r="I759" i="8"/>
  <c r="H759" i="8"/>
  <c r="J758" i="8"/>
  <c r="I758" i="8"/>
  <c r="H758" i="8"/>
  <c r="J757" i="8"/>
  <c r="I757" i="8"/>
  <c r="H757" i="8"/>
  <c r="J756" i="8"/>
  <c r="I756" i="8"/>
  <c r="H756" i="8"/>
  <c r="J755" i="8"/>
  <c r="I755" i="8"/>
  <c r="H755" i="8"/>
  <c r="J754" i="8"/>
  <c r="I754" i="8"/>
  <c r="H754" i="8"/>
  <c r="J753" i="8"/>
  <c r="I753" i="8"/>
  <c r="H753" i="8"/>
  <c r="J752" i="8"/>
  <c r="I752" i="8"/>
  <c r="H752" i="8"/>
  <c r="J751" i="8"/>
  <c r="I751" i="8"/>
  <c r="H751" i="8"/>
  <c r="J750" i="8"/>
  <c r="I750" i="8"/>
  <c r="H750" i="8"/>
  <c r="J749" i="8"/>
  <c r="I749" i="8"/>
  <c r="H749" i="8"/>
  <c r="J748" i="8"/>
  <c r="I748" i="8"/>
  <c r="H748" i="8"/>
  <c r="J747" i="8"/>
  <c r="I747" i="8"/>
  <c r="H747" i="8"/>
  <c r="J746" i="8"/>
  <c r="I746" i="8"/>
  <c r="H746" i="8"/>
  <c r="J745" i="8"/>
  <c r="I745" i="8"/>
  <c r="H745" i="8"/>
  <c r="J744" i="8"/>
  <c r="I744" i="8"/>
  <c r="H744" i="8"/>
  <c r="J743" i="8"/>
  <c r="I743" i="8"/>
  <c r="H743" i="8"/>
  <c r="J742" i="8"/>
  <c r="I742" i="8"/>
  <c r="H742" i="8"/>
  <c r="J741" i="8"/>
  <c r="I741" i="8"/>
  <c r="H741" i="8"/>
  <c r="J740" i="8"/>
  <c r="I740" i="8"/>
  <c r="H740" i="8"/>
  <c r="J739" i="8"/>
  <c r="I739" i="8"/>
  <c r="H739" i="8"/>
  <c r="J738" i="8"/>
  <c r="I738" i="8"/>
  <c r="H738" i="8"/>
  <c r="J737" i="8"/>
  <c r="I737" i="8"/>
  <c r="H737" i="8"/>
  <c r="J736" i="8"/>
  <c r="I736" i="8"/>
  <c r="H736" i="8"/>
  <c r="J735" i="8"/>
  <c r="I735" i="8"/>
  <c r="H735" i="8"/>
  <c r="J734" i="8"/>
  <c r="I734" i="8"/>
  <c r="H734" i="8"/>
  <c r="J733" i="8"/>
  <c r="I733" i="8"/>
  <c r="H733" i="8"/>
  <c r="J732" i="8"/>
  <c r="I732" i="8"/>
  <c r="H732" i="8"/>
  <c r="J731" i="8"/>
  <c r="I731" i="8"/>
  <c r="H731" i="8"/>
  <c r="J730" i="8"/>
  <c r="I730" i="8"/>
  <c r="H730" i="8"/>
  <c r="J729" i="8"/>
  <c r="I729" i="8"/>
  <c r="H729" i="8"/>
  <c r="J728" i="8"/>
  <c r="I728" i="8"/>
  <c r="H728" i="8"/>
  <c r="J727" i="8"/>
  <c r="I727" i="8"/>
  <c r="H727" i="8"/>
  <c r="J726" i="8"/>
  <c r="I726" i="8"/>
  <c r="H726" i="8"/>
  <c r="J725" i="8"/>
  <c r="I725" i="8"/>
  <c r="H725" i="8"/>
  <c r="J724" i="8"/>
  <c r="I724" i="8"/>
  <c r="H724" i="8"/>
  <c r="J723" i="8"/>
  <c r="I723" i="8"/>
  <c r="H723" i="8"/>
  <c r="J722" i="8"/>
  <c r="I722" i="8"/>
  <c r="H722" i="8"/>
  <c r="J721" i="8"/>
  <c r="I721" i="8"/>
  <c r="H721" i="8"/>
  <c r="J720" i="8"/>
  <c r="I720" i="8"/>
  <c r="H720" i="8"/>
  <c r="J719" i="8"/>
  <c r="I719" i="8"/>
  <c r="H719" i="8"/>
  <c r="J718" i="8"/>
  <c r="I718" i="8"/>
  <c r="H718" i="8"/>
  <c r="J717" i="8"/>
  <c r="I717" i="8"/>
  <c r="H717" i="8"/>
  <c r="J716" i="8"/>
  <c r="I716" i="8"/>
  <c r="H716" i="8"/>
  <c r="J715" i="8"/>
  <c r="I715" i="8"/>
  <c r="H715" i="8"/>
  <c r="J714" i="8"/>
  <c r="I714" i="8"/>
  <c r="H714" i="8"/>
  <c r="J713" i="8"/>
  <c r="I713" i="8"/>
  <c r="H713" i="8"/>
  <c r="J712" i="8"/>
  <c r="I712" i="8"/>
  <c r="H712" i="8"/>
  <c r="J711" i="8"/>
  <c r="I711" i="8"/>
  <c r="H711" i="8"/>
  <c r="J710" i="8"/>
  <c r="I710" i="8"/>
  <c r="H710" i="8"/>
  <c r="J709" i="8"/>
  <c r="I709" i="8"/>
  <c r="H709" i="8"/>
  <c r="J708" i="8"/>
  <c r="I708" i="8"/>
  <c r="H708" i="8"/>
  <c r="J707" i="8"/>
  <c r="I707" i="8"/>
  <c r="H707" i="8"/>
  <c r="J706" i="8"/>
  <c r="I706" i="8"/>
  <c r="H706" i="8"/>
  <c r="J705" i="8"/>
  <c r="I705" i="8"/>
  <c r="H705" i="8"/>
  <c r="J704" i="8"/>
  <c r="I704" i="8"/>
  <c r="H704" i="8"/>
  <c r="J703" i="8"/>
  <c r="I703" i="8"/>
  <c r="H703" i="8"/>
  <c r="J702" i="8"/>
  <c r="I702" i="8"/>
  <c r="H702" i="8"/>
  <c r="J701" i="8"/>
  <c r="I701" i="8"/>
  <c r="H701" i="8"/>
  <c r="J700" i="8"/>
  <c r="I700" i="8"/>
  <c r="H700" i="8"/>
  <c r="J699" i="8"/>
  <c r="I699" i="8"/>
  <c r="H699" i="8"/>
  <c r="J698" i="8"/>
  <c r="I698" i="8"/>
  <c r="H698" i="8"/>
  <c r="J697" i="8"/>
  <c r="I697" i="8"/>
  <c r="H697" i="8"/>
  <c r="J696" i="8"/>
  <c r="I696" i="8"/>
  <c r="H696" i="8"/>
  <c r="J695" i="8"/>
  <c r="I695" i="8"/>
  <c r="H695" i="8"/>
  <c r="J694" i="8"/>
  <c r="I694" i="8"/>
  <c r="H694" i="8"/>
  <c r="J693" i="8"/>
  <c r="I693" i="8"/>
  <c r="H693" i="8"/>
  <c r="J692" i="8"/>
  <c r="I692" i="8"/>
  <c r="H692" i="8"/>
  <c r="J691" i="8"/>
  <c r="I691" i="8"/>
  <c r="H691" i="8"/>
  <c r="J690" i="8"/>
  <c r="I690" i="8"/>
  <c r="H690" i="8"/>
  <c r="J689" i="8"/>
  <c r="I689" i="8"/>
  <c r="H689" i="8"/>
  <c r="J688" i="8"/>
  <c r="I688" i="8"/>
  <c r="H688" i="8"/>
  <c r="J687" i="8"/>
  <c r="I687" i="8"/>
  <c r="H687" i="8"/>
  <c r="J686" i="8"/>
  <c r="I686" i="8"/>
  <c r="H686" i="8"/>
  <c r="J685" i="8"/>
  <c r="I685" i="8"/>
  <c r="H685" i="8"/>
  <c r="J684" i="8"/>
  <c r="I684" i="8"/>
  <c r="H684" i="8"/>
  <c r="J683" i="8"/>
  <c r="I683" i="8"/>
  <c r="H683" i="8"/>
  <c r="J682" i="8"/>
  <c r="I682" i="8"/>
  <c r="H682" i="8"/>
  <c r="J681" i="8"/>
  <c r="I681" i="8"/>
  <c r="H681" i="8"/>
  <c r="J680" i="8"/>
  <c r="I680" i="8"/>
  <c r="H680" i="8"/>
  <c r="J679" i="8"/>
  <c r="I679" i="8"/>
  <c r="H679" i="8"/>
  <c r="J678" i="8"/>
  <c r="I678" i="8"/>
  <c r="H678" i="8"/>
  <c r="C82" i="5" s="1"/>
  <c r="D82" i="5" s="1"/>
  <c r="J677" i="8"/>
  <c r="I677" i="8"/>
  <c r="H677" i="8"/>
  <c r="J676" i="8"/>
  <c r="I676" i="8"/>
  <c r="H676" i="8"/>
  <c r="J675" i="8"/>
  <c r="I675" i="8"/>
  <c r="H675" i="8"/>
  <c r="J674" i="8"/>
  <c r="I674" i="8"/>
  <c r="H674" i="8"/>
  <c r="J673" i="8"/>
  <c r="I673" i="8"/>
  <c r="H673" i="8"/>
  <c r="J672" i="8"/>
  <c r="I672" i="8"/>
  <c r="H672" i="8"/>
  <c r="J671" i="8"/>
  <c r="I671" i="8"/>
  <c r="H671" i="8"/>
  <c r="J670" i="8"/>
  <c r="I670" i="8"/>
  <c r="H670" i="8"/>
  <c r="J669" i="8"/>
  <c r="I669" i="8"/>
  <c r="H669" i="8"/>
  <c r="J668" i="8"/>
  <c r="I668" i="8"/>
  <c r="H668" i="8"/>
  <c r="J667" i="8"/>
  <c r="I667" i="8"/>
  <c r="H667" i="8"/>
  <c r="J666" i="8"/>
  <c r="I666" i="8"/>
  <c r="H666" i="8"/>
  <c r="J665" i="8"/>
  <c r="I665" i="8"/>
  <c r="H665" i="8"/>
  <c r="J664" i="8"/>
  <c r="I664" i="8"/>
  <c r="H664" i="8"/>
  <c r="J663" i="8"/>
  <c r="I663" i="8"/>
  <c r="H663" i="8"/>
  <c r="J662" i="8"/>
  <c r="I662" i="8"/>
  <c r="H662" i="8"/>
  <c r="J661" i="8"/>
  <c r="I661" i="8"/>
  <c r="H661" i="8"/>
  <c r="J660" i="8"/>
  <c r="I660" i="8"/>
  <c r="H660" i="8"/>
  <c r="J659" i="8"/>
  <c r="I659" i="8"/>
  <c r="H659" i="8"/>
  <c r="J658" i="8"/>
  <c r="I658" i="8"/>
  <c r="H658" i="8"/>
  <c r="J657" i="8"/>
  <c r="I657" i="8"/>
  <c r="H657" i="8"/>
  <c r="J656" i="8"/>
  <c r="I656" i="8"/>
  <c r="H656" i="8"/>
  <c r="J655" i="8"/>
  <c r="I655" i="8"/>
  <c r="H655" i="8"/>
  <c r="J654" i="8"/>
  <c r="I654" i="8"/>
  <c r="H654" i="8"/>
  <c r="J653" i="8"/>
  <c r="I653" i="8"/>
  <c r="H653" i="8"/>
  <c r="J652" i="8"/>
  <c r="I652" i="8"/>
  <c r="H652" i="8"/>
  <c r="J651" i="8"/>
  <c r="I651" i="8"/>
  <c r="H651" i="8"/>
  <c r="J650" i="8"/>
  <c r="I650" i="8"/>
  <c r="H650" i="8"/>
  <c r="J649" i="8"/>
  <c r="I649" i="8"/>
  <c r="H649" i="8"/>
  <c r="J648" i="8"/>
  <c r="I648" i="8"/>
  <c r="H648" i="8"/>
  <c r="J647" i="8"/>
  <c r="I647" i="8"/>
  <c r="H647" i="8"/>
  <c r="J646" i="8"/>
  <c r="I646" i="8"/>
  <c r="H646" i="8"/>
  <c r="J645" i="8"/>
  <c r="I645" i="8"/>
  <c r="H645" i="8"/>
  <c r="J644" i="8"/>
  <c r="I644" i="8"/>
  <c r="H644" i="8"/>
  <c r="J643" i="8"/>
  <c r="I643" i="8"/>
  <c r="H643" i="8"/>
  <c r="J642" i="8"/>
  <c r="I642" i="8"/>
  <c r="H642" i="8"/>
  <c r="J641" i="8"/>
  <c r="I641" i="8"/>
  <c r="H641" i="8"/>
  <c r="J640" i="8"/>
  <c r="I640" i="8"/>
  <c r="H640" i="8"/>
  <c r="J639" i="8"/>
  <c r="I639" i="8"/>
  <c r="H639" i="8"/>
  <c r="J638" i="8"/>
  <c r="I638" i="8"/>
  <c r="H638" i="8"/>
  <c r="J637" i="8"/>
  <c r="I637" i="8"/>
  <c r="H637" i="8"/>
  <c r="J636" i="8"/>
  <c r="I636" i="8"/>
  <c r="H636" i="8"/>
  <c r="J635" i="8"/>
  <c r="I635" i="8"/>
  <c r="H635" i="8"/>
  <c r="J634" i="8"/>
  <c r="I634" i="8"/>
  <c r="H634" i="8"/>
  <c r="J633" i="8"/>
  <c r="I633" i="8"/>
  <c r="H633" i="8"/>
  <c r="J632" i="8"/>
  <c r="I632" i="8"/>
  <c r="H632" i="8"/>
  <c r="J631" i="8"/>
  <c r="I631" i="8"/>
  <c r="H631" i="8"/>
  <c r="J630" i="8"/>
  <c r="I630" i="8"/>
  <c r="H630" i="8"/>
  <c r="J629" i="8"/>
  <c r="I629" i="8"/>
  <c r="H629" i="8"/>
  <c r="J628" i="8"/>
  <c r="I628" i="8"/>
  <c r="H628" i="8"/>
  <c r="J627" i="8"/>
  <c r="I627" i="8"/>
  <c r="H627" i="8"/>
  <c r="J626" i="8"/>
  <c r="I626" i="8"/>
  <c r="H626" i="8"/>
  <c r="J625" i="8"/>
  <c r="I625" i="8"/>
  <c r="H625" i="8"/>
  <c r="J624" i="8"/>
  <c r="I624" i="8"/>
  <c r="H624" i="8"/>
  <c r="J623" i="8"/>
  <c r="I623" i="8"/>
  <c r="H623" i="8"/>
  <c r="J622" i="8"/>
  <c r="I622" i="8"/>
  <c r="H622" i="8"/>
  <c r="J621" i="8"/>
  <c r="I621" i="8"/>
  <c r="H621" i="8"/>
  <c r="J620" i="8"/>
  <c r="I620" i="8"/>
  <c r="H620" i="8"/>
  <c r="J619" i="8"/>
  <c r="I619" i="8"/>
  <c r="H619" i="8"/>
  <c r="J618" i="8"/>
  <c r="I618" i="8"/>
  <c r="H618" i="8"/>
  <c r="J617" i="8"/>
  <c r="I617" i="8"/>
  <c r="H617" i="8"/>
  <c r="J616" i="8"/>
  <c r="I616" i="8"/>
  <c r="H616" i="8"/>
  <c r="J615" i="8"/>
  <c r="I615" i="8"/>
  <c r="H615" i="8"/>
  <c r="J614" i="8"/>
  <c r="I614" i="8"/>
  <c r="H614" i="8"/>
  <c r="J613" i="8"/>
  <c r="I613" i="8"/>
  <c r="H613" i="8"/>
  <c r="J612" i="8"/>
  <c r="I612" i="8"/>
  <c r="H612" i="8"/>
  <c r="J611" i="8"/>
  <c r="I611" i="8"/>
  <c r="H611" i="8"/>
  <c r="J610" i="8"/>
  <c r="I610" i="8"/>
  <c r="H610" i="8"/>
  <c r="J609" i="8"/>
  <c r="I609" i="8"/>
  <c r="H609" i="8"/>
  <c r="J608" i="8"/>
  <c r="I608" i="8"/>
  <c r="H608" i="8"/>
  <c r="J607" i="8"/>
  <c r="I607" i="8"/>
  <c r="H607" i="8"/>
  <c r="J606" i="8"/>
  <c r="I606" i="8"/>
  <c r="H606" i="8"/>
  <c r="J605" i="8"/>
  <c r="I605" i="8"/>
  <c r="H605" i="8"/>
  <c r="J604" i="8"/>
  <c r="I604" i="8"/>
  <c r="H604" i="8"/>
  <c r="J603" i="8"/>
  <c r="I603" i="8"/>
  <c r="H603" i="8"/>
  <c r="J602" i="8"/>
  <c r="I602" i="8"/>
  <c r="H602" i="8"/>
  <c r="J601" i="8"/>
  <c r="I601" i="8"/>
  <c r="H601" i="8"/>
  <c r="J600" i="8"/>
  <c r="I600" i="8"/>
  <c r="H600" i="8"/>
  <c r="J599" i="8"/>
  <c r="I599" i="8"/>
  <c r="H599" i="8"/>
  <c r="J598" i="8"/>
  <c r="I598" i="8"/>
  <c r="H598" i="8"/>
  <c r="J597" i="8"/>
  <c r="I597" i="8"/>
  <c r="H597" i="8"/>
  <c r="J596" i="8"/>
  <c r="I596" i="8"/>
  <c r="H596" i="8"/>
  <c r="J595" i="8"/>
  <c r="I595" i="8"/>
  <c r="H595" i="8"/>
  <c r="J594" i="8"/>
  <c r="I594" i="8"/>
  <c r="H594" i="8"/>
  <c r="J593" i="8"/>
  <c r="I593" i="8"/>
  <c r="H593" i="8"/>
  <c r="J592" i="8"/>
  <c r="I592" i="8"/>
  <c r="H592" i="8"/>
  <c r="J591" i="8"/>
  <c r="I591" i="8"/>
  <c r="H591" i="8"/>
  <c r="J590" i="8"/>
  <c r="I590" i="8"/>
  <c r="H590" i="8"/>
  <c r="J589" i="8"/>
  <c r="I589" i="8"/>
  <c r="H589" i="8"/>
  <c r="J588" i="8"/>
  <c r="I588" i="8"/>
  <c r="H588" i="8"/>
  <c r="J587" i="8"/>
  <c r="I587" i="8"/>
  <c r="H587" i="8"/>
  <c r="J586" i="8"/>
  <c r="I586" i="8"/>
  <c r="H586" i="8"/>
  <c r="J585" i="8"/>
  <c r="I585" i="8"/>
  <c r="H585" i="8"/>
  <c r="J584" i="8"/>
  <c r="I584" i="8"/>
  <c r="H584" i="8"/>
  <c r="J583" i="8"/>
  <c r="I583" i="8"/>
  <c r="H583" i="8"/>
  <c r="J582" i="8"/>
  <c r="I582" i="8"/>
  <c r="H582" i="8"/>
  <c r="J581" i="8"/>
  <c r="I581" i="8"/>
  <c r="H581" i="8"/>
  <c r="J580" i="8"/>
  <c r="I580" i="8"/>
  <c r="H580" i="8"/>
  <c r="J579" i="8"/>
  <c r="I579" i="8"/>
  <c r="H579" i="8"/>
  <c r="J578" i="8"/>
  <c r="I578" i="8"/>
  <c r="H578" i="8"/>
  <c r="J577" i="8"/>
  <c r="I577" i="8"/>
  <c r="H577" i="8"/>
  <c r="J576" i="8"/>
  <c r="I576" i="8"/>
  <c r="H576" i="8"/>
  <c r="J575" i="8"/>
  <c r="I575" i="8"/>
  <c r="H575" i="8"/>
  <c r="J574" i="8"/>
  <c r="I574" i="8"/>
  <c r="H574" i="8"/>
  <c r="J573" i="8"/>
  <c r="I573" i="8"/>
  <c r="H573" i="8"/>
  <c r="J572" i="8"/>
  <c r="I572" i="8"/>
  <c r="H572" i="8"/>
  <c r="J571" i="8"/>
  <c r="I571" i="8"/>
  <c r="H571" i="8"/>
  <c r="J570" i="8"/>
  <c r="I570" i="8"/>
  <c r="H570" i="8"/>
  <c r="J569" i="8"/>
  <c r="I569" i="8"/>
  <c r="H569" i="8"/>
  <c r="J568" i="8"/>
  <c r="I568" i="8"/>
  <c r="H568" i="8"/>
  <c r="J567" i="8"/>
  <c r="I567" i="8"/>
  <c r="H567" i="8"/>
  <c r="J566" i="8"/>
  <c r="I566" i="8"/>
  <c r="H566" i="8"/>
  <c r="J565" i="8"/>
  <c r="I565" i="8"/>
  <c r="H565" i="8"/>
  <c r="J564" i="8"/>
  <c r="I564" i="8"/>
  <c r="H564" i="8"/>
  <c r="J563" i="8"/>
  <c r="I563" i="8"/>
  <c r="H563" i="8"/>
  <c r="J562" i="8"/>
  <c r="I562" i="8"/>
  <c r="H562" i="8"/>
  <c r="J561" i="8"/>
  <c r="I561" i="8"/>
  <c r="H561" i="8"/>
  <c r="J560" i="8"/>
  <c r="I560" i="8"/>
  <c r="H560" i="8"/>
  <c r="J559" i="8"/>
  <c r="I559" i="8"/>
  <c r="H559" i="8"/>
  <c r="J558" i="8"/>
  <c r="I558" i="8"/>
  <c r="H558" i="8"/>
  <c r="J557" i="8"/>
  <c r="I557" i="8"/>
  <c r="H557" i="8"/>
  <c r="J556" i="8"/>
  <c r="I556" i="8"/>
  <c r="H556" i="8"/>
  <c r="J555" i="8"/>
  <c r="I555" i="8"/>
  <c r="H555" i="8"/>
  <c r="J554" i="8"/>
  <c r="I554" i="8"/>
  <c r="H554" i="8"/>
  <c r="J553" i="8"/>
  <c r="I553" i="8"/>
  <c r="H553" i="8"/>
  <c r="J552" i="8"/>
  <c r="I552" i="8"/>
  <c r="H552" i="8"/>
  <c r="J551" i="8"/>
  <c r="I551" i="8"/>
  <c r="H551" i="8"/>
  <c r="J550" i="8"/>
  <c r="I550" i="8"/>
  <c r="H550" i="8"/>
  <c r="J549" i="8"/>
  <c r="I549" i="8"/>
  <c r="H549" i="8"/>
  <c r="J548" i="8"/>
  <c r="I548" i="8"/>
  <c r="H548" i="8"/>
  <c r="J547" i="8"/>
  <c r="I547" i="8"/>
  <c r="H547" i="8"/>
  <c r="J546" i="8"/>
  <c r="I546" i="8"/>
  <c r="H546" i="8"/>
  <c r="J545" i="8"/>
  <c r="I545" i="8"/>
  <c r="H545" i="8"/>
  <c r="J544" i="8"/>
  <c r="I544" i="8"/>
  <c r="H544" i="8"/>
  <c r="J543" i="8"/>
  <c r="I543" i="8"/>
  <c r="H543" i="8"/>
  <c r="J542" i="8"/>
  <c r="I542" i="8"/>
  <c r="H542" i="8"/>
  <c r="J541" i="8"/>
  <c r="I541" i="8"/>
  <c r="H541" i="8"/>
  <c r="J540" i="8"/>
  <c r="I540" i="8"/>
  <c r="H540" i="8"/>
  <c r="J539" i="8"/>
  <c r="I539" i="8"/>
  <c r="H539" i="8"/>
  <c r="J538" i="8"/>
  <c r="I538" i="8"/>
  <c r="H538" i="8"/>
  <c r="J537" i="8"/>
  <c r="I537" i="8"/>
  <c r="H537" i="8"/>
  <c r="J536" i="8"/>
  <c r="I536" i="8"/>
  <c r="H536" i="8"/>
  <c r="J535" i="8"/>
  <c r="I535" i="8"/>
  <c r="H535" i="8"/>
  <c r="J534" i="8"/>
  <c r="I534" i="8"/>
  <c r="H534" i="8"/>
  <c r="J533" i="8"/>
  <c r="I533" i="8"/>
  <c r="H533" i="8"/>
  <c r="J532" i="8"/>
  <c r="I532" i="8"/>
  <c r="H532" i="8"/>
  <c r="J531" i="8"/>
  <c r="I531" i="8"/>
  <c r="H531" i="8"/>
  <c r="J530" i="8"/>
  <c r="I530" i="8"/>
  <c r="H530" i="8"/>
  <c r="J529" i="8"/>
  <c r="I529" i="8"/>
  <c r="H529" i="8"/>
  <c r="J528" i="8"/>
  <c r="I528" i="8"/>
  <c r="H528" i="8"/>
  <c r="J527" i="8"/>
  <c r="I527" i="8"/>
  <c r="H527" i="8"/>
  <c r="J526" i="8"/>
  <c r="I526" i="8"/>
  <c r="H526" i="8"/>
  <c r="J525" i="8"/>
  <c r="I525" i="8"/>
  <c r="H525" i="8"/>
  <c r="J524" i="8"/>
  <c r="I524" i="8"/>
  <c r="H524" i="8"/>
  <c r="J523" i="8"/>
  <c r="I523" i="8"/>
  <c r="H523" i="8"/>
  <c r="J522" i="8"/>
  <c r="I522" i="8"/>
  <c r="H522" i="8"/>
  <c r="J521" i="8"/>
  <c r="I521" i="8"/>
  <c r="H521" i="8"/>
  <c r="J520" i="8"/>
  <c r="I520" i="8"/>
  <c r="H520" i="8"/>
  <c r="J519" i="8"/>
  <c r="I519" i="8"/>
  <c r="H519" i="8"/>
  <c r="J518" i="8"/>
  <c r="I518" i="8"/>
  <c r="H518" i="8"/>
  <c r="J517" i="8"/>
  <c r="I517" i="8"/>
  <c r="H517" i="8"/>
  <c r="J516" i="8"/>
  <c r="I516" i="8"/>
  <c r="H516" i="8"/>
  <c r="J515" i="8"/>
  <c r="I515" i="8"/>
  <c r="H515" i="8"/>
  <c r="J514" i="8"/>
  <c r="I514" i="8"/>
  <c r="H514" i="8"/>
  <c r="J513" i="8"/>
  <c r="I513" i="8"/>
  <c r="H513" i="8"/>
  <c r="J512" i="8"/>
  <c r="I512" i="8"/>
  <c r="H512" i="8"/>
  <c r="J511" i="8"/>
  <c r="I511" i="8"/>
  <c r="H511" i="8"/>
  <c r="J510" i="8"/>
  <c r="I510" i="8"/>
  <c r="H510" i="8"/>
  <c r="J509" i="8"/>
  <c r="I509" i="8"/>
  <c r="H509" i="8"/>
  <c r="J508" i="8"/>
  <c r="I508" i="8"/>
  <c r="H508" i="8"/>
  <c r="J507" i="8"/>
  <c r="I507" i="8"/>
  <c r="H507" i="8"/>
  <c r="J506" i="8"/>
  <c r="I506" i="8"/>
  <c r="H506" i="8"/>
  <c r="J505" i="8"/>
  <c r="I505" i="8"/>
  <c r="H505" i="8"/>
  <c r="J504" i="8"/>
  <c r="I504" i="8"/>
  <c r="H504" i="8"/>
  <c r="J503" i="8"/>
  <c r="I503" i="8"/>
  <c r="H503" i="8"/>
  <c r="J502" i="8"/>
  <c r="I502" i="8"/>
  <c r="H502" i="8"/>
  <c r="J501" i="8"/>
  <c r="I501" i="8"/>
  <c r="H501" i="8"/>
  <c r="J500" i="8"/>
  <c r="I500" i="8"/>
  <c r="H500" i="8"/>
  <c r="J499" i="8"/>
  <c r="I499" i="8"/>
  <c r="H499" i="8"/>
  <c r="J498" i="8"/>
  <c r="I498" i="8"/>
  <c r="H498" i="8"/>
  <c r="J497" i="8"/>
  <c r="I497" i="8"/>
  <c r="H497" i="8"/>
  <c r="J496" i="8"/>
  <c r="I496" i="8"/>
  <c r="H496" i="8"/>
  <c r="J495" i="8"/>
  <c r="I495" i="8"/>
  <c r="H495" i="8"/>
  <c r="J494" i="8"/>
  <c r="I494" i="8"/>
  <c r="H494" i="8"/>
  <c r="C45" i="5" s="1"/>
  <c r="D45" i="5" s="1"/>
  <c r="E45" i="5" s="1"/>
  <c r="H45" i="5" s="1"/>
  <c r="J493" i="8"/>
  <c r="I493" i="8"/>
  <c r="H493" i="8"/>
  <c r="J492" i="8"/>
  <c r="I492" i="8"/>
  <c r="H492" i="8"/>
  <c r="J491" i="8"/>
  <c r="I491" i="8"/>
  <c r="H491" i="8"/>
  <c r="J490" i="8"/>
  <c r="I490" i="8"/>
  <c r="H490" i="8"/>
  <c r="C41" i="5" s="1"/>
  <c r="D41" i="5" s="1"/>
  <c r="J489" i="8"/>
  <c r="I489" i="8"/>
  <c r="H489" i="8"/>
  <c r="J488" i="8"/>
  <c r="I488" i="8"/>
  <c r="H488" i="8"/>
  <c r="J487" i="8"/>
  <c r="I487" i="8"/>
  <c r="H487" i="8"/>
  <c r="J486" i="8"/>
  <c r="I486" i="8"/>
  <c r="H486" i="8"/>
  <c r="C37" i="5" s="1"/>
  <c r="D37" i="5" s="1"/>
  <c r="J485" i="8"/>
  <c r="I485" i="8"/>
  <c r="H485" i="8"/>
  <c r="J484" i="8"/>
  <c r="I484" i="8"/>
  <c r="H484" i="8"/>
  <c r="J483" i="8"/>
  <c r="I483" i="8"/>
  <c r="H483" i="8"/>
  <c r="J482" i="8"/>
  <c r="I482" i="8"/>
  <c r="H482" i="8"/>
  <c r="C33" i="5" s="1"/>
  <c r="D33" i="5" s="1"/>
  <c r="J481" i="8"/>
  <c r="I481" i="8"/>
  <c r="H481" i="8"/>
  <c r="J480" i="8"/>
  <c r="I480" i="8"/>
  <c r="H480" i="8"/>
  <c r="J479" i="8"/>
  <c r="I479" i="8"/>
  <c r="H479" i="8"/>
  <c r="J478" i="8"/>
  <c r="I478" i="8"/>
  <c r="H478" i="8"/>
  <c r="C29" i="5" s="1"/>
  <c r="D29" i="5" s="1"/>
  <c r="J477" i="8"/>
  <c r="I477" i="8"/>
  <c r="H477" i="8"/>
  <c r="J476" i="8"/>
  <c r="I476" i="8"/>
  <c r="H476" i="8"/>
  <c r="J475" i="8"/>
  <c r="I475" i="8"/>
  <c r="H475" i="8"/>
  <c r="J474" i="8"/>
  <c r="I474" i="8"/>
  <c r="H474" i="8"/>
  <c r="C25" i="5" s="1"/>
  <c r="D25" i="5" s="1"/>
  <c r="J473" i="8"/>
  <c r="I473" i="8"/>
  <c r="H473" i="8"/>
  <c r="J472" i="8"/>
  <c r="I472" i="8"/>
  <c r="H472" i="8"/>
  <c r="J471" i="8"/>
  <c r="I471" i="8"/>
  <c r="H471" i="8"/>
  <c r="J470" i="8"/>
  <c r="I470" i="8"/>
  <c r="H470" i="8"/>
  <c r="C21" i="5" s="1"/>
  <c r="D21" i="5" s="1"/>
  <c r="J469" i="8"/>
  <c r="I469" i="8"/>
  <c r="H469" i="8"/>
  <c r="J468" i="8"/>
  <c r="I468" i="8"/>
  <c r="H468" i="8"/>
  <c r="J467" i="8"/>
  <c r="I467" i="8"/>
  <c r="H467" i="8"/>
  <c r="J466" i="8"/>
  <c r="I466" i="8"/>
  <c r="H466" i="8"/>
  <c r="C17" i="5" s="1"/>
  <c r="D17" i="5" s="1"/>
  <c r="J465" i="8"/>
  <c r="I465" i="8"/>
  <c r="H465" i="8"/>
  <c r="J464" i="8"/>
  <c r="I464" i="8"/>
  <c r="H464" i="8"/>
  <c r="J463" i="8"/>
  <c r="I463" i="8"/>
  <c r="H463" i="8"/>
  <c r="J462" i="8"/>
  <c r="I462" i="8"/>
  <c r="H462" i="8"/>
  <c r="J461" i="8"/>
  <c r="I461" i="8"/>
  <c r="H461" i="8"/>
  <c r="J460" i="8"/>
  <c r="I460" i="8"/>
  <c r="H460" i="8"/>
  <c r="J459" i="8"/>
  <c r="I459" i="8"/>
  <c r="H459" i="8"/>
  <c r="J458" i="8"/>
  <c r="I458" i="8"/>
  <c r="H458" i="8"/>
  <c r="C9" i="5" s="1"/>
  <c r="D9" i="5" s="1"/>
  <c r="J457" i="8"/>
  <c r="I457" i="8"/>
  <c r="H457" i="8"/>
  <c r="J456" i="8"/>
  <c r="I456" i="8"/>
  <c r="H456" i="8"/>
  <c r="J455" i="8"/>
  <c r="I455" i="8"/>
  <c r="H455" i="8"/>
  <c r="J454" i="8"/>
  <c r="I454" i="8"/>
  <c r="H454" i="8"/>
  <c r="C5" i="5" s="1"/>
  <c r="D5" i="5" s="1"/>
  <c r="J453" i="8"/>
  <c r="I453" i="8"/>
  <c r="H453" i="8"/>
  <c r="J452" i="8"/>
  <c r="I452" i="8"/>
  <c r="H452" i="8"/>
  <c r="J451" i="8"/>
  <c r="I451" i="8"/>
  <c r="H451" i="8"/>
  <c r="J450" i="8"/>
  <c r="I450" i="8"/>
  <c r="H450" i="8"/>
  <c r="J449" i="8"/>
  <c r="I449" i="8"/>
  <c r="H449" i="8"/>
  <c r="J448" i="8"/>
  <c r="I448" i="8"/>
  <c r="H448" i="8"/>
  <c r="J447" i="8"/>
  <c r="I447" i="8"/>
  <c r="H447" i="8"/>
  <c r="J446" i="8"/>
  <c r="I446" i="8"/>
  <c r="H446" i="8"/>
  <c r="J445" i="8"/>
  <c r="I445" i="8"/>
  <c r="H445" i="8"/>
  <c r="J444" i="8"/>
  <c r="I444" i="8"/>
  <c r="H444" i="8"/>
  <c r="J443" i="8"/>
  <c r="I443" i="8"/>
  <c r="H443" i="8"/>
  <c r="J442" i="8"/>
  <c r="I442" i="8"/>
  <c r="H442" i="8"/>
  <c r="J441" i="8"/>
  <c r="I441" i="8"/>
  <c r="H441" i="8"/>
  <c r="J440" i="8"/>
  <c r="I440" i="8"/>
  <c r="H440" i="8"/>
  <c r="J439" i="8"/>
  <c r="I439" i="8"/>
  <c r="H439" i="8"/>
  <c r="J438" i="8"/>
  <c r="I438" i="8"/>
  <c r="H438" i="8"/>
  <c r="J437" i="8"/>
  <c r="I437" i="8"/>
  <c r="H437" i="8"/>
  <c r="J436" i="8"/>
  <c r="I436" i="8"/>
  <c r="H436" i="8"/>
  <c r="J435" i="8"/>
  <c r="I435" i="8"/>
  <c r="H435" i="8"/>
  <c r="J434" i="8"/>
  <c r="I434" i="8"/>
  <c r="H434" i="8"/>
  <c r="J433" i="8"/>
  <c r="I433" i="8"/>
  <c r="H433" i="8"/>
  <c r="J432" i="8"/>
  <c r="I432" i="8"/>
  <c r="H432" i="8"/>
  <c r="J431" i="8"/>
  <c r="I431" i="8"/>
  <c r="H431" i="8"/>
  <c r="J430" i="8"/>
  <c r="I430" i="8"/>
  <c r="H430" i="8"/>
  <c r="C57" i="5" s="1"/>
  <c r="D57" i="5" s="1"/>
  <c r="E57" i="5" s="1"/>
  <c r="H57" i="5" s="1"/>
  <c r="J429" i="8"/>
  <c r="I429" i="8"/>
  <c r="H429" i="8"/>
  <c r="J428" i="8"/>
  <c r="I428" i="8"/>
  <c r="H428" i="8"/>
  <c r="J427" i="8"/>
  <c r="I427" i="8"/>
  <c r="H427" i="8"/>
  <c r="J426" i="8"/>
  <c r="I426" i="8"/>
  <c r="H426" i="8"/>
  <c r="C53" i="5" s="1"/>
  <c r="D53" i="5" s="1"/>
  <c r="J425" i="8"/>
  <c r="I425" i="8"/>
  <c r="H425" i="8"/>
  <c r="J424" i="8"/>
  <c r="I424" i="8"/>
  <c r="H424" i="8"/>
  <c r="J423" i="8"/>
  <c r="I423" i="8"/>
  <c r="H423" i="8"/>
  <c r="J422" i="8"/>
  <c r="I422" i="8"/>
  <c r="H422" i="8"/>
  <c r="C48" i="5" s="1"/>
  <c r="D48" i="5" s="1"/>
  <c r="J421" i="8"/>
  <c r="I421" i="8"/>
  <c r="H421" i="8"/>
  <c r="J420" i="8"/>
  <c r="I420" i="8"/>
  <c r="H420" i="8"/>
  <c r="J419" i="8"/>
  <c r="I419" i="8"/>
  <c r="H419" i="8"/>
  <c r="J418" i="8"/>
  <c r="I418" i="8"/>
  <c r="H418" i="8"/>
  <c r="J417" i="8"/>
  <c r="I417" i="8"/>
  <c r="H417" i="8"/>
  <c r="J416" i="8"/>
  <c r="I416" i="8"/>
  <c r="H416" i="8"/>
  <c r="J415" i="8"/>
  <c r="I415" i="8"/>
  <c r="H415" i="8"/>
  <c r="J414" i="8"/>
  <c r="I414" i="8"/>
  <c r="H414" i="8"/>
  <c r="J413" i="8"/>
  <c r="I413" i="8"/>
  <c r="H413" i="8"/>
  <c r="J412" i="8"/>
  <c r="I412" i="8"/>
  <c r="H412" i="8"/>
  <c r="J411" i="8"/>
  <c r="I411" i="8"/>
  <c r="H411" i="8"/>
  <c r="J410" i="8"/>
  <c r="I410" i="8"/>
  <c r="H410" i="8"/>
  <c r="J409" i="8"/>
  <c r="I409" i="8"/>
  <c r="H409" i="8"/>
  <c r="J408" i="8"/>
  <c r="I408" i="8"/>
  <c r="H408" i="8"/>
  <c r="J407" i="8"/>
  <c r="I407" i="8"/>
  <c r="H407" i="8"/>
  <c r="J406" i="8"/>
  <c r="I406" i="8"/>
  <c r="H406" i="8"/>
  <c r="J405" i="8"/>
  <c r="I405" i="8"/>
  <c r="H405" i="8"/>
  <c r="J404" i="8"/>
  <c r="I404" i="8"/>
  <c r="H404" i="8"/>
  <c r="J403" i="8"/>
  <c r="I403" i="8"/>
  <c r="H403" i="8"/>
  <c r="J402" i="8"/>
  <c r="I402" i="8"/>
  <c r="H402" i="8"/>
  <c r="J401" i="8"/>
  <c r="I401" i="8"/>
  <c r="H401" i="8"/>
  <c r="J400" i="8"/>
  <c r="I400" i="8"/>
  <c r="H400" i="8"/>
  <c r="J399" i="8"/>
  <c r="I399" i="8"/>
  <c r="H399" i="8"/>
  <c r="J398" i="8"/>
  <c r="I398" i="8"/>
  <c r="H398" i="8"/>
  <c r="J397" i="8"/>
  <c r="I397" i="8"/>
  <c r="H397" i="8"/>
  <c r="J396" i="8"/>
  <c r="I396" i="8"/>
  <c r="H396" i="8"/>
  <c r="J395" i="8"/>
  <c r="I395" i="8"/>
  <c r="H395" i="8"/>
  <c r="J394" i="8"/>
  <c r="I394" i="8"/>
  <c r="H394" i="8"/>
  <c r="J393" i="8"/>
  <c r="I393" i="8"/>
  <c r="H393" i="8"/>
  <c r="J392" i="8"/>
  <c r="I392" i="8"/>
  <c r="H392" i="8"/>
  <c r="J391" i="8"/>
  <c r="I391" i="8"/>
  <c r="H391" i="8"/>
  <c r="J390" i="8"/>
  <c r="I390" i="8"/>
  <c r="H390" i="8"/>
  <c r="J389" i="8"/>
  <c r="I389" i="8"/>
  <c r="H389" i="8"/>
  <c r="J388" i="8"/>
  <c r="I388" i="8"/>
  <c r="H388" i="8"/>
  <c r="J387" i="8"/>
  <c r="I387" i="8"/>
  <c r="H387" i="8"/>
  <c r="J386" i="8"/>
  <c r="I386" i="8"/>
  <c r="H386" i="8"/>
  <c r="J385" i="8"/>
  <c r="I385" i="8"/>
  <c r="H385" i="8"/>
  <c r="J384" i="8"/>
  <c r="I384" i="8"/>
  <c r="H384" i="8"/>
  <c r="J383" i="8"/>
  <c r="I383" i="8"/>
  <c r="H383" i="8"/>
  <c r="J382" i="8"/>
  <c r="I382" i="8"/>
  <c r="H382" i="8"/>
  <c r="J381" i="8"/>
  <c r="I381" i="8"/>
  <c r="H381" i="8"/>
  <c r="J380" i="8"/>
  <c r="I380" i="8"/>
  <c r="H380" i="8"/>
  <c r="J379" i="8"/>
  <c r="I379" i="8"/>
  <c r="H379" i="8"/>
  <c r="J378" i="8"/>
  <c r="I378" i="8"/>
  <c r="H378" i="8"/>
  <c r="J377" i="8"/>
  <c r="I377" i="8"/>
  <c r="H377" i="8"/>
  <c r="J376" i="8"/>
  <c r="I376" i="8"/>
  <c r="H376" i="8"/>
  <c r="J375" i="8"/>
  <c r="I375" i="8"/>
  <c r="H375" i="8"/>
  <c r="J374" i="8"/>
  <c r="I374" i="8"/>
  <c r="H374" i="8"/>
  <c r="J373" i="8"/>
  <c r="I373" i="8"/>
  <c r="H373" i="8"/>
  <c r="J372" i="8"/>
  <c r="I372" i="8"/>
  <c r="H372" i="8"/>
  <c r="J371" i="8"/>
  <c r="I371" i="8"/>
  <c r="H371" i="8"/>
  <c r="J370" i="8"/>
  <c r="I370" i="8"/>
  <c r="H370" i="8"/>
  <c r="J369" i="8"/>
  <c r="I369" i="8"/>
  <c r="H369" i="8"/>
  <c r="J368" i="8"/>
  <c r="I368" i="8"/>
  <c r="H368" i="8"/>
  <c r="J367" i="8"/>
  <c r="I367" i="8"/>
  <c r="H367" i="8"/>
  <c r="J366" i="8"/>
  <c r="I366" i="8"/>
  <c r="H366" i="8"/>
  <c r="J365" i="8"/>
  <c r="I365" i="8"/>
  <c r="H365" i="8"/>
  <c r="J364" i="8"/>
  <c r="I364" i="8"/>
  <c r="H364" i="8"/>
  <c r="J363" i="8"/>
  <c r="I363" i="8"/>
  <c r="H363" i="8"/>
  <c r="J362" i="8"/>
  <c r="I362" i="8"/>
  <c r="H362" i="8"/>
  <c r="J361" i="8"/>
  <c r="I361" i="8"/>
  <c r="H361" i="8"/>
  <c r="J360" i="8"/>
  <c r="I360" i="8"/>
  <c r="H360" i="8"/>
  <c r="J359" i="8"/>
  <c r="I359" i="8"/>
  <c r="H359" i="8"/>
  <c r="J358" i="8"/>
  <c r="I358" i="8"/>
  <c r="H358" i="8"/>
  <c r="J357" i="8"/>
  <c r="I357" i="8"/>
  <c r="H357" i="8"/>
  <c r="J356" i="8"/>
  <c r="I356" i="8"/>
  <c r="H356" i="8"/>
  <c r="J355" i="8"/>
  <c r="I355" i="8"/>
  <c r="H355" i="8"/>
  <c r="J354" i="8"/>
  <c r="I354" i="8"/>
  <c r="H354" i="8"/>
  <c r="J353" i="8"/>
  <c r="I353" i="8"/>
  <c r="H353" i="8"/>
  <c r="J352" i="8"/>
  <c r="I352" i="8"/>
  <c r="H352" i="8"/>
  <c r="J351" i="8"/>
  <c r="I351" i="8"/>
  <c r="H351" i="8"/>
  <c r="J350" i="8"/>
  <c r="I350" i="8"/>
  <c r="H350" i="8"/>
  <c r="J349" i="8"/>
  <c r="I349" i="8"/>
  <c r="H349" i="8"/>
  <c r="J348" i="8"/>
  <c r="I348" i="8"/>
  <c r="H348" i="8"/>
  <c r="J347" i="8"/>
  <c r="I347" i="8"/>
  <c r="H347" i="8"/>
  <c r="J346" i="8"/>
  <c r="I346" i="8"/>
  <c r="H346" i="8"/>
  <c r="J345" i="8"/>
  <c r="I345" i="8"/>
  <c r="H345" i="8"/>
  <c r="J344" i="8"/>
  <c r="I344" i="8"/>
  <c r="H344" i="8"/>
  <c r="J343" i="8"/>
  <c r="I343" i="8"/>
  <c r="H343" i="8"/>
  <c r="J342" i="8"/>
  <c r="I342" i="8"/>
  <c r="H342" i="8"/>
  <c r="J341" i="8"/>
  <c r="I341" i="8"/>
  <c r="H341" i="8"/>
  <c r="J340" i="8"/>
  <c r="I340" i="8"/>
  <c r="H340" i="8"/>
  <c r="J339" i="8"/>
  <c r="I339" i="8"/>
  <c r="H339" i="8"/>
  <c r="J338" i="8"/>
  <c r="I338" i="8"/>
  <c r="H338" i="8"/>
  <c r="J337" i="8"/>
  <c r="I337" i="8"/>
  <c r="H337" i="8"/>
  <c r="J336" i="8"/>
  <c r="I336" i="8"/>
  <c r="H336" i="8"/>
  <c r="J335" i="8"/>
  <c r="I335" i="8"/>
  <c r="H335" i="8"/>
  <c r="J334" i="8"/>
  <c r="I334" i="8"/>
  <c r="H334" i="8"/>
  <c r="J333" i="8"/>
  <c r="I333" i="8"/>
  <c r="H333" i="8"/>
  <c r="J332" i="8"/>
  <c r="I332" i="8"/>
  <c r="H332" i="8"/>
  <c r="J331" i="8"/>
  <c r="I331" i="8"/>
  <c r="H331" i="8"/>
  <c r="J330" i="8"/>
  <c r="I330" i="8"/>
  <c r="H330" i="8"/>
  <c r="J329" i="8"/>
  <c r="I329" i="8"/>
  <c r="H329" i="8"/>
  <c r="J328" i="8"/>
  <c r="I328" i="8"/>
  <c r="H328" i="8"/>
  <c r="J327" i="8"/>
  <c r="I327" i="8"/>
  <c r="H327" i="8"/>
  <c r="J326" i="8"/>
  <c r="I326" i="8"/>
  <c r="H326" i="8"/>
  <c r="J325" i="8"/>
  <c r="I325" i="8"/>
  <c r="H325" i="8"/>
  <c r="J324" i="8"/>
  <c r="I324" i="8"/>
  <c r="H324" i="8"/>
  <c r="J323" i="8"/>
  <c r="I323" i="8"/>
  <c r="H323" i="8"/>
  <c r="J322" i="8"/>
  <c r="I322" i="8"/>
  <c r="H322" i="8"/>
  <c r="J321" i="8"/>
  <c r="I321" i="8"/>
  <c r="H321" i="8"/>
  <c r="J320" i="8"/>
  <c r="I320" i="8"/>
  <c r="H320" i="8"/>
  <c r="J319" i="8"/>
  <c r="I319" i="8"/>
  <c r="H319" i="8"/>
  <c r="J318" i="8"/>
  <c r="I318" i="8"/>
  <c r="H318" i="8"/>
  <c r="J317" i="8"/>
  <c r="I317" i="8"/>
  <c r="H317" i="8"/>
  <c r="J316" i="8"/>
  <c r="I316" i="8"/>
  <c r="H316" i="8"/>
  <c r="J315" i="8"/>
  <c r="I315" i="8"/>
  <c r="H315" i="8"/>
  <c r="J314" i="8"/>
  <c r="I314" i="8"/>
  <c r="H314" i="8"/>
  <c r="J313" i="8"/>
  <c r="I313" i="8"/>
  <c r="H313" i="8"/>
  <c r="J312" i="8"/>
  <c r="I312" i="8"/>
  <c r="H312" i="8"/>
  <c r="J311" i="8"/>
  <c r="I311" i="8"/>
  <c r="H311" i="8"/>
  <c r="J310" i="8"/>
  <c r="I310" i="8"/>
  <c r="H310" i="8"/>
  <c r="J309" i="8"/>
  <c r="I309" i="8"/>
  <c r="H309" i="8"/>
  <c r="J308" i="8"/>
  <c r="I308" i="8"/>
  <c r="H308" i="8"/>
  <c r="J307" i="8"/>
  <c r="I307" i="8"/>
  <c r="H307" i="8"/>
  <c r="J306" i="8"/>
  <c r="I306" i="8"/>
  <c r="H306" i="8"/>
  <c r="J305" i="8"/>
  <c r="I305" i="8"/>
  <c r="H305" i="8"/>
  <c r="J304" i="8"/>
  <c r="I304" i="8"/>
  <c r="H304" i="8"/>
  <c r="J303" i="8"/>
  <c r="I303" i="8"/>
  <c r="H303" i="8"/>
  <c r="J302" i="8"/>
  <c r="I302" i="8"/>
  <c r="H302" i="8"/>
  <c r="J301" i="8"/>
  <c r="I301" i="8"/>
  <c r="H301" i="8"/>
  <c r="J300" i="8"/>
  <c r="I300" i="8"/>
  <c r="H300" i="8"/>
  <c r="J299" i="8"/>
  <c r="I299" i="8"/>
  <c r="H299" i="8"/>
  <c r="J298" i="8"/>
  <c r="I298" i="8"/>
  <c r="H298" i="8"/>
  <c r="J297" i="8"/>
  <c r="I297" i="8"/>
  <c r="H297" i="8"/>
  <c r="J296" i="8"/>
  <c r="I296" i="8"/>
  <c r="H296" i="8"/>
  <c r="J295" i="8"/>
  <c r="I295" i="8"/>
  <c r="H295" i="8"/>
  <c r="J294" i="8"/>
  <c r="I294" i="8"/>
  <c r="H294" i="8"/>
  <c r="J293" i="8"/>
  <c r="I293" i="8"/>
  <c r="H293" i="8"/>
  <c r="J292" i="8"/>
  <c r="I292" i="8"/>
  <c r="H292" i="8"/>
  <c r="J291" i="8"/>
  <c r="I291" i="8"/>
  <c r="H291" i="8"/>
  <c r="J290" i="8"/>
  <c r="I290" i="8"/>
  <c r="H290" i="8"/>
  <c r="J289" i="8"/>
  <c r="I289" i="8"/>
  <c r="H289" i="8"/>
  <c r="J288" i="8"/>
  <c r="I288" i="8"/>
  <c r="H288" i="8"/>
  <c r="J287" i="8"/>
  <c r="I287" i="8"/>
  <c r="H287" i="8"/>
  <c r="J286" i="8"/>
  <c r="I286" i="8"/>
  <c r="H286" i="8"/>
  <c r="J285" i="8"/>
  <c r="I285" i="8"/>
  <c r="H285" i="8"/>
  <c r="J284" i="8"/>
  <c r="I284" i="8"/>
  <c r="H284" i="8"/>
  <c r="J283" i="8"/>
  <c r="I283" i="8"/>
  <c r="H283" i="8"/>
  <c r="J282" i="8"/>
  <c r="I282" i="8"/>
  <c r="H282" i="8"/>
  <c r="J281" i="8"/>
  <c r="I281" i="8"/>
  <c r="H281" i="8"/>
  <c r="J280" i="8"/>
  <c r="I280" i="8"/>
  <c r="H280" i="8"/>
  <c r="J279" i="8"/>
  <c r="I279" i="8"/>
  <c r="H279" i="8"/>
  <c r="J278" i="8"/>
  <c r="I278" i="8"/>
  <c r="H278" i="8"/>
  <c r="J277" i="8"/>
  <c r="I277" i="8"/>
  <c r="H277" i="8"/>
  <c r="J276" i="8"/>
  <c r="I276" i="8"/>
  <c r="H276" i="8"/>
  <c r="J275" i="8"/>
  <c r="I275" i="8"/>
  <c r="H275" i="8"/>
  <c r="J274" i="8"/>
  <c r="I274" i="8"/>
  <c r="H274" i="8"/>
  <c r="J273" i="8"/>
  <c r="I273" i="8"/>
  <c r="H273" i="8"/>
  <c r="J272" i="8"/>
  <c r="I272" i="8"/>
  <c r="H272" i="8"/>
  <c r="J271" i="8"/>
  <c r="I271" i="8"/>
  <c r="H271" i="8"/>
  <c r="J270" i="8"/>
  <c r="I270" i="8"/>
  <c r="H270" i="8"/>
  <c r="C46" i="5" s="1"/>
  <c r="D46" i="5" s="1"/>
  <c r="J269" i="8"/>
  <c r="I269" i="8"/>
  <c r="H269" i="8"/>
  <c r="J268" i="8"/>
  <c r="I268" i="8"/>
  <c r="H268" i="8"/>
  <c r="J267" i="8"/>
  <c r="I267" i="8"/>
  <c r="H267" i="8"/>
  <c r="J266" i="8"/>
  <c r="I266" i="8"/>
  <c r="H266" i="8"/>
  <c r="C42" i="5" s="1"/>
  <c r="D42" i="5" s="1"/>
  <c r="J265" i="8"/>
  <c r="I265" i="8"/>
  <c r="H265" i="8"/>
  <c r="J264" i="8"/>
  <c r="I264" i="8"/>
  <c r="H264" i="8"/>
  <c r="J263" i="8"/>
  <c r="I263" i="8"/>
  <c r="H263" i="8"/>
  <c r="J262" i="8"/>
  <c r="I262" i="8"/>
  <c r="H262" i="8"/>
  <c r="C38" i="5" s="1"/>
  <c r="D38" i="5" s="1"/>
  <c r="J261" i="8"/>
  <c r="I261" i="8"/>
  <c r="H261" i="8"/>
  <c r="J260" i="8"/>
  <c r="I260" i="8"/>
  <c r="H260" i="8"/>
  <c r="J259" i="8"/>
  <c r="I259" i="8"/>
  <c r="H259" i="8"/>
  <c r="J258" i="8"/>
  <c r="I258" i="8"/>
  <c r="H258" i="8"/>
  <c r="C34" i="5" s="1"/>
  <c r="D34" i="5" s="1"/>
  <c r="J257" i="8"/>
  <c r="I257" i="8"/>
  <c r="H257" i="8"/>
  <c r="J256" i="8"/>
  <c r="I256" i="8"/>
  <c r="H256" i="8"/>
  <c r="J255" i="8"/>
  <c r="I255" i="8"/>
  <c r="H255" i="8"/>
  <c r="J254" i="8"/>
  <c r="I254" i="8"/>
  <c r="H254" i="8"/>
  <c r="C30" i="5" s="1"/>
  <c r="D30" i="5" s="1"/>
  <c r="J253" i="8"/>
  <c r="I253" i="8"/>
  <c r="H253" i="8"/>
  <c r="J252" i="8"/>
  <c r="I252" i="8"/>
  <c r="H252" i="8"/>
  <c r="J251" i="8"/>
  <c r="I251" i="8"/>
  <c r="H251" i="8"/>
  <c r="J250" i="8"/>
  <c r="I250" i="8"/>
  <c r="H250" i="8"/>
  <c r="C26" i="5" s="1"/>
  <c r="D26" i="5" s="1"/>
  <c r="J249" i="8"/>
  <c r="I249" i="8"/>
  <c r="H249" i="8"/>
  <c r="J248" i="8"/>
  <c r="I248" i="8"/>
  <c r="H248" i="8"/>
  <c r="J247" i="8"/>
  <c r="I247" i="8"/>
  <c r="H247" i="8"/>
  <c r="J246" i="8"/>
  <c r="I246" i="8"/>
  <c r="H246" i="8"/>
  <c r="C22" i="5" s="1"/>
  <c r="D22" i="5" s="1"/>
  <c r="J245" i="8"/>
  <c r="I245" i="8"/>
  <c r="H245" i="8"/>
  <c r="J244" i="8"/>
  <c r="I244" i="8"/>
  <c r="H244" i="8"/>
  <c r="J243" i="8"/>
  <c r="I243" i="8"/>
  <c r="H243" i="8"/>
  <c r="J242" i="8"/>
  <c r="I242" i="8"/>
  <c r="H242" i="8"/>
  <c r="C18" i="5" s="1"/>
  <c r="D18" i="5" s="1"/>
  <c r="J241" i="8"/>
  <c r="I241" i="8"/>
  <c r="H241" i="8"/>
  <c r="J240" i="8"/>
  <c r="I240" i="8"/>
  <c r="H240" i="8"/>
  <c r="J239" i="8"/>
  <c r="I239" i="8"/>
  <c r="H239" i="8"/>
  <c r="J238" i="8"/>
  <c r="I238" i="8"/>
  <c r="H238" i="8"/>
  <c r="C14" i="5" s="1"/>
  <c r="D14" i="5" s="1"/>
  <c r="J237" i="8"/>
  <c r="I237" i="8"/>
  <c r="H237" i="8"/>
  <c r="J236" i="8"/>
  <c r="I236" i="8"/>
  <c r="H236" i="8"/>
  <c r="J235" i="8"/>
  <c r="I235" i="8"/>
  <c r="H235" i="8"/>
  <c r="J234" i="8"/>
  <c r="I234" i="8"/>
  <c r="H234" i="8"/>
  <c r="C10" i="5" s="1"/>
  <c r="D10" i="5" s="1"/>
  <c r="J233" i="8"/>
  <c r="I233" i="8"/>
  <c r="H233" i="8"/>
  <c r="J232" i="8"/>
  <c r="I232" i="8"/>
  <c r="H232" i="8"/>
  <c r="J231" i="8"/>
  <c r="I231" i="8"/>
  <c r="H231" i="8"/>
  <c r="J230" i="8"/>
  <c r="I230" i="8"/>
  <c r="H230" i="8"/>
  <c r="C6" i="5" s="1"/>
  <c r="D6" i="5" s="1"/>
  <c r="J229" i="8"/>
  <c r="I229" i="8"/>
  <c r="H229" i="8"/>
  <c r="J228" i="8"/>
  <c r="I228" i="8"/>
  <c r="H228" i="8"/>
  <c r="J227" i="8"/>
  <c r="I227" i="8"/>
  <c r="H227" i="8"/>
  <c r="J226" i="8"/>
  <c r="I226" i="8"/>
  <c r="H226" i="8"/>
  <c r="J225" i="8"/>
  <c r="I225" i="8"/>
  <c r="H225" i="8"/>
  <c r="J224" i="8"/>
  <c r="I224" i="8"/>
  <c r="H224" i="8"/>
  <c r="J223" i="8"/>
  <c r="I223" i="8"/>
  <c r="H223" i="8"/>
  <c r="J222" i="8"/>
  <c r="I222" i="8"/>
  <c r="H222" i="8"/>
  <c r="J221" i="8"/>
  <c r="I221" i="8"/>
  <c r="H221" i="8"/>
  <c r="J220" i="8"/>
  <c r="I220" i="8"/>
  <c r="H220" i="8"/>
  <c r="J219" i="8"/>
  <c r="I219" i="8"/>
  <c r="H219" i="8"/>
  <c r="J218" i="8"/>
  <c r="I218" i="8"/>
  <c r="H218" i="8"/>
  <c r="J217" i="8"/>
  <c r="I217" i="8"/>
  <c r="H217" i="8"/>
  <c r="J216" i="8"/>
  <c r="I216" i="8"/>
  <c r="H216" i="8"/>
  <c r="J215" i="8"/>
  <c r="I215" i="8"/>
  <c r="H215" i="8"/>
  <c r="J214" i="8"/>
  <c r="I214" i="8"/>
  <c r="H214" i="8"/>
  <c r="J213" i="8"/>
  <c r="I213" i="8"/>
  <c r="H213" i="8"/>
  <c r="J212" i="8"/>
  <c r="I212" i="8"/>
  <c r="H212" i="8"/>
  <c r="J211" i="8"/>
  <c r="I211" i="8"/>
  <c r="H211" i="8"/>
  <c r="J210" i="8"/>
  <c r="I210" i="8"/>
  <c r="H210" i="8"/>
  <c r="C62" i="5" s="1"/>
  <c r="D62" i="5" s="1"/>
  <c r="E62" i="5" s="1"/>
  <c r="H62" i="5" s="1"/>
  <c r="J209" i="8"/>
  <c r="I209" i="8"/>
  <c r="H209" i="8"/>
  <c r="J208" i="8"/>
  <c r="I208" i="8"/>
  <c r="H208" i="8"/>
  <c r="J207" i="8"/>
  <c r="I207" i="8"/>
  <c r="H207" i="8"/>
  <c r="J206" i="8"/>
  <c r="I206" i="8"/>
  <c r="H206" i="8"/>
  <c r="J205" i="8"/>
  <c r="I205" i="8"/>
  <c r="H205" i="8"/>
  <c r="J204" i="8"/>
  <c r="I204" i="8"/>
  <c r="H204" i="8"/>
  <c r="J203" i="8"/>
  <c r="I203" i="8"/>
  <c r="H203" i="8"/>
  <c r="J202" i="8"/>
  <c r="I202" i="8"/>
  <c r="H202" i="8"/>
  <c r="J201" i="8"/>
  <c r="I201" i="8"/>
  <c r="H201" i="8"/>
  <c r="J200" i="8"/>
  <c r="I200" i="8"/>
  <c r="H200" i="8"/>
  <c r="J199" i="8"/>
  <c r="I199" i="8"/>
  <c r="H199" i="8"/>
  <c r="J198" i="8"/>
  <c r="I198" i="8"/>
  <c r="H198" i="8"/>
  <c r="C49" i="5" s="1"/>
  <c r="D49" i="5" s="1"/>
  <c r="J197" i="8"/>
  <c r="I197" i="8"/>
  <c r="H197" i="8"/>
  <c r="J196" i="8"/>
  <c r="I196" i="8"/>
  <c r="H196" i="8"/>
  <c r="J195" i="8"/>
  <c r="I195" i="8"/>
  <c r="H195" i="8"/>
  <c r="J194" i="8"/>
  <c r="I194" i="8"/>
  <c r="H194" i="8"/>
  <c r="C44" i="5" s="1"/>
  <c r="D44" i="5" s="1"/>
  <c r="J193" i="8"/>
  <c r="I193" i="8"/>
  <c r="H193" i="8"/>
  <c r="J192" i="8"/>
  <c r="I192" i="8"/>
  <c r="H192" i="8"/>
  <c r="J191" i="8"/>
  <c r="I191" i="8"/>
  <c r="H191" i="8"/>
  <c r="J190" i="8"/>
  <c r="I190" i="8"/>
  <c r="H190" i="8"/>
  <c r="C40" i="5" s="1"/>
  <c r="D40" i="5" s="1"/>
  <c r="J189" i="8"/>
  <c r="I189" i="8"/>
  <c r="H189" i="8"/>
  <c r="J188" i="8"/>
  <c r="I188" i="8"/>
  <c r="H188" i="8"/>
  <c r="J187" i="8"/>
  <c r="I187" i="8"/>
  <c r="H187" i="8"/>
  <c r="J186" i="8"/>
  <c r="I186" i="8"/>
  <c r="H186" i="8"/>
  <c r="C36" i="5" s="1"/>
  <c r="D36" i="5" s="1"/>
  <c r="E36" i="5" s="1"/>
  <c r="H36" i="5" s="1"/>
  <c r="J185" i="8"/>
  <c r="I185" i="8"/>
  <c r="H185" i="8"/>
  <c r="J184" i="8"/>
  <c r="I184" i="8"/>
  <c r="H184" i="8"/>
  <c r="J183" i="8"/>
  <c r="I183" i="8"/>
  <c r="H183" i="8"/>
  <c r="J182" i="8"/>
  <c r="I182" i="8"/>
  <c r="H182" i="8"/>
  <c r="C32" i="5" s="1"/>
  <c r="D32" i="5" s="1"/>
  <c r="J181" i="8"/>
  <c r="I181" i="8"/>
  <c r="H181" i="8"/>
  <c r="J180" i="8"/>
  <c r="I180" i="8"/>
  <c r="H180" i="8"/>
  <c r="J179" i="8"/>
  <c r="I179" i="8"/>
  <c r="H179" i="8"/>
  <c r="J178" i="8"/>
  <c r="I178" i="8"/>
  <c r="H178" i="8"/>
  <c r="C28" i="5" s="1"/>
  <c r="D28" i="5" s="1"/>
  <c r="J177" i="8"/>
  <c r="I177" i="8"/>
  <c r="H177" i="8"/>
  <c r="J176" i="8"/>
  <c r="I176" i="8"/>
  <c r="H176" i="8"/>
  <c r="J175" i="8"/>
  <c r="I175" i="8"/>
  <c r="H175" i="8"/>
  <c r="J174" i="8"/>
  <c r="I174" i="8"/>
  <c r="H174" i="8"/>
  <c r="C24" i="5" s="1"/>
  <c r="D24" i="5" s="1"/>
  <c r="J173" i="8"/>
  <c r="I173" i="8"/>
  <c r="H173" i="8"/>
  <c r="J172" i="8"/>
  <c r="I172" i="8"/>
  <c r="H172" i="8"/>
  <c r="J171" i="8"/>
  <c r="I171" i="8"/>
  <c r="H171" i="8"/>
  <c r="J170" i="8"/>
  <c r="I170" i="8"/>
  <c r="H170" i="8"/>
  <c r="J169" i="8"/>
  <c r="I169" i="8"/>
  <c r="H169" i="8"/>
  <c r="J168" i="8"/>
  <c r="I168" i="8"/>
  <c r="H168" i="8"/>
  <c r="J167" i="8"/>
  <c r="I167" i="8"/>
  <c r="H167" i="8"/>
  <c r="J166" i="8"/>
  <c r="I166" i="8"/>
  <c r="H166" i="8"/>
  <c r="J165" i="8"/>
  <c r="I165" i="8"/>
  <c r="H165" i="8"/>
  <c r="J164" i="8"/>
  <c r="I164" i="8"/>
  <c r="H164" i="8"/>
  <c r="J163" i="8"/>
  <c r="I163" i="8"/>
  <c r="H163" i="8"/>
  <c r="J162" i="8"/>
  <c r="I162" i="8"/>
  <c r="H162" i="8"/>
  <c r="C12" i="5" s="1"/>
  <c r="D12" i="5" s="1"/>
  <c r="J161" i="8"/>
  <c r="I161" i="8"/>
  <c r="H161" i="8"/>
  <c r="J160" i="8"/>
  <c r="I160" i="8"/>
  <c r="H160" i="8"/>
  <c r="J159" i="8"/>
  <c r="I159" i="8"/>
  <c r="H159" i="8"/>
  <c r="J158" i="8"/>
  <c r="I158" i="8"/>
  <c r="H158" i="8"/>
  <c r="J157" i="8"/>
  <c r="I157" i="8"/>
  <c r="H157" i="8"/>
  <c r="J156" i="8"/>
  <c r="I156" i="8"/>
  <c r="H156" i="8"/>
  <c r="J155" i="8"/>
  <c r="I155" i="8"/>
  <c r="H155" i="8"/>
  <c r="J154" i="8"/>
  <c r="I154" i="8"/>
  <c r="H154" i="8"/>
  <c r="J153" i="8"/>
  <c r="I153" i="8"/>
  <c r="H153" i="8"/>
  <c r="J152" i="8"/>
  <c r="I152" i="8"/>
  <c r="H152" i="8"/>
  <c r="J151" i="8"/>
  <c r="I151" i="8"/>
  <c r="H151" i="8"/>
  <c r="J150" i="8"/>
  <c r="I150" i="8"/>
  <c r="H150" i="8"/>
  <c r="C77" i="5" s="1"/>
  <c r="D77" i="5" s="1"/>
  <c r="J149" i="8"/>
  <c r="I149" i="8"/>
  <c r="H149" i="8"/>
  <c r="J148" i="8"/>
  <c r="I148" i="8"/>
  <c r="H148" i="8"/>
  <c r="J147" i="8"/>
  <c r="I147" i="8"/>
  <c r="H147" i="8"/>
  <c r="J146" i="8"/>
  <c r="I146" i="8"/>
  <c r="H146" i="8"/>
  <c r="J145" i="8"/>
  <c r="I145" i="8"/>
  <c r="H145" i="8"/>
  <c r="J144" i="8"/>
  <c r="I144" i="8"/>
  <c r="H144" i="8"/>
  <c r="J143" i="8"/>
  <c r="I143" i="8"/>
  <c r="H143" i="8"/>
  <c r="J142" i="8"/>
  <c r="I142" i="8"/>
  <c r="H142" i="8"/>
  <c r="J141" i="8"/>
  <c r="I141" i="8"/>
  <c r="H141" i="8"/>
  <c r="J140" i="8"/>
  <c r="I140" i="8"/>
  <c r="H140" i="8"/>
  <c r="J139" i="8"/>
  <c r="I139" i="8"/>
  <c r="H139" i="8"/>
  <c r="J138" i="8"/>
  <c r="I138" i="8"/>
  <c r="H138" i="8"/>
  <c r="J137" i="8"/>
  <c r="I137" i="8"/>
  <c r="H137" i="8"/>
  <c r="J136" i="8"/>
  <c r="I136" i="8"/>
  <c r="H136" i="8"/>
  <c r="J135" i="8"/>
  <c r="I135" i="8"/>
  <c r="H135" i="8"/>
  <c r="C61" i="5" s="1"/>
  <c r="D61" i="5" s="1"/>
  <c r="J134" i="8"/>
  <c r="I134" i="8"/>
  <c r="H134" i="8"/>
  <c r="J133" i="8"/>
  <c r="I133" i="8"/>
  <c r="H133" i="8"/>
  <c r="J132" i="8"/>
  <c r="I132" i="8"/>
  <c r="H132" i="8"/>
  <c r="J131" i="8"/>
  <c r="I131" i="8"/>
  <c r="H131" i="8"/>
  <c r="J130" i="8"/>
  <c r="I130" i="8"/>
  <c r="H130" i="8"/>
  <c r="J129" i="8"/>
  <c r="I129" i="8"/>
  <c r="H129" i="8"/>
  <c r="J128" i="8"/>
  <c r="I128" i="8"/>
  <c r="H128" i="8"/>
  <c r="J127" i="8"/>
  <c r="I127" i="8"/>
  <c r="H127" i="8"/>
  <c r="J126" i="8"/>
  <c r="I126" i="8"/>
  <c r="H126" i="8"/>
  <c r="J125" i="8"/>
  <c r="I125" i="8"/>
  <c r="H125" i="8"/>
  <c r="J124" i="8"/>
  <c r="I124" i="8"/>
  <c r="H124" i="8"/>
  <c r="J123" i="8"/>
  <c r="I123" i="8"/>
  <c r="H123" i="8"/>
  <c r="J122" i="8"/>
  <c r="I122" i="8"/>
  <c r="H122" i="8"/>
  <c r="J121" i="8"/>
  <c r="I121" i="8"/>
  <c r="H121" i="8"/>
  <c r="J120" i="8"/>
  <c r="I120" i="8"/>
  <c r="H120" i="8"/>
  <c r="J119" i="8"/>
  <c r="I119" i="8"/>
  <c r="H119" i="8"/>
  <c r="J118" i="8"/>
  <c r="I118" i="8"/>
  <c r="H118" i="8"/>
  <c r="J117" i="8"/>
  <c r="I117" i="8"/>
  <c r="H117" i="8"/>
  <c r="J116" i="8"/>
  <c r="I116" i="8"/>
  <c r="H116" i="8"/>
  <c r="J115" i="8"/>
  <c r="I115" i="8"/>
  <c r="H115" i="8"/>
  <c r="J114" i="8"/>
  <c r="I114" i="8"/>
  <c r="H114" i="8"/>
  <c r="J113" i="8"/>
  <c r="I113" i="8"/>
  <c r="H113" i="8"/>
  <c r="J112" i="8"/>
  <c r="I112" i="8"/>
  <c r="H112" i="8"/>
  <c r="J111" i="8"/>
  <c r="I111" i="8"/>
  <c r="H111" i="8"/>
  <c r="J110" i="8"/>
  <c r="I110" i="8"/>
  <c r="H110" i="8"/>
  <c r="J109" i="8"/>
  <c r="I109" i="8"/>
  <c r="H109" i="8"/>
  <c r="J108" i="8"/>
  <c r="I108" i="8"/>
  <c r="H108" i="8"/>
  <c r="J107" i="8"/>
  <c r="I107" i="8"/>
  <c r="H107" i="8"/>
  <c r="J106" i="8"/>
  <c r="I106" i="8"/>
  <c r="H106" i="8"/>
  <c r="J105" i="8"/>
  <c r="I105" i="8"/>
  <c r="H105" i="8"/>
  <c r="J104" i="8"/>
  <c r="I104" i="8"/>
  <c r="H104" i="8"/>
  <c r="J103" i="8"/>
  <c r="I103" i="8"/>
  <c r="H103" i="8"/>
  <c r="J102" i="8"/>
  <c r="I102" i="8"/>
  <c r="H102" i="8"/>
  <c r="J101" i="8"/>
  <c r="I101" i="8"/>
  <c r="H101" i="8"/>
  <c r="J100" i="8"/>
  <c r="I100" i="8"/>
  <c r="H100" i="8"/>
  <c r="J99" i="8"/>
  <c r="I99" i="8"/>
  <c r="H99" i="8"/>
  <c r="J98" i="8"/>
  <c r="I98" i="8"/>
  <c r="H98" i="8"/>
  <c r="J97" i="8"/>
  <c r="I97" i="8"/>
  <c r="H97" i="8"/>
  <c r="J96" i="8"/>
  <c r="I96" i="8"/>
  <c r="H96" i="8"/>
  <c r="J95" i="8"/>
  <c r="I95" i="8"/>
  <c r="H95" i="8"/>
  <c r="J94" i="8"/>
  <c r="I94" i="8"/>
  <c r="H94" i="8"/>
  <c r="J93" i="8"/>
  <c r="I93" i="8"/>
  <c r="H93" i="8"/>
  <c r="J92" i="8"/>
  <c r="I92" i="8"/>
  <c r="H92" i="8"/>
  <c r="J91" i="8"/>
  <c r="I91" i="8"/>
  <c r="H91" i="8"/>
  <c r="J90" i="8"/>
  <c r="I90" i="8"/>
  <c r="H90" i="8"/>
  <c r="J89" i="8"/>
  <c r="I89" i="8"/>
  <c r="H89" i="8"/>
  <c r="J88" i="8"/>
  <c r="I88" i="8"/>
  <c r="H88" i="8"/>
  <c r="J87" i="8"/>
  <c r="I87" i="8"/>
  <c r="H87" i="8"/>
  <c r="J86" i="8"/>
  <c r="I86" i="8"/>
  <c r="H86" i="8"/>
  <c r="J85" i="8"/>
  <c r="I85" i="8"/>
  <c r="H85" i="8"/>
  <c r="J84" i="8"/>
  <c r="I84" i="8"/>
  <c r="H84" i="8"/>
  <c r="J83" i="8"/>
  <c r="I83" i="8"/>
  <c r="H83" i="8"/>
  <c r="J82" i="8"/>
  <c r="I82" i="8"/>
  <c r="H82" i="8"/>
  <c r="J81" i="8"/>
  <c r="I81" i="8"/>
  <c r="H81" i="8"/>
  <c r="J80" i="8"/>
  <c r="I80" i="8"/>
  <c r="H80" i="8"/>
  <c r="J79" i="8"/>
  <c r="I79" i="8"/>
  <c r="H79" i="8"/>
  <c r="C81" i="5" s="1"/>
  <c r="D81" i="5" s="1"/>
  <c r="J78" i="8"/>
  <c r="I78" i="8"/>
  <c r="H78" i="8"/>
  <c r="J77" i="8"/>
  <c r="I77" i="8"/>
  <c r="H77" i="8"/>
  <c r="J76" i="8"/>
  <c r="I76" i="8"/>
  <c r="H76" i="8"/>
  <c r="J75" i="8"/>
  <c r="I75" i="8"/>
  <c r="H75" i="8"/>
  <c r="J74" i="8"/>
  <c r="I74" i="8"/>
  <c r="H74" i="8"/>
  <c r="C76" i="5" s="1"/>
  <c r="D76" i="5" s="1"/>
  <c r="J73" i="8"/>
  <c r="I73" i="8"/>
  <c r="H73" i="8"/>
  <c r="J72" i="8"/>
  <c r="I72" i="8"/>
  <c r="H72" i="8"/>
  <c r="J71" i="8"/>
  <c r="I71" i="8"/>
  <c r="H71" i="8"/>
  <c r="C73" i="5" s="1"/>
  <c r="D73" i="5" s="1"/>
  <c r="J70" i="8"/>
  <c r="I70" i="8"/>
  <c r="H70" i="8"/>
  <c r="C72" i="5" s="1"/>
  <c r="D72" i="5" s="1"/>
  <c r="E72" i="5" s="1"/>
  <c r="H72" i="5" s="1"/>
  <c r="J69" i="8"/>
  <c r="I69" i="8"/>
  <c r="H69" i="8"/>
  <c r="J68" i="8"/>
  <c r="I68" i="8"/>
  <c r="H68" i="8"/>
  <c r="J67" i="8"/>
  <c r="I67" i="8"/>
  <c r="H67" i="8"/>
  <c r="C69" i="5" s="1"/>
  <c r="D69" i="5" s="1"/>
  <c r="E69" i="5" s="1"/>
  <c r="H69" i="5" s="1"/>
  <c r="J66" i="8"/>
  <c r="I66" i="8"/>
  <c r="H66" i="8"/>
  <c r="C68" i="5" s="1"/>
  <c r="D68" i="5" s="1"/>
  <c r="J65" i="8"/>
  <c r="I65" i="8"/>
  <c r="H65" i="8"/>
  <c r="J64" i="8"/>
  <c r="I64" i="8"/>
  <c r="H64" i="8"/>
  <c r="J63" i="8"/>
  <c r="I63" i="8"/>
  <c r="H63" i="8"/>
  <c r="C64" i="5" s="1"/>
  <c r="D64" i="5" s="1"/>
  <c r="J62" i="8"/>
  <c r="I62" i="8"/>
  <c r="H62" i="8"/>
  <c r="C63" i="5" s="1"/>
  <c r="D63" i="5" s="1"/>
  <c r="J61" i="8"/>
  <c r="I61" i="8"/>
  <c r="H61" i="8"/>
  <c r="J60" i="8"/>
  <c r="I60" i="8"/>
  <c r="H60" i="8"/>
  <c r="J59" i="8"/>
  <c r="I59" i="8"/>
  <c r="H59" i="8"/>
  <c r="J58" i="8"/>
  <c r="I58" i="8"/>
  <c r="H58" i="8"/>
  <c r="C59" i="5" s="1"/>
  <c r="D59" i="5" s="1"/>
  <c r="J57" i="8"/>
  <c r="I57" i="8"/>
  <c r="H57" i="8"/>
  <c r="J56" i="8"/>
  <c r="I56" i="8"/>
  <c r="H56" i="8"/>
  <c r="J55" i="8"/>
  <c r="I55" i="8"/>
  <c r="H55" i="8"/>
  <c r="C56" i="5" s="1"/>
  <c r="D56" i="5" s="1"/>
  <c r="J54" i="8"/>
  <c r="I54" i="8"/>
  <c r="H54" i="8"/>
  <c r="C55" i="5" s="1"/>
  <c r="D55" i="5" s="1"/>
  <c r="J53" i="8"/>
  <c r="I53" i="8"/>
  <c r="H53" i="8"/>
  <c r="J52" i="8"/>
  <c r="I52" i="8"/>
  <c r="H52" i="8"/>
  <c r="J51" i="8"/>
  <c r="I51" i="8"/>
  <c r="H51" i="8"/>
  <c r="J50" i="8"/>
  <c r="I50" i="8"/>
  <c r="H50" i="8"/>
  <c r="C51" i="5" s="1"/>
  <c r="D51" i="5" s="1"/>
  <c r="J49" i="8"/>
  <c r="I49" i="8"/>
  <c r="H49" i="8"/>
  <c r="J48" i="8"/>
  <c r="I48" i="8"/>
  <c r="H48" i="8"/>
  <c r="J47" i="8"/>
  <c r="I47" i="8"/>
  <c r="H47" i="8"/>
  <c r="J46" i="8"/>
  <c r="I46" i="8"/>
  <c r="H46" i="8"/>
  <c r="J45" i="8"/>
  <c r="I45" i="8"/>
  <c r="H45" i="8"/>
  <c r="J44" i="8"/>
  <c r="I44" i="8"/>
  <c r="H44" i="8"/>
  <c r="J43" i="8"/>
  <c r="I43" i="8"/>
  <c r="H43" i="8"/>
  <c r="J42" i="8"/>
  <c r="I42" i="8"/>
  <c r="H42" i="8"/>
  <c r="C43" i="5" s="1"/>
  <c r="D43" i="5" s="1"/>
  <c r="J41" i="8"/>
  <c r="I41" i="8"/>
  <c r="H41" i="8"/>
  <c r="J40" i="8"/>
  <c r="I40" i="8"/>
  <c r="H40" i="8"/>
  <c r="J39" i="8"/>
  <c r="I39" i="8"/>
  <c r="H39" i="8"/>
  <c r="J38" i="8"/>
  <c r="I38" i="8"/>
  <c r="H38" i="8"/>
  <c r="C39" i="5" s="1"/>
  <c r="D39" i="5" s="1"/>
  <c r="J37" i="8"/>
  <c r="I37" i="8"/>
  <c r="H37" i="8"/>
  <c r="J36" i="8"/>
  <c r="I36" i="8"/>
  <c r="H36" i="8"/>
  <c r="J35" i="8"/>
  <c r="I35" i="8"/>
  <c r="H35" i="8"/>
  <c r="J34" i="8"/>
  <c r="I34" i="8"/>
  <c r="H34" i="8"/>
  <c r="C35" i="5" s="1"/>
  <c r="D35" i="5" s="1"/>
  <c r="J33" i="8"/>
  <c r="I33" i="8"/>
  <c r="H33" i="8"/>
  <c r="J32" i="8"/>
  <c r="I32" i="8"/>
  <c r="H32" i="8"/>
  <c r="J31" i="8"/>
  <c r="I31" i="8"/>
  <c r="H31" i="8"/>
  <c r="J30" i="8"/>
  <c r="I30" i="8"/>
  <c r="H30" i="8"/>
  <c r="J29" i="8"/>
  <c r="I29" i="8"/>
  <c r="H29" i="8"/>
  <c r="J28" i="8"/>
  <c r="I28" i="8"/>
  <c r="H28" i="8"/>
  <c r="J27" i="8"/>
  <c r="I27" i="8"/>
  <c r="H27" i="8"/>
  <c r="J26" i="8"/>
  <c r="I26" i="8"/>
  <c r="H26" i="8"/>
  <c r="C27" i="5" s="1"/>
  <c r="D27" i="5" s="1"/>
  <c r="J25" i="8"/>
  <c r="I25" i="8"/>
  <c r="H25" i="8"/>
  <c r="J24" i="8"/>
  <c r="I24" i="8"/>
  <c r="H24" i="8"/>
  <c r="J23" i="8"/>
  <c r="I23" i="8"/>
  <c r="H23" i="8"/>
  <c r="J22" i="8"/>
  <c r="I22" i="8"/>
  <c r="H22" i="8"/>
  <c r="J21" i="8"/>
  <c r="I21" i="8"/>
  <c r="H21" i="8"/>
  <c r="J20" i="8"/>
  <c r="I20" i="8"/>
  <c r="H20" i="8"/>
  <c r="J19" i="8"/>
  <c r="I19" i="8"/>
  <c r="H19" i="8"/>
  <c r="J18" i="8"/>
  <c r="I18" i="8"/>
  <c r="H18" i="8"/>
  <c r="C19" i="5" s="1"/>
  <c r="D19" i="5" s="1"/>
  <c r="J17" i="8"/>
  <c r="I17" i="8"/>
  <c r="H17" i="8"/>
  <c r="J16" i="8"/>
  <c r="I16" i="8"/>
  <c r="H16" i="8"/>
  <c r="J15" i="8"/>
  <c r="I15" i="8"/>
  <c r="H15" i="8"/>
  <c r="J14" i="8"/>
  <c r="I14" i="8"/>
  <c r="H14" i="8"/>
  <c r="C15" i="5" s="1"/>
  <c r="D15" i="5" s="1"/>
  <c r="J13" i="8"/>
  <c r="I13" i="8"/>
  <c r="H13" i="8"/>
  <c r="J12" i="8"/>
  <c r="I12" i="8"/>
  <c r="H12" i="8"/>
  <c r="J11" i="8"/>
  <c r="I11" i="8"/>
  <c r="H11" i="8"/>
  <c r="J10" i="8"/>
  <c r="I10" i="8"/>
  <c r="H10" i="8"/>
  <c r="C11" i="5" s="1"/>
  <c r="D11" i="5" s="1"/>
  <c r="J9" i="8"/>
  <c r="I9" i="8"/>
  <c r="H9" i="8"/>
  <c r="J8" i="8"/>
  <c r="I8" i="8"/>
  <c r="H8" i="8"/>
  <c r="J7" i="8"/>
  <c r="I7" i="8"/>
  <c r="H7" i="8"/>
  <c r="J6" i="8"/>
  <c r="I6" i="8"/>
  <c r="H6" i="8"/>
  <c r="C7" i="5" s="1"/>
  <c r="D7" i="5" s="1"/>
  <c r="J5" i="8"/>
  <c r="I5" i="8"/>
  <c r="H5" i="8"/>
  <c r="J4" i="8"/>
  <c r="I4" i="8"/>
  <c r="H4" i="8"/>
  <c r="L1938" i="7"/>
  <c r="K1938" i="7"/>
  <c r="J1938" i="7"/>
  <c r="L1937" i="7"/>
  <c r="K1937" i="7"/>
  <c r="J1937" i="7"/>
  <c r="L1936" i="7"/>
  <c r="K1936" i="7"/>
  <c r="J1936" i="7"/>
  <c r="L1935" i="7"/>
  <c r="K1935" i="7"/>
  <c r="J1935" i="7"/>
  <c r="L1934" i="7"/>
  <c r="K1934" i="7"/>
  <c r="J1934" i="7"/>
  <c r="L1933" i="7"/>
  <c r="K1933" i="7"/>
  <c r="J1933" i="7"/>
  <c r="L1932" i="7"/>
  <c r="K1932" i="7"/>
  <c r="J1932" i="7"/>
  <c r="L1931" i="7"/>
  <c r="K1931" i="7"/>
  <c r="J1931" i="7"/>
  <c r="L1930" i="7"/>
  <c r="K1930" i="7"/>
  <c r="J1930" i="7"/>
  <c r="L1929" i="7"/>
  <c r="K1929" i="7"/>
  <c r="J1929" i="7"/>
  <c r="L1928" i="7"/>
  <c r="K1928" i="7"/>
  <c r="J1928" i="7"/>
  <c r="L1927" i="7"/>
  <c r="K1927" i="7"/>
  <c r="J1927" i="7"/>
  <c r="L1926" i="7"/>
  <c r="K1926" i="7"/>
  <c r="J1926" i="7"/>
  <c r="L1925" i="7"/>
  <c r="K1925" i="7"/>
  <c r="J1925" i="7"/>
  <c r="L1924" i="7"/>
  <c r="K1924" i="7"/>
  <c r="J1924" i="7"/>
  <c r="L1923" i="7"/>
  <c r="K1923" i="7"/>
  <c r="J1923" i="7"/>
  <c r="L1922" i="7"/>
  <c r="K1922" i="7"/>
  <c r="J1922" i="7"/>
  <c r="L1921" i="7"/>
  <c r="K1921" i="7"/>
  <c r="J1921" i="7"/>
  <c r="L1920" i="7"/>
  <c r="K1920" i="7"/>
  <c r="J1920" i="7"/>
  <c r="L1919" i="7"/>
  <c r="K1919" i="7"/>
  <c r="J1919" i="7"/>
  <c r="L1918" i="7"/>
  <c r="K1918" i="7"/>
  <c r="J1918" i="7"/>
  <c r="L1917" i="7"/>
  <c r="K1917" i="7"/>
  <c r="J1917" i="7"/>
  <c r="L1916" i="7"/>
  <c r="K1916" i="7"/>
  <c r="J1916" i="7"/>
  <c r="L1915" i="7"/>
  <c r="K1915" i="7"/>
  <c r="J1915" i="7"/>
  <c r="L1914" i="7"/>
  <c r="K1914" i="7"/>
  <c r="J1914" i="7"/>
  <c r="L1913" i="7"/>
  <c r="K1913" i="7"/>
  <c r="J1913" i="7"/>
  <c r="L1912" i="7"/>
  <c r="K1912" i="7"/>
  <c r="J1912" i="7"/>
  <c r="L1911" i="7"/>
  <c r="K1911" i="7"/>
  <c r="J1911" i="7"/>
  <c r="L1910" i="7"/>
  <c r="K1910" i="7"/>
  <c r="J1910" i="7"/>
  <c r="L1909" i="7"/>
  <c r="K1909" i="7"/>
  <c r="J1909" i="7"/>
  <c r="L1908" i="7"/>
  <c r="K1908" i="7"/>
  <c r="J1908" i="7"/>
  <c r="L1907" i="7"/>
  <c r="K1907" i="7"/>
  <c r="J1907" i="7"/>
  <c r="L1906" i="7"/>
  <c r="K1906" i="7"/>
  <c r="J1906" i="7"/>
  <c r="L1905" i="7"/>
  <c r="K1905" i="7"/>
  <c r="J1905" i="7"/>
  <c r="L1904" i="7"/>
  <c r="K1904" i="7"/>
  <c r="J1904" i="7"/>
  <c r="L1903" i="7"/>
  <c r="K1903" i="7"/>
  <c r="J1903" i="7"/>
  <c r="L1902" i="7"/>
  <c r="K1902" i="7"/>
  <c r="J1902" i="7"/>
  <c r="L1901" i="7"/>
  <c r="K1901" i="7"/>
  <c r="J1901" i="7"/>
  <c r="L1900" i="7"/>
  <c r="K1900" i="7"/>
  <c r="J1900" i="7"/>
  <c r="L1899" i="7"/>
  <c r="K1899" i="7"/>
  <c r="J1899" i="7"/>
  <c r="L1898" i="7"/>
  <c r="K1898" i="7"/>
  <c r="J1898" i="7"/>
  <c r="L1897" i="7"/>
  <c r="K1897" i="7"/>
  <c r="J1897" i="7"/>
  <c r="L1896" i="7"/>
  <c r="K1896" i="7"/>
  <c r="J1896" i="7"/>
  <c r="L1895" i="7"/>
  <c r="K1895" i="7"/>
  <c r="J1895" i="7"/>
  <c r="L1894" i="7"/>
  <c r="K1894" i="7"/>
  <c r="J1894" i="7"/>
  <c r="L1893" i="7"/>
  <c r="K1893" i="7"/>
  <c r="J1893" i="7"/>
  <c r="L1892" i="7"/>
  <c r="K1892" i="7"/>
  <c r="J1892" i="7"/>
  <c r="L1891" i="7"/>
  <c r="K1891" i="7"/>
  <c r="J1891" i="7"/>
  <c r="L1890" i="7"/>
  <c r="K1890" i="7"/>
  <c r="J1890" i="7"/>
  <c r="L1889" i="7"/>
  <c r="K1889" i="7"/>
  <c r="J1889" i="7"/>
  <c r="L1888" i="7"/>
  <c r="K1888" i="7"/>
  <c r="J1888" i="7"/>
  <c r="L1887" i="7"/>
  <c r="K1887" i="7"/>
  <c r="J1887" i="7"/>
  <c r="L1886" i="7"/>
  <c r="K1886" i="7"/>
  <c r="J1886" i="7"/>
  <c r="L1885" i="7"/>
  <c r="K1885" i="7"/>
  <c r="J1885" i="7"/>
  <c r="L1884" i="7"/>
  <c r="K1884" i="7"/>
  <c r="J1884" i="7"/>
  <c r="L1883" i="7"/>
  <c r="K1883" i="7"/>
  <c r="J1883" i="7"/>
  <c r="L1882" i="7"/>
  <c r="K1882" i="7"/>
  <c r="J1882" i="7"/>
  <c r="L1881" i="7"/>
  <c r="K1881" i="7"/>
  <c r="J1881" i="7"/>
  <c r="L1880" i="7"/>
  <c r="K1880" i="7"/>
  <c r="J1880" i="7"/>
  <c r="L1879" i="7"/>
  <c r="K1879" i="7"/>
  <c r="J1879" i="7"/>
  <c r="L1878" i="7"/>
  <c r="K1878" i="7"/>
  <c r="J1878" i="7"/>
  <c r="L1877" i="7"/>
  <c r="K1877" i="7"/>
  <c r="J1877" i="7"/>
  <c r="L1876" i="7"/>
  <c r="K1876" i="7"/>
  <c r="J1876" i="7"/>
  <c r="L1875" i="7"/>
  <c r="K1875" i="7"/>
  <c r="J1875" i="7"/>
  <c r="L1874" i="7"/>
  <c r="K1874" i="7"/>
  <c r="J1874" i="7"/>
  <c r="L1873" i="7"/>
  <c r="K1873" i="7"/>
  <c r="J1873" i="7"/>
  <c r="L1872" i="7"/>
  <c r="K1872" i="7"/>
  <c r="J1872" i="7"/>
  <c r="L1871" i="7"/>
  <c r="K1871" i="7"/>
  <c r="J1871" i="7"/>
  <c r="L1870" i="7"/>
  <c r="K1870" i="7"/>
  <c r="J1870" i="7"/>
  <c r="L1869" i="7"/>
  <c r="K1869" i="7"/>
  <c r="J1869" i="7"/>
  <c r="L1868" i="7"/>
  <c r="K1868" i="7"/>
  <c r="J1868" i="7"/>
  <c r="L1867" i="7"/>
  <c r="K1867" i="7"/>
  <c r="J1867" i="7"/>
  <c r="L1866" i="7"/>
  <c r="K1866" i="7"/>
  <c r="J1866" i="7"/>
  <c r="L1865" i="7"/>
  <c r="K1865" i="7"/>
  <c r="J1865" i="7"/>
  <c r="L1864" i="7"/>
  <c r="K1864" i="7"/>
  <c r="J1864" i="7"/>
  <c r="L1863" i="7"/>
  <c r="K1863" i="7"/>
  <c r="J1863" i="7"/>
  <c r="L1862" i="7"/>
  <c r="K1862" i="7"/>
  <c r="J1862" i="7"/>
  <c r="L1861" i="7"/>
  <c r="K1861" i="7"/>
  <c r="J1861" i="7"/>
  <c r="L1860" i="7"/>
  <c r="K1860" i="7"/>
  <c r="J1860" i="7"/>
  <c r="L1859" i="7"/>
  <c r="K1859" i="7"/>
  <c r="J1859" i="7"/>
  <c r="L1858" i="7"/>
  <c r="K1858" i="7"/>
  <c r="J1858" i="7"/>
  <c r="L1857" i="7"/>
  <c r="K1857" i="7"/>
  <c r="J1857" i="7"/>
  <c r="L1856" i="7"/>
  <c r="K1856" i="7"/>
  <c r="J1856" i="7"/>
  <c r="L1855" i="7"/>
  <c r="K1855" i="7"/>
  <c r="J1855" i="7"/>
  <c r="L1854" i="7"/>
  <c r="K1854" i="7"/>
  <c r="J1854" i="7"/>
  <c r="L1853" i="7"/>
  <c r="K1853" i="7"/>
  <c r="J1853" i="7"/>
  <c r="L1852" i="7"/>
  <c r="K1852" i="7"/>
  <c r="J1852" i="7"/>
  <c r="L1851" i="7"/>
  <c r="K1851" i="7"/>
  <c r="J1851" i="7"/>
  <c r="L1850" i="7"/>
  <c r="K1850" i="7"/>
  <c r="J1850" i="7"/>
  <c r="L1849" i="7"/>
  <c r="K1849" i="7"/>
  <c r="J1849" i="7"/>
  <c r="L1848" i="7"/>
  <c r="K1848" i="7"/>
  <c r="J1848" i="7"/>
  <c r="L1847" i="7"/>
  <c r="K1847" i="7"/>
  <c r="J1847" i="7"/>
  <c r="L1846" i="7"/>
  <c r="K1846" i="7"/>
  <c r="J1846" i="7"/>
  <c r="L1845" i="7"/>
  <c r="K1845" i="7"/>
  <c r="J1845" i="7"/>
  <c r="L1844" i="7"/>
  <c r="K1844" i="7"/>
  <c r="J1844" i="7"/>
  <c r="L1843" i="7"/>
  <c r="K1843" i="7"/>
  <c r="J1843" i="7"/>
  <c r="L1842" i="7"/>
  <c r="K1842" i="7"/>
  <c r="J1842" i="7"/>
  <c r="L1841" i="7"/>
  <c r="K1841" i="7"/>
  <c r="J1841" i="7"/>
  <c r="L1840" i="7"/>
  <c r="K1840" i="7"/>
  <c r="J1840" i="7"/>
  <c r="L1839" i="7"/>
  <c r="K1839" i="7"/>
  <c r="J1839" i="7"/>
  <c r="L1838" i="7"/>
  <c r="K1838" i="7"/>
  <c r="J1838" i="7"/>
  <c r="L1837" i="7"/>
  <c r="K1837" i="7"/>
  <c r="J1837" i="7"/>
  <c r="L1836" i="7"/>
  <c r="K1836" i="7"/>
  <c r="J1836" i="7"/>
  <c r="L1835" i="7"/>
  <c r="K1835" i="7"/>
  <c r="J1835" i="7"/>
  <c r="L1834" i="7"/>
  <c r="K1834" i="7"/>
  <c r="J1834" i="7"/>
  <c r="L1833" i="7"/>
  <c r="K1833" i="7"/>
  <c r="J1833" i="7"/>
  <c r="L1832" i="7"/>
  <c r="K1832" i="7"/>
  <c r="J1832" i="7"/>
  <c r="L1831" i="7"/>
  <c r="K1831" i="7"/>
  <c r="J1831" i="7"/>
  <c r="L1830" i="7"/>
  <c r="K1830" i="7"/>
  <c r="J1830" i="7"/>
  <c r="L1829" i="7"/>
  <c r="K1829" i="7"/>
  <c r="J1829" i="7"/>
  <c r="L1828" i="7"/>
  <c r="K1828" i="7"/>
  <c r="J1828" i="7"/>
  <c r="L1827" i="7"/>
  <c r="K1827" i="7"/>
  <c r="J1827" i="7"/>
  <c r="L1826" i="7"/>
  <c r="K1826" i="7"/>
  <c r="J1826" i="7"/>
  <c r="L1825" i="7"/>
  <c r="K1825" i="7"/>
  <c r="J1825" i="7"/>
  <c r="L1824" i="7"/>
  <c r="K1824" i="7"/>
  <c r="J1824" i="7"/>
  <c r="L1823" i="7"/>
  <c r="K1823" i="7"/>
  <c r="J1823" i="7"/>
  <c r="L1822" i="7"/>
  <c r="K1822" i="7"/>
  <c r="J1822" i="7"/>
  <c r="L1821" i="7"/>
  <c r="K1821" i="7"/>
  <c r="J1821" i="7"/>
  <c r="L1820" i="7"/>
  <c r="K1820" i="7"/>
  <c r="J1820" i="7"/>
  <c r="L1819" i="7"/>
  <c r="K1819" i="7"/>
  <c r="J1819" i="7"/>
  <c r="L1818" i="7"/>
  <c r="K1818" i="7"/>
  <c r="J1818" i="7"/>
  <c r="L1817" i="7"/>
  <c r="K1817" i="7"/>
  <c r="J1817" i="7"/>
  <c r="L1816" i="7"/>
  <c r="K1816" i="7"/>
  <c r="J1816" i="7"/>
  <c r="L1815" i="7"/>
  <c r="K1815" i="7"/>
  <c r="J1815" i="7"/>
  <c r="L1814" i="7"/>
  <c r="K1814" i="7"/>
  <c r="J1814" i="7"/>
  <c r="L1813" i="7"/>
  <c r="K1813" i="7"/>
  <c r="J1813" i="7"/>
  <c r="L1812" i="7"/>
  <c r="K1812" i="7"/>
  <c r="J1812" i="7"/>
  <c r="L1811" i="7"/>
  <c r="K1811" i="7"/>
  <c r="J1811" i="7"/>
  <c r="L1810" i="7"/>
  <c r="K1810" i="7"/>
  <c r="J1810" i="7"/>
  <c r="L1809" i="7"/>
  <c r="K1809" i="7"/>
  <c r="J1809" i="7"/>
  <c r="L1808" i="7"/>
  <c r="K1808" i="7"/>
  <c r="J1808" i="7"/>
  <c r="L1807" i="7"/>
  <c r="K1807" i="7"/>
  <c r="J1807" i="7"/>
  <c r="L1806" i="7"/>
  <c r="K1806" i="7"/>
  <c r="J1806" i="7"/>
  <c r="L1805" i="7"/>
  <c r="K1805" i="7"/>
  <c r="J1805" i="7"/>
  <c r="L1804" i="7"/>
  <c r="K1804" i="7"/>
  <c r="J1804" i="7"/>
  <c r="L1803" i="7"/>
  <c r="K1803" i="7"/>
  <c r="J1803" i="7"/>
  <c r="L1802" i="7"/>
  <c r="K1802" i="7"/>
  <c r="J1802" i="7"/>
  <c r="L1801" i="7"/>
  <c r="K1801" i="7"/>
  <c r="J1801" i="7"/>
  <c r="L1800" i="7"/>
  <c r="K1800" i="7"/>
  <c r="J1800" i="7"/>
  <c r="L1799" i="7"/>
  <c r="K1799" i="7"/>
  <c r="J1799" i="7"/>
  <c r="L1798" i="7"/>
  <c r="K1798" i="7"/>
  <c r="J1798" i="7"/>
  <c r="L1797" i="7"/>
  <c r="K1797" i="7"/>
  <c r="J1797" i="7"/>
  <c r="L1796" i="7"/>
  <c r="K1796" i="7"/>
  <c r="J1796" i="7"/>
  <c r="L1795" i="7"/>
  <c r="K1795" i="7"/>
  <c r="J1795" i="7"/>
  <c r="L1794" i="7"/>
  <c r="K1794" i="7"/>
  <c r="J1794" i="7"/>
  <c r="L1793" i="7"/>
  <c r="K1793" i="7"/>
  <c r="J1793" i="7"/>
  <c r="L1792" i="7"/>
  <c r="K1792" i="7"/>
  <c r="J1792" i="7"/>
  <c r="L1791" i="7"/>
  <c r="K1791" i="7"/>
  <c r="J1791" i="7"/>
  <c r="L1790" i="7"/>
  <c r="K1790" i="7"/>
  <c r="J1790" i="7"/>
  <c r="L1789" i="7"/>
  <c r="K1789" i="7"/>
  <c r="J1789" i="7"/>
  <c r="L1788" i="7"/>
  <c r="K1788" i="7"/>
  <c r="J1788" i="7"/>
  <c r="L1787" i="7"/>
  <c r="K1787" i="7"/>
  <c r="J1787" i="7"/>
  <c r="L1786" i="7"/>
  <c r="K1786" i="7"/>
  <c r="J1786" i="7"/>
  <c r="L1785" i="7"/>
  <c r="K1785" i="7"/>
  <c r="J1785" i="7"/>
  <c r="L1784" i="7"/>
  <c r="K1784" i="7"/>
  <c r="J1784" i="7"/>
  <c r="L1783" i="7"/>
  <c r="K1783" i="7"/>
  <c r="J1783" i="7"/>
  <c r="L1782" i="7"/>
  <c r="K1782" i="7"/>
  <c r="J1782" i="7"/>
  <c r="L1781" i="7"/>
  <c r="K1781" i="7"/>
  <c r="J1781" i="7"/>
  <c r="L1780" i="7"/>
  <c r="K1780" i="7"/>
  <c r="J1780" i="7"/>
  <c r="L1779" i="7"/>
  <c r="K1779" i="7"/>
  <c r="J1779" i="7"/>
  <c r="L1778" i="7"/>
  <c r="K1778" i="7"/>
  <c r="J1778" i="7"/>
  <c r="L1777" i="7"/>
  <c r="K1777" i="7"/>
  <c r="J1777" i="7"/>
  <c r="L1776" i="7"/>
  <c r="K1776" i="7"/>
  <c r="J1776" i="7"/>
  <c r="L1775" i="7"/>
  <c r="K1775" i="7"/>
  <c r="J1775" i="7"/>
  <c r="L1774" i="7"/>
  <c r="K1774" i="7"/>
  <c r="J1774" i="7"/>
  <c r="L1773" i="7"/>
  <c r="K1773" i="7"/>
  <c r="J1773" i="7"/>
  <c r="L1772" i="7"/>
  <c r="K1772" i="7"/>
  <c r="J1772" i="7"/>
  <c r="L1771" i="7"/>
  <c r="K1771" i="7"/>
  <c r="J1771" i="7"/>
  <c r="L1770" i="7"/>
  <c r="K1770" i="7"/>
  <c r="J1770" i="7"/>
  <c r="L1769" i="7"/>
  <c r="K1769" i="7"/>
  <c r="J1769" i="7"/>
  <c r="L1768" i="7"/>
  <c r="K1768" i="7"/>
  <c r="J1768" i="7"/>
  <c r="L1767" i="7"/>
  <c r="K1767" i="7"/>
  <c r="J1767" i="7"/>
  <c r="L1766" i="7"/>
  <c r="K1766" i="7"/>
  <c r="J1766" i="7"/>
  <c r="L1765" i="7"/>
  <c r="K1765" i="7"/>
  <c r="J1765" i="7"/>
  <c r="L1764" i="7"/>
  <c r="K1764" i="7"/>
  <c r="J1764" i="7"/>
  <c r="L1763" i="7"/>
  <c r="K1763" i="7"/>
  <c r="J1763" i="7"/>
  <c r="L1762" i="7"/>
  <c r="K1762" i="7"/>
  <c r="J1762" i="7"/>
  <c r="L1761" i="7"/>
  <c r="K1761" i="7"/>
  <c r="J1761" i="7"/>
  <c r="D15" i="3" s="1"/>
  <c r="J15" i="3" s="1"/>
  <c r="C26" i="1" s="1"/>
  <c r="L1760" i="7"/>
  <c r="K1760" i="7"/>
  <c r="F15" i="3" s="1"/>
  <c r="J1760" i="7"/>
  <c r="L1759" i="7"/>
  <c r="K1759" i="7"/>
  <c r="J1759" i="7"/>
  <c r="L1758" i="7"/>
  <c r="K1758" i="7"/>
  <c r="J1758" i="7"/>
  <c r="L1757" i="7"/>
  <c r="K1757" i="7"/>
  <c r="J1757" i="7"/>
  <c r="L1756" i="7"/>
  <c r="K1756" i="7"/>
  <c r="J1756" i="7"/>
  <c r="L1755" i="7"/>
  <c r="K1755" i="7"/>
  <c r="J1755" i="7"/>
  <c r="L1754" i="7"/>
  <c r="K1754" i="7"/>
  <c r="J1754" i="7"/>
  <c r="L1753" i="7"/>
  <c r="K1753" i="7"/>
  <c r="J1753" i="7"/>
  <c r="L1752" i="7"/>
  <c r="K1752" i="7"/>
  <c r="J1752" i="7"/>
  <c r="L1751" i="7"/>
  <c r="K1751" i="7"/>
  <c r="J1751" i="7"/>
  <c r="L1750" i="7"/>
  <c r="K1750" i="7"/>
  <c r="J1750" i="7"/>
  <c r="L1749" i="7"/>
  <c r="K1749" i="7"/>
  <c r="J1749" i="7"/>
  <c r="L1748" i="7"/>
  <c r="K1748" i="7"/>
  <c r="J1748" i="7"/>
  <c r="L1747" i="7"/>
  <c r="K1747" i="7"/>
  <c r="J1747" i="7"/>
  <c r="L1746" i="7"/>
  <c r="K1746" i="7"/>
  <c r="J1746" i="7"/>
  <c r="L1745" i="7"/>
  <c r="K1745" i="7"/>
  <c r="J1745" i="7"/>
  <c r="L1744" i="7"/>
  <c r="K1744" i="7"/>
  <c r="J1744" i="7"/>
  <c r="L1743" i="7"/>
  <c r="K1743" i="7"/>
  <c r="J1743" i="7"/>
  <c r="L1742" i="7"/>
  <c r="K1742" i="7"/>
  <c r="J1742" i="7"/>
  <c r="L1741" i="7"/>
  <c r="K1741" i="7"/>
  <c r="J1741" i="7"/>
  <c r="L1740" i="7"/>
  <c r="K1740" i="7"/>
  <c r="J1740" i="7"/>
  <c r="L1739" i="7"/>
  <c r="K1739" i="7"/>
  <c r="J1739" i="7"/>
  <c r="L1738" i="7"/>
  <c r="K1738" i="7"/>
  <c r="J1738" i="7"/>
  <c r="L1737" i="7"/>
  <c r="K1737" i="7"/>
  <c r="J1737" i="7"/>
  <c r="L1736" i="7"/>
  <c r="K1736" i="7"/>
  <c r="J1736" i="7"/>
  <c r="L1735" i="7"/>
  <c r="K1735" i="7"/>
  <c r="J1735" i="7"/>
  <c r="L1734" i="7"/>
  <c r="K1734" i="7"/>
  <c r="J1734" i="7"/>
  <c r="L1733" i="7"/>
  <c r="K1733" i="7"/>
  <c r="J1733" i="7"/>
  <c r="L1732" i="7"/>
  <c r="K1732" i="7"/>
  <c r="J1732" i="7"/>
  <c r="L1731" i="7"/>
  <c r="K1731" i="7"/>
  <c r="J1731" i="7"/>
  <c r="L1730" i="7"/>
  <c r="K1730" i="7"/>
  <c r="J1730" i="7"/>
  <c r="L1729" i="7"/>
  <c r="K1729" i="7"/>
  <c r="J1729" i="7"/>
  <c r="L1728" i="7"/>
  <c r="K1728" i="7"/>
  <c r="J1728" i="7"/>
  <c r="L1727" i="7"/>
  <c r="K1727" i="7"/>
  <c r="J1727" i="7"/>
  <c r="L1726" i="7"/>
  <c r="K1726" i="7"/>
  <c r="J1726" i="7"/>
  <c r="L1725" i="7"/>
  <c r="K1725" i="7"/>
  <c r="J1725" i="7"/>
  <c r="L1724" i="7"/>
  <c r="K1724" i="7"/>
  <c r="J1724" i="7"/>
  <c r="L1723" i="7"/>
  <c r="K1723" i="7"/>
  <c r="J1723" i="7"/>
  <c r="L1722" i="7"/>
  <c r="K1722" i="7"/>
  <c r="J1722" i="7"/>
  <c r="L1721" i="7"/>
  <c r="K1721" i="7"/>
  <c r="J1721" i="7"/>
  <c r="L1720" i="7"/>
  <c r="K1720" i="7"/>
  <c r="J1720" i="7"/>
  <c r="L1719" i="7"/>
  <c r="K1719" i="7"/>
  <c r="J1719" i="7"/>
  <c r="L1718" i="7"/>
  <c r="K1718" i="7"/>
  <c r="J1718" i="7"/>
  <c r="L1717" i="7"/>
  <c r="K1717" i="7"/>
  <c r="J1717" i="7"/>
  <c r="L1716" i="7"/>
  <c r="K1716" i="7"/>
  <c r="J1716" i="7"/>
  <c r="L1715" i="7"/>
  <c r="K1715" i="7"/>
  <c r="J1715" i="7"/>
  <c r="L1714" i="7"/>
  <c r="K1714" i="7"/>
  <c r="J1714" i="7"/>
  <c r="L1713" i="7"/>
  <c r="K1713" i="7"/>
  <c r="J1713" i="7"/>
  <c r="L1712" i="7"/>
  <c r="K1712" i="7"/>
  <c r="J1712" i="7"/>
  <c r="L1711" i="7"/>
  <c r="K1711" i="7"/>
  <c r="J1711" i="7"/>
  <c r="L1710" i="7"/>
  <c r="K1710" i="7"/>
  <c r="J1710" i="7"/>
  <c r="L1709" i="7"/>
  <c r="K1709" i="7"/>
  <c r="J1709" i="7"/>
  <c r="L1708" i="7"/>
  <c r="K1708" i="7"/>
  <c r="J1708" i="7"/>
  <c r="L1707" i="7"/>
  <c r="K1707" i="7"/>
  <c r="J1707" i="7"/>
  <c r="L1706" i="7"/>
  <c r="K1706" i="7"/>
  <c r="J1706" i="7"/>
  <c r="L1705" i="7"/>
  <c r="K1705" i="7"/>
  <c r="J1705" i="7"/>
  <c r="L1704" i="7"/>
  <c r="K1704" i="7"/>
  <c r="J1704" i="7"/>
  <c r="L1703" i="7"/>
  <c r="K1703" i="7"/>
  <c r="J1703" i="7"/>
  <c r="L1702" i="7"/>
  <c r="K1702" i="7"/>
  <c r="J1702" i="7"/>
  <c r="L1701" i="7"/>
  <c r="K1701" i="7"/>
  <c r="J1701" i="7"/>
  <c r="L1700" i="7"/>
  <c r="K1700" i="7"/>
  <c r="J1700" i="7"/>
  <c r="L1699" i="7"/>
  <c r="K1699" i="7"/>
  <c r="J1699" i="7"/>
  <c r="L1698" i="7"/>
  <c r="K1698" i="7"/>
  <c r="J1698" i="7"/>
  <c r="L1697" i="7"/>
  <c r="K1697" i="7"/>
  <c r="J1697" i="7"/>
  <c r="L1696" i="7"/>
  <c r="K1696" i="7"/>
  <c r="J1696" i="7"/>
  <c r="L1695" i="7"/>
  <c r="K1695" i="7"/>
  <c r="J1695" i="7"/>
  <c r="L1694" i="7"/>
  <c r="K1694" i="7"/>
  <c r="J1694" i="7"/>
  <c r="L1693" i="7"/>
  <c r="K1693" i="7"/>
  <c r="J1693" i="7"/>
  <c r="L1692" i="7"/>
  <c r="K1692" i="7"/>
  <c r="J1692" i="7"/>
  <c r="L1691" i="7"/>
  <c r="K1691" i="7"/>
  <c r="J1691" i="7"/>
  <c r="L1690" i="7"/>
  <c r="K1690" i="7"/>
  <c r="J1690" i="7"/>
  <c r="L1689" i="7"/>
  <c r="K1689" i="7"/>
  <c r="J1689" i="7"/>
  <c r="L1688" i="7"/>
  <c r="K1688" i="7"/>
  <c r="J1688" i="7"/>
  <c r="L1687" i="7"/>
  <c r="K1687" i="7"/>
  <c r="J1687" i="7"/>
  <c r="L1686" i="7"/>
  <c r="K1686" i="7"/>
  <c r="J1686" i="7"/>
  <c r="L1685" i="7"/>
  <c r="K1685" i="7"/>
  <c r="J1685" i="7"/>
  <c r="L1684" i="7"/>
  <c r="K1684" i="7"/>
  <c r="J1684" i="7"/>
  <c r="L1683" i="7"/>
  <c r="K1683" i="7"/>
  <c r="J1683" i="7"/>
  <c r="L1682" i="7"/>
  <c r="K1682" i="7"/>
  <c r="J1682" i="7"/>
  <c r="L1681" i="7"/>
  <c r="K1681" i="7"/>
  <c r="J1681" i="7"/>
  <c r="L1680" i="7"/>
  <c r="K1680" i="7"/>
  <c r="J1680" i="7"/>
  <c r="L1679" i="7"/>
  <c r="K1679" i="7"/>
  <c r="J1679" i="7"/>
  <c r="L1678" i="7"/>
  <c r="K1678" i="7"/>
  <c r="J1678" i="7"/>
  <c r="L1677" i="7"/>
  <c r="K1677" i="7"/>
  <c r="J1677" i="7"/>
  <c r="L1676" i="7"/>
  <c r="K1676" i="7"/>
  <c r="J1676" i="7"/>
  <c r="L1675" i="7"/>
  <c r="K1675" i="7"/>
  <c r="J1675" i="7"/>
  <c r="L1674" i="7"/>
  <c r="K1674" i="7"/>
  <c r="J1674" i="7"/>
  <c r="L1673" i="7"/>
  <c r="K1673" i="7"/>
  <c r="J1673" i="7"/>
  <c r="L1672" i="7"/>
  <c r="K1672" i="7"/>
  <c r="J1672" i="7"/>
  <c r="L1671" i="7"/>
  <c r="K1671" i="7"/>
  <c r="J1671" i="7"/>
  <c r="L1670" i="7"/>
  <c r="K1670" i="7"/>
  <c r="J1670" i="7"/>
  <c r="L1669" i="7"/>
  <c r="K1669" i="7"/>
  <c r="J1669" i="7"/>
  <c r="L1668" i="7"/>
  <c r="K1668" i="7"/>
  <c r="J1668" i="7"/>
  <c r="L1667" i="7"/>
  <c r="K1667" i="7"/>
  <c r="J1667" i="7"/>
  <c r="L1666" i="7"/>
  <c r="K1666" i="7"/>
  <c r="J1666" i="7"/>
  <c r="L1665" i="7"/>
  <c r="K1665" i="7"/>
  <c r="J1665" i="7"/>
  <c r="L1664" i="7"/>
  <c r="K1664" i="7"/>
  <c r="J1664" i="7"/>
  <c r="L1663" i="7"/>
  <c r="K1663" i="7"/>
  <c r="J1663" i="7"/>
  <c r="L1662" i="7"/>
  <c r="K1662" i="7"/>
  <c r="J1662" i="7"/>
  <c r="L1661" i="7"/>
  <c r="K1661" i="7"/>
  <c r="J1661" i="7"/>
  <c r="L1660" i="7"/>
  <c r="K1660" i="7"/>
  <c r="J1660" i="7"/>
  <c r="L1659" i="7"/>
  <c r="K1659" i="7"/>
  <c r="J1659" i="7"/>
  <c r="L1658" i="7"/>
  <c r="K1658" i="7"/>
  <c r="J1658" i="7"/>
  <c r="L1657" i="7"/>
  <c r="K1657" i="7"/>
  <c r="J1657" i="7"/>
  <c r="L1656" i="7"/>
  <c r="K1656" i="7"/>
  <c r="J1656" i="7"/>
  <c r="L1655" i="7"/>
  <c r="K1655" i="7"/>
  <c r="J1655" i="7"/>
  <c r="L1654" i="7"/>
  <c r="K1654" i="7"/>
  <c r="J1654" i="7"/>
  <c r="L1653" i="7"/>
  <c r="K1653" i="7"/>
  <c r="J1653" i="7"/>
  <c r="L1652" i="7"/>
  <c r="K1652" i="7"/>
  <c r="J1652" i="7"/>
  <c r="L1651" i="7"/>
  <c r="K1651" i="7"/>
  <c r="J1651" i="7"/>
  <c r="L1650" i="7"/>
  <c r="K1650" i="7"/>
  <c r="J1650" i="7"/>
  <c r="L1649" i="7"/>
  <c r="K1649" i="7"/>
  <c r="J1649" i="7"/>
  <c r="L1648" i="7"/>
  <c r="K1648" i="7"/>
  <c r="J1648" i="7"/>
  <c r="L1647" i="7"/>
  <c r="K1647" i="7"/>
  <c r="J1647" i="7"/>
  <c r="L1646" i="7"/>
  <c r="K1646" i="7"/>
  <c r="J1646" i="7"/>
  <c r="L1645" i="7"/>
  <c r="K1645" i="7"/>
  <c r="J1645" i="7"/>
  <c r="L1644" i="7"/>
  <c r="K1644" i="7"/>
  <c r="J1644" i="7"/>
  <c r="L1643" i="7"/>
  <c r="K1643" i="7"/>
  <c r="J1643" i="7"/>
  <c r="L1642" i="7"/>
  <c r="K1642" i="7"/>
  <c r="J1642" i="7"/>
  <c r="L1641" i="7"/>
  <c r="K1641" i="7"/>
  <c r="J1641" i="7"/>
  <c r="L1640" i="7"/>
  <c r="K1640" i="7"/>
  <c r="J1640" i="7"/>
  <c r="L1639" i="7"/>
  <c r="K1639" i="7"/>
  <c r="J1639" i="7"/>
  <c r="L1638" i="7"/>
  <c r="K1638" i="7"/>
  <c r="J1638" i="7"/>
  <c r="L1637" i="7"/>
  <c r="K1637" i="7"/>
  <c r="J1637" i="7"/>
  <c r="L1636" i="7"/>
  <c r="K1636" i="7"/>
  <c r="J1636" i="7"/>
  <c r="L1635" i="7"/>
  <c r="K1635" i="7"/>
  <c r="J1635" i="7"/>
  <c r="L1634" i="7"/>
  <c r="K1634" i="7"/>
  <c r="J1634" i="7"/>
  <c r="L1633" i="7"/>
  <c r="K1633" i="7"/>
  <c r="J1633" i="7"/>
  <c r="L1632" i="7"/>
  <c r="K1632" i="7"/>
  <c r="J1632" i="7"/>
  <c r="L1631" i="7"/>
  <c r="K1631" i="7"/>
  <c r="J1631" i="7"/>
  <c r="L1630" i="7"/>
  <c r="K1630" i="7"/>
  <c r="J1630" i="7"/>
  <c r="L1629" i="7"/>
  <c r="K1629" i="7"/>
  <c r="J1629" i="7"/>
  <c r="L1628" i="7"/>
  <c r="K1628" i="7"/>
  <c r="J1628" i="7"/>
  <c r="L1627" i="7"/>
  <c r="K1627" i="7"/>
  <c r="J1627" i="7"/>
  <c r="L1626" i="7"/>
  <c r="K1626" i="7"/>
  <c r="J1626" i="7"/>
  <c r="L1625" i="7"/>
  <c r="K1625" i="7"/>
  <c r="J1625" i="7"/>
  <c r="L1624" i="7"/>
  <c r="K1624" i="7"/>
  <c r="J1624" i="7"/>
  <c r="L1623" i="7"/>
  <c r="K1623" i="7"/>
  <c r="J1623" i="7"/>
  <c r="L1622" i="7"/>
  <c r="K1622" i="7"/>
  <c r="J1622" i="7"/>
  <c r="L1621" i="7"/>
  <c r="K1621" i="7"/>
  <c r="J1621" i="7"/>
  <c r="L1620" i="7"/>
  <c r="K1620" i="7"/>
  <c r="J1620" i="7"/>
  <c r="L1619" i="7"/>
  <c r="K1619" i="7"/>
  <c r="J1619" i="7"/>
  <c r="L1618" i="7"/>
  <c r="K1618" i="7"/>
  <c r="J1618" i="7"/>
  <c r="L1617" i="7"/>
  <c r="K1617" i="7"/>
  <c r="J1617" i="7"/>
  <c r="L1616" i="7"/>
  <c r="K1616" i="7"/>
  <c r="J1616" i="7"/>
  <c r="L1615" i="7"/>
  <c r="K1615" i="7"/>
  <c r="J1615" i="7"/>
  <c r="L1614" i="7"/>
  <c r="K1614" i="7"/>
  <c r="J1614" i="7"/>
  <c r="L1613" i="7"/>
  <c r="K1613" i="7"/>
  <c r="J1613" i="7"/>
  <c r="L1612" i="7"/>
  <c r="K1612" i="7"/>
  <c r="J1612" i="7"/>
  <c r="L1611" i="7"/>
  <c r="K1611" i="7"/>
  <c r="J1611" i="7"/>
  <c r="L1610" i="7"/>
  <c r="K1610" i="7"/>
  <c r="J1610" i="7"/>
  <c r="L1609" i="7"/>
  <c r="K1609" i="7"/>
  <c r="J1609" i="7"/>
  <c r="L1608" i="7"/>
  <c r="K1608" i="7"/>
  <c r="J1608" i="7"/>
  <c r="L1607" i="7"/>
  <c r="K1607" i="7"/>
  <c r="J1607" i="7"/>
  <c r="L1606" i="7"/>
  <c r="K1606" i="7"/>
  <c r="J1606" i="7"/>
  <c r="L1605" i="7"/>
  <c r="K1605" i="7"/>
  <c r="J1605" i="7"/>
  <c r="L1604" i="7"/>
  <c r="K1604" i="7"/>
  <c r="J1604" i="7"/>
  <c r="L1603" i="7"/>
  <c r="K1603" i="7"/>
  <c r="J1603" i="7"/>
  <c r="L1602" i="7"/>
  <c r="K1602" i="7"/>
  <c r="J1602" i="7"/>
  <c r="L1601" i="7"/>
  <c r="K1601" i="7"/>
  <c r="J1601" i="7"/>
  <c r="L1600" i="7"/>
  <c r="K1600" i="7"/>
  <c r="J1600" i="7"/>
  <c r="L1599" i="7"/>
  <c r="K1599" i="7"/>
  <c r="J1599" i="7"/>
  <c r="L1598" i="7"/>
  <c r="K1598" i="7"/>
  <c r="J1598" i="7"/>
  <c r="L1597" i="7"/>
  <c r="K1597" i="7"/>
  <c r="J1597" i="7"/>
  <c r="L1596" i="7"/>
  <c r="K1596" i="7"/>
  <c r="J1596" i="7"/>
  <c r="L1595" i="7"/>
  <c r="K1595" i="7"/>
  <c r="J1595" i="7"/>
  <c r="L1594" i="7"/>
  <c r="K1594" i="7"/>
  <c r="J1594" i="7"/>
  <c r="L1593" i="7"/>
  <c r="K1593" i="7"/>
  <c r="J1593" i="7"/>
  <c r="L1592" i="7"/>
  <c r="K1592" i="7"/>
  <c r="J1592" i="7"/>
  <c r="L1591" i="7"/>
  <c r="K1591" i="7"/>
  <c r="J1591" i="7"/>
  <c r="L1590" i="7"/>
  <c r="K1590" i="7"/>
  <c r="J1590" i="7"/>
  <c r="L1589" i="7"/>
  <c r="K1589" i="7"/>
  <c r="J1589" i="7"/>
  <c r="L1588" i="7"/>
  <c r="K1588" i="7"/>
  <c r="J1588" i="7"/>
  <c r="L1587" i="7"/>
  <c r="K1587" i="7"/>
  <c r="J1587" i="7"/>
  <c r="L1586" i="7"/>
  <c r="K1586" i="7"/>
  <c r="J1586" i="7"/>
  <c r="L1585" i="7"/>
  <c r="K1585" i="7"/>
  <c r="J1585" i="7"/>
  <c r="L1584" i="7"/>
  <c r="K1584" i="7"/>
  <c r="J1584" i="7"/>
  <c r="L1583" i="7"/>
  <c r="K1583" i="7"/>
  <c r="J1583" i="7"/>
  <c r="L1582" i="7"/>
  <c r="K1582" i="7"/>
  <c r="J1582" i="7"/>
  <c r="L1581" i="7"/>
  <c r="K1581" i="7"/>
  <c r="J1581" i="7"/>
  <c r="D14" i="3" s="1"/>
  <c r="J14" i="3" s="1"/>
  <c r="C25" i="1" s="1"/>
  <c r="L1580" i="7"/>
  <c r="K1580" i="7"/>
  <c r="J1580" i="7"/>
  <c r="L1579" i="7"/>
  <c r="K1579" i="7"/>
  <c r="J1579" i="7"/>
  <c r="L1578" i="7"/>
  <c r="K1578" i="7"/>
  <c r="J1578" i="7"/>
  <c r="L1577" i="7"/>
  <c r="K1577" i="7"/>
  <c r="J1577" i="7"/>
  <c r="L1576" i="7"/>
  <c r="K1576" i="7"/>
  <c r="J1576" i="7"/>
  <c r="L1575" i="7"/>
  <c r="K1575" i="7"/>
  <c r="J1575" i="7"/>
  <c r="L1574" i="7"/>
  <c r="K1574" i="7"/>
  <c r="J1574" i="7"/>
  <c r="L1573" i="7"/>
  <c r="K1573" i="7"/>
  <c r="J1573" i="7"/>
  <c r="L1572" i="7"/>
  <c r="K1572" i="7"/>
  <c r="J1572" i="7"/>
  <c r="L1571" i="7"/>
  <c r="K1571" i="7"/>
  <c r="J1571" i="7"/>
  <c r="L1570" i="7"/>
  <c r="K1570" i="7"/>
  <c r="J1570" i="7"/>
  <c r="L1569" i="7"/>
  <c r="K1569" i="7"/>
  <c r="J1569" i="7"/>
  <c r="L1568" i="7"/>
  <c r="K1568" i="7"/>
  <c r="J1568" i="7"/>
  <c r="L1567" i="7"/>
  <c r="K1567" i="7"/>
  <c r="J1567" i="7"/>
  <c r="L1566" i="7"/>
  <c r="K1566" i="7"/>
  <c r="J1566" i="7"/>
  <c r="L1565" i="7"/>
  <c r="K1565" i="7"/>
  <c r="J1565" i="7"/>
  <c r="L1564" i="7"/>
  <c r="K1564" i="7"/>
  <c r="J1564" i="7"/>
  <c r="L1563" i="7"/>
  <c r="K1563" i="7"/>
  <c r="J1563" i="7"/>
  <c r="L1562" i="7"/>
  <c r="K1562" i="7"/>
  <c r="J1562" i="7"/>
  <c r="L1561" i="7"/>
  <c r="K1561" i="7"/>
  <c r="J1561" i="7"/>
  <c r="L1560" i="7"/>
  <c r="K1560" i="7"/>
  <c r="J1560" i="7"/>
  <c r="L1559" i="7"/>
  <c r="K1559" i="7"/>
  <c r="J1559" i="7"/>
  <c r="L1558" i="7"/>
  <c r="K1558" i="7"/>
  <c r="J1558" i="7"/>
  <c r="L1557" i="7"/>
  <c r="K1557" i="7"/>
  <c r="J1557" i="7"/>
  <c r="L1556" i="7"/>
  <c r="K1556" i="7"/>
  <c r="J1556" i="7"/>
  <c r="L1555" i="7"/>
  <c r="K1555" i="7"/>
  <c r="J1555" i="7"/>
  <c r="L1554" i="7"/>
  <c r="K1554" i="7"/>
  <c r="J1554" i="7"/>
  <c r="L1553" i="7"/>
  <c r="K1553" i="7"/>
  <c r="J1553" i="7"/>
  <c r="L1552" i="7"/>
  <c r="K1552" i="7"/>
  <c r="J1552" i="7"/>
  <c r="L1551" i="7"/>
  <c r="K1551" i="7"/>
  <c r="J1551" i="7"/>
  <c r="L1550" i="7"/>
  <c r="K1550" i="7"/>
  <c r="J1550" i="7"/>
  <c r="L1549" i="7"/>
  <c r="K1549" i="7"/>
  <c r="J1549" i="7"/>
  <c r="L1548" i="7"/>
  <c r="K1548" i="7"/>
  <c r="J1548" i="7"/>
  <c r="L1547" i="7"/>
  <c r="K1547" i="7"/>
  <c r="J1547" i="7"/>
  <c r="L1546" i="7"/>
  <c r="K1546" i="7"/>
  <c r="J1546" i="7"/>
  <c r="L1545" i="7"/>
  <c r="K1545" i="7"/>
  <c r="J1545" i="7"/>
  <c r="L1544" i="7"/>
  <c r="K1544" i="7"/>
  <c r="J1544" i="7"/>
  <c r="L1543" i="7"/>
  <c r="K1543" i="7"/>
  <c r="J1543" i="7"/>
  <c r="L1542" i="7"/>
  <c r="K1542" i="7"/>
  <c r="J1542" i="7"/>
  <c r="L1541" i="7"/>
  <c r="K1541" i="7"/>
  <c r="J1541" i="7"/>
  <c r="L1540" i="7"/>
  <c r="K1540" i="7"/>
  <c r="J1540" i="7"/>
  <c r="L1539" i="7"/>
  <c r="K1539" i="7"/>
  <c r="J1539" i="7"/>
  <c r="L1538" i="7"/>
  <c r="K1538" i="7"/>
  <c r="J1538" i="7"/>
  <c r="L1537" i="7"/>
  <c r="K1537" i="7"/>
  <c r="J1537" i="7"/>
  <c r="L1536" i="7"/>
  <c r="K1536" i="7"/>
  <c r="J1536" i="7"/>
  <c r="L1535" i="7"/>
  <c r="K1535" i="7"/>
  <c r="J1535" i="7"/>
  <c r="L1534" i="7"/>
  <c r="K1534" i="7"/>
  <c r="J1534" i="7"/>
  <c r="L1533" i="7"/>
  <c r="K1533" i="7"/>
  <c r="J1533" i="7"/>
  <c r="L1532" i="7"/>
  <c r="K1532" i="7"/>
  <c r="J1532" i="7"/>
  <c r="L1531" i="7"/>
  <c r="K1531" i="7"/>
  <c r="J1531" i="7"/>
  <c r="L1530" i="7"/>
  <c r="K1530" i="7"/>
  <c r="J1530" i="7"/>
  <c r="L1529" i="7"/>
  <c r="K1529" i="7"/>
  <c r="J1529" i="7"/>
  <c r="L1528" i="7"/>
  <c r="K1528" i="7"/>
  <c r="J1528" i="7"/>
  <c r="L1527" i="7"/>
  <c r="K1527" i="7"/>
  <c r="J1527" i="7"/>
  <c r="L1526" i="7"/>
  <c r="K1526" i="7"/>
  <c r="J1526" i="7"/>
  <c r="L1525" i="7"/>
  <c r="K1525" i="7"/>
  <c r="J1525" i="7"/>
  <c r="L1524" i="7"/>
  <c r="K1524" i="7"/>
  <c r="J1524" i="7"/>
  <c r="L1523" i="7"/>
  <c r="K1523" i="7"/>
  <c r="J1523" i="7"/>
  <c r="L1522" i="7"/>
  <c r="K1522" i="7"/>
  <c r="J1522" i="7"/>
  <c r="L1521" i="7"/>
  <c r="K1521" i="7"/>
  <c r="J1521" i="7"/>
  <c r="L1520" i="7"/>
  <c r="K1520" i="7"/>
  <c r="J1520" i="7"/>
  <c r="L1519" i="7"/>
  <c r="K1519" i="7"/>
  <c r="J1519" i="7"/>
  <c r="L1518" i="7"/>
  <c r="K1518" i="7"/>
  <c r="J1518" i="7"/>
  <c r="L1517" i="7"/>
  <c r="K1517" i="7"/>
  <c r="J1517" i="7"/>
  <c r="L1516" i="7"/>
  <c r="K1516" i="7"/>
  <c r="J1516" i="7"/>
  <c r="L1515" i="7"/>
  <c r="K1515" i="7"/>
  <c r="J1515" i="7"/>
  <c r="L1514" i="7"/>
  <c r="K1514" i="7"/>
  <c r="J1514" i="7"/>
  <c r="L1513" i="7"/>
  <c r="K1513" i="7"/>
  <c r="J1513" i="7"/>
  <c r="L1512" i="7"/>
  <c r="K1512" i="7"/>
  <c r="J1512" i="7"/>
  <c r="L1511" i="7"/>
  <c r="K1511" i="7"/>
  <c r="J1511" i="7"/>
  <c r="L1510" i="7"/>
  <c r="K1510" i="7"/>
  <c r="J1510" i="7"/>
  <c r="L1509" i="7"/>
  <c r="K1509" i="7"/>
  <c r="J1509" i="7"/>
  <c r="L1508" i="7"/>
  <c r="K1508" i="7"/>
  <c r="J1508" i="7"/>
  <c r="L1507" i="7"/>
  <c r="K1507" i="7"/>
  <c r="J1507" i="7"/>
  <c r="L1506" i="7"/>
  <c r="K1506" i="7"/>
  <c r="J1506" i="7"/>
  <c r="L1505" i="7"/>
  <c r="K1505" i="7"/>
  <c r="J1505" i="7"/>
  <c r="L1504" i="7"/>
  <c r="K1504" i="7"/>
  <c r="J1504" i="7"/>
  <c r="L1503" i="7"/>
  <c r="K1503" i="7"/>
  <c r="J1503" i="7"/>
  <c r="L1502" i="7"/>
  <c r="K1502" i="7"/>
  <c r="J1502" i="7"/>
  <c r="L1501" i="7"/>
  <c r="K1501" i="7"/>
  <c r="J1501" i="7"/>
  <c r="L1500" i="7"/>
  <c r="K1500" i="7"/>
  <c r="J1500" i="7"/>
  <c r="L1499" i="7"/>
  <c r="K1499" i="7"/>
  <c r="J1499" i="7"/>
  <c r="L1498" i="7"/>
  <c r="K1498" i="7"/>
  <c r="J1498" i="7"/>
  <c r="L1497" i="7"/>
  <c r="K1497" i="7"/>
  <c r="J1497" i="7"/>
  <c r="L1496" i="7"/>
  <c r="K1496" i="7"/>
  <c r="J1496" i="7"/>
  <c r="L1495" i="7"/>
  <c r="K1495" i="7"/>
  <c r="J1495" i="7"/>
  <c r="L1494" i="7"/>
  <c r="K1494" i="7"/>
  <c r="J1494" i="7"/>
  <c r="L1493" i="7"/>
  <c r="K1493" i="7"/>
  <c r="J1493" i="7"/>
  <c r="L1492" i="7"/>
  <c r="K1492" i="7"/>
  <c r="J1492" i="7"/>
  <c r="L1491" i="7"/>
  <c r="K1491" i="7"/>
  <c r="J1491" i="7"/>
  <c r="L1490" i="7"/>
  <c r="K1490" i="7"/>
  <c r="J1490" i="7"/>
  <c r="L1489" i="7"/>
  <c r="K1489" i="7"/>
  <c r="J1489" i="7"/>
  <c r="L1488" i="7"/>
  <c r="K1488" i="7"/>
  <c r="J1488" i="7"/>
  <c r="L1487" i="7"/>
  <c r="K1487" i="7"/>
  <c r="J1487" i="7"/>
  <c r="L1486" i="7"/>
  <c r="K1486" i="7"/>
  <c r="J1486" i="7"/>
  <c r="L1485" i="7"/>
  <c r="K1485" i="7"/>
  <c r="J1485" i="7"/>
  <c r="L1484" i="7"/>
  <c r="K1484" i="7"/>
  <c r="J1484" i="7"/>
  <c r="L1483" i="7"/>
  <c r="K1483" i="7"/>
  <c r="J1483" i="7"/>
  <c r="L1482" i="7"/>
  <c r="K1482" i="7"/>
  <c r="J1482" i="7"/>
  <c r="L1481" i="7"/>
  <c r="K1481" i="7"/>
  <c r="J1481" i="7"/>
  <c r="L1480" i="7"/>
  <c r="K1480" i="7"/>
  <c r="J1480" i="7"/>
  <c r="L1479" i="7"/>
  <c r="K1479" i="7"/>
  <c r="J1479" i="7"/>
  <c r="L1478" i="7"/>
  <c r="K1478" i="7"/>
  <c r="J1478" i="7"/>
  <c r="L1477" i="7"/>
  <c r="K1477" i="7"/>
  <c r="J1477" i="7"/>
  <c r="L1476" i="7"/>
  <c r="K1476" i="7"/>
  <c r="J1476" i="7"/>
  <c r="L1475" i="7"/>
  <c r="K1475" i="7"/>
  <c r="J1475" i="7"/>
  <c r="L1474" i="7"/>
  <c r="K1474" i="7"/>
  <c r="J1474" i="7"/>
  <c r="L1473" i="7"/>
  <c r="K1473" i="7"/>
  <c r="J1473" i="7"/>
  <c r="L1472" i="7"/>
  <c r="K1472" i="7"/>
  <c r="J1472" i="7"/>
  <c r="L1471" i="7"/>
  <c r="K1471" i="7"/>
  <c r="J1471" i="7"/>
  <c r="L1470" i="7"/>
  <c r="K1470" i="7"/>
  <c r="J1470" i="7"/>
  <c r="L1469" i="7"/>
  <c r="K1469" i="7"/>
  <c r="J1469" i="7"/>
  <c r="L1468" i="7"/>
  <c r="K1468" i="7"/>
  <c r="J1468" i="7"/>
  <c r="L1467" i="7"/>
  <c r="K1467" i="7"/>
  <c r="J1467" i="7"/>
  <c r="L1466" i="7"/>
  <c r="K1466" i="7"/>
  <c r="J1466" i="7"/>
  <c r="L1465" i="7"/>
  <c r="K1465" i="7"/>
  <c r="J1465" i="7"/>
  <c r="L1464" i="7"/>
  <c r="K1464" i="7"/>
  <c r="J1464" i="7"/>
  <c r="L1463" i="7"/>
  <c r="K1463" i="7"/>
  <c r="J1463" i="7"/>
  <c r="L1462" i="7"/>
  <c r="K1462" i="7"/>
  <c r="J1462" i="7"/>
  <c r="L1461" i="7"/>
  <c r="K1461" i="7"/>
  <c r="J1461" i="7"/>
  <c r="L1460" i="7"/>
  <c r="K1460" i="7"/>
  <c r="J1460" i="7"/>
  <c r="L1459" i="7"/>
  <c r="K1459" i="7"/>
  <c r="J1459" i="7"/>
  <c r="L1458" i="7"/>
  <c r="K1458" i="7"/>
  <c r="J1458" i="7"/>
  <c r="L1457" i="7"/>
  <c r="K1457" i="7"/>
  <c r="J1457" i="7"/>
  <c r="L1456" i="7"/>
  <c r="K1456" i="7"/>
  <c r="J1456" i="7"/>
  <c r="L1455" i="7"/>
  <c r="K1455" i="7"/>
  <c r="J1455" i="7"/>
  <c r="L1454" i="7"/>
  <c r="K1454" i="7"/>
  <c r="J1454" i="7"/>
  <c r="L1453" i="7"/>
  <c r="K1453" i="7"/>
  <c r="J1453" i="7"/>
  <c r="L1452" i="7"/>
  <c r="K1452" i="7"/>
  <c r="J1452" i="7"/>
  <c r="L1451" i="7"/>
  <c r="K1451" i="7"/>
  <c r="J1451" i="7"/>
  <c r="L1450" i="7"/>
  <c r="K1450" i="7"/>
  <c r="J1450" i="7"/>
  <c r="L1449" i="7"/>
  <c r="K1449" i="7"/>
  <c r="J1449" i="7"/>
  <c r="L1448" i="7"/>
  <c r="K1448" i="7"/>
  <c r="J1448" i="7"/>
  <c r="L1447" i="7"/>
  <c r="K1447" i="7"/>
  <c r="J1447" i="7"/>
  <c r="L1446" i="7"/>
  <c r="K1446" i="7"/>
  <c r="J1446" i="7"/>
  <c r="L1445" i="7"/>
  <c r="K1445" i="7"/>
  <c r="J1445" i="7"/>
  <c r="L1444" i="7"/>
  <c r="K1444" i="7"/>
  <c r="J1444" i="7"/>
  <c r="L1443" i="7"/>
  <c r="K1443" i="7"/>
  <c r="J1443" i="7"/>
  <c r="L1442" i="7"/>
  <c r="K1442" i="7"/>
  <c r="J1442" i="7"/>
  <c r="L1441" i="7"/>
  <c r="K1441" i="7"/>
  <c r="J1441" i="7"/>
  <c r="L1440" i="7"/>
  <c r="K1440" i="7"/>
  <c r="J1440" i="7"/>
  <c r="L1439" i="7"/>
  <c r="K1439" i="7"/>
  <c r="J1439" i="7"/>
  <c r="L1438" i="7"/>
  <c r="K1438" i="7"/>
  <c r="J1438" i="7"/>
  <c r="L1437" i="7"/>
  <c r="K1437" i="7"/>
  <c r="J1437" i="7"/>
  <c r="L1436" i="7"/>
  <c r="K1436" i="7"/>
  <c r="J1436" i="7"/>
  <c r="L1435" i="7"/>
  <c r="K1435" i="7"/>
  <c r="J1435" i="7"/>
  <c r="L1434" i="7"/>
  <c r="K1434" i="7"/>
  <c r="J1434" i="7"/>
  <c r="L1433" i="7"/>
  <c r="K1433" i="7"/>
  <c r="J1433" i="7"/>
  <c r="L1432" i="7"/>
  <c r="K1432" i="7"/>
  <c r="J1432" i="7"/>
  <c r="L1431" i="7"/>
  <c r="K1431" i="7"/>
  <c r="J1431" i="7"/>
  <c r="L1430" i="7"/>
  <c r="K1430" i="7"/>
  <c r="J1430" i="7"/>
  <c r="L1429" i="7"/>
  <c r="K1429" i="7"/>
  <c r="J1429" i="7"/>
  <c r="L1428" i="7"/>
  <c r="K1428" i="7"/>
  <c r="J1428" i="7"/>
  <c r="L1427" i="7"/>
  <c r="K1427" i="7"/>
  <c r="J1427" i="7"/>
  <c r="L1426" i="7"/>
  <c r="K1426" i="7"/>
  <c r="J1426" i="7"/>
  <c r="L1425" i="7"/>
  <c r="K1425" i="7"/>
  <c r="J1425" i="7"/>
  <c r="L1424" i="7"/>
  <c r="K1424" i="7"/>
  <c r="J1424" i="7"/>
  <c r="L1423" i="7"/>
  <c r="K1423" i="7"/>
  <c r="J1423" i="7"/>
  <c r="L1422" i="7"/>
  <c r="K1422" i="7"/>
  <c r="J1422" i="7"/>
  <c r="L1421" i="7"/>
  <c r="K1421" i="7"/>
  <c r="J1421" i="7"/>
  <c r="L1420" i="7"/>
  <c r="K1420" i="7"/>
  <c r="J1420" i="7"/>
  <c r="L1419" i="7"/>
  <c r="K1419" i="7"/>
  <c r="J1419" i="7"/>
  <c r="L1418" i="7"/>
  <c r="K1418" i="7"/>
  <c r="J1418" i="7"/>
  <c r="L1417" i="7"/>
  <c r="K1417" i="7"/>
  <c r="J1417" i="7"/>
  <c r="L1416" i="7"/>
  <c r="K1416" i="7"/>
  <c r="J1416" i="7"/>
  <c r="L1415" i="7"/>
  <c r="K1415" i="7"/>
  <c r="J1415" i="7"/>
  <c r="L1414" i="7"/>
  <c r="K1414" i="7"/>
  <c r="J1414" i="7"/>
  <c r="L1413" i="7"/>
  <c r="K1413" i="7"/>
  <c r="J1413" i="7"/>
  <c r="L1412" i="7"/>
  <c r="K1412" i="7"/>
  <c r="J1412" i="7"/>
  <c r="L1411" i="7"/>
  <c r="K1411" i="7"/>
  <c r="J1411" i="7"/>
  <c r="L1410" i="7"/>
  <c r="K1410" i="7"/>
  <c r="J1410" i="7"/>
  <c r="L1409" i="7"/>
  <c r="K1409" i="7"/>
  <c r="J1409" i="7"/>
  <c r="L1408" i="7"/>
  <c r="K1408" i="7"/>
  <c r="J1408" i="7"/>
  <c r="L1407" i="7"/>
  <c r="K1407" i="7"/>
  <c r="J1407" i="7"/>
  <c r="L1406" i="7"/>
  <c r="K1406" i="7"/>
  <c r="J1406" i="7"/>
  <c r="L1405" i="7"/>
  <c r="K1405" i="7"/>
  <c r="J1405" i="7"/>
  <c r="L1404" i="7"/>
  <c r="K1404" i="7"/>
  <c r="J1404" i="7"/>
  <c r="L1403" i="7"/>
  <c r="K1403" i="7"/>
  <c r="J1403" i="7"/>
  <c r="L1402" i="7"/>
  <c r="K1402" i="7"/>
  <c r="J1402" i="7"/>
  <c r="L1401" i="7"/>
  <c r="K1401" i="7"/>
  <c r="J1401" i="7"/>
  <c r="L1400" i="7"/>
  <c r="K1400" i="7"/>
  <c r="J1400" i="7"/>
  <c r="L1399" i="7"/>
  <c r="K1399" i="7"/>
  <c r="J1399" i="7"/>
  <c r="L1398" i="7"/>
  <c r="K1398" i="7"/>
  <c r="J1398" i="7"/>
  <c r="L1397" i="7"/>
  <c r="K1397" i="7"/>
  <c r="J1397" i="7"/>
  <c r="L1396" i="7"/>
  <c r="K1396" i="7"/>
  <c r="J1396" i="7"/>
  <c r="L1395" i="7"/>
  <c r="K1395" i="7"/>
  <c r="J1395" i="7"/>
  <c r="L1394" i="7"/>
  <c r="K1394" i="7"/>
  <c r="J1394" i="7"/>
  <c r="L1393" i="7"/>
  <c r="K1393" i="7"/>
  <c r="J1393" i="7"/>
  <c r="L1392" i="7"/>
  <c r="K1392" i="7"/>
  <c r="J1392" i="7"/>
  <c r="L1391" i="7"/>
  <c r="K1391" i="7"/>
  <c r="J1391" i="7"/>
  <c r="L1390" i="7"/>
  <c r="K1390" i="7"/>
  <c r="J1390" i="7"/>
  <c r="L1389" i="7"/>
  <c r="K1389" i="7"/>
  <c r="J1389" i="7"/>
  <c r="L1388" i="7"/>
  <c r="K1388" i="7"/>
  <c r="J1388" i="7"/>
  <c r="L1387" i="7"/>
  <c r="K1387" i="7"/>
  <c r="J1387" i="7"/>
  <c r="L1386" i="7"/>
  <c r="K1386" i="7"/>
  <c r="J1386" i="7"/>
  <c r="L1385" i="7"/>
  <c r="K1385" i="7"/>
  <c r="J1385" i="7"/>
  <c r="L1384" i="7"/>
  <c r="K1384" i="7"/>
  <c r="J1384" i="7"/>
  <c r="L1383" i="7"/>
  <c r="K1383" i="7"/>
  <c r="J1383" i="7"/>
  <c r="L1382" i="7"/>
  <c r="K1382" i="7"/>
  <c r="J1382" i="7"/>
  <c r="L1381" i="7"/>
  <c r="K1381" i="7"/>
  <c r="J1381" i="7"/>
  <c r="L1380" i="7"/>
  <c r="K1380" i="7"/>
  <c r="J1380" i="7"/>
  <c r="L1379" i="7"/>
  <c r="K1379" i="7"/>
  <c r="J1379" i="7"/>
  <c r="L1378" i="7"/>
  <c r="K1378" i="7"/>
  <c r="J1378" i="7"/>
  <c r="L1377" i="7"/>
  <c r="K1377" i="7"/>
  <c r="J1377" i="7"/>
  <c r="L1376" i="7"/>
  <c r="K1376" i="7"/>
  <c r="J1376" i="7"/>
  <c r="L1375" i="7"/>
  <c r="K1375" i="7"/>
  <c r="J1375" i="7"/>
  <c r="L1374" i="7"/>
  <c r="K1374" i="7"/>
  <c r="J1374" i="7"/>
  <c r="L1373" i="7"/>
  <c r="K1373" i="7"/>
  <c r="J1373" i="7"/>
  <c r="L1372" i="7"/>
  <c r="K1372" i="7"/>
  <c r="J1372" i="7"/>
  <c r="L1371" i="7"/>
  <c r="K1371" i="7"/>
  <c r="J1371" i="7"/>
  <c r="L1370" i="7"/>
  <c r="K1370" i="7"/>
  <c r="J1370" i="7"/>
  <c r="L1369" i="7"/>
  <c r="K1369" i="7"/>
  <c r="J1369" i="7"/>
  <c r="L1368" i="7"/>
  <c r="K1368" i="7"/>
  <c r="J1368" i="7"/>
  <c r="L1367" i="7"/>
  <c r="K1367" i="7"/>
  <c r="J1367" i="7"/>
  <c r="L1366" i="7"/>
  <c r="K1366" i="7"/>
  <c r="J1366" i="7"/>
  <c r="L1365" i="7"/>
  <c r="K1365" i="7"/>
  <c r="J1365" i="7"/>
  <c r="L1364" i="7"/>
  <c r="K1364" i="7"/>
  <c r="J1364" i="7"/>
  <c r="L1363" i="7"/>
  <c r="K1363" i="7"/>
  <c r="J1363" i="7"/>
  <c r="L1362" i="7"/>
  <c r="K1362" i="7"/>
  <c r="J1362" i="7"/>
  <c r="L1361" i="7"/>
  <c r="K1361" i="7"/>
  <c r="J1361" i="7"/>
  <c r="L1360" i="7"/>
  <c r="K1360" i="7"/>
  <c r="J1360" i="7"/>
  <c r="L1359" i="7"/>
  <c r="K1359" i="7"/>
  <c r="J1359" i="7"/>
  <c r="L1358" i="7"/>
  <c r="K1358" i="7"/>
  <c r="J1358" i="7"/>
  <c r="L1357" i="7"/>
  <c r="K1357" i="7"/>
  <c r="J1357" i="7"/>
  <c r="D13" i="3" s="1"/>
  <c r="J13" i="3" s="1"/>
  <c r="C24" i="1" s="1"/>
  <c r="L1356" i="7"/>
  <c r="K1356" i="7"/>
  <c r="J1356" i="7"/>
  <c r="L1355" i="7"/>
  <c r="K1355" i="7"/>
  <c r="J1355" i="7"/>
  <c r="L1354" i="7"/>
  <c r="K1354" i="7"/>
  <c r="J1354" i="7"/>
  <c r="L1353" i="7"/>
  <c r="K1353" i="7"/>
  <c r="J1353" i="7"/>
  <c r="L1352" i="7"/>
  <c r="K1352" i="7"/>
  <c r="J1352" i="7"/>
  <c r="L1351" i="7"/>
  <c r="K1351" i="7"/>
  <c r="J1351" i="7"/>
  <c r="L1350" i="7"/>
  <c r="K1350" i="7"/>
  <c r="J1350" i="7"/>
  <c r="L1349" i="7"/>
  <c r="K1349" i="7"/>
  <c r="J1349" i="7"/>
  <c r="L1348" i="7"/>
  <c r="K1348" i="7"/>
  <c r="J1348" i="7"/>
  <c r="L1347" i="7"/>
  <c r="K1347" i="7"/>
  <c r="J1347" i="7"/>
  <c r="L1346" i="7"/>
  <c r="K1346" i="7"/>
  <c r="J1346" i="7"/>
  <c r="L1345" i="7"/>
  <c r="K1345" i="7"/>
  <c r="J1345" i="7"/>
  <c r="L1344" i="7"/>
  <c r="K1344" i="7"/>
  <c r="J1344" i="7"/>
  <c r="L1343" i="7"/>
  <c r="K1343" i="7"/>
  <c r="J1343" i="7"/>
  <c r="L1342" i="7"/>
  <c r="K1342" i="7"/>
  <c r="J1342" i="7"/>
  <c r="L1341" i="7"/>
  <c r="K1341" i="7"/>
  <c r="J1341" i="7"/>
  <c r="L1340" i="7"/>
  <c r="K1340" i="7"/>
  <c r="J1340" i="7"/>
  <c r="L1339" i="7"/>
  <c r="K1339" i="7"/>
  <c r="J1339" i="7"/>
  <c r="L1338" i="7"/>
  <c r="K1338" i="7"/>
  <c r="J1338" i="7"/>
  <c r="L1337" i="7"/>
  <c r="K1337" i="7"/>
  <c r="J1337" i="7"/>
  <c r="L1336" i="7"/>
  <c r="K1336" i="7"/>
  <c r="J1336" i="7"/>
  <c r="L1335" i="7"/>
  <c r="K1335" i="7"/>
  <c r="J1335" i="7"/>
  <c r="L1334" i="7"/>
  <c r="K1334" i="7"/>
  <c r="J1334" i="7"/>
  <c r="L1333" i="7"/>
  <c r="K1333" i="7"/>
  <c r="J1333" i="7"/>
  <c r="L1332" i="7"/>
  <c r="K1332" i="7"/>
  <c r="J1332" i="7"/>
  <c r="L1331" i="7"/>
  <c r="K1331" i="7"/>
  <c r="J1331" i="7"/>
  <c r="L1330" i="7"/>
  <c r="K1330" i="7"/>
  <c r="J1330" i="7"/>
  <c r="L1329" i="7"/>
  <c r="K1329" i="7"/>
  <c r="J1329" i="7"/>
  <c r="L1328" i="7"/>
  <c r="K1328" i="7"/>
  <c r="J1328" i="7"/>
  <c r="L1327" i="7"/>
  <c r="K1327" i="7"/>
  <c r="J1327" i="7"/>
  <c r="L1326" i="7"/>
  <c r="K1326" i="7"/>
  <c r="J1326" i="7"/>
  <c r="L1325" i="7"/>
  <c r="K1325" i="7"/>
  <c r="J1325" i="7"/>
  <c r="L1324" i="7"/>
  <c r="K1324" i="7"/>
  <c r="J1324" i="7"/>
  <c r="L1323" i="7"/>
  <c r="K1323" i="7"/>
  <c r="J1323" i="7"/>
  <c r="L1322" i="7"/>
  <c r="K1322" i="7"/>
  <c r="J1322" i="7"/>
  <c r="L1321" i="7"/>
  <c r="K1321" i="7"/>
  <c r="J1321" i="7"/>
  <c r="L1320" i="7"/>
  <c r="K1320" i="7"/>
  <c r="J1320" i="7"/>
  <c r="L1319" i="7"/>
  <c r="K1319" i="7"/>
  <c r="J1319" i="7"/>
  <c r="L1318" i="7"/>
  <c r="K1318" i="7"/>
  <c r="J1318" i="7"/>
  <c r="L1317" i="7"/>
  <c r="K1317" i="7"/>
  <c r="J1317" i="7"/>
  <c r="L1316" i="7"/>
  <c r="K1316" i="7"/>
  <c r="J1316" i="7"/>
  <c r="L1315" i="7"/>
  <c r="K1315" i="7"/>
  <c r="J1315" i="7"/>
  <c r="L1314" i="7"/>
  <c r="K1314" i="7"/>
  <c r="J1314" i="7"/>
  <c r="L1313" i="7"/>
  <c r="K1313" i="7"/>
  <c r="J1313" i="7"/>
  <c r="L1312" i="7"/>
  <c r="K1312" i="7"/>
  <c r="J1312" i="7"/>
  <c r="L1311" i="7"/>
  <c r="K1311" i="7"/>
  <c r="J1311" i="7"/>
  <c r="L1310" i="7"/>
  <c r="K1310" i="7"/>
  <c r="J1310" i="7"/>
  <c r="L1309" i="7"/>
  <c r="K1309" i="7"/>
  <c r="J1309" i="7"/>
  <c r="L1308" i="7"/>
  <c r="K1308" i="7"/>
  <c r="J1308" i="7"/>
  <c r="L1307" i="7"/>
  <c r="K1307" i="7"/>
  <c r="J1307" i="7"/>
  <c r="L1306" i="7"/>
  <c r="K1306" i="7"/>
  <c r="J1306" i="7"/>
  <c r="L1305" i="7"/>
  <c r="K1305" i="7"/>
  <c r="J1305" i="7"/>
  <c r="L1304" i="7"/>
  <c r="K1304" i="7"/>
  <c r="J1304" i="7"/>
  <c r="L1303" i="7"/>
  <c r="K1303" i="7"/>
  <c r="J1303" i="7"/>
  <c r="L1302" i="7"/>
  <c r="K1302" i="7"/>
  <c r="J1302" i="7"/>
  <c r="L1301" i="7"/>
  <c r="K1301" i="7"/>
  <c r="J1301" i="7"/>
  <c r="L1300" i="7"/>
  <c r="K1300" i="7"/>
  <c r="J1300" i="7"/>
  <c r="L1299" i="7"/>
  <c r="K1299" i="7"/>
  <c r="J1299" i="7"/>
  <c r="L1298" i="7"/>
  <c r="K1298" i="7"/>
  <c r="J1298" i="7"/>
  <c r="L1297" i="7"/>
  <c r="K1297" i="7"/>
  <c r="J1297" i="7"/>
  <c r="L1296" i="7"/>
  <c r="K1296" i="7"/>
  <c r="J1296" i="7"/>
  <c r="L1295" i="7"/>
  <c r="K1295" i="7"/>
  <c r="J1295" i="7"/>
  <c r="L1294" i="7"/>
  <c r="K1294" i="7"/>
  <c r="J1294" i="7"/>
  <c r="L1293" i="7"/>
  <c r="K1293" i="7"/>
  <c r="J1293" i="7"/>
  <c r="L1292" i="7"/>
  <c r="K1292" i="7"/>
  <c r="J1292" i="7"/>
  <c r="L1291" i="7"/>
  <c r="K1291" i="7"/>
  <c r="J1291" i="7"/>
  <c r="L1290" i="7"/>
  <c r="K1290" i="7"/>
  <c r="J1290" i="7"/>
  <c r="L1289" i="7"/>
  <c r="K1289" i="7"/>
  <c r="J1289" i="7"/>
  <c r="L1288" i="7"/>
  <c r="K1288" i="7"/>
  <c r="J1288" i="7"/>
  <c r="L1287" i="7"/>
  <c r="K1287" i="7"/>
  <c r="J1287" i="7"/>
  <c r="L1286" i="7"/>
  <c r="K1286" i="7"/>
  <c r="J1286" i="7"/>
  <c r="L1285" i="7"/>
  <c r="K1285" i="7"/>
  <c r="J1285" i="7"/>
  <c r="L1284" i="7"/>
  <c r="K1284" i="7"/>
  <c r="J1284" i="7"/>
  <c r="L1283" i="7"/>
  <c r="K1283" i="7"/>
  <c r="J1283" i="7"/>
  <c r="L1282" i="7"/>
  <c r="K1282" i="7"/>
  <c r="J1282" i="7"/>
  <c r="L1281" i="7"/>
  <c r="K1281" i="7"/>
  <c r="J1281" i="7"/>
  <c r="L1280" i="7"/>
  <c r="K1280" i="7"/>
  <c r="J1280" i="7"/>
  <c r="L1279" i="7"/>
  <c r="K1279" i="7"/>
  <c r="J1279" i="7"/>
  <c r="L1278" i="7"/>
  <c r="K1278" i="7"/>
  <c r="J1278" i="7"/>
  <c r="L1277" i="7"/>
  <c r="K1277" i="7"/>
  <c r="J1277" i="7"/>
  <c r="L1276" i="7"/>
  <c r="K1276" i="7"/>
  <c r="J1276" i="7"/>
  <c r="L1275" i="7"/>
  <c r="K1275" i="7"/>
  <c r="J1275" i="7"/>
  <c r="L1274" i="7"/>
  <c r="K1274" i="7"/>
  <c r="J1274" i="7"/>
  <c r="L1273" i="7"/>
  <c r="K1273" i="7"/>
  <c r="J1273" i="7"/>
  <c r="L1272" i="7"/>
  <c r="K1272" i="7"/>
  <c r="J1272" i="7"/>
  <c r="L1271" i="7"/>
  <c r="K1271" i="7"/>
  <c r="J1271" i="7"/>
  <c r="L1270" i="7"/>
  <c r="K1270" i="7"/>
  <c r="J1270" i="7"/>
  <c r="L1269" i="7"/>
  <c r="K1269" i="7"/>
  <c r="J1269" i="7"/>
  <c r="L1268" i="7"/>
  <c r="K1268" i="7"/>
  <c r="J1268" i="7"/>
  <c r="L1267" i="7"/>
  <c r="K1267" i="7"/>
  <c r="J1267" i="7"/>
  <c r="L1266" i="7"/>
  <c r="K1266" i="7"/>
  <c r="J1266" i="7"/>
  <c r="L1265" i="7"/>
  <c r="K1265" i="7"/>
  <c r="J1265" i="7"/>
  <c r="L1264" i="7"/>
  <c r="K1264" i="7"/>
  <c r="J1264" i="7"/>
  <c r="L1263" i="7"/>
  <c r="K1263" i="7"/>
  <c r="J1263" i="7"/>
  <c r="L1262" i="7"/>
  <c r="K1262" i="7"/>
  <c r="J1262" i="7"/>
  <c r="L1261" i="7"/>
  <c r="K1261" i="7"/>
  <c r="J1261" i="7"/>
  <c r="L1260" i="7"/>
  <c r="K1260" i="7"/>
  <c r="J1260" i="7"/>
  <c r="L1259" i="7"/>
  <c r="K1259" i="7"/>
  <c r="J1259" i="7"/>
  <c r="L1258" i="7"/>
  <c r="K1258" i="7"/>
  <c r="J1258" i="7"/>
  <c r="L1257" i="7"/>
  <c r="K1257" i="7"/>
  <c r="J1257" i="7"/>
  <c r="L1256" i="7"/>
  <c r="K1256" i="7"/>
  <c r="J1256" i="7"/>
  <c r="L1255" i="7"/>
  <c r="K1255" i="7"/>
  <c r="J1255" i="7"/>
  <c r="L1254" i="7"/>
  <c r="K1254" i="7"/>
  <c r="J1254" i="7"/>
  <c r="L1253" i="7"/>
  <c r="K1253" i="7"/>
  <c r="J1253" i="7"/>
  <c r="L1252" i="7"/>
  <c r="K1252" i="7"/>
  <c r="J1252" i="7"/>
  <c r="L1251" i="7"/>
  <c r="K1251" i="7"/>
  <c r="J1251" i="7"/>
  <c r="L1250" i="7"/>
  <c r="K1250" i="7"/>
  <c r="J1250" i="7"/>
  <c r="L1249" i="7"/>
  <c r="K1249" i="7"/>
  <c r="J1249" i="7"/>
  <c r="L1248" i="7"/>
  <c r="K1248" i="7"/>
  <c r="J1248" i="7"/>
  <c r="L1247" i="7"/>
  <c r="K1247" i="7"/>
  <c r="J1247" i="7"/>
  <c r="L1246" i="7"/>
  <c r="K1246" i="7"/>
  <c r="J1246" i="7"/>
  <c r="L1245" i="7"/>
  <c r="K1245" i="7"/>
  <c r="J1245" i="7"/>
  <c r="L1244" i="7"/>
  <c r="K1244" i="7"/>
  <c r="J1244" i="7"/>
  <c r="L1243" i="7"/>
  <c r="K1243" i="7"/>
  <c r="J1243" i="7"/>
  <c r="L1242" i="7"/>
  <c r="K1242" i="7"/>
  <c r="J1242" i="7"/>
  <c r="L1241" i="7"/>
  <c r="K1241" i="7"/>
  <c r="J1241" i="7"/>
  <c r="L1240" i="7"/>
  <c r="K1240" i="7"/>
  <c r="J1240" i="7"/>
  <c r="L1239" i="7"/>
  <c r="K1239" i="7"/>
  <c r="J1239" i="7"/>
  <c r="L1238" i="7"/>
  <c r="K1238" i="7"/>
  <c r="J1238" i="7"/>
  <c r="L1237" i="7"/>
  <c r="K1237" i="7"/>
  <c r="J1237" i="7"/>
  <c r="L1236" i="7"/>
  <c r="K1236" i="7"/>
  <c r="J1236" i="7"/>
  <c r="L1235" i="7"/>
  <c r="K1235" i="7"/>
  <c r="J1235" i="7"/>
  <c r="L1234" i="7"/>
  <c r="K1234" i="7"/>
  <c r="J1234" i="7"/>
  <c r="L1233" i="7"/>
  <c r="K1233" i="7"/>
  <c r="J1233" i="7"/>
  <c r="L1232" i="7"/>
  <c r="K1232" i="7"/>
  <c r="J1232" i="7"/>
  <c r="L1231" i="7"/>
  <c r="K1231" i="7"/>
  <c r="J1231" i="7"/>
  <c r="L1230" i="7"/>
  <c r="K1230" i="7"/>
  <c r="J1230" i="7"/>
  <c r="L1229" i="7"/>
  <c r="K1229" i="7"/>
  <c r="J1229" i="7"/>
  <c r="L1228" i="7"/>
  <c r="K1228" i="7"/>
  <c r="J1228" i="7"/>
  <c r="L1227" i="7"/>
  <c r="K1227" i="7"/>
  <c r="J1227" i="7"/>
  <c r="L1226" i="7"/>
  <c r="K1226" i="7"/>
  <c r="J1226" i="7"/>
  <c r="L1225" i="7"/>
  <c r="K1225" i="7"/>
  <c r="J1225" i="7"/>
  <c r="L1224" i="7"/>
  <c r="K1224" i="7"/>
  <c r="J1224" i="7"/>
  <c r="L1223" i="7"/>
  <c r="K1223" i="7"/>
  <c r="J1223" i="7"/>
  <c r="L1222" i="7"/>
  <c r="K1222" i="7"/>
  <c r="J1222" i="7"/>
  <c r="L1221" i="7"/>
  <c r="K1221" i="7"/>
  <c r="J1221" i="7"/>
  <c r="L1220" i="7"/>
  <c r="K1220" i="7"/>
  <c r="J1220" i="7"/>
  <c r="L1219" i="7"/>
  <c r="K1219" i="7"/>
  <c r="J1219" i="7"/>
  <c r="L1218" i="7"/>
  <c r="K1218" i="7"/>
  <c r="J1218" i="7"/>
  <c r="L1217" i="7"/>
  <c r="K1217" i="7"/>
  <c r="J1217" i="7"/>
  <c r="L1216" i="7"/>
  <c r="K1216" i="7"/>
  <c r="J1216" i="7"/>
  <c r="L1215" i="7"/>
  <c r="K1215" i="7"/>
  <c r="J1215" i="7"/>
  <c r="L1214" i="7"/>
  <c r="K1214" i="7"/>
  <c r="J1214" i="7"/>
  <c r="L1213" i="7"/>
  <c r="K1213" i="7"/>
  <c r="J1213" i="7"/>
  <c r="L1212" i="7"/>
  <c r="K1212" i="7"/>
  <c r="J1212" i="7"/>
  <c r="L1211" i="7"/>
  <c r="K1211" i="7"/>
  <c r="J1211" i="7"/>
  <c r="L1210" i="7"/>
  <c r="K1210" i="7"/>
  <c r="J1210" i="7"/>
  <c r="L1209" i="7"/>
  <c r="K1209" i="7"/>
  <c r="J1209" i="7"/>
  <c r="L1208" i="7"/>
  <c r="K1208" i="7"/>
  <c r="J1208" i="7"/>
  <c r="L1207" i="7"/>
  <c r="K1207" i="7"/>
  <c r="J1207" i="7"/>
  <c r="L1206" i="7"/>
  <c r="K1206" i="7"/>
  <c r="J1206" i="7"/>
  <c r="L1205" i="7"/>
  <c r="K1205" i="7"/>
  <c r="J1205" i="7"/>
  <c r="L1204" i="7"/>
  <c r="K1204" i="7"/>
  <c r="J1204" i="7"/>
  <c r="L1203" i="7"/>
  <c r="K1203" i="7"/>
  <c r="J1203" i="7"/>
  <c r="L1202" i="7"/>
  <c r="K1202" i="7"/>
  <c r="J1202" i="7"/>
  <c r="L1201" i="7"/>
  <c r="K1201" i="7"/>
  <c r="J1201" i="7"/>
  <c r="L1200" i="7"/>
  <c r="K1200" i="7"/>
  <c r="J1200" i="7"/>
  <c r="L1199" i="7"/>
  <c r="K1199" i="7"/>
  <c r="J1199" i="7"/>
  <c r="L1198" i="7"/>
  <c r="K1198" i="7"/>
  <c r="J1198" i="7"/>
  <c r="L1197" i="7"/>
  <c r="K1197" i="7"/>
  <c r="J1197" i="7"/>
  <c r="L1196" i="7"/>
  <c r="K1196" i="7"/>
  <c r="J1196" i="7"/>
  <c r="L1195" i="7"/>
  <c r="K1195" i="7"/>
  <c r="J1195" i="7"/>
  <c r="L1194" i="7"/>
  <c r="K1194" i="7"/>
  <c r="J1194" i="7"/>
  <c r="L1193" i="7"/>
  <c r="K1193" i="7"/>
  <c r="J1193" i="7"/>
  <c r="L1192" i="7"/>
  <c r="K1192" i="7"/>
  <c r="J1192" i="7"/>
  <c r="L1191" i="7"/>
  <c r="K1191" i="7"/>
  <c r="J1191" i="7"/>
  <c r="L1190" i="7"/>
  <c r="K1190" i="7"/>
  <c r="J1190" i="7"/>
  <c r="L1189" i="7"/>
  <c r="K1189" i="7"/>
  <c r="J1189" i="7"/>
  <c r="L1188" i="7"/>
  <c r="K1188" i="7"/>
  <c r="J1188" i="7"/>
  <c r="L1187" i="7"/>
  <c r="K1187" i="7"/>
  <c r="J1187" i="7"/>
  <c r="L1186" i="7"/>
  <c r="K1186" i="7"/>
  <c r="J1186" i="7"/>
  <c r="L1185" i="7"/>
  <c r="K1185" i="7"/>
  <c r="J1185" i="7"/>
  <c r="L1184" i="7"/>
  <c r="K1184" i="7"/>
  <c r="J1184" i="7"/>
  <c r="L1183" i="7"/>
  <c r="K1183" i="7"/>
  <c r="J1183" i="7"/>
  <c r="L1182" i="7"/>
  <c r="K1182" i="7"/>
  <c r="J1182" i="7"/>
  <c r="L1181" i="7"/>
  <c r="K1181" i="7"/>
  <c r="J1181" i="7"/>
  <c r="L1180" i="7"/>
  <c r="K1180" i="7"/>
  <c r="J1180" i="7"/>
  <c r="L1179" i="7"/>
  <c r="K1179" i="7"/>
  <c r="J1179" i="7"/>
  <c r="L1178" i="7"/>
  <c r="K1178" i="7"/>
  <c r="J1178" i="7"/>
  <c r="L1177" i="7"/>
  <c r="K1177" i="7"/>
  <c r="J1177" i="7"/>
  <c r="L1176" i="7"/>
  <c r="K1176" i="7"/>
  <c r="J1176" i="7"/>
  <c r="L1175" i="7"/>
  <c r="K1175" i="7"/>
  <c r="J1175" i="7"/>
  <c r="L1174" i="7"/>
  <c r="K1174" i="7"/>
  <c r="J1174" i="7"/>
  <c r="L1173" i="7"/>
  <c r="K1173" i="7"/>
  <c r="J1173" i="7"/>
  <c r="L1172" i="7"/>
  <c r="K1172" i="7"/>
  <c r="J1172" i="7"/>
  <c r="L1171" i="7"/>
  <c r="K1171" i="7"/>
  <c r="J1171" i="7"/>
  <c r="L1170" i="7"/>
  <c r="K1170" i="7"/>
  <c r="J1170" i="7"/>
  <c r="L1169" i="7"/>
  <c r="K1169" i="7"/>
  <c r="J1169" i="7"/>
  <c r="L1168" i="7"/>
  <c r="K1168" i="7"/>
  <c r="J1168" i="7"/>
  <c r="L1167" i="7"/>
  <c r="K1167" i="7"/>
  <c r="J1167" i="7"/>
  <c r="L1166" i="7"/>
  <c r="K1166" i="7"/>
  <c r="J1166" i="7"/>
  <c r="L1165" i="7"/>
  <c r="K1165" i="7"/>
  <c r="J1165" i="7"/>
  <c r="L1164" i="7"/>
  <c r="K1164" i="7"/>
  <c r="J1164" i="7"/>
  <c r="L1163" i="7"/>
  <c r="K1163" i="7"/>
  <c r="J1163" i="7"/>
  <c r="L1162" i="7"/>
  <c r="K1162" i="7"/>
  <c r="J1162" i="7"/>
  <c r="L1161" i="7"/>
  <c r="K1161" i="7"/>
  <c r="J1161" i="7"/>
  <c r="L1160" i="7"/>
  <c r="K1160" i="7"/>
  <c r="J1160" i="7"/>
  <c r="L1159" i="7"/>
  <c r="K1159" i="7"/>
  <c r="J1159" i="7"/>
  <c r="L1158" i="7"/>
  <c r="K1158" i="7"/>
  <c r="J1158" i="7"/>
  <c r="L1157" i="7"/>
  <c r="K1157" i="7"/>
  <c r="J1157" i="7"/>
  <c r="L1156" i="7"/>
  <c r="K1156" i="7"/>
  <c r="J1156" i="7"/>
  <c r="L1155" i="7"/>
  <c r="K1155" i="7"/>
  <c r="J1155" i="7"/>
  <c r="L1154" i="7"/>
  <c r="K1154" i="7"/>
  <c r="J1154" i="7"/>
  <c r="L1153" i="7"/>
  <c r="K1153" i="7"/>
  <c r="J1153" i="7"/>
  <c r="L1152" i="7"/>
  <c r="K1152" i="7"/>
  <c r="J1152" i="7"/>
  <c r="L1151" i="7"/>
  <c r="K1151" i="7"/>
  <c r="J1151" i="7"/>
  <c r="L1150" i="7"/>
  <c r="K1150" i="7"/>
  <c r="J1150" i="7"/>
  <c r="L1149" i="7"/>
  <c r="K1149" i="7"/>
  <c r="J1149" i="7"/>
  <c r="L1148" i="7"/>
  <c r="K1148" i="7"/>
  <c r="J1148" i="7"/>
  <c r="L1147" i="7"/>
  <c r="K1147" i="7"/>
  <c r="J1147" i="7"/>
  <c r="L1146" i="7"/>
  <c r="K1146" i="7"/>
  <c r="J1146" i="7"/>
  <c r="L1145" i="7"/>
  <c r="K1145" i="7"/>
  <c r="J1145" i="7"/>
  <c r="L1144" i="7"/>
  <c r="K1144" i="7"/>
  <c r="J1144" i="7"/>
  <c r="L1143" i="7"/>
  <c r="K1143" i="7"/>
  <c r="J1143" i="7"/>
  <c r="L1142" i="7"/>
  <c r="K1142" i="7"/>
  <c r="J1142" i="7"/>
  <c r="L1141" i="7"/>
  <c r="K1141" i="7"/>
  <c r="J1141" i="7"/>
  <c r="L1140" i="7"/>
  <c r="K1140" i="7"/>
  <c r="J1140" i="7"/>
  <c r="L1139" i="7"/>
  <c r="K1139" i="7"/>
  <c r="J1139" i="7"/>
  <c r="L1138" i="7"/>
  <c r="K1138" i="7"/>
  <c r="J1138" i="7"/>
  <c r="L1137" i="7"/>
  <c r="K1137" i="7"/>
  <c r="J1137" i="7"/>
  <c r="L1136" i="7"/>
  <c r="K1136" i="7"/>
  <c r="J1136" i="7"/>
  <c r="L1135" i="7"/>
  <c r="K1135" i="7"/>
  <c r="J1135" i="7"/>
  <c r="L1134" i="7"/>
  <c r="K1134" i="7"/>
  <c r="J1134" i="7"/>
  <c r="L1133" i="7"/>
  <c r="K1133" i="7"/>
  <c r="J1133" i="7"/>
  <c r="L1132" i="7"/>
  <c r="K1132" i="7"/>
  <c r="J1132" i="7"/>
  <c r="L1131" i="7"/>
  <c r="K1131" i="7"/>
  <c r="J1131" i="7"/>
  <c r="L1130" i="7"/>
  <c r="K1130" i="7"/>
  <c r="J1130" i="7"/>
  <c r="L1129" i="7"/>
  <c r="K1129" i="7"/>
  <c r="J1129" i="7"/>
  <c r="L1128" i="7"/>
  <c r="K1128" i="7"/>
  <c r="J1128" i="7"/>
  <c r="L1127" i="7"/>
  <c r="K1127" i="7"/>
  <c r="J1127" i="7"/>
  <c r="L1126" i="7"/>
  <c r="K1126" i="7"/>
  <c r="J1126" i="7"/>
  <c r="L1125" i="7"/>
  <c r="K1125" i="7"/>
  <c r="J1125" i="7"/>
  <c r="L1124" i="7"/>
  <c r="K1124" i="7"/>
  <c r="J1124" i="7"/>
  <c r="L1123" i="7"/>
  <c r="K1123" i="7"/>
  <c r="J1123" i="7"/>
  <c r="L1122" i="7"/>
  <c r="K1122" i="7"/>
  <c r="J1122" i="7"/>
  <c r="L1121" i="7"/>
  <c r="K1121" i="7"/>
  <c r="J1121" i="7"/>
  <c r="L1120" i="7"/>
  <c r="K1120" i="7"/>
  <c r="J1120" i="7"/>
  <c r="L1119" i="7"/>
  <c r="K1119" i="7"/>
  <c r="J1119" i="7"/>
  <c r="L1118" i="7"/>
  <c r="K1118" i="7"/>
  <c r="J1118" i="7"/>
  <c r="L1117" i="7"/>
  <c r="K1117" i="7"/>
  <c r="J1117" i="7"/>
  <c r="L1116" i="7"/>
  <c r="K1116" i="7"/>
  <c r="J1116" i="7"/>
  <c r="L1115" i="7"/>
  <c r="K1115" i="7"/>
  <c r="J1115" i="7"/>
  <c r="L1114" i="7"/>
  <c r="K1114" i="7"/>
  <c r="J1114" i="7"/>
  <c r="L1113" i="7"/>
  <c r="K1113" i="7"/>
  <c r="J1113" i="7"/>
  <c r="L1112" i="7"/>
  <c r="K1112" i="7"/>
  <c r="J1112" i="7"/>
  <c r="L1111" i="7"/>
  <c r="K1111" i="7"/>
  <c r="J1111" i="7"/>
  <c r="L1110" i="7"/>
  <c r="K1110" i="7"/>
  <c r="J1110" i="7"/>
  <c r="L1109" i="7"/>
  <c r="K1109" i="7"/>
  <c r="J1109" i="7"/>
  <c r="L1108" i="7"/>
  <c r="K1108" i="7"/>
  <c r="J1108" i="7"/>
  <c r="L1107" i="7"/>
  <c r="K1107" i="7"/>
  <c r="J1107" i="7"/>
  <c r="L1106" i="7"/>
  <c r="K1106" i="7"/>
  <c r="J1106" i="7"/>
  <c r="L1105" i="7"/>
  <c r="K1105" i="7"/>
  <c r="J1105" i="7"/>
  <c r="L1104" i="7"/>
  <c r="K1104" i="7"/>
  <c r="J1104" i="7"/>
  <c r="L1103" i="7"/>
  <c r="K1103" i="7"/>
  <c r="J1103" i="7"/>
  <c r="L1102" i="7"/>
  <c r="K1102" i="7"/>
  <c r="J1102" i="7"/>
  <c r="L1101" i="7"/>
  <c r="K1101" i="7"/>
  <c r="J1101" i="7"/>
  <c r="L1100" i="7"/>
  <c r="K1100" i="7"/>
  <c r="J1100" i="7"/>
  <c r="L1099" i="7"/>
  <c r="K1099" i="7"/>
  <c r="J1099" i="7"/>
  <c r="L1098" i="7"/>
  <c r="K1098" i="7"/>
  <c r="J1098" i="7"/>
  <c r="L1097" i="7"/>
  <c r="K1097" i="7"/>
  <c r="J1097" i="7"/>
  <c r="L1096" i="7"/>
  <c r="K1096" i="7"/>
  <c r="J1096" i="7"/>
  <c r="L1095" i="7"/>
  <c r="K1095" i="7"/>
  <c r="J1095" i="7"/>
  <c r="L1094" i="7"/>
  <c r="K1094" i="7"/>
  <c r="J1094" i="7"/>
  <c r="L1093" i="7"/>
  <c r="K1093" i="7"/>
  <c r="J1093" i="7"/>
  <c r="L1092" i="7"/>
  <c r="K1092" i="7"/>
  <c r="J1092" i="7"/>
  <c r="L1091" i="7"/>
  <c r="K1091" i="7"/>
  <c r="J1091" i="7"/>
  <c r="L1090" i="7"/>
  <c r="K1090" i="7"/>
  <c r="J1090" i="7"/>
  <c r="L1089" i="7"/>
  <c r="K1089" i="7"/>
  <c r="J1089" i="7"/>
  <c r="L1088" i="7"/>
  <c r="K1088" i="7"/>
  <c r="J1088" i="7"/>
  <c r="L1087" i="7"/>
  <c r="K1087" i="7"/>
  <c r="J1087" i="7"/>
  <c r="L1086" i="7"/>
  <c r="K1086" i="7"/>
  <c r="J1086" i="7"/>
  <c r="L1085" i="7"/>
  <c r="K1085" i="7"/>
  <c r="J1085" i="7"/>
  <c r="L1084" i="7"/>
  <c r="K1084" i="7"/>
  <c r="J1084" i="7"/>
  <c r="L1083" i="7"/>
  <c r="K1083" i="7"/>
  <c r="J1083" i="7"/>
  <c r="L1082" i="7"/>
  <c r="K1082" i="7"/>
  <c r="J1082" i="7"/>
  <c r="L1081" i="7"/>
  <c r="K1081" i="7"/>
  <c r="J1081" i="7"/>
  <c r="L1080" i="7"/>
  <c r="K1080" i="7"/>
  <c r="J1080" i="7"/>
  <c r="L1079" i="7"/>
  <c r="K1079" i="7"/>
  <c r="J1079" i="7"/>
  <c r="L1078" i="7"/>
  <c r="K1078" i="7"/>
  <c r="J1078" i="7"/>
  <c r="L1077" i="7"/>
  <c r="K1077" i="7"/>
  <c r="J1077" i="7"/>
  <c r="L1076" i="7"/>
  <c r="K1076" i="7"/>
  <c r="J1076" i="7"/>
  <c r="L1075" i="7"/>
  <c r="K1075" i="7"/>
  <c r="J1075" i="7"/>
  <c r="L1074" i="7"/>
  <c r="K1074" i="7"/>
  <c r="J1074" i="7"/>
  <c r="L1073" i="7"/>
  <c r="K1073" i="7"/>
  <c r="J1073" i="7"/>
  <c r="L1072" i="7"/>
  <c r="K1072" i="7"/>
  <c r="J1072" i="7"/>
  <c r="L1071" i="7"/>
  <c r="K1071" i="7"/>
  <c r="J1071" i="7"/>
  <c r="L1070" i="7"/>
  <c r="K1070" i="7"/>
  <c r="J1070" i="7"/>
  <c r="L1069" i="7"/>
  <c r="K1069" i="7"/>
  <c r="J1069" i="7"/>
  <c r="L1068" i="7"/>
  <c r="K1068" i="7"/>
  <c r="J1068" i="7"/>
  <c r="L1067" i="7"/>
  <c r="K1067" i="7"/>
  <c r="J1067" i="7"/>
  <c r="L1066" i="7"/>
  <c r="K1066" i="7"/>
  <c r="J1066" i="7"/>
  <c r="L1065" i="7"/>
  <c r="K1065" i="7"/>
  <c r="J1065" i="7"/>
  <c r="L1064" i="7"/>
  <c r="K1064" i="7"/>
  <c r="J1064" i="7"/>
  <c r="L1063" i="7"/>
  <c r="K1063" i="7"/>
  <c r="J1063" i="7"/>
  <c r="L1062" i="7"/>
  <c r="K1062" i="7"/>
  <c r="J1062" i="7"/>
  <c r="L1061" i="7"/>
  <c r="K1061" i="7"/>
  <c r="J1061" i="7"/>
  <c r="L1060" i="7"/>
  <c r="K1060" i="7"/>
  <c r="J1060" i="7"/>
  <c r="L1059" i="7"/>
  <c r="K1059" i="7"/>
  <c r="J1059" i="7"/>
  <c r="L1058" i="7"/>
  <c r="K1058" i="7"/>
  <c r="J1058" i="7"/>
  <c r="L1057" i="7"/>
  <c r="K1057" i="7"/>
  <c r="J1057" i="7"/>
  <c r="L1056" i="7"/>
  <c r="K1056" i="7"/>
  <c r="J1056" i="7"/>
  <c r="L1055" i="7"/>
  <c r="K1055" i="7"/>
  <c r="J1055" i="7"/>
  <c r="L1054" i="7"/>
  <c r="K1054" i="7"/>
  <c r="J1054" i="7"/>
  <c r="L1053" i="7"/>
  <c r="K1053" i="7"/>
  <c r="J1053" i="7"/>
  <c r="L1052" i="7"/>
  <c r="K1052" i="7"/>
  <c r="J1052" i="7"/>
  <c r="L1051" i="7"/>
  <c r="K1051" i="7"/>
  <c r="J1051" i="7"/>
  <c r="L1050" i="7"/>
  <c r="K1050" i="7"/>
  <c r="J1050" i="7"/>
  <c r="L1049" i="7"/>
  <c r="K1049" i="7"/>
  <c r="J1049" i="7"/>
  <c r="L1048" i="7"/>
  <c r="K1048" i="7"/>
  <c r="J1048" i="7"/>
  <c r="L1047" i="7"/>
  <c r="K1047" i="7"/>
  <c r="J1047" i="7"/>
  <c r="L1046" i="7"/>
  <c r="K1046" i="7"/>
  <c r="J1046" i="7"/>
  <c r="L1045" i="7"/>
  <c r="K1045" i="7"/>
  <c r="J1045" i="7"/>
  <c r="L1044" i="7"/>
  <c r="K1044" i="7"/>
  <c r="J1044" i="7"/>
  <c r="L1043" i="7"/>
  <c r="K1043" i="7"/>
  <c r="J1043" i="7"/>
  <c r="L1042" i="7"/>
  <c r="K1042" i="7"/>
  <c r="J1042" i="7"/>
  <c r="L1041" i="7"/>
  <c r="K1041" i="7"/>
  <c r="J1041" i="7"/>
  <c r="L1040" i="7"/>
  <c r="K1040" i="7"/>
  <c r="J1040" i="7"/>
  <c r="L1039" i="7"/>
  <c r="K1039" i="7"/>
  <c r="J1039" i="7"/>
  <c r="L1038" i="7"/>
  <c r="K1038" i="7"/>
  <c r="J1038" i="7"/>
  <c r="L1037" i="7"/>
  <c r="K1037" i="7"/>
  <c r="J1037" i="7"/>
  <c r="L1036" i="7"/>
  <c r="K1036" i="7"/>
  <c r="J1036" i="7"/>
  <c r="L1035" i="7"/>
  <c r="K1035" i="7"/>
  <c r="J1035" i="7"/>
  <c r="L1034" i="7"/>
  <c r="K1034" i="7"/>
  <c r="J1034" i="7"/>
  <c r="L1033" i="7"/>
  <c r="K1033" i="7"/>
  <c r="J1033" i="7"/>
  <c r="L1032" i="7"/>
  <c r="K1032" i="7"/>
  <c r="J1032" i="7"/>
  <c r="L1031" i="7"/>
  <c r="K1031" i="7"/>
  <c r="J1031" i="7"/>
  <c r="L1030" i="7"/>
  <c r="K1030" i="7"/>
  <c r="J1030" i="7"/>
  <c r="L1029" i="7"/>
  <c r="K1029" i="7"/>
  <c r="J1029" i="7"/>
  <c r="L1028" i="7"/>
  <c r="K1028" i="7"/>
  <c r="J1028" i="7"/>
  <c r="L1027" i="7"/>
  <c r="K1027" i="7"/>
  <c r="J1027" i="7"/>
  <c r="L1026" i="7"/>
  <c r="K1026" i="7"/>
  <c r="J1026" i="7"/>
  <c r="L1025" i="7"/>
  <c r="K1025" i="7"/>
  <c r="J1025" i="7"/>
  <c r="L1024" i="7"/>
  <c r="K1024" i="7"/>
  <c r="J1024" i="7"/>
  <c r="L1023" i="7"/>
  <c r="K1023" i="7"/>
  <c r="J1023" i="7"/>
  <c r="L1022" i="7"/>
  <c r="K1022" i="7"/>
  <c r="J1022" i="7"/>
  <c r="L1021" i="7"/>
  <c r="K1021" i="7"/>
  <c r="J1021" i="7"/>
  <c r="L1020" i="7"/>
  <c r="K1020" i="7"/>
  <c r="J1020" i="7"/>
  <c r="L1019" i="7"/>
  <c r="K1019" i="7"/>
  <c r="J1019" i="7"/>
  <c r="L1018" i="7"/>
  <c r="K1018" i="7"/>
  <c r="J1018" i="7"/>
  <c r="L1017" i="7"/>
  <c r="K1017" i="7"/>
  <c r="J1017" i="7"/>
  <c r="L1016" i="7"/>
  <c r="K1016" i="7"/>
  <c r="J1016" i="7"/>
  <c r="L1015" i="7"/>
  <c r="K1015" i="7"/>
  <c r="J1015" i="7"/>
  <c r="L1014" i="7"/>
  <c r="K1014" i="7"/>
  <c r="J1014" i="7"/>
  <c r="L1013" i="7"/>
  <c r="K1013" i="7"/>
  <c r="J1013" i="7"/>
  <c r="L1012" i="7"/>
  <c r="K1012" i="7"/>
  <c r="J1012" i="7"/>
  <c r="L1011" i="7"/>
  <c r="K1011" i="7"/>
  <c r="J1011" i="7"/>
  <c r="L1010" i="7"/>
  <c r="K1010" i="7"/>
  <c r="J1010" i="7"/>
  <c r="L1009" i="7"/>
  <c r="K1009" i="7"/>
  <c r="J1009" i="7"/>
  <c r="L1008" i="7"/>
  <c r="K1008" i="7"/>
  <c r="J1008" i="7"/>
  <c r="L1007" i="7"/>
  <c r="K1007" i="7"/>
  <c r="J1007" i="7"/>
  <c r="L1006" i="7"/>
  <c r="K1006" i="7"/>
  <c r="J1006" i="7"/>
  <c r="L1005" i="7"/>
  <c r="K1005" i="7"/>
  <c r="J1005" i="7"/>
  <c r="L1004" i="7"/>
  <c r="K1004" i="7"/>
  <c r="J1004" i="7"/>
  <c r="L1003" i="7"/>
  <c r="K1003" i="7"/>
  <c r="J1003" i="7"/>
  <c r="L1002" i="7"/>
  <c r="K1002" i="7"/>
  <c r="J1002" i="7"/>
  <c r="L1001" i="7"/>
  <c r="K1001" i="7"/>
  <c r="J1001" i="7"/>
  <c r="L1000" i="7"/>
  <c r="K1000" i="7"/>
  <c r="J1000" i="7"/>
  <c r="L999" i="7"/>
  <c r="K999" i="7"/>
  <c r="J999" i="7"/>
  <c r="L998" i="7"/>
  <c r="K998" i="7"/>
  <c r="J998" i="7"/>
  <c r="L997" i="7"/>
  <c r="K997" i="7"/>
  <c r="J997" i="7"/>
  <c r="L996" i="7"/>
  <c r="K996" i="7"/>
  <c r="J996" i="7"/>
  <c r="L995" i="7"/>
  <c r="K995" i="7"/>
  <c r="J995" i="7"/>
  <c r="L994" i="7"/>
  <c r="K994" i="7"/>
  <c r="J994" i="7"/>
  <c r="L993" i="7"/>
  <c r="K993" i="7"/>
  <c r="J993" i="7"/>
  <c r="L992" i="7"/>
  <c r="K992" i="7"/>
  <c r="J992" i="7"/>
  <c r="L991" i="7"/>
  <c r="K991" i="7"/>
  <c r="J991" i="7"/>
  <c r="L990" i="7"/>
  <c r="K990" i="7"/>
  <c r="J990" i="7"/>
  <c r="L989" i="7"/>
  <c r="K989" i="7"/>
  <c r="J989" i="7"/>
  <c r="L988" i="7"/>
  <c r="K988" i="7"/>
  <c r="J988" i="7"/>
  <c r="L987" i="7"/>
  <c r="K987" i="7"/>
  <c r="J987" i="7"/>
  <c r="L986" i="7"/>
  <c r="K986" i="7"/>
  <c r="J986" i="7"/>
  <c r="L985" i="7"/>
  <c r="K985" i="7"/>
  <c r="J985" i="7"/>
  <c r="L984" i="7"/>
  <c r="K984" i="7"/>
  <c r="J984" i="7"/>
  <c r="L983" i="7"/>
  <c r="K983" i="7"/>
  <c r="J983" i="7"/>
  <c r="L982" i="7"/>
  <c r="K982" i="7"/>
  <c r="J982" i="7"/>
  <c r="L981" i="7"/>
  <c r="K981" i="7"/>
  <c r="J981" i="7"/>
  <c r="L980" i="7"/>
  <c r="K980" i="7"/>
  <c r="J980" i="7"/>
  <c r="L979" i="7"/>
  <c r="K979" i="7"/>
  <c r="J979" i="7"/>
  <c r="L978" i="7"/>
  <c r="K978" i="7"/>
  <c r="J978" i="7"/>
  <c r="L977" i="7"/>
  <c r="K977" i="7"/>
  <c r="J977" i="7"/>
  <c r="L976" i="7"/>
  <c r="K976" i="7"/>
  <c r="J976" i="7"/>
  <c r="L975" i="7"/>
  <c r="K975" i="7"/>
  <c r="J975" i="7"/>
  <c r="L974" i="7"/>
  <c r="K974" i="7"/>
  <c r="J974" i="7"/>
  <c r="L973" i="7"/>
  <c r="K973" i="7"/>
  <c r="J973" i="7"/>
  <c r="L972" i="7"/>
  <c r="K972" i="7"/>
  <c r="J972" i="7"/>
  <c r="L971" i="7"/>
  <c r="K971" i="7"/>
  <c r="J971" i="7"/>
  <c r="L970" i="7"/>
  <c r="K970" i="7"/>
  <c r="J970" i="7"/>
  <c r="L969" i="7"/>
  <c r="K969" i="7"/>
  <c r="J969" i="7"/>
  <c r="L968" i="7"/>
  <c r="K968" i="7"/>
  <c r="J968" i="7"/>
  <c r="L967" i="7"/>
  <c r="K967" i="7"/>
  <c r="J967" i="7"/>
  <c r="L966" i="7"/>
  <c r="K966" i="7"/>
  <c r="J966" i="7"/>
  <c r="L965" i="7"/>
  <c r="K965" i="7"/>
  <c r="J965" i="7"/>
  <c r="L964" i="7"/>
  <c r="K964" i="7"/>
  <c r="J964" i="7"/>
  <c r="L963" i="7"/>
  <c r="K963" i="7"/>
  <c r="J963" i="7"/>
  <c r="L962" i="7"/>
  <c r="K962" i="7"/>
  <c r="J962" i="7"/>
  <c r="L961" i="7"/>
  <c r="K961" i="7"/>
  <c r="J961" i="7"/>
  <c r="L960" i="7"/>
  <c r="K960" i="7"/>
  <c r="J960" i="7"/>
  <c r="L959" i="7"/>
  <c r="K959" i="7"/>
  <c r="J959" i="7"/>
  <c r="L958" i="7"/>
  <c r="K958" i="7"/>
  <c r="J958" i="7"/>
  <c r="L957" i="7"/>
  <c r="K957" i="7"/>
  <c r="J957" i="7"/>
  <c r="L956" i="7"/>
  <c r="K956" i="7"/>
  <c r="J956" i="7"/>
  <c r="L955" i="7"/>
  <c r="K955" i="7"/>
  <c r="J955" i="7"/>
  <c r="L954" i="7"/>
  <c r="K954" i="7"/>
  <c r="J954" i="7"/>
  <c r="L953" i="7"/>
  <c r="K953" i="7"/>
  <c r="J953" i="7"/>
  <c r="L952" i="7"/>
  <c r="K952" i="7"/>
  <c r="F11" i="3" s="1"/>
  <c r="J952" i="7"/>
  <c r="L951" i="7"/>
  <c r="K951" i="7"/>
  <c r="J951" i="7"/>
  <c r="L950" i="7"/>
  <c r="K950" i="7"/>
  <c r="J950" i="7"/>
  <c r="L949" i="7"/>
  <c r="K949" i="7"/>
  <c r="J949" i="7"/>
  <c r="D11" i="3" s="1"/>
  <c r="L948" i="7"/>
  <c r="K948" i="7"/>
  <c r="J948" i="7"/>
  <c r="L947" i="7"/>
  <c r="K947" i="7"/>
  <c r="J947" i="7"/>
  <c r="L946" i="7"/>
  <c r="K946" i="7"/>
  <c r="J946" i="7"/>
  <c r="L945" i="7"/>
  <c r="K945" i="7"/>
  <c r="J945" i="7"/>
  <c r="L944" i="7"/>
  <c r="K944" i="7"/>
  <c r="J944" i="7"/>
  <c r="L943" i="7"/>
  <c r="K943" i="7"/>
  <c r="J943" i="7"/>
  <c r="L942" i="7"/>
  <c r="K942" i="7"/>
  <c r="J942" i="7"/>
  <c r="L941" i="7"/>
  <c r="K941" i="7"/>
  <c r="J941" i="7"/>
  <c r="L940" i="7"/>
  <c r="K940" i="7"/>
  <c r="J940" i="7"/>
  <c r="L939" i="7"/>
  <c r="K939" i="7"/>
  <c r="J939" i="7"/>
  <c r="L938" i="7"/>
  <c r="K938" i="7"/>
  <c r="J938" i="7"/>
  <c r="L937" i="7"/>
  <c r="K937" i="7"/>
  <c r="J937" i="7"/>
  <c r="L936" i="7"/>
  <c r="K936" i="7"/>
  <c r="J936" i="7"/>
  <c r="L935" i="7"/>
  <c r="K935" i="7"/>
  <c r="J935" i="7"/>
  <c r="L934" i="7"/>
  <c r="K934" i="7"/>
  <c r="J934" i="7"/>
  <c r="L933" i="7"/>
  <c r="K933" i="7"/>
  <c r="J933" i="7"/>
  <c r="L932" i="7"/>
  <c r="K932" i="7"/>
  <c r="J932" i="7"/>
  <c r="L931" i="7"/>
  <c r="K931" i="7"/>
  <c r="J931" i="7"/>
  <c r="L930" i="7"/>
  <c r="K930" i="7"/>
  <c r="J930" i="7"/>
  <c r="L929" i="7"/>
  <c r="K929" i="7"/>
  <c r="J929" i="7"/>
  <c r="L928" i="7"/>
  <c r="K928" i="7"/>
  <c r="J928" i="7"/>
  <c r="L927" i="7"/>
  <c r="K927" i="7"/>
  <c r="J927" i="7"/>
  <c r="L926" i="7"/>
  <c r="K926" i="7"/>
  <c r="J926" i="7"/>
  <c r="L925" i="7"/>
  <c r="K925" i="7"/>
  <c r="J925" i="7"/>
  <c r="L924" i="7"/>
  <c r="K924" i="7"/>
  <c r="J924" i="7"/>
  <c r="L923" i="7"/>
  <c r="K923" i="7"/>
  <c r="J923" i="7"/>
  <c r="L922" i="7"/>
  <c r="K922" i="7"/>
  <c r="J922" i="7"/>
  <c r="L921" i="7"/>
  <c r="K921" i="7"/>
  <c r="J921" i="7"/>
  <c r="L920" i="7"/>
  <c r="K920" i="7"/>
  <c r="J920" i="7"/>
  <c r="L919" i="7"/>
  <c r="K919" i="7"/>
  <c r="J919" i="7"/>
  <c r="L918" i="7"/>
  <c r="K918" i="7"/>
  <c r="J918" i="7"/>
  <c r="L917" i="7"/>
  <c r="K917" i="7"/>
  <c r="J917" i="7"/>
  <c r="L916" i="7"/>
  <c r="K916" i="7"/>
  <c r="J916" i="7"/>
  <c r="L915" i="7"/>
  <c r="K915" i="7"/>
  <c r="J915" i="7"/>
  <c r="L914" i="7"/>
  <c r="K914" i="7"/>
  <c r="J914" i="7"/>
  <c r="L913" i="7"/>
  <c r="K913" i="7"/>
  <c r="J913" i="7"/>
  <c r="L912" i="7"/>
  <c r="K912" i="7"/>
  <c r="J912" i="7"/>
  <c r="L911" i="7"/>
  <c r="K911" i="7"/>
  <c r="J911" i="7"/>
  <c r="L910" i="7"/>
  <c r="K910" i="7"/>
  <c r="J910" i="7"/>
  <c r="L909" i="7"/>
  <c r="K909" i="7"/>
  <c r="J909" i="7"/>
  <c r="L908" i="7"/>
  <c r="K908" i="7"/>
  <c r="J908" i="7"/>
  <c r="L907" i="7"/>
  <c r="K907" i="7"/>
  <c r="J907" i="7"/>
  <c r="L906" i="7"/>
  <c r="K906" i="7"/>
  <c r="J906" i="7"/>
  <c r="L905" i="7"/>
  <c r="K905" i="7"/>
  <c r="J905" i="7"/>
  <c r="L904" i="7"/>
  <c r="K904" i="7"/>
  <c r="J904" i="7"/>
  <c r="L903" i="7"/>
  <c r="K903" i="7"/>
  <c r="J903" i="7"/>
  <c r="L902" i="7"/>
  <c r="K902" i="7"/>
  <c r="J902" i="7"/>
  <c r="L901" i="7"/>
  <c r="K901" i="7"/>
  <c r="J901" i="7"/>
  <c r="L900" i="7"/>
  <c r="K900" i="7"/>
  <c r="J900" i="7"/>
  <c r="L899" i="7"/>
  <c r="K899" i="7"/>
  <c r="J899" i="7"/>
  <c r="L898" i="7"/>
  <c r="K898" i="7"/>
  <c r="J898" i="7"/>
  <c r="L897" i="7"/>
  <c r="K897" i="7"/>
  <c r="J897" i="7"/>
  <c r="L896" i="7"/>
  <c r="K896" i="7"/>
  <c r="J896" i="7"/>
  <c r="L895" i="7"/>
  <c r="K895" i="7"/>
  <c r="J895" i="7"/>
  <c r="L894" i="7"/>
  <c r="K894" i="7"/>
  <c r="J894" i="7"/>
  <c r="L893" i="7"/>
  <c r="K893" i="7"/>
  <c r="J893" i="7"/>
  <c r="L892" i="7"/>
  <c r="K892" i="7"/>
  <c r="J892" i="7"/>
  <c r="L891" i="7"/>
  <c r="K891" i="7"/>
  <c r="J891" i="7"/>
  <c r="L890" i="7"/>
  <c r="K890" i="7"/>
  <c r="J890" i="7"/>
  <c r="L889" i="7"/>
  <c r="K889" i="7"/>
  <c r="J889" i="7"/>
  <c r="L888" i="7"/>
  <c r="K888" i="7"/>
  <c r="J888" i="7"/>
  <c r="L887" i="7"/>
  <c r="K887" i="7"/>
  <c r="J887" i="7"/>
  <c r="L886" i="7"/>
  <c r="K886" i="7"/>
  <c r="J886" i="7"/>
  <c r="L885" i="7"/>
  <c r="K885" i="7"/>
  <c r="J885" i="7"/>
  <c r="L884" i="7"/>
  <c r="K884" i="7"/>
  <c r="J884" i="7"/>
  <c r="L883" i="7"/>
  <c r="K883" i="7"/>
  <c r="J883" i="7"/>
  <c r="L882" i="7"/>
  <c r="K882" i="7"/>
  <c r="J882" i="7"/>
  <c r="L881" i="7"/>
  <c r="K881" i="7"/>
  <c r="J881" i="7"/>
  <c r="L880" i="7"/>
  <c r="K880" i="7"/>
  <c r="J880" i="7"/>
  <c r="L879" i="7"/>
  <c r="K879" i="7"/>
  <c r="J879" i="7"/>
  <c r="L878" i="7"/>
  <c r="K878" i="7"/>
  <c r="J878" i="7"/>
  <c r="L877" i="7"/>
  <c r="K877" i="7"/>
  <c r="J877" i="7"/>
  <c r="L876" i="7"/>
  <c r="K876" i="7"/>
  <c r="J876" i="7"/>
  <c r="L875" i="7"/>
  <c r="K875" i="7"/>
  <c r="J875" i="7"/>
  <c r="L874" i="7"/>
  <c r="K874" i="7"/>
  <c r="J874" i="7"/>
  <c r="L873" i="7"/>
  <c r="K873" i="7"/>
  <c r="J873" i="7"/>
  <c r="L872" i="7"/>
  <c r="K872" i="7"/>
  <c r="J872" i="7"/>
  <c r="L871" i="7"/>
  <c r="K871" i="7"/>
  <c r="J871" i="7"/>
  <c r="L870" i="7"/>
  <c r="K870" i="7"/>
  <c r="J870" i="7"/>
  <c r="L869" i="7"/>
  <c r="K869" i="7"/>
  <c r="J869" i="7"/>
  <c r="L868" i="7"/>
  <c r="K868" i="7"/>
  <c r="J868" i="7"/>
  <c r="L867" i="7"/>
  <c r="K867" i="7"/>
  <c r="J867" i="7"/>
  <c r="L866" i="7"/>
  <c r="K866" i="7"/>
  <c r="J866" i="7"/>
  <c r="L865" i="7"/>
  <c r="K865" i="7"/>
  <c r="J865" i="7"/>
  <c r="L864" i="7"/>
  <c r="K864" i="7"/>
  <c r="J864" i="7"/>
  <c r="L863" i="7"/>
  <c r="K863" i="7"/>
  <c r="J863" i="7"/>
  <c r="L862" i="7"/>
  <c r="K862" i="7"/>
  <c r="J862" i="7"/>
  <c r="L861" i="7"/>
  <c r="K861" i="7"/>
  <c r="J861" i="7"/>
  <c r="L860" i="7"/>
  <c r="K860" i="7"/>
  <c r="J860" i="7"/>
  <c r="L859" i="7"/>
  <c r="K859" i="7"/>
  <c r="J859" i="7"/>
  <c r="L858" i="7"/>
  <c r="K858" i="7"/>
  <c r="J858" i="7"/>
  <c r="L857" i="7"/>
  <c r="K857" i="7"/>
  <c r="J857" i="7"/>
  <c r="L856" i="7"/>
  <c r="K856" i="7"/>
  <c r="J856" i="7"/>
  <c r="L855" i="7"/>
  <c r="K855" i="7"/>
  <c r="J855" i="7"/>
  <c r="L854" i="7"/>
  <c r="K854" i="7"/>
  <c r="J854" i="7"/>
  <c r="L853" i="7"/>
  <c r="K853" i="7"/>
  <c r="J853" i="7"/>
  <c r="L852" i="7"/>
  <c r="K852" i="7"/>
  <c r="J852" i="7"/>
  <c r="L851" i="7"/>
  <c r="K851" i="7"/>
  <c r="J851" i="7"/>
  <c r="L850" i="7"/>
  <c r="K850" i="7"/>
  <c r="J850" i="7"/>
  <c r="L849" i="7"/>
  <c r="K849" i="7"/>
  <c r="J849" i="7"/>
  <c r="L848" i="7"/>
  <c r="K848" i="7"/>
  <c r="J848" i="7"/>
  <c r="L847" i="7"/>
  <c r="K847" i="7"/>
  <c r="J847" i="7"/>
  <c r="L846" i="7"/>
  <c r="K846" i="7"/>
  <c r="J846" i="7"/>
  <c r="L845" i="7"/>
  <c r="K845" i="7"/>
  <c r="J845" i="7"/>
  <c r="L844" i="7"/>
  <c r="K844" i="7"/>
  <c r="J844" i="7"/>
  <c r="L843" i="7"/>
  <c r="K843" i="7"/>
  <c r="J843" i="7"/>
  <c r="L842" i="7"/>
  <c r="K842" i="7"/>
  <c r="J842" i="7"/>
  <c r="L841" i="7"/>
  <c r="K841" i="7"/>
  <c r="J841" i="7"/>
  <c r="L840" i="7"/>
  <c r="K840" i="7"/>
  <c r="J840" i="7"/>
  <c r="L839" i="7"/>
  <c r="K839" i="7"/>
  <c r="J839" i="7"/>
  <c r="L838" i="7"/>
  <c r="K838" i="7"/>
  <c r="J838" i="7"/>
  <c r="L837" i="7"/>
  <c r="K837" i="7"/>
  <c r="J837" i="7"/>
  <c r="L836" i="7"/>
  <c r="K836" i="7"/>
  <c r="J836" i="7"/>
  <c r="L835" i="7"/>
  <c r="K835" i="7"/>
  <c r="J835" i="7"/>
  <c r="L834" i="7"/>
  <c r="K834" i="7"/>
  <c r="J834" i="7"/>
  <c r="L833" i="7"/>
  <c r="K833" i="7"/>
  <c r="J833" i="7"/>
  <c r="L832" i="7"/>
  <c r="K832" i="7"/>
  <c r="J832" i="7"/>
  <c r="L831" i="7"/>
  <c r="K831" i="7"/>
  <c r="J831" i="7"/>
  <c r="L830" i="7"/>
  <c r="K830" i="7"/>
  <c r="J830" i="7"/>
  <c r="L829" i="7"/>
  <c r="K829" i="7"/>
  <c r="J829" i="7"/>
  <c r="L828" i="7"/>
  <c r="K828" i="7"/>
  <c r="J828" i="7"/>
  <c r="L827" i="7"/>
  <c r="K827" i="7"/>
  <c r="J827" i="7"/>
  <c r="L826" i="7"/>
  <c r="K826" i="7"/>
  <c r="J826" i="7"/>
  <c r="L825" i="7"/>
  <c r="K825" i="7"/>
  <c r="J825" i="7"/>
  <c r="L824" i="7"/>
  <c r="K824" i="7"/>
  <c r="J824" i="7"/>
  <c r="L823" i="7"/>
  <c r="K823" i="7"/>
  <c r="J823" i="7"/>
  <c r="L822" i="7"/>
  <c r="K822" i="7"/>
  <c r="J822" i="7"/>
  <c r="L821" i="7"/>
  <c r="K821" i="7"/>
  <c r="J821" i="7"/>
  <c r="L820" i="7"/>
  <c r="K820" i="7"/>
  <c r="J820" i="7"/>
  <c r="L819" i="7"/>
  <c r="K819" i="7"/>
  <c r="J819" i="7"/>
  <c r="L818" i="7"/>
  <c r="K818" i="7"/>
  <c r="J818" i="7"/>
  <c r="L817" i="7"/>
  <c r="K817" i="7"/>
  <c r="J817" i="7"/>
  <c r="L816" i="7"/>
  <c r="K816" i="7"/>
  <c r="J816" i="7"/>
  <c r="L815" i="7"/>
  <c r="K815" i="7"/>
  <c r="J815" i="7"/>
  <c r="L814" i="7"/>
  <c r="K814" i="7"/>
  <c r="J814" i="7"/>
  <c r="L813" i="7"/>
  <c r="K813" i="7"/>
  <c r="J813" i="7"/>
  <c r="L812" i="7"/>
  <c r="K812" i="7"/>
  <c r="J812" i="7"/>
  <c r="L811" i="7"/>
  <c r="K811" i="7"/>
  <c r="J811" i="7"/>
  <c r="L810" i="7"/>
  <c r="K810" i="7"/>
  <c r="J810" i="7"/>
  <c r="L809" i="7"/>
  <c r="K809" i="7"/>
  <c r="J809" i="7"/>
  <c r="L808" i="7"/>
  <c r="K808" i="7"/>
  <c r="J808" i="7"/>
  <c r="L807" i="7"/>
  <c r="K807" i="7"/>
  <c r="J807" i="7"/>
  <c r="L806" i="7"/>
  <c r="K806" i="7"/>
  <c r="J806" i="7"/>
  <c r="L805" i="7"/>
  <c r="K805" i="7"/>
  <c r="J805" i="7"/>
  <c r="L804" i="7"/>
  <c r="K804" i="7"/>
  <c r="J804" i="7"/>
  <c r="L803" i="7"/>
  <c r="K803" i="7"/>
  <c r="J803" i="7"/>
  <c r="L802" i="7"/>
  <c r="K802" i="7"/>
  <c r="J802" i="7"/>
  <c r="L801" i="7"/>
  <c r="K801" i="7"/>
  <c r="J801" i="7"/>
  <c r="L800" i="7"/>
  <c r="K800" i="7"/>
  <c r="J800" i="7"/>
  <c r="L799" i="7"/>
  <c r="K799" i="7"/>
  <c r="J799" i="7"/>
  <c r="L798" i="7"/>
  <c r="K798" i="7"/>
  <c r="J798" i="7"/>
  <c r="L797" i="7"/>
  <c r="K797" i="7"/>
  <c r="J797" i="7"/>
  <c r="L796" i="7"/>
  <c r="K796" i="7"/>
  <c r="J796" i="7"/>
  <c r="L795" i="7"/>
  <c r="K795" i="7"/>
  <c r="J795" i="7"/>
  <c r="L794" i="7"/>
  <c r="K794" i="7"/>
  <c r="J794" i="7"/>
  <c r="L793" i="7"/>
  <c r="K793" i="7"/>
  <c r="J793" i="7"/>
  <c r="L792" i="7"/>
  <c r="K792" i="7"/>
  <c r="J792" i="7"/>
  <c r="L791" i="7"/>
  <c r="K791" i="7"/>
  <c r="J791" i="7"/>
  <c r="L790" i="7"/>
  <c r="K790" i="7"/>
  <c r="J790" i="7"/>
  <c r="L789" i="7"/>
  <c r="K789" i="7"/>
  <c r="J789" i="7"/>
  <c r="L788" i="7"/>
  <c r="K788" i="7"/>
  <c r="J788" i="7"/>
  <c r="L787" i="7"/>
  <c r="K787" i="7"/>
  <c r="J787" i="7"/>
  <c r="L786" i="7"/>
  <c r="K786" i="7"/>
  <c r="J786" i="7"/>
  <c r="L785" i="7"/>
  <c r="K785" i="7"/>
  <c r="J785" i="7"/>
  <c r="L784" i="7"/>
  <c r="K784" i="7"/>
  <c r="J784" i="7"/>
  <c r="L783" i="7"/>
  <c r="K783" i="7"/>
  <c r="J783" i="7"/>
  <c r="L782" i="7"/>
  <c r="K782" i="7"/>
  <c r="J782" i="7"/>
  <c r="L781" i="7"/>
  <c r="K781" i="7"/>
  <c r="J781" i="7"/>
  <c r="L780" i="7"/>
  <c r="K780" i="7"/>
  <c r="J780" i="7"/>
  <c r="L779" i="7"/>
  <c r="K779" i="7"/>
  <c r="J779" i="7"/>
  <c r="L778" i="7"/>
  <c r="K778" i="7"/>
  <c r="J778" i="7"/>
  <c r="L777" i="7"/>
  <c r="K777" i="7"/>
  <c r="J777" i="7"/>
  <c r="L776" i="7"/>
  <c r="K776" i="7"/>
  <c r="J776" i="7"/>
  <c r="L775" i="7"/>
  <c r="K775" i="7"/>
  <c r="J775" i="7"/>
  <c r="L774" i="7"/>
  <c r="K774" i="7"/>
  <c r="J774" i="7"/>
  <c r="L773" i="7"/>
  <c r="K773" i="7"/>
  <c r="J773" i="7"/>
  <c r="L772" i="7"/>
  <c r="K772" i="7"/>
  <c r="J772" i="7"/>
  <c r="L771" i="7"/>
  <c r="K771" i="7"/>
  <c r="J771" i="7"/>
  <c r="L770" i="7"/>
  <c r="K770" i="7"/>
  <c r="J770" i="7"/>
  <c r="L769" i="7"/>
  <c r="H10" i="3" s="1"/>
  <c r="I10" i="3" s="1"/>
  <c r="K769" i="7"/>
  <c r="J769" i="7"/>
  <c r="L768" i="7"/>
  <c r="K768" i="7"/>
  <c r="J768" i="7"/>
  <c r="L767" i="7"/>
  <c r="K767" i="7"/>
  <c r="J767" i="7"/>
  <c r="L766" i="7"/>
  <c r="K766" i="7"/>
  <c r="J766" i="7"/>
  <c r="L765" i="7"/>
  <c r="K765" i="7"/>
  <c r="J765" i="7"/>
  <c r="L764" i="7"/>
  <c r="K764" i="7"/>
  <c r="J764" i="7"/>
  <c r="L763" i="7"/>
  <c r="K763" i="7"/>
  <c r="J763" i="7"/>
  <c r="L762" i="7"/>
  <c r="K762" i="7"/>
  <c r="J762" i="7"/>
  <c r="L761" i="7"/>
  <c r="K761" i="7"/>
  <c r="J761" i="7"/>
  <c r="L760" i="7"/>
  <c r="K760" i="7"/>
  <c r="J760" i="7"/>
  <c r="L759" i="7"/>
  <c r="K759" i="7"/>
  <c r="J759" i="7"/>
  <c r="L758" i="7"/>
  <c r="K758" i="7"/>
  <c r="J758" i="7"/>
  <c r="L757" i="7"/>
  <c r="K757" i="7"/>
  <c r="J757" i="7"/>
  <c r="L756" i="7"/>
  <c r="K756" i="7"/>
  <c r="J756" i="7"/>
  <c r="L755" i="7"/>
  <c r="K755" i="7"/>
  <c r="J755" i="7"/>
  <c r="L754" i="7"/>
  <c r="K754" i="7"/>
  <c r="J754" i="7"/>
  <c r="L753" i="7"/>
  <c r="K753" i="7"/>
  <c r="J753" i="7"/>
  <c r="L752" i="7"/>
  <c r="K752" i="7"/>
  <c r="J752" i="7"/>
  <c r="L751" i="7"/>
  <c r="K751" i="7"/>
  <c r="J751" i="7"/>
  <c r="L750" i="7"/>
  <c r="K750" i="7"/>
  <c r="J750" i="7"/>
  <c r="L749" i="7"/>
  <c r="K749" i="7"/>
  <c r="J749" i="7"/>
  <c r="L748" i="7"/>
  <c r="K748" i="7"/>
  <c r="J748" i="7"/>
  <c r="L747" i="7"/>
  <c r="K747" i="7"/>
  <c r="J747" i="7"/>
  <c r="L746" i="7"/>
  <c r="K746" i="7"/>
  <c r="J746" i="7"/>
  <c r="L745" i="7"/>
  <c r="K745" i="7"/>
  <c r="J745" i="7"/>
  <c r="L744" i="7"/>
  <c r="K744" i="7"/>
  <c r="J744" i="7"/>
  <c r="L743" i="7"/>
  <c r="K743" i="7"/>
  <c r="J743" i="7"/>
  <c r="L742" i="7"/>
  <c r="K742" i="7"/>
  <c r="J742" i="7"/>
  <c r="L741" i="7"/>
  <c r="K741" i="7"/>
  <c r="J741" i="7"/>
  <c r="L740" i="7"/>
  <c r="K740" i="7"/>
  <c r="J740" i="7"/>
  <c r="L739" i="7"/>
  <c r="K739" i="7"/>
  <c r="J739" i="7"/>
  <c r="L738" i="7"/>
  <c r="K738" i="7"/>
  <c r="J738" i="7"/>
  <c r="L737" i="7"/>
  <c r="K737" i="7"/>
  <c r="J737" i="7"/>
  <c r="L736" i="7"/>
  <c r="K736" i="7"/>
  <c r="J736" i="7"/>
  <c r="L735" i="7"/>
  <c r="K735" i="7"/>
  <c r="J735" i="7"/>
  <c r="L734" i="7"/>
  <c r="K734" i="7"/>
  <c r="J734" i="7"/>
  <c r="L733" i="7"/>
  <c r="K733" i="7"/>
  <c r="J733" i="7"/>
  <c r="L732" i="7"/>
  <c r="K732" i="7"/>
  <c r="J732" i="7"/>
  <c r="L731" i="7"/>
  <c r="K731" i="7"/>
  <c r="J731" i="7"/>
  <c r="L730" i="7"/>
  <c r="K730" i="7"/>
  <c r="J730" i="7"/>
  <c r="L729" i="7"/>
  <c r="K729" i="7"/>
  <c r="J729" i="7"/>
  <c r="L728" i="7"/>
  <c r="K728" i="7"/>
  <c r="J728" i="7"/>
  <c r="L727" i="7"/>
  <c r="K727" i="7"/>
  <c r="J727" i="7"/>
  <c r="L726" i="7"/>
  <c r="K726" i="7"/>
  <c r="J726" i="7"/>
  <c r="L725" i="7"/>
  <c r="K725" i="7"/>
  <c r="J725" i="7"/>
  <c r="L724" i="7"/>
  <c r="K724" i="7"/>
  <c r="J724" i="7"/>
  <c r="L723" i="7"/>
  <c r="K723" i="7"/>
  <c r="J723" i="7"/>
  <c r="L722" i="7"/>
  <c r="K722" i="7"/>
  <c r="J722" i="7"/>
  <c r="L721" i="7"/>
  <c r="K721" i="7"/>
  <c r="J721" i="7"/>
  <c r="L720" i="7"/>
  <c r="K720" i="7"/>
  <c r="J720" i="7"/>
  <c r="L719" i="7"/>
  <c r="K719" i="7"/>
  <c r="J719" i="7"/>
  <c r="L718" i="7"/>
  <c r="K718" i="7"/>
  <c r="J718" i="7"/>
  <c r="L717" i="7"/>
  <c r="K717" i="7"/>
  <c r="J717" i="7"/>
  <c r="L716" i="7"/>
  <c r="K716" i="7"/>
  <c r="J716" i="7"/>
  <c r="L715" i="7"/>
  <c r="K715" i="7"/>
  <c r="J715" i="7"/>
  <c r="L714" i="7"/>
  <c r="K714" i="7"/>
  <c r="J714" i="7"/>
  <c r="L713" i="7"/>
  <c r="K713" i="7"/>
  <c r="J713" i="7"/>
  <c r="L712" i="7"/>
  <c r="K712" i="7"/>
  <c r="J712" i="7"/>
  <c r="L711" i="7"/>
  <c r="K711" i="7"/>
  <c r="J711" i="7"/>
  <c r="L710" i="7"/>
  <c r="K710" i="7"/>
  <c r="J710" i="7"/>
  <c r="L709" i="7"/>
  <c r="K709" i="7"/>
  <c r="J709" i="7"/>
  <c r="L708" i="7"/>
  <c r="K708" i="7"/>
  <c r="J708" i="7"/>
  <c r="L707" i="7"/>
  <c r="K707" i="7"/>
  <c r="J707" i="7"/>
  <c r="L706" i="7"/>
  <c r="K706" i="7"/>
  <c r="J706" i="7"/>
  <c r="L705" i="7"/>
  <c r="K705" i="7"/>
  <c r="J705" i="7"/>
  <c r="L704" i="7"/>
  <c r="K704" i="7"/>
  <c r="J704" i="7"/>
  <c r="L703" i="7"/>
  <c r="K703" i="7"/>
  <c r="J703" i="7"/>
  <c r="L702" i="7"/>
  <c r="K702" i="7"/>
  <c r="J702" i="7"/>
  <c r="L701" i="7"/>
  <c r="K701" i="7"/>
  <c r="J701" i="7"/>
  <c r="L700" i="7"/>
  <c r="K700" i="7"/>
  <c r="J700" i="7"/>
  <c r="L699" i="7"/>
  <c r="K699" i="7"/>
  <c r="J699" i="7"/>
  <c r="L698" i="7"/>
  <c r="K698" i="7"/>
  <c r="J698" i="7"/>
  <c r="L697" i="7"/>
  <c r="K697" i="7"/>
  <c r="J697" i="7"/>
  <c r="L696" i="7"/>
  <c r="K696" i="7"/>
  <c r="J696" i="7"/>
  <c r="L695" i="7"/>
  <c r="K695" i="7"/>
  <c r="J695" i="7"/>
  <c r="L694" i="7"/>
  <c r="K694" i="7"/>
  <c r="J694" i="7"/>
  <c r="L693" i="7"/>
  <c r="K693" i="7"/>
  <c r="J693" i="7"/>
  <c r="L692" i="7"/>
  <c r="K692" i="7"/>
  <c r="J692" i="7"/>
  <c r="L691" i="7"/>
  <c r="K691" i="7"/>
  <c r="J691" i="7"/>
  <c r="L690" i="7"/>
  <c r="K690" i="7"/>
  <c r="J690" i="7"/>
  <c r="L689" i="7"/>
  <c r="K689" i="7"/>
  <c r="J689" i="7"/>
  <c r="L688" i="7"/>
  <c r="K688" i="7"/>
  <c r="J688" i="7"/>
  <c r="L687" i="7"/>
  <c r="K687" i="7"/>
  <c r="J687" i="7"/>
  <c r="L686" i="7"/>
  <c r="K686" i="7"/>
  <c r="J686" i="7"/>
  <c r="L685" i="7"/>
  <c r="K685" i="7"/>
  <c r="J685" i="7"/>
  <c r="L684" i="7"/>
  <c r="K684" i="7"/>
  <c r="J684" i="7"/>
  <c r="L683" i="7"/>
  <c r="K683" i="7"/>
  <c r="J683" i="7"/>
  <c r="L682" i="7"/>
  <c r="K682" i="7"/>
  <c r="J682" i="7"/>
  <c r="L681" i="7"/>
  <c r="K681" i="7"/>
  <c r="J681" i="7"/>
  <c r="L680" i="7"/>
  <c r="K680" i="7"/>
  <c r="J680" i="7"/>
  <c r="L679" i="7"/>
  <c r="K679" i="7"/>
  <c r="J679" i="7"/>
  <c r="L678" i="7"/>
  <c r="K678" i="7"/>
  <c r="J678" i="7"/>
  <c r="L677" i="7"/>
  <c r="K677" i="7"/>
  <c r="J677" i="7"/>
  <c r="L676" i="7"/>
  <c r="K676" i="7"/>
  <c r="J676" i="7"/>
  <c r="L675" i="7"/>
  <c r="K675" i="7"/>
  <c r="J675" i="7"/>
  <c r="L674" i="7"/>
  <c r="K674" i="7"/>
  <c r="J674" i="7"/>
  <c r="L673" i="7"/>
  <c r="K673" i="7"/>
  <c r="J673" i="7"/>
  <c r="L672" i="7"/>
  <c r="K672" i="7"/>
  <c r="J672" i="7"/>
  <c r="L671" i="7"/>
  <c r="K671" i="7"/>
  <c r="J671" i="7"/>
  <c r="L670" i="7"/>
  <c r="K670" i="7"/>
  <c r="J670" i="7"/>
  <c r="L669" i="7"/>
  <c r="K669" i="7"/>
  <c r="J669" i="7"/>
  <c r="L668" i="7"/>
  <c r="K668" i="7"/>
  <c r="J668" i="7"/>
  <c r="L667" i="7"/>
  <c r="K667" i="7"/>
  <c r="J667" i="7"/>
  <c r="L666" i="7"/>
  <c r="K666" i="7"/>
  <c r="J666" i="7"/>
  <c r="L665" i="7"/>
  <c r="K665" i="7"/>
  <c r="J665" i="7"/>
  <c r="L664" i="7"/>
  <c r="K664" i="7"/>
  <c r="J664" i="7"/>
  <c r="L663" i="7"/>
  <c r="K663" i="7"/>
  <c r="J663" i="7"/>
  <c r="L662" i="7"/>
  <c r="K662" i="7"/>
  <c r="J662" i="7"/>
  <c r="L661" i="7"/>
  <c r="K661" i="7"/>
  <c r="J661" i="7"/>
  <c r="L660" i="7"/>
  <c r="K660" i="7"/>
  <c r="J660" i="7"/>
  <c r="L659" i="7"/>
  <c r="K659" i="7"/>
  <c r="J659" i="7"/>
  <c r="L658" i="7"/>
  <c r="K658" i="7"/>
  <c r="J658" i="7"/>
  <c r="L657" i="7"/>
  <c r="K657" i="7"/>
  <c r="J657" i="7"/>
  <c r="L656" i="7"/>
  <c r="K656" i="7"/>
  <c r="J656" i="7"/>
  <c r="L655" i="7"/>
  <c r="K655" i="7"/>
  <c r="J655" i="7"/>
  <c r="L654" i="7"/>
  <c r="K654" i="7"/>
  <c r="J654" i="7"/>
  <c r="L653" i="7"/>
  <c r="K653" i="7"/>
  <c r="J653" i="7"/>
  <c r="L652" i="7"/>
  <c r="K652" i="7"/>
  <c r="J652" i="7"/>
  <c r="L651" i="7"/>
  <c r="K651" i="7"/>
  <c r="J651" i="7"/>
  <c r="L650" i="7"/>
  <c r="K650" i="7"/>
  <c r="J650" i="7"/>
  <c r="L649" i="7"/>
  <c r="K649" i="7"/>
  <c r="J649" i="7"/>
  <c r="L648" i="7"/>
  <c r="K648" i="7"/>
  <c r="J648" i="7"/>
  <c r="L647" i="7"/>
  <c r="K647" i="7"/>
  <c r="J647" i="7"/>
  <c r="L646" i="7"/>
  <c r="K646" i="7"/>
  <c r="J646" i="7"/>
  <c r="L645" i="7"/>
  <c r="K645" i="7"/>
  <c r="J645" i="7"/>
  <c r="L644" i="7"/>
  <c r="K644" i="7"/>
  <c r="J644" i="7"/>
  <c r="L643" i="7"/>
  <c r="K643" i="7"/>
  <c r="J643" i="7"/>
  <c r="L642" i="7"/>
  <c r="K642" i="7"/>
  <c r="J642" i="7"/>
  <c r="L641" i="7"/>
  <c r="K641" i="7"/>
  <c r="J641" i="7"/>
  <c r="L640" i="7"/>
  <c r="K640" i="7"/>
  <c r="J640" i="7"/>
  <c r="L639" i="7"/>
  <c r="K639" i="7"/>
  <c r="J639" i="7"/>
  <c r="L638" i="7"/>
  <c r="K638" i="7"/>
  <c r="J638" i="7"/>
  <c r="L637" i="7"/>
  <c r="K637" i="7"/>
  <c r="J637" i="7"/>
  <c r="L636" i="7"/>
  <c r="K636" i="7"/>
  <c r="J636" i="7"/>
  <c r="L635" i="7"/>
  <c r="K635" i="7"/>
  <c r="J635" i="7"/>
  <c r="L634" i="7"/>
  <c r="K634" i="7"/>
  <c r="J634" i="7"/>
  <c r="L633" i="7"/>
  <c r="K633" i="7"/>
  <c r="J633" i="7"/>
  <c r="L632" i="7"/>
  <c r="K632" i="7"/>
  <c r="J632" i="7"/>
  <c r="L631" i="7"/>
  <c r="K631" i="7"/>
  <c r="J631" i="7"/>
  <c r="L630" i="7"/>
  <c r="K630" i="7"/>
  <c r="J630" i="7"/>
  <c r="L629" i="7"/>
  <c r="K629" i="7"/>
  <c r="J629" i="7"/>
  <c r="L628" i="7"/>
  <c r="K628" i="7"/>
  <c r="J628" i="7"/>
  <c r="L627" i="7"/>
  <c r="K627" i="7"/>
  <c r="J627" i="7"/>
  <c r="L626" i="7"/>
  <c r="K626" i="7"/>
  <c r="J626" i="7"/>
  <c r="L625" i="7"/>
  <c r="K625" i="7"/>
  <c r="J625" i="7"/>
  <c r="L624" i="7"/>
  <c r="K624" i="7"/>
  <c r="J624" i="7"/>
  <c r="L623" i="7"/>
  <c r="K623" i="7"/>
  <c r="J623" i="7"/>
  <c r="L622" i="7"/>
  <c r="K622" i="7"/>
  <c r="J622" i="7"/>
  <c r="L621" i="7"/>
  <c r="K621" i="7"/>
  <c r="J621" i="7"/>
  <c r="L620" i="7"/>
  <c r="K620" i="7"/>
  <c r="J620" i="7"/>
  <c r="L619" i="7"/>
  <c r="K619" i="7"/>
  <c r="J619" i="7"/>
  <c r="L618" i="7"/>
  <c r="K618" i="7"/>
  <c r="J618" i="7"/>
  <c r="L617" i="7"/>
  <c r="K617" i="7"/>
  <c r="J617" i="7"/>
  <c r="L616" i="7"/>
  <c r="K616" i="7"/>
  <c r="J616" i="7"/>
  <c r="L615" i="7"/>
  <c r="K615" i="7"/>
  <c r="J615" i="7"/>
  <c r="L614" i="7"/>
  <c r="K614" i="7"/>
  <c r="J614" i="7"/>
  <c r="L613" i="7"/>
  <c r="K613" i="7"/>
  <c r="J613" i="7"/>
  <c r="L612" i="7"/>
  <c r="K612" i="7"/>
  <c r="J612" i="7"/>
  <c r="L611" i="7"/>
  <c r="K611" i="7"/>
  <c r="J611" i="7"/>
  <c r="L610" i="7"/>
  <c r="K610" i="7"/>
  <c r="J610" i="7"/>
  <c r="L609" i="7"/>
  <c r="K609" i="7"/>
  <c r="J609" i="7"/>
  <c r="L608" i="7"/>
  <c r="K608" i="7"/>
  <c r="J608" i="7"/>
  <c r="L607" i="7"/>
  <c r="K607" i="7"/>
  <c r="J607" i="7"/>
  <c r="L606" i="7"/>
  <c r="K606" i="7"/>
  <c r="J606" i="7"/>
  <c r="L605" i="7"/>
  <c r="K605" i="7"/>
  <c r="J605" i="7"/>
  <c r="L604" i="7"/>
  <c r="K604" i="7"/>
  <c r="J604" i="7"/>
  <c r="L603" i="7"/>
  <c r="K603" i="7"/>
  <c r="J603" i="7"/>
  <c r="L602" i="7"/>
  <c r="K602" i="7"/>
  <c r="J602" i="7"/>
  <c r="L601" i="7"/>
  <c r="K601" i="7"/>
  <c r="J601" i="7"/>
  <c r="L600" i="7"/>
  <c r="K600" i="7"/>
  <c r="J600" i="7"/>
  <c r="L599" i="7"/>
  <c r="K599" i="7"/>
  <c r="J599" i="7"/>
  <c r="L598" i="7"/>
  <c r="K598" i="7"/>
  <c r="J598" i="7"/>
  <c r="L597" i="7"/>
  <c r="K597" i="7"/>
  <c r="J597" i="7"/>
  <c r="L596" i="7"/>
  <c r="K596" i="7"/>
  <c r="J596" i="7"/>
  <c r="L595" i="7"/>
  <c r="K595" i="7"/>
  <c r="J595" i="7"/>
  <c r="L594" i="7"/>
  <c r="K594" i="7"/>
  <c r="J594" i="7"/>
  <c r="L593" i="7"/>
  <c r="K593" i="7"/>
  <c r="J593" i="7"/>
  <c r="L592" i="7"/>
  <c r="K592" i="7"/>
  <c r="J592" i="7"/>
  <c r="L591" i="7"/>
  <c r="K591" i="7"/>
  <c r="J591" i="7"/>
  <c r="L590" i="7"/>
  <c r="K590" i="7"/>
  <c r="J590" i="7"/>
  <c r="L589" i="7"/>
  <c r="K589" i="7"/>
  <c r="J589" i="7"/>
  <c r="D9" i="3" s="1"/>
  <c r="J9" i="3" s="1"/>
  <c r="C20" i="1" s="1"/>
  <c r="L588" i="7"/>
  <c r="K588" i="7"/>
  <c r="J588" i="7"/>
  <c r="L587" i="7"/>
  <c r="K587" i="7"/>
  <c r="J587" i="7"/>
  <c r="L586" i="7"/>
  <c r="K586" i="7"/>
  <c r="J586" i="7"/>
  <c r="L585" i="7"/>
  <c r="K585" i="7"/>
  <c r="J585" i="7"/>
  <c r="L584" i="7"/>
  <c r="K584" i="7"/>
  <c r="J584" i="7"/>
  <c r="L583" i="7"/>
  <c r="K583" i="7"/>
  <c r="J583" i="7"/>
  <c r="L582" i="7"/>
  <c r="K582" i="7"/>
  <c r="J582" i="7"/>
  <c r="L581" i="7"/>
  <c r="K581" i="7"/>
  <c r="J581" i="7"/>
  <c r="L580" i="7"/>
  <c r="K580" i="7"/>
  <c r="J580" i="7"/>
  <c r="L579" i="7"/>
  <c r="K579" i="7"/>
  <c r="J579" i="7"/>
  <c r="L578" i="7"/>
  <c r="K578" i="7"/>
  <c r="J578" i="7"/>
  <c r="L577" i="7"/>
  <c r="K577" i="7"/>
  <c r="J577" i="7"/>
  <c r="L576" i="7"/>
  <c r="K576" i="7"/>
  <c r="J576" i="7"/>
  <c r="L575" i="7"/>
  <c r="K575" i="7"/>
  <c r="J575" i="7"/>
  <c r="L574" i="7"/>
  <c r="K574" i="7"/>
  <c r="J574" i="7"/>
  <c r="L573" i="7"/>
  <c r="K573" i="7"/>
  <c r="J573" i="7"/>
  <c r="L572" i="7"/>
  <c r="K572" i="7"/>
  <c r="J572" i="7"/>
  <c r="L571" i="7"/>
  <c r="K571" i="7"/>
  <c r="J571" i="7"/>
  <c r="L570" i="7"/>
  <c r="K570" i="7"/>
  <c r="J570" i="7"/>
  <c r="L569" i="7"/>
  <c r="K569" i="7"/>
  <c r="J569" i="7"/>
  <c r="L568" i="7"/>
  <c r="K568" i="7"/>
  <c r="J568" i="7"/>
  <c r="L567" i="7"/>
  <c r="K567" i="7"/>
  <c r="J567" i="7"/>
  <c r="L566" i="7"/>
  <c r="K566" i="7"/>
  <c r="J566" i="7"/>
  <c r="L565" i="7"/>
  <c r="K565" i="7"/>
  <c r="J565" i="7"/>
  <c r="L564" i="7"/>
  <c r="K564" i="7"/>
  <c r="J564" i="7"/>
  <c r="L563" i="7"/>
  <c r="K563" i="7"/>
  <c r="J563" i="7"/>
  <c r="L562" i="7"/>
  <c r="K562" i="7"/>
  <c r="J562" i="7"/>
  <c r="L561" i="7"/>
  <c r="K561" i="7"/>
  <c r="J561" i="7"/>
  <c r="L560" i="7"/>
  <c r="K560" i="7"/>
  <c r="J560" i="7"/>
  <c r="L559" i="7"/>
  <c r="K559" i="7"/>
  <c r="J559" i="7"/>
  <c r="L558" i="7"/>
  <c r="K558" i="7"/>
  <c r="J558" i="7"/>
  <c r="L557" i="7"/>
  <c r="K557" i="7"/>
  <c r="J557" i="7"/>
  <c r="L556" i="7"/>
  <c r="K556" i="7"/>
  <c r="J556" i="7"/>
  <c r="L555" i="7"/>
  <c r="K555" i="7"/>
  <c r="J555" i="7"/>
  <c r="L554" i="7"/>
  <c r="K554" i="7"/>
  <c r="J554" i="7"/>
  <c r="L553" i="7"/>
  <c r="K553" i="7"/>
  <c r="J553" i="7"/>
  <c r="L552" i="7"/>
  <c r="K552" i="7"/>
  <c r="J552" i="7"/>
  <c r="L551" i="7"/>
  <c r="K551" i="7"/>
  <c r="J551" i="7"/>
  <c r="L550" i="7"/>
  <c r="K550" i="7"/>
  <c r="J550" i="7"/>
  <c r="L549" i="7"/>
  <c r="K549" i="7"/>
  <c r="J549" i="7"/>
  <c r="L548" i="7"/>
  <c r="K548" i="7"/>
  <c r="J548" i="7"/>
  <c r="L547" i="7"/>
  <c r="K547" i="7"/>
  <c r="J547" i="7"/>
  <c r="L546" i="7"/>
  <c r="K546" i="7"/>
  <c r="J546" i="7"/>
  <c r="L545" i="7"/>
  <c r="K545" i="7"/>
  <c r="J545" i="7"/>
  <c r="L544" i="7"/>
  <c r="K544" i="7"/>
  <c r="J544" i="7"/>
  <c r="L543" i="7"/>
  <c r="K543" i="7"/>
  <c r="J543" i="7"/>
  <c r="L542" i="7"/>
  <c r="K542" i="7"/>
  <c r="J542" i="7"/>
  <c r="L541" i="7"/>
  <c r="K541" i="7"/>
  <c r="J541" i="7"/>
  <c r="L540" i="7"/>
  <c r="K540" i="7"/>
  <c r="J540" i="7"/>
  <c r="L539" i="7"/>
  <c r="K539" i="7"/>
  <c r="J539" i="7"/>
  <c r="L538" i="7"/>
  <c r="K538" i="7"/>
  <c r="J538" i="7"/>
  <c r="L537" i="7"/>
  <c r="K537" i="7"/>
  <c r="J537" i="7"/>
  <c r="L536" i="7"/>
  <c r="K536" i="7"/>
  <c r="J536" i="7"/>
  <c r="L535" i="7"/>
  <c r="K535" i="7"/>
  <c r="J535" i="7"/>
  <c r="L534" i="7"/>
  <c r="K534" i="7"/>
  <c r="J534" i="7"/>
  <c r="L533" i="7"/>
  <c r="K533" i="7"/>
  <c r="J533" i="7"/>
  <c r="L532" i="7"/>
  <c r="K532" i="7"/>
  <c r="J532" i="7"/>
  <c r="L531" i="7"/>
  <c r="K531" i="7"/>
  <c r="J531" i="7"/>
  <c r="L530" i="7"/>
  <c r="K530" i="7"/>
  <c r="J530" i="7"/>
  <c r="L529" i="7"/>
  <c r="K529" i="7"/>
  <c r="J529" i="7"/>
  <c r="L528" i="7"/>
  <c r="K528" i="7"/>
  <c r="J528" i="7"/>
  <c r="L527" i="7"/>
  <c r="K527" i="7"/>
  <c r="J527" i="7"/>
  <c r="L526" i="7"/>
  <c r="K526" i="7"/>
  <c r="J526" i="7"/>
  <c r="L525" i="7"/>
  <c r="K525" i="7"/>
  <c r="J525" i="7"/>
  <c r="L524" i="7"/>
  <c r="K524" i="7"/>
  <c r="J524" i="7"/>
  <c r="L523" i="7"/>
  <c r="K523" i="7"/>
  <c r="J523" i="7"/>
  <c r="L522" i="7"/>
  <c r="K522" i="7"/>
  <c r="J522" i="7"/>
  <c r="L521" i="7"/>
  <c r="K521" i="7"/>
  <c r="J521" i="7"/>
  <c r="L520" i="7"/>
  <c r="K520" i="7"/>
  <c r="J520" i="7"/>
  <c r="L519" i="7"/>
  <c r="K519" i="7"/>
  <c r="J519" i="7"/>
  <c r="L518" i="7"/>
  <c r="K518" i="7"/>
  <c r="J518" i="7"/>
  <c r="L517" i="7"/>
  <c r="K517" i="7"/>
  <c r="J517" i="7"/>
  <c r="L516" i="7"/>
  <c r="K516" i="7"/>
  <c r="J516" i="7"/>
  <c r="L515" i="7"/>
  <c r="K515" i="7"/>
  <c r="J515" i="7"/>
  <c r="L514" i="7"/>
  <c r="K514" i="7"/>
  <c r="J514" i="7"/>
  <c r="L513" i="7"/>
  <c r="K513" i="7"/>
  <c r="J513" i="7"/>
  <c r="L512" i="7"/>
  <c r="K512" i="7"/>
  <c r="J512" i="7"/>
  <c r="L511" i="7"/>
  <c r="K511" i="7"/>
  <c r="J511" i="7"/>
  <c r="L510" i="7"/>
  <c r="K510" i="7"/>
  <c r="J510" i="7"/>
  <c r="L509" i="7"/>
  <c r="K509" i="7"/>
  <c r="J509" i="7"/>
  <c r="L508" i="7"/>
  <c r="K508" i="7"/>
  <c r="J508" i="7"/>
  <c r="L507" i="7"/>
  <c r="K507" i="7"/>
  <c r="J507" i="7"/>
  <c r="L506" i="7"/>
  <c r="K506" i="7"/>
  <c r="J506" i="7"/>
  <c r="L505" i="7"/>
  <c r="K505" i="7"/>
  <c r="J505" i="7"/>
  <c r="L504" i="7"/>
  <c r="K504" i="7"/>
  <c r="J504" i="7"/>
  <c r="L503" i="7"/>
  <c r="K503" i="7"/>
  <c r="J503" i="7"/>
  <c r="L502" i="7"/>
  <c r="K502" i="7"/>
  <c r="J502" i="7"/>
  <c r="L501" i="7"/>
  <c r="K501" i="7"/>
  <c r="J501" i="7"/>
  <c r="L500" i="7"/>
  <c r="K500" i="7"/>
  <c r="J500" i="7"/>
  <c r="L499" i="7"/>
  <c r="K499" i="7"/>
  <c r="J499" i="7"/>
  <c r="L498" i="7"/>
  <c r="K498" i="7"/>
  <c r="J498" i="7"/>
  <c r="L497" i="7"/>
  <c r="K497" i="7"/>
  <c r="J497" i="7"/>
  <c r="L496" i="7"/>
  <c r="K496" i="7"/>
  <c r="J496" i="7"/>
  <c r="L495" i="7"/>
  <c r="K495" i="7"/>
  <c r="J495" i="7"/>
  <c r="L494" i="7"/>
  <c r="K494" i="7"/>
  <c r="J494" i="7"/>
  <c r="L493" i="7"/>
  <c r="K493" i="7"/>
  <c r="J493" i="7"/>
  <c r="L492" i="7"/>
  <c r="K492" i="7"/>
  <c r="J492" i="7"/>
  <c r="L491" i="7"/>
  <c r="K491" i="7"/>
  <c r="J491" i="7"/>
  <c r="L490" i="7"/>
  <c r="K490" i="7"/>
  <c r="J490" i="7"/>
  <c r="L489" i="7"/>
  <c r="K489" i="7"/>
  <c r="J489" i="7"/>
  <c r="L488" i="7"/>
  <c r="K488" i="7"/>
  <c r="J488" i="7"/>
  <c r="L487" i="7"/>
  <c r="K487" i="7"/>
  <c r="J487" i="7"/>
  <c r="L486" i="7"/>
  <c r="K486" i="7"/>
  <c r="J486" i="7"/>
  <c r="L485" i="7"/>
  <c r="K485" i="7"/>
  <c r="J485" i="7"/>
  <c r="L484" i="7"/>
  <c r="K484" i="7"/>
  <c r="J484" i="7"/>
  <c r="L483" i="7"/>
  <c r="K483" i="7"/>
  <c r="J483" i="7"/>
  <c r="L482" i="7"/>
  <c r="K482" i="7"/>
  <c r="J482" i="7"/>
  <c r="L481" i="7"/>
  <c r="K481" i="7"/>
  <c r="J481" i="7"/>
  <c r="L480" i="7"/>
  <c r="K480" i="7"/>
  <c r="J480" i="7"/>
  <c r="L479" i="7"/>
  <c r="K479" i="7"/>
  <c r="J479" i="7"/>
  <c r="L478" i="7"/>
  <c r="K478" i="7"/>
  <c r="J478" i="7"/>
  <c r="L477" i="7"/>
  <c r="K477" i="7"/>
  <c r="J477" i="7"/>
  <c r="L476" i="7"/>
  <c r="K476" i="7"/>
  <c r="J476" i="7"/>
  <c r="L475" i="7"/>
  <c r="K475" i="7"/>
  <c r="J475" i="7"/>
  <c r="L474" i="7"/>
  <c r="K474" i="7"/>
  <c r="J474" i="7"/>
  <c r="L473" i="7"/>
  <c r="K473" i="7"/>
  <c r="J473" i="7"/>
  <c r="L472" i="7"/>
  <c r="K472" i="7"/>
  <c r="J472" i="7"/>
  <c r="L471" i="7"/>
  <c r="K471" i="7"/>
  <c r="J471" i="7"/>
  <c r="L470" i="7"/>
  <c r="K470" i="7"/>
  <c r="J470" i="7"/>
  <c r="L469" i="7"/>
  <c r="K469" i="7"/>
  <c r="J469" i="7"/>
  <c r="L468" i="7"/>
  <c r="K468" i="7"/>
  <c r="J468" i="7"/>
  <c r="L467" i="7"/>
  <c r="K467" i="7"/>
  <c r="J467" i="7"/>
  <c r="L466" i="7"/>
  <c r="K466" i="7"/>
  <c r="J466" i="7"/>
  <c r="L465" i="7"/>
  <c r="K465" i="7"/>
  <c r="J465" i="7"/>
  <c r="L464" i="7"/>
  <c r="K464" i="7"/>
  <c r="J464" i="7"/>
  <c r="L463" i="7"/>
  <c r="K463" i="7"/>
  <c r="J463" i="7"/>
  <c r="L462" i="7"/>
  <c r="K462" i="7"/>
  <c r="J462" i="7"/>
  <c r="L461" i="7"/>
  <c r="K461" i="7"/>
  <c r="J461" i="7"/>
  <c r="L460" i="7"/>
  <c r="K460" i="7"/>
  <c r="J460" i="7"/>
  <c r="L459" i="7"/>
  <c r="K459" i="7"/>
  <c r="J459" i="7"/>
  <c r="L458" i="7"/>
  <c r="K458" i="7"/>
  <c r="J458" i="7"/>
  <c r="L457" i="7"/>
  <c r="K457" i="7"/>
  <c r="J457" i="7"/>
  <c r="L456" i="7"/>
  <c r="K456" i="7"/>
  <c r="J456" i="7"/>
  <c r="L455" i="7"/>
  <c r="K455" i="7"/>
  <c r="J455" i="7"/>
  <c r="L454" i="7"/>
  <c r="K454" i="7"/>
  <c r="J454" i="7"/>
  <c r="L453" i="7"/>
  <c r="K453" i="7"/>
  <c r="J453" i="7"/>
  <c r="L452" i="7"/>
  <c r="K452" i="7"/>
  <c r="J452" i="7"/>
  <c r="L451" i="7"/>
  <c r="K451" i="7"/>
  <c r="J451" i="7"/>
  <c r="L450" i="7"/>
  <c r="K450" i="7"/>
  <c r="J450" i="7"/>
  <c r="L449" i="7"/>
  <c r="K449" i="7"/>
  <c r="J449" i="7"/>
  <c r="L448" i="7"/>
  <c r="K448" i="7"/>
  <c r="J448" i="7"/>
  <c r="L447" i="7"/>
  <c r="K447" i="7"/>
  <c r="J447" i="7"/>
  <c r="L446" i="7"/>
  <c r="K446" i="7"/>
  <c r="J446" i="7"/>
  <c r="L445" i="7"/>
  <c r="K445" i="7"/>
  <c r="J445" i="7"/>
  <c r="L444" i="7"/>
  <c r="K444" i="7"/>
  <c r="J444" i="7"/>
  <c r="L443" i="7"/>
  <c r="K443" i="7"/>
  <c r="J443" i="7"/>
  <c r="L442" i="7"/>
  <c r="K442" i="7"/>
  <c r="J442" i="7"/>
  <c r="L441" i="7"/>
  <c r="K441" i="7"/>
  <c r="J441" i="7"/>
  <c r="L440" i="7"/>
  <c r="K440" i="7"/>
  <c r="J440" i="7"/>
  <c r="L439" i="7"/>
  <c r="K439" i="7"/>
  <c r="J439" i="7"/>
  <c r="L438" i="7"/>
  <c r="K438" i="7"/>
  <c r="J438" i="7"/>
  <c r="L437" i="7"/>
  <c r="K437" i="7"/>
  <c r="J437" i="7"/>
  <c r="L436" i="7"/>
  <c r="K436" i="7"/>
  <c r="J436" i="7"/>
  <c r="L435" i="7"/>
  <c r="K435" i="7"/>
  <c r="J435" i="7"/>
  <c r="L434" i="7"/>
  <c r="K434" i="7"/>
  <c r="J434" i="7"/>
  <c r="L433" i="7"/>
  <c r="K433" i="7"/>
  <c r="J433" i="7"/>
  <c r="L432" i="7"/>
  <c r="K432" i="7"/>
  <c r="J432" i="7"/>
  <c r="L431" i="7"/>
  <c r="K431" i="7"/>
  <c r="J431" i="7"/>
  <c r="L430" i="7"/>
  <c r="K430" i="7"/>
  <c r="J430" i="7"/>
  <c r="L429" i="7"/>
  <c r="K429" i="7"/>
  <c r="J429" i="7"/>
  <c r="L428" i="7"/>
  <c r="K428" i="7"/>
  <c r="J428" i="7"/>
  <c r="L427" i="7"/>
  <c r="K427" i="7"/>
  <c r="J427" i="7"/>
  <c r="L426" i="7"/>
  <c r="K426" i="7"/>
  <c r="J426" i="7"/>
  <c r="L425" i="7"/>
  <c r="K425" i="7"/>
  <c r="J425" i="7"/>
  <c r="L424" i="7"/>
  <c r="K424" i="7"/>
  <c r="J424" i="7"/>
  <c r="L423" i="7"/>
  <c r="K423" i="7"/>
  <c r="J423" i="7"/>
  <c r="L422" i="7"/>
  <c r="K422" i="7"/>
  <c r="J422" i="7"/>
  <c r="L421" i="7"/>
  <c r="K421" i="7"/>
  <c r="J421" i="7"/>
  <c r="L420" i="7"/>
  <c r="K420" i="7"/>
  <c r="J420" i="7"/>
  <c r="L419" i="7"/>
  <c r="K419" i="7"/>
  <c r="J419" i="7"/>
  <c r="L418" i="7"/>
  <c r="K418" i="7"/>
  <c r="J418" i="7"/>
  <c r="L417" i="7"/>
  <c r="K417" i="7"/>
  <c r="J417" i="7"/>
  <c r="L416" i="7"/>
  <c r="K416" i="7"/>
  <c r="J416" i="7"/>
  <c r="L415" i="7"/>
  <c r="K415" i="7"/>
  <c r="J415" i="7"/>
  <c r="L414" i="7"/>
  <c r="K414" i="7"/>
  <c r="J414" i="7"/>
  <c r="L413" i="7"/>
  <c r="K413" i="7"/>
  <c r="J413" i="7"/>
  <c r="L412" i="7"/>
  <c r="K412" i="7"/>
  <c r="J412" i="7"/>
  <c r="L411" i="7"/>
  <c r="K411" i="7"/>
  <c r="J411" i="7"/>
  <c r="L410" i="7"/>
  <c r="K410" i="7"/>
  <c r="J410" i="7"/>
  <c r="L409" i="7"/>
  <c r="K409" i="7"/>
  <c r="J409" i="7"/>
  <c r="L408" i="7"/>
  <c r="K408" i="7"/>
  <c r="J408" i="7"/>
  <c r="L407" i="7"/>
  <c r="K407" i="7"/>
  <c r="J407" i="7"/>
  <c r="L406" i="7"/>
  <c r="K406" i="7"/>
  <c r="J406" i="7"/>
  <c r="L405" i="7"/>
  <c r="K405" i="7"/>
  <c r="J405" i="7"/>
  <c r="L404" i="7"/>
  <c r="K404" i="7"/>
  <c r="J404" i="7"/>
  <c r="L403" i="7"/>
  <c r="K403" i="7"/>
  <c r="J403" i="7"/>
  <c r="L402" i="7"/>
  <c r="K402" i="7"/>
  <c r="J402" i="7"/>
  <c r="L401" i="7"/>
  <c r="K401" i="7"/>
  <c r="J401" i="7"/>
  <c r="L400" i="7"/>
  <c r="K400" i="7"/>
  <c r="J400" i="7"/>
  <c r="L399" i="7"/>
  <c r="K399" i="7"/>
  <c r="J399" i="7"/>
  <c r="L398" i="7"/>
  <c r="K398" i="7"/>
  <c r="J398" i="7"/>
  <c r="L397" i="7"/>
  <c r="K397" i="7"/>
  <c r="J397" i="7"/>
  <c r="L396" i="7"/>
  <c r="K396" i="7"/>
  <c r="J396" i="7"/>
  <c r="L395" i="7"/>
  <c r="K395" i="7"/>
  <c r="J395" i="7"/>
  <c r="L394" i="7"/>
  <c r="K394" i="7"/>
  <c r="J394" i="7"/>
  <c r="L393" i="7"/>
  <c r="K393" i="7"/>
  <c r="J393" i="7"/>
  <c r="L392" i="7"/>
  <c r="K392" i="7"/>
  <c r="J392" i="7"/>
  <c r="L391" i="7"/>
  <c r="K391" i="7"/>
  <c r="J391" i="7"/>
  <c r="L390" i="7"/>
  <c r="K390" i="7"/>
  <c r="J390" i="7"/>
  <c r="L389" i="7"/>
  <c r="K389" i="7"/>
  <c r="J389" i="7"/>
  <c r="L388" i="7"/>
  <c r="K388" i="7"/>
  <c r="J388" i="7"/>
  <c r="L387" i="7"/>
  <c r="K387" i="7"/>
  <c r="J387" i="7"/>
  <c r="L386" i="7"/>
  <c r="K386" i="7"/>
  <c r="J386" i="7"/>
  <c r="L385" i="7"/>
  <c r="K385" i="7"/>
  <c r="J385" i="7"/>
  <c r="L384" i="7"/>
  <c r="K384" i="7"/>
  <c r="J384" i="7"/>
  <c r="L383" i="7"/>
  <c r="K383" i="7"/>
  <c r="J383" i="7"/>
  <c r="L382" i="7"/>
  <c r="K382" i="7"/>
  <c r="J382" i="7"/>
  <c r="L381" i="7"/>
  <c r="K381" i="7"/>
  <c r="J381" i="7"/>
  <c r="L380" i="7"/>
  <c r="K380" i="7"/>
  <c r="J380" i="7"/>
  <c r="L379" i="7"/>
  <c r="K379" i="7"/>
  <c r="J379" i="7"/>
  <c r="L378" i="7"/>
  <c r="K378" i="7"/>
  <c r="J378" i="7"/>
  <c r="L377" i="7"/>
  <c r="K377" i="7"/>
  <c r="J377" i="7"/>
  <c r="L376" i="7"/>
  <c r="K376" i="7"/>
  <c r="J376" i="7"/>
  <c r="L375" i="7"/>
  <c r="K375" i="7"/>
  <c r="J375" i="7"/>
  <c r="L374" i="7"/>
  <c r="K374" i="7"/>
  <c r="J374" i="7"/>
  <c r="L373" i="7"/>
  <c r="K373" i="7"/>
  <c r="J373" i="7"/>
  <c r="L372" i="7"/>
  <c r="K372" i="7"/>
  <c r="J372" i="7"/>
  <c r="L371" i="7"/>
  <c r="K371" i="7"/>
  <c r="J371" i="7"/>
  <c r="L370" i="7"/>
  <c r="K370" i="7"/>
  <c r="J370" i="7"/>
  <c r="L369" i="7"/>
  <c r="K369" i="7"/>
  <c r="J369" i="7"/>
  <c r="L368" i="7"/>
  <c r="K368" i="7"/>
  <c r="J368" i="7"/>
  <c r="L367" i="7"/>
  <c r="K367" i="7"/>
  <c r="J367" i="7"/>
  <c r="L366" i="7"/>
  <c r="K366" i="7"/>
  <c r="J366" i="7"/>
  <c r="L365" i="7"/>
  <c r="K365" i="7"/>
  <c r="J365" i="7"/>
  <c r="D8" i="3" s="1"/>
  <c r="J8" i="3" s="1"/>
  <c r="C19" i="1" s="1"/>
  <c r="L364" i="7"/>
  <c r="K364" i="7"/>
  <c r="J364" i="7"/>
  <c r="L363" i="7"/>
  <c r="K363" i="7"/>
  <c r="J363" i="7"/>
  <c r="L362" i="7"/>
  <c r="K362" i="7"/>
  <c r="J362" i="7"/>
  <c r="L361" i="7"/>
  <c r="K361" i="7"/>
  <c r="J361" i="7"/>
  <c r="L360" i="7"/>
  <c r="K360" i="7"/>
  <c r="J360" i="7"/>
  <c r="L359" i="7"/>
  <c r="K359" i="7"/>
  <c r="J359" i="7"/>
  <c r="L358" i="7"/>
  <c r="K358" i="7"/>
  <c r="J358" i="7"/>
  <c r="L357" i="7"/>
  <c r="K357" i="7"/>
  <c r="J357" i="7"/>
  <c r="L356" i="7"/>
  <c r="K356" i="7"/>
  <c r="J356" i="7"/>
  <c r="L355" i="7"/>
  <c r="K355" i="7"/>
  <c r="J355" i="7"/>
  <c r="L354" i="7"/>
  <c r="K354" i="7"/>
  <c r="J354" i="7"/>
  <c r="L353" i="7"/>
  <c r="K353" i="7"/>
  <c r="J353" i="7"/>
  <c r="L352" i="7"/>
  <c r="K352" i="7"/>
  <c r="J352" i="7"/>
  <c r="L351" i="7"/>
  <c r="K351" i="7"/>
  <c r="J351" i="7"/>
  <c r="L350" i="7"/>
  <c r="K350" i="7"/>
  <c r="J350" i="7"/>
  <c r="L349" i="7"/>
  <c r="K349" i="7"/>
  <c r="J349" i="7"/>
  <c r="L348" i="7"/>
  <c r="K348" i="7"/>
  <c r="J348" i="7"/>
  <c r="L347" i="7"/>
  <c r="K347" i="7"/>
  <c r="J347" i="7"/>
  <c r="L346" i="7"/>
  <c r="K346" i="7"/>
  <c r="J346" i="7"/>
  <c r="L345" i="7"/>
  <c r="K345" i="7"/>
  <c r="J345" i="7"/>
  <c r="L344" i="7"/>
  <c r="K344" i="7"/>
  <c r="J344" i="7"/>
  <c r="L343" i="7"/>
  <c r="K343" i="7"/>
  <c r="J343" i="7"/>
  <c r="L342" i="7"/>
  <c r="K342" i="7"/>
  <c r="J342" i="7"/>
  <c r="L341" i="7"/>
  <c r="K341" i="7"/>
  <c r="J341" i="7"/>
  <c r="L340" i="7"/>
  <c r="K340" i="7"/>
  <c r="J340" i="7"/>
  <c r="L339" i="7"/>
  <c r="K339" i="7"/>
  <c r="J339" i="7"/>
  <c r="L338" i="7"/>
  <c r="K338" i="7"/>
  <c r="J338" i="7"/>
  <c r="L337" i="7"/>
  <c r="K337" i="7"/>
  <c r="J337" i="7"/>
  <c r="L336" i="7"/>
  <c r="K336" i="7"/>
  <c r="J336" i="7"/>
  <c r="L335" i="7"/>
  <c r="K335" i="7"/>
  <c r="J335" i="7"/>
  <c r="L334" i="7"/>
  <c r="K334" i="7"/>
  <c r="J334" i="7"/>
  <c r="L333" i="7"/>
  <c r="K333" i="7"/>
  <c r="J333" i="7"/>
  <c r="L332" i="7"/>
  <c r="K332" i="7"/>
  <c r="J332" i="7"/>
  <c r="L331" i="7"/>
  <c r="K331" i="7"/>
  <c r="J331" i="7"/>
  <c r="L330" i="7"/>
  <c r="K330" i="7"/>
  <c r="J330" i="7"/>
  <c r="L329" i="7"/>
  <c r="K329" i="7"/>
  <c r="J329" i="7"/>
  <c r="L328" i="7"/>
  <c r="K328" i="7"/>
  <c r="J328" i="7"/>
  <c r="L327" i="7"/>
  <c r="K327" i="7"/>
  <c r="J327" i="7"/>
  <c r="L326" i="7"/>
  <c r="K326" i="7"/>
  <c r="J326" i="7"/>
  <c r="L325" i="7"/>
  <c r="K325" i="7"/>
  <c r="J325" i="7"/>
  <c r="L324" i="7"/>
  <c r="K324" i="7"/>
  <c r="J324" i="7"/>
  <c r="L323" i="7"/>
  <c r="K323" i="7"/>
  <c r="J323" i="7"/>
  <c r="L322" i="7"/>
  <c r="K322" i="7"/>
  <c r="J322" i="7"/>
  <c r="L321" i="7"/>
  <c r="K321" i="7"/>
  <c r="J321" i="7"/>
  <c r="L320" i="7"/>
  <c r="K320" i="7"/>
  <c r="J320" i="7"/>
  <c r="L319" i="7"/>
  <c r="K319" i="7"/>
  <c r="J319" i="7"/>
  <c r="L318" i="7"/>
  <c r="K318" i="7"/>
  <c r="J318" i="7"/>
  <c r="L317" i="7"/>
  <c r="K317" i="7"/>
  <c r="J317" i="7"/>
  <c r="L316" i="7"/>
  <c r="K316" i="7"/>
  <c r="J316" i="7"/>
  <c r="L315" i="7"/>
  <c r="K315" i="7"/>
  <c r="J315" i="7"/>
  <c r="L314" i="7"/>
  <c r="K314" i="7"/>
  <c r="J314" i="7"/>
  <c r="L313" i="7"/>
  <c r="K313" i="7"/>
  <c r="J313" i="7"/>
  <c r="L312" i="7"/>
  <c r="K312" i="7"/>
  <c r="J312" i="7"/>
  <c r="L311" i="7"/>
  <c r="K311" i="7"/>
  <c r="J311" i="7"/>
  <c r="L310" i="7"/>
  <c r="K310" i="7"/>
  <c r="J310" i="7"/>
  <c r="L309" i="7"/>
  <c r="K309" i="7"/>
  <c r="J309" i="7"/>
  <c r="L308" i="7"/>
  <c r="K308" i="7"/>
  <c r="J308" i="7"/>
  <c r="L307" i="7"/>
  <c r="K307" i="7"/>
  <c r="J307" i="7"/>
  <c r="L306" i="7"/>
  <c r="K306" i="7"/>
  <c r="J306" i="7"/>
  <c r="L305" i="7"/>
  <c r="K305" i="7"/>
  <c r="J305" i="7"/>
  <c r="L304" i="7"/>
  <c r="K304" i="7"/>
  <c r="J304" i="7"/>
  <c r="L303" i="7"/>
  <c r="K303" i="7"/>
  <c r="J303" i="7"/>
  <c r="L302" i="7"/>
  <c r="K302" i="7"/>
  <c r="J302" i="7"/>
  <c r="L301" i="7"/>
  <c r="K301" i="7"/>
  <c r="J301" i="7"/>
  <c r="L300" i="7"/>
  <c r="K300" i="7"/>
  <c r="J300" i="7"/>
  <c r="L299" i="7"/>
  <c r="K299" i="7"/>
  <c r="J299" i="7"/>
  <c r="L298" i="7"/>
  <c r="K298" i="7"/>
  <c r="J298" i="7"/>
  <c r="L297" i="7"/>
  <c r="K297" i="7"/>
  <c r="J297" i="7"/>
  <c r="L296" i="7"/>
  <c r="K296" i="7"/>
  <c r="J296" i="7"/>
  <c r="L295" i="7"/>
  <c r="K295" i="7"/>
  <c r="J295" i="7"/>
  <c r="L294" i="7"/>
  <c r="K294" i="7"/>
  <c r="J294" i="7"/>
  <c r="L293" i="7"/>
  <c r="K293" i="7"/>
  <c r="J293" i="7"/>
  <c r="L292" i="7"/>
  <c r="K292" i="7"/>
  <c r="J292" i="7"/>
  <c r="L291" i="7"/>
  <c r="K291" i="7"/>
  <c r="J291" i="7"/>
  <c r="L290" i="7"/>
  <c r="K290" i="7"/>
  <c r="J290" i="7"/>
  <c r="L289" i="7"/>
  <c r="K289" i="7"/>
  <c r="J289" i="7"/>
  <c r="L288" i="7"/>
  <c r="K288" i="7"/>
  <c r="J288" i="7"/>
  <c r="L287" i="7"/>
  <c r="K287" i="7"/>
  <c r="J287" i="7"/>
  <c r="L286" i="7"/>
  <c r="K286" i="7"/>
  <c r="J286" i="7"/>
  <c r="L285" i="7"/>
  <c r="K285" i="7"/>
  <c r="J285" i="7"/>
  <c r="L284" i="7"/>
  <c r="K284" i="7"/>
  <c r="J284" i="7"/>
  <c r="L283" i="7"/>
  <c r="K283" i="7"/>
  <c r="J283" i="7"/>
  <c r="L282" i="7"/>
  <c r="K282" i="7"/>
  <c r="J282" i="7"/>
  <c r="L281" i="7"/>
  <c r="K281" i="7"/>
  <c r="J281" i="7"/>
  <c r="L280" i="7"/>
  <c r="K280" i="7"/>
  <c r="J280" i="7"/>
  <c r="L279" i="7"/>
  <c r="K279" i="7"/>
  <c r="J279" i="7"/>
  <c r="L278" i="7"/>
  <c r="K278" i="7"/>
  <c r="J278" i="7"/>
  <c r="L277" i="7"/>
  <c r="K277" i="7"/>
  <c r="J277" i="7"/>
  <c r="L276" i="7"/>
  <c r="K276" i="7"/>
  <c r="J276" i="7"/>
  <c r="L275" i="7"/>
  <c r="K275" i="7"/>
  <c r="J275" i="7"/>
  <c r="L274" i="7"/>
  <c r="K274" i="7"/>
  <c r="J274" i="7"/>
  <c r="L273" i="7"/>
  <c r="K273" i="7"/>
  <c r="J273" i="7"/>
  <c r="L272" i="7"/>
  <c r="K272" i="7"/>
  <c r="J272" i="7"/>
  <c r="L271" i="7"/>
  <c r="K271" i="7"/>
  <c r="J271" i="7"/>
  <c r="L270" i="7"/>
  <c r="K270" i="7"/>
  <c r="J270" i="7"/>
  <c r="L269" i="7"/>
  <c r="K269" i="7"/>
  <c r="J269" i="7"/>
  <c r="L268" i="7"/>
  <c r="K268" i="7"/>
  <c r="J268" i="7"/>
  <c r="L267" i="7"/>
  <c r="K267" i="7"/>
  <c r="J267" i="7"/>
  <c r="L266" i="7"/>
  <c r="K266" i="7"/>
  <c r="J266" i="7"/>
  <c r="L265" i="7"/>
  <c r="K265" i="7"/>
  <c r="J265" i="7"/>
  <c r="L264" i="7"/>
  <c r="K264" i="7"/>
  <c r="J264" i="7"/>
  <c r="L263" i="7"/>
  <c r="K263" i="7"/>
  <c r="J263" i="7"/>
  <c r="L262" i="7"/>
  <c r="K262" i="7"/>
  <c r="J262" i="7"/>
  <c r="L261" i="7"/>
  <c r="K261" i="7"/>
  <c r="J261" i="7"/>
  <c r="L260" i="7"/>
  <c r="K260" i="7"/>
  <c r="J260" i="7"/>
  <c r="L259" i="7"/>
  <c r="K259" i="7"/>
  <c r="J259" i="7"/>
  <c r="L258" i="7"/>
  <c r="K258" i="7"/>
  <c r="J258" i="7"/>
  <c r="L257" i="7"/>
  <c r="K257" i="7"/>
  <c r="J257" i="7"/>
  <c r="L256" i="7"/>
  <c r="K256" i="7"/>
  <c r="J256" i="7"/>
  <c r="L255" i="7"/>
  <c r="K255" i="7"/>
  <c r="J255" i="7"/>
  <c r="L254" i="7"/>
  <c r="K254" i="7"/>
  <c r="J254" i="7"/>
  <c r="L253" i="7"/>
  <c r="K253" i="7"/>
  <c r="J253" i="7"/>
  <c r="L252" i="7"/>
  <c r="K252" i="7"/>
  <c r="J252" i="7"/>
  <c r="L251" i="7"/>
  <c r="K251" i="7"/>
  <c r="J251" i="7"/>
  <c r="L250" i="7"/>
  <c r="K250" i="7"/>
  <c r="J250" i="7"/>
  <c r="L249" i="7"/>
  <c r="K249" i="7"/>
  <c r="J249" i="7"/>
  <c r="L248" i="7"/>
  <c r="K248" i="7"/>
  <c r="J248" i="7"/>
  <c r="L247" i="7"/>
  <c r="K247" i="7"/>
  <c r="J247" i="7"/>
  <c r="L246" i="7"/>
  <c r="K246" i="7"/>
  <c r="J246" i="7"/>
  <c r="L245" i="7"/>
  <c r="K245" i="7"/>
  <c r="J245" i="7"/>
  <c r="L244" i="7"/>
  <c r="K244" i="7"/>
  <c r="J244" i="7"/>
  <c r="L243" i="7"/>
  <c r="K243" i="7"/>
  <c r="J243" i="7"/>
  <c r="L242" i="7"/>
  <c r="K242" i="7"/>
  <c r="J242" i="7"/>
  <c r="L241" i="7"/>
  <c r="K241" i="7"/>
  <c r="J241" i="7"/>
  <c r="L240" i="7"/>
  <c r="K240" i="7"/>
  <c r="J240" i="7"/>
  <c r="L239" i="7"/>
  <c r="K239" i="7"/>
  <c r="J239" i="7"/>
  <c r="L238" i="7"/>
  <c r="K238" i="7"/>
  <c r="J238" i="7"/>
  <c r="L237" i="7"/>
  <c r="K237" i="7"/>
  <c r="J237" i="7"/>
  <c r="L236" i="7"/>
  <c r="K236" i="7"/>
  <c r="J236" i="7"/>
  <c r="L235" i="7"/>
  <c r="K235" i="7"/>
  <c r="J235" i="7"/>
  <c r="L234" i="7"/>
  <c r="K234" i="7"/>
  <c r="J234" i="7"/>
  <c r="L233" i="7"/>
  <c r="K233" i="7"/>
  <c r="J233" i="7"/>
  <c r="L232" i="7"/>
  <c r="K232" i="7"/>
  <c r="J232" i="7"/>
  <c r="L231" i="7"/>
  <c r="K231" i="7"/>
  <c r="J231" i="7"/>
  <c r="L230" i="7"/>
  <c r="K230" i="7"/>
  <c r="J230" i="7"/>
  <c r="L229" i="7"/>
  <c r="K229" i="7"/>
  <c r="J229" i="7"/>
  <c r="L228" i="7"/>
  <c r="K228" i="7"/>
  <c r="J228" i="7"/>
  <c r="L227" i="7"/>
  <c r="K227" i="7"/>
  <c r="J227" i="7"/>
  <c r="L226" i="7"/>
  <c r="K226" i="7"/>
  <c r="J226" i="7"/>
  <c r="L225" i="7"/>
  <c r="K225" i="7"/>
  <c r="J225" i="7"/>
  <c r="L224" i="7"/>
  <c r="K224" i="7"/>
  <c r="J224" i="7"/>
  <c r="L223" i="7"/>
  <c r="K223" i="7"/>
  <c r="J223" i="7"/>
  <c r="L222" i="7"/>
  <c r="K222" i="7"/>
  <c r="J222" i="7"/>
  <c r="L221" i="7"/>
  <c r="K221" i="7"/>
  <c r="J221" i="7"/>
  <c r="L220" i="7"/>
  <c r="K220" i="7"/>
  <c r="J220" i="7"/>
  <c r="L219" i="7"/>
  <c r="K219" i="7"/>
  <c r="J219" i="7"/>
  <c r="L218" i="7"/>
  <c r="K218" i="7"/>
  <c r="J218" i="7"/>
  <c r="L217" i="7"/>
  <c r="K217" i="7"/>
  <c r="J217" i="7"/>
  <c r="L216" i="7"/>
  <c r="K216" i="7"/>
  <c r="J216" i="7"/>
  <c r="L215" i="7"/>
  <c r="K215" i="7"/>
  <c r="J215" i="7"/>
  <c r="L214" i="7"/>
  <c r="K214" i="7"/>
  <c r="J214" i="7"/>
  <c r="L213" i="7"/>
  <c r="K213" i="7"/>
  <c r="J213" i="7"/>
  <c r="L212" i="7"/>
  <c r="K212" i="7"/>
  <c r="J212" i="7"/>
  <c r="L211" i="7"/>
  <c r="K211" i="7"/>
  <c r="J211" i="7"/>
  <c r="L210" i="7"/>
  <c r="K210" i="7"/>
  <c r="J210" i="7"/>
  <c r="L209" i="7"/>
  <c r="K209" i="7"/>
  <c r="J209" i="7"/>
  <c r="L208" i="7"/>
  <c r="K208" i="7"/>
  <c r="J208" i="7"/>
  <c r="L207" i="7"/>
  <c r="K207" i="7"/>
  <c r="J207" i="7"/>
  <c r="L206" i="7"/>
  <c r="K206" i="7"/>
  <c r="J206" i="7"/>
  <c r="L205" i="7"/>
  <c r="K205" i="7"/>
  <c r="J205" i="7"/>
  <c r="L204" i="7"/>
  <c r="K204" i="7"/>
  <c r="J204" i="7"/>
  <c r="L203" i="7"/>
  <c r="K203" i="7"/>
  <c r="J203" i="7"/>
  <c r="L202" i="7"/>
  <c r="K202" i="7"/>
  <c r="J202" i="7"/>
  <c r="L201" i="7"/>
  <c r="K201" i="7"/>
  <c r="J201" i="7"/>
  <c r="L200" i="7"/>
  <c r="K200" i="7"/>
  <c r="J200" i="7"/>
  <c r="L199" i="7"/>
  <c r="K199" i="7"/>
  <c r="J199" i="7"/>
  <c r="L198" i="7"/>
  <c r="K198" i="7"/>
  <c r="J198" i="7"/>
  <c r="L197" i="7"/>
  <c r="K197" i="7"/>
  <c r="J197" i="7"/>
  <c r="L196" i="7"/>
  <c r="K196" i="7"/>
  <c r="J196" i="7"/>
  <c r="L195" i="7"/>
  <c r="K195" i="7"/>
  <c r="J195" i="7"/>
  <c r="L194" i="7"/>
  <c r="K194" i="7"/>
  <c r="J194" i="7"/>
  <c r="L193" i="7"/>
  <c r="K193" i="7"/>
  <c r="J193" i="7"/>
  <c r="L192" i="7"/>
  <c r="K192" i="7"/>
  <c r="J192" i="7"/>
  <c r="L191" i="7"/>
  <c r="K191" i="7"/>
  <c r="J191" i="7"/>
  <c r="L190" i="7"/>
  <c r="K190" i="7"/>
  <c r="J190" i="7"/>
  <c r="L189" i="7"/>
  <c r="K189" i="7"/>
  <c r="J189" i="7"/>
  <c r="L188" i="7"/>
  <c r="K188" i="7"/>
  <c r="J188" i="7"/>
  <c r="L187" i="7"/>
  <c r="K187" i="7"/>
  <c r="J187" i="7"/>
  <c r="L186" i="7"/>
  <c r="K186" i="7"/>
  <c r="J186" i="7"/>
  <c r="L185" i="7"/>
  <c r="K185" i="7"/>
  <c r="J185" i="7"/>
  <c r="D7" i="3" s="1"/>
  <c r="J7" i="3" s="1"/>
  <c r="C18" i="1" s="1"/>
  <c r="L184" i="7"/>
  <c r="H7" i="3" s="1"/>
  <c r="I7" i="3" s="1"/>
  <c r="K184" i="7"/>
  <c r="F7" i="3" s="1"/>
  <c r="J184" i="7"/>
  <c r="L183" i="7"/>
  <c r="K183" i="7"/>
  <c r="J183" i="7"/>
  <c r="L182" i="7"/>
  <c r="K182" i="7"/>
  <c r="J182" i="7"/>
  <c r="L181" i="7"/>
  <c r="K181" i="7"/>
  <c r="J181" i="7"/>
  <c r="E47" i="4" s="1"/>
  <c r="F47" i="4" s="1"/>
  <c r="L180" i="7"/>
  <c r="K180" i="7"/>
  <c r="J180" i="7"/>
  <c r="L179" i="7"/>
  <c r="K179" i="7"/>
  <c r="J179" i="7"/>
  <c r="L178" i="7"/>
  <c r="K178" i="7"/>
  <c r="J178" i="7"/>
  <c r="L177" i="7"/>
  <c r="K177" i="7"/>
  <c r="J177" i="7"/>
  <c r="L176" i="7"/>
  <c r="K176" i="7"/>
  <c r="J176" i="7"/>
  <c r="L175" i="7"/>
  <c r="K175" i="7"/>
  <c r="J175" i="7"/>
  <c r="L174" i="7"/>
  <c r="K174" i="7"/>
  <c r="J174" i="7"/>
  <c r="L173" i="7"/>
  <c r="K173" i="7"/>
  <c r="J173" i="7"/>
  <c r="L172" i="7"/>
  <c r="K172" i="7"/>
  <c r="J172" i="7"/>
  <c r="L171" i="7"/>
  <c r="K171" i="7"/>
  <c r="J171" i="7"/>
  <c r="L170" i="7"/>
  <c r="K170" i="7"/>
  <c r="J170" i="7"/>
  <c r="L169" i="7"/>
  <c r="K169" i="7"/>
  <c r="J169" i="7"/>
  <c r="E35" i="4" s="1"/>
  <c r="F35" i="4" s="1"/>
  <c r="L168" i="7"/>
  <c r="K168" i="7"/>
  <c r="J168" i="7"/>
  <c r="L167" i="7"/>
  <c r="K167" i="7"/>
  <c r="J167" i="7"/>
  <c r="L166" i="7"/>
  <c r="K166" i="7"/>
  <c r="J166" i="7"/>
  <c r="L165" i="7"/>
  <c r="K165" i="7"/>
  <c r="J165" i="7"/>
  <c r="E31" i="4" s="1"/>
  <c r="F31" i="4" s="1"/>
  <c r="L164" i="7"/>
  <c r="K164" i="7"/>
  <c r="J164" i="7"/>
  <c r="L163" i="7"/>
  <c r="K163" i="7"/>
  <c r="J163" i="7"/>
  <c r="L162" i="7"/>
  <c r="K162" i="7"/>
  <c r="J162" i="7"/>
  <c r="L161" i="7"/>
  <c r="K161" i="7"/>
  <c r="J161" i="7"/>
  <c r="E27" i="4" s="1"/>
  <c r="F27" i="4" s="1"/>
  <c r="L160" i="7"/>
  <c r="K160" i="7"/>
  <c r="J160" i="7"/>
  <c r="L159" i="7"/>
  <c r="K159" i="7"/>
  <c r="J159" i="7"/>
  <c r="L158" i="7"/>
  <c r="K158" i="7"/>
  <c r="J158" i="7"/>
  <c r="L157" i="7"/>
  <c r="K157" i="7"/>
  <c r="J157" i="7"/>
  <c r="E23" i="4" s="1"/>
  <c r="F23" i="4" s="1"/>
  <c r="L156" i="7"/>
  <c r="K156" i="7"/>
  <c r="J156" i="7"/>
  <c r="L155" i="7"/>
  <c r="K155" i="7"/>
  <c r="J155" i="7"/>
  <c r="L154" i="7"/>
  <c r="K154" i="7"/>
  <c r="J154" i="7"/>
  <c r="L153" i="7"/>
  <c r="K153" i="7"/>
  <c r="J153" i="7"/>
  <c r="E19" i="4" s="1"/>
  <c r="F19" i="4" s="1"/>
  <c r="L152" i="7"/>
  <c r="K152" i="7"/>
  <c r="J152" i="7"/>
  <c r="L151" i="7"/>
  <c r="K151" i="7"/>
  <c r="J151" i="7"/>
  <c r="L150" i="7"/>
  <c r="K150" i="7"/>
  <c r="J150" i="7"/>
  <c r="L149" i="7"/>
  <c r="K149" i="7"/>
  <c r="J149" i="7"/>
  <c r="E15" i="4" s="1"/>
  <c r="F15" i="4" s="1"/>
  <c r="L148" i="7"/>
  <c r="K148" i="7"/>
  <c r="J148" i="7"/>
  <c r="L147" i="7"/>
  <c r="K147" i="7"/>
  <c r="J147" i="7"/>
  <c r="L146" i="7"/>
  <c r="K146" i="7"/>
  <c r="J146" i="7"/>
  <c r="L145" i="7"/>
  <c r="K145" i="7"/>
  <c r="J145" i="7"/>
  <c r="E11" i="4" s="1"/>
  <c r="F11" i="4" s="1"/>
  <c r="L144" i="7"/>
  <c r="K144" i="7"/>
  <c r="J144" i="7"/>
  <c r="L143" i="7"/>
  <c r="K143" i="7"/>
  <c r="J143" i="7"/>
  <c r="L142" i="7"/>
  <c r="K142" i="7"/>
  <c r="J142" i="7"/>
  <c r="L141" i="7"/>
  <c r="K141" i="7"/>
  <c r="J141" i="7"/>
  <c r="E7" i="4" s="1"/>
  <c r="F7" i="4" s="1"/>
  <c r="L140" i="7"/>
  <c r="K140" i="7"/>
  <c r="J140" i="7"/>
  <c r="L139" i="7"/>
  <c r="K139" i="7"/>
  <c r="J139" i="7"/>
  <c r="L138" i="7"/>
  <c r="K138" i="7"/>
  <c r="J138" i="7"/>
  <c r="L137" i="7"/>
  <c r="K137" i="7"/>
  <c r="J137" i="7"/>
  <c r="E48" i="4" s="1"/>
  <c r="F48" i="4" s="1"/>
  <c r="L136" i="7"/>
  <c r="K136" i="7"/>
  <c r="J136" i="7"/>
  <c r="L135" i="7"/>
  <c r="K135" i="7"/>
  <c r="J135" i="7"/>
  <c r="L134" i="7"/>
  <c r="K134" i="7"/>
  <c r="J134" i="7"/>
  <c r="L133" i="7"/>
  <c r="K133" i="7"/>
  <c r="J133" i="7"/>
  <c r="E44" i="4" s="1"/>
  <c r="F44" i="4" s="1"/>
  <c r="L132" i="7"/>
  <c r="K132" i="7"/>
  <c r="J132" i="7"/>
  <c r="L131" i="7"/>
  <c r="K131" i="7"/>
  <c r="J131" i="7"/>
  <c r="L130" i="7"/>
  <c r="K130" i="7"/>
  <c r="J130" i="7"/>
  <c r="L129" i="7"/>
  <c r="K129" i="7"/>
  <c r="J129" i="7"/>
  <c r="E40" i="4" s="1"/>
  <c r="F40" i="4" s="1"/>
  <c r="L128" i="7"/>
  <c r="K128" i="7"/>
  <c r="J128" i="7"/>
  <c r="L127" i="7"/>
  <c r="K127" i="7"/>
  <c r="J127" i="7"/>
  <c r="L126" i="7"/>
  <c r="K126" i="7"/>
  <c r="J126" i="7"/>
  <c r="L125" i="7"/>
  <c r="K125" i="7"/>
  <c r="J125" i="7"/>
  <c r="E36" i="4" s="1"/>
  <c r="F36" i="4" s="1"/>
  <c r="L124" i="7"/>
  <c r="K124" i="7"/>
  <c r="J124" i="7"/>
  <c r="L123" i="7"/>
  <c r="K123" i="7"/>
  <c r="J123" i="7"/>
  <c r="L122" i="7"/>
  <c r="K122" i="7"/>
  <c r="J122" i="7"/>
  <c r="L121" i="7"/>
  <c r="K121" i="7"/>
  <c r="J121" i="7"/>
  <c r="E32" i="4" s="1"/>
  <c r="F32" i="4" s="1"/>
  <c r="L120" i="7"/>
  <c r="K120" i="7"/>
  <c r="J120" i="7"/>
  <c r="L119" i="7"/>
  <c r="K119" i="7"/>
  <c r="J119" i="7"/>
  <c r="L118" i="7"/>
  <c r="K118" i="7"/>
  <c r="J118" i="7"/>
  <c r="L117" i="7"/>
  <c r="K117" i="7"/>
  <c r="J117" i="7"/>
  <c r="E28" i="4" s="1"/>
  <c r="F28" i="4" s="1"/>
  <c r="L116" i="7"/>
  <c r="K116" i="7"/>
  <c r="J116" i="7"/>
  <c r="L115" i="7"/>
  <c r="K115" i="7"/>
  <c r="J115" i="7"/>
  <c r="L114" i="7"/>
  <c r="K114" i="7"/>
  <c r="J114" i="7"/>
  <c r="L113" i="7"/>
  <c r="K113" i="7"/>
  <c r="J113" i="7"/>
  <c r="E24" i="4" s="1"/>
  <c r="F24" i="4" s="1"/>
  <c r="L112" i="7"/>
  <c r="K112" i="7"/>
  <c r="J112" i="7"/>
  <c r="L111" i="7"/>
  <c r="K111" i="7"/>
  <c r="J111" i="7"/>
  <c r="L110" i="7"/>
  <c r="K110" i="7"/>
  <c r="J110" i="7"/>
  <c r="L109" i="7"/>
  <c r="K109" i="7"/>
  <c r="J109" i="7"/>
  <c r="E20" i="4" s="1"/>
  <c r="F20" i="4" s="1"/>
  <c r="L108" i="7"/>
  <c r="K108" i="7"/>
  <c r="J108" i="7"/>
  <c r="L107" i="7"/>
  <c r="K107" i="7"/>
  <c r="J107" i="7"/>
  <c r="L106" i="7"/>
  <c r="K106" i="7"/>
  <c r="J106" i="7"/>
  <c r="L105" i="7"/>
  <c r="K105" i="7"/>
  <c r="J105" i="7"/>
  <c r="L104" i="7"/>
  <c r="K104" i="7"/>
  <c r="J104" i="7"/>
  <c r="L103" i="7"/>
  <c r="K103" i="7"/>
  <c r="J103" i="7"/>
  <c r="L102" i="7"/>
  <c r="K102" i="7"/>
  <c r="J102" i="7"/>
  <c r="L101" i="7"/>
  <c r="K101" i="7"/>
  <c r="J101" i="7"/>
  <c r="L100" i="7"/>
  <c r="K100" i="7"/>
  <c r="J100" i="7"/>
  <c r="L99" i="7"/>
  <c r="K99" i="7"/>
  <c r="J99" i="7"/>
  <c r="L98" i="7"/>
  <c r="K98" i="7"/>
  <c r="J98" i="7"/>
  <c r="L97" i="7"/>
  <c r="K97" i="7"/>
  <c r="J97" i="7"/>
  <c r="E8" i="4" s="1"/>
  <c r="F8" i="4" s="1"/>
  <c r="L96" i="7"/>
  <c r="K96" i="7"/>
  <c r="J96" i="7"/>
  <c r="L95" i="7"/>
  <c r="K95" i="7"/>
  <c r="J95" i="7"/>
  <c r="L94" i="7"/>
  <c r="K94" i="7"/>
  <c r="J94" i="7"/>
  <c r="L93" i="7"/>
  <c r="K93" i="7"/>
  <c r="J93" i="7"/>
  <c r="E49" i="4" s="1"/>
  <c r="F49" i="4" s="1"/>
  <c r="L92" i="7"/>
  <c r="K92" i="7"/>
  <c r="J92" i="7"/>
  <c r="L91" i="7"/>
  <c r="K91" i="7"/>
  <c r="J91" i="7"/>
  <c r="L90" i="7"/>
  <c r="K90" i="7"/>
  <c r="J90" i="7"/>
  <c r="L89" i="7"/>
  <c r="K89" i="7"/>
  <c r="J89" i="7"/>
  <c r="E45" i="4" s="1"/>
  <c r="F45" i="4" s="1"/>
  <c r="L88" i="7"/>
  <c r="K88" i="7"/>
  <c r="J88" i="7"/>
  <c r="L87" i="7"/>
  <c r="K87" i="7"/>
  <c r="J87" i="7"/>
  <c r="L86" i="7"/>
  <c r="K86" i="7"/>
  <c r="J86" i="7"/>
  <c r="L85" i="7"/>
  <c r="K85" i="7"/>
  <c r="J85" i="7"/>
  <c r="L84" i="7"/>
  <c r="K84" i="7"/>
  <c r="J84" i="7"/>
  <c r="L83" i="7"/>
  <c r="K83" i="7"/>
  <c r="J83" i="7"/>
  <c r="L82" i="7"/>
  <c r="K82" i="7"/>
  <c r="J82" i="7"/>
  <c r="L81" i="7"/>
  <c r="K81" i="7"/>
  <c r="J81" i="7"/>
  <c r="L80" i="7"/>
  <c r="K80" i="7"/>
  <c r="J80" i="7"/>
  <c r="L79" i="7"/>
  <c r="K79" i="7"/>
  <c r="J79" i="7"/>
  <c r="L78" i="7"/>
  <c r="K78" i="7"/>
  <c r="J78" i="7"/>
  <c r="L77" i="7"/>
  <c r="K77" i="7"/>
  <c r="J77" i="7"/>
  <c r="E33" i="4" s="1"/>
  <c r="F33" i="4" s="1"/>
  <c r="L76" i="7"/>
  <c r="K76" i="7"/>
  <c r="J76" i="7"/>
  <c r="L75" i="7"/>
  <c r="K75" i="7"/>
  <c r="J75" i="7"/>
  <c r="L74" i="7"/>
  <c r="K74" i="7"/>
  <c r="J74" i="7"/>
  <c r="L73" i="7"/>
  <c r="K73" i="7"/>
  <c r="J73" i="7"/>
  <c r="E29" i="4" s="1"/>
  <c r="F29" i="4" s="1"/>
  <c r="L72" i="7"/>
  <c r="K72" i="7"/>
  <c r="J72" i="7"/>
  <c r="L71" i="7"/>
  <c r="K71" i="7"/>
  <c r="J71" i="7"/>
  <c r="L70" i="7"/>
  <c r="K70" i="7"/>
  <c r="J70" i="7"/>
  <c r="L69" i="7"/>
  <c r="K69" i="7"/>
  <c r="J69" i="7"/>
  <c r="E25" i="4" s="1"/>
  <c r="F25" i="4" s="1"/>
  <c r="L68" i="7"/>
  <c r="K68" i="7"/>
  <c r="J68" i="7"/>
  <c r="L67" i="7"/>
  <c r="K67" i="7"/>
  <c r="J67" i="7"/>
  <c r="L66" i="7"/>
  <c r="K66" i="7"/>
  <c r="J66" i="7"/>
  <c r="L65" i="7"/>
  <c r="K65" i="7"/>
  <c r="J65" i="7"/>
  <c r="E21" i="4" s="1"/>
  <c r="F21" i="4" s="1"/>
  <c r="L64" i="7"/>
  <c r="K64" i="7"/>
  <c r="J64" i="7"/>
  <c r="L63" i="7"/>
  <c r="K63" i="7"/>
  <c r="J63" i="7"/>
  <c r="L62" i="7"/>
  <c r="K62" i="7"/>
  <c r="J62" i="7"/>
  <c r="L61" i="7"/>
  <c r="K61" i="7"/>
  <c r="J61" i="7"/>
  <c r="E17" i="4" s="1"/>
  <c r="F17" i="4" s="1"/>
  <c r="L60" i="7"/>
  <c r="K60" i="7"/>
  <c r="J60" i="7"/>
  <c r="L59" i="7"/>
  <c r="K59" i="7"/>
  <c r="J59" i="7"/>
  <c r="L58" i="7"/>
  <c r="K58" i="7"/>
  <c r="J58" i="7"/>
  <c r="L57" i="7"/>
  <c r="K57" i="7"/>
  <c r="J57" i="7"/>
  <c r="E13" i="4" s="1"/>
  <c r="F13" i="4" s="1"/>
  <c r="L56" i="7"/>
  <c r="K56" i="7"/>
  <c r="J56" i="7"/>
  <c r="L55" i="7"/>
  <c r="K55" i="7"/>
  <c r="J55" i="7"/>
  <c r="L54" i="7"/>
  <c r="K54" i="7"/>
  <c r="J54" i="7"/>
  <c r="L53" i="7"/>
  <c r="K53" i="7"/>
  <c r="J53" i="7"/>
  <c r="E9" i="4" s="1"/>
  <c r="F9" i="4" s="1"/>
  <c r="L52" i="7"/>
  <c r="K52" i="7"/>
  <c r="J52" i="7"/>
  <c r="L51" i="7"/>
  <c r="K51" i="7"/>
  <c r="J51" i="7"/>
  <c r="L50" i="7"/>
  <c r="K50" i="7"/>
  <c r="J50" i="7"/>
  <c r="L49" i="7"/>
  <c r="K49" i="7"/>
  <c r="J49" i="7"/>
  <c r="E5" i="4" s="1"/>
  <c r="F5" i="4" s="1"/>
  <c r="L48" i="7"/>
  <c r="K48" i="7"/>
  <c r="J48" i="7"/>
  <c r="L47" i="7"/>
  <c r="K47" i="7"/>
  <c r="J47" i="7"/>
  <c r="L46" i="7"/>
  <c r="K46" i="7"/>
  <c r="J46" i="7"/>
  <c r="L45" i="7"/>
  <c r="K45" i="7"/>
  <c r="J45" i="7"/>
  <c r="E46" i="4" s="1"/>
  <c r="F46" i="4" s="1"/>
  <c r="G46" i="4" s="1"/>
  <c r="J46" i="4" s="1"/>
  <c r="L44" i="7"/>
  <c r="K44" i="7"/>
  <c r="J44" i="7"/>
  <c r="L43" i="7"/>
  <c r="K43" i="7"/>
  <c r="J43" i="7"/>
  <c r="L42" i="7"/>
  <c r="K42" i="7"/>
  <c r="J42" i="7"/>
  <c r="L41" i="7"/>
  <c r="K41" i="7"/>
  <c r="J41" i="7"/>
  <c r="E42" i="4" s="1"/>
  <c r="F42" i="4" s="1"/>
  <c r="G42" i="4" s="1"/>
  <c r="J42" i="4" s="1"/>
  <c r="L40" i="7"/>
  <c r="K40" i="7"/>
  <c r="J40" i="7"/>
  <c r="L39" i="7"/>
  <c r="K39" i="7"/>
  <c r="J39" i="7"/>
  <c r="L38" i="7"/>
  <c r="K38" i="7"/>
  <c r="J38" i="7"/>
  <c r="L37" i="7"/>
  <c r="K37" i="7"/>
  <c r="J37" i="7"/>
  <c r="E38" i="4" s="1"/>
  <c r="F38" i="4" s="1"/>
  <c r="L36" i="7"/>
  <c r="K36" i="7"/>
  <c r="J36" i="7"/>
  <c r="L35" i="7"/>
  <c r="K35" i="7"/>
  <c r="J35" i="7"/>
  <c r="L34" i="7"/>
  <c r="K34" i="7"/>
  <c r="J34" i="7"/>
  <c r="L33" i="7"/>
  <c r="K33" i="7"/>
  <c r="J33" i="7"/>
  <c r="E34" i="4" s="1"/>
  <c r="F34" i="4" s="1"/>
  <c r="L32" i="7"/>
  <c r="K32" i="7"/>
  <c r="J32" i="7"/>
  <c r="L31" i="7"/>
  <c r="K31" i="7"/>
  <c r="J31" i="7"/>
  <c r="L30" i="7"/>
  <c r="K30" i="7"/>
  <c r="J30" i="7"/>
  <c r="L29" i="7"/>
  <c r="K29" i="7"/>
  <c r="J29" i="7"/>
  <c r="E30" i="4" s="1"/>
  <c r="F30" i="4" s="1"/>
  <c r="G30" i="4" s="1"/>
  <c r="J30" i="4" s="1"/>
  <c r="L28" i="7"/>
  <c r="K28" i="7"/>
  <c r="J28" i="7"/>
  <c r="L27" i="7"/>
  <c r="K27" i="7"/>
  <c r="J27" i="7"/>
  <c r="L26" i="7"/>
  <c r="K26" i="7"/>
  <c r="J26" i="7"/>
  <c r="L25" i="7"/>
  <c r="K25" i="7"/>
  <c r="J25" i="7"/>
  <c r="E26" i="4" s="1"/>
  <c r="F26" i="4" s="1"/>
  <c r="L24" i="7"/>
  <c r="K24" i="7"/>
  <c r="J24" i="7"/>
  <c r="L23" i="7"/>
  <c r="K23" i="7"/>
  <c r="J23" i="7"/>
  <c r="L22" i="7"/>
  <c r="K22" i="7"/>
  <c r="J22" i="7"/>
  <c r="L21" i="7"/>
  <c r="K21" i="7"/>
  <c r="J21" i="7"/>
  <c r="E22" i="4" s="1"/>
  <c r="F22" i="4" s="1"/>
  <c r="G22" i="4" s="1"/>
  <c r="J22" i="4" s="1"/>
  <c r="L20" i="7"/>
  <c r="K20" i="7"/>
  <c r="J20" i="7"/>
  <c r="L19" i="7"/>
  <c r="K19" i="7"/>
  <c r="J19" i="7"/>
  <c r="L18" i="7"/>
  <c r="K18" i="7"/>
  <c r="J18" i="7"/>
  <c r="L17" i="7"/>
  <c r="K17" i="7"/>
  <c r="J17" i="7"/>
  <c r="L16" i="7"/>
  <c r="K16" i="7"/>
  <c r="J16" i="7"/>
  <c r="L15" i="7"/>
  <c r="K15" i="7"/>
  <c r="J15" i="7"/>
  <c r="L14" i="7"/>
  <c r="K14" i="7"/>
  <c r="J14" i="7"/>
  <c r="L13" i="7"/>
  <c r="K13" i="7"/>
  <c r="J13" i="7"/>
  <c r="L12" i="7"/>
  <c r="K12" i="7"/>
  <c r="J12" i="7"/>
  <c r="L11" i="7"/>
  <c r="K11" i="7"/>
  <c r="J11" i="7"/>
  <c r="L10" i="7"/>
  <c r="K10" i="7"/>
  <c r="J10" i="7"/>
  <c r="L9" i="7"/>
  <c r="K9" i="7"/>
  <c r="J9" i="7"/>
  <c r="E10" i="4" s="1"/>
  <c r="F10" i="4" s="1"/>
  <c r="L8" i="7"/>
  <c r="K8" i="7"/>
  <c r="J8" i="7"/>
  <c r="L7" i="7"/>
  <c r="K7" i="7"/>
  <c r="J7" i="7"/>
  <c r="L6" i="7"/>
  <c r="K6" i="7"/>
  <c r="J6" i="7"/>
  <c r="L5" i="7"/>
  <c r="K5" i="7"/>
  <c r="J5" i="7"/>
  <c r="D8" i="1" s="1"/>
  <c r="G8" i="1" s="1"/>
  <c r="J8" i="1" s="1"/>
  <c r="L4" i="7"/>
  <c r="H6" i="3" s="1"/>
  <c r="K4" i="7"/>
  <c r="J4" i="7"/>
  <c r="G82" i="5"/>
  <c r="B82" i="5"/>
  <c r="G81" i="5"/>
  <c r="B81" i="5"/>
  <c r="G80" i="5"/>
  <c r="C80" i="5"/>
  <c r="D80" i="5" s="1"/>
  <c r="B80" i="5"/>
  <c r="G79" i="5"/>
  <c r="B79" i="5"/>
  <c r="G78" i="5"/>
  <c r="B78" i="5"/>
  <c r="G77" i="5"/>
  <c r="B77" i="5"/>
  <c r="G76" i="5"/>
  <c r="B76" i="5"/>
  <c r="G75" i="5"/>
  <c r="B75" i="5"/>
  <c r="G74" i="5"/>
  <c r="C74" i="5"/>
  <c r="D74" i="5" s="1"/>
  <c r="E74" i="5" s="1"/>
  <c r="H74" i="5" s="1"/>
  <c r="B74" i="5"/>
  <c r="G73" i="5"/>
  <c r="B73" i="5"/>
  <c r="G72" i="5"/>
  <c r="B72" i="5"/>
  <c r="G71" i="5"/>
  <c r="C71" i="5"/>
  <c r="D71" i="5" s="1"/>
  <c r="B71" i="5"/>
  <c r="G70" i="5"/>
  <c r="B70" i="5"/>
  <c r="G69" i="5"/>
  <c r="B69" i="5"/>
  <c r="G68" i="5"/>
  <c r="B68" i="5"/>
  <c r="G67" i="5"/>
  <c r="B67" i="5"/>
  <c r="G66" i="5"/>
  <c r="C66" i="5"/>
  <c r="D66" i="5" s="1"/>
  <c r="B66" i="5"/>
  <c r="G65" i="5"/>
  <c r="C65" i="5"/>
  <c r="D65" i="5" s="1"/>
  <c r="B65" i="5"/>
  <c r="G64" i="5"/>
  <c r="B64" i="5"/>
  <c r="G63" i="5"/>
  <c r="B63" i="5"/>
  <c r="G62" i="5"/>
  <c r="B62" i="5"/>
  <c r="G61" i="5"/>
  <c r="B61" i="5"/>
  <c r="G60" i="5"/>
  <c r="B60" i="5"/>
  <c r="G59" i="5"/>
  <c r="B59" i="5"/>
  <c r="G58" i="5"/>
  <c r="B58" i="5"/>
  <c r="G57" i="5"/>
  <c r="B57" i="5"/>
  <c r="G56" i="5"/>
  <c r="B56" i="5"/>
  <c r="G55" i="5"/>
  <c r="B55" i="5"/>
  <c r="G54" i="5"/>
  <c r="C54" i="5"/>
  <c r="D54" i="5" s="1"/>
  <c r="B54" i="5"/>
  <c r="G53" i="5"/>
  <c r="B53" i="5"/>
  <c r="G52" i="5"/>
  <c r="B52" i="5"/>
  <c r="G51" i="5"/>
  <c r="B51" i="5"/>
  <c r="G50" i="5"/>
  <c r="C50" i="5"/>
  <c r="D50" i="5" s="1"/>
  <c r="B50" i="5"/>
  <c r="G49" i="5"/>
  <c r="B49" i="5"/>
  <c r="G48" i="5"/>
  <c r="B48" i="5"/>
  <c r="G47" i="5"/>
  <c r="C47" i="5"/>
  <c r="D47" i="5" s="1"/>
  <c r="B47" i="5"/>
  <c r="G46" i="5"/>
  <c r="B46" i="5"/>
  <c r="G45" i="5"/>
  <c r="B45" i="5"/>
  <c r="G44" i="5"/>
  <c r="B44" i="5"/>
  <c r="G43" i="5"/>
  <c r="B43" i="5"/>
  <c r="G42" i="5"/>
  <c r="B42" i="5"/>
  <c r="G41" i="5"/>
  <c r="B41" i="5"/>
  <c r="G40" i="5"/>
  <c r="B40" i="5"/>
  <c r="G39" i="5"/>
  <c r="B39" i="5"/>
  <c r="G38" i="5"/>
  <c r="B38" i="5"/>
  <c r="G37" i="5"/>
  <c r="B37" i="5"/>
  <c r="G36" i="5"/>
  <c r="B36" i="5"/>
  <c r="G35" i="5"/>
  <c r="B35" i="5"/>
  <c r="G34" i="5"/>
  <c r="B34" i="5"/>
  <c r="G33" i="5"/>
  <c r="B33" i="5"/>
  <c r="G32" i="5"/>
  <c r="B32" i="5"/>
  <c r="G31" i="5"/>
  <c r="C31" i="5"/>
  <c r="D31" i="5" s="1"/>
  <c r="B31" i="5"/>
  <c r="G30" i="5"/>
  <c r="B30" i="5"/>
  <c r="G29" i="5"/>
  <c r="B29" i="5"/>
  <c r="G28" i="5"/>
  <c r="B28" i="5"/>
  <c r="G27" i="5"/>
  <c r="B27" i="5"/>
  <c r="G26" i="5"/>
  <c r="B26" i="5"/>
  <c r="G25" i="5"/>
  <c r="B25" i="5"/>
  <c r="G24" i="5"/>
  <c r="B24" i="5"/>
  <c r="G23" i="5"/>
  <c r="C23" i="5"/>
  <c r="D23" i="5" s="1"/>
  <c r="B23" i="5"/>
  <c r="G22" i="5"/>
  <c r="B22" i="5"/>
  <c r="G21" i="5"/>
  <c r="B21" i="5"/>
  <c r="G20" i="5"/>
  <c r="C20" i="5"/>
  <c r="D20" i="5" s="1"/>
  <c r="B20" i="5"/>
  <c r="G19" i="5"/>
  <c r="B19" i="5"/>
  <c r="G18" i="5"/>
  <c r="B18" i="5"/>
  <c r="G17" i="5"/>
  <c r="B17" i="5"/>
  <c r="G16" i="5"/>
  <c r="C16" i="5"/>
  <c r="D16" i="5" s="1"/>
  <c r="B16" i="5"/>
  <c r="G15" i="5"/>
  <c r="B15" i="5"/>
  <c r="G14" i="5"/>
  <c r="B14" i="5"/>
  <c r="G13" i="5"/>
  <c r="C13" i="5"/>
  <c r="D13" i="5" s="1"/>
  <c r="B13" i="5"/>
  <c r="G12" i="5"/>
  <c r="B12" i="5"/>
  <c r="G11" i="5"/>
  <c r="B11" i="5"/>
  <c r="G10" i="5"/>
  <c r="B10" i="5"/>
  <c r="G9" i="5"/>
  <c r="B9" i="5"/>
  <c r="G8" i="5"/>
  <c r="C8" i="5"/>
  <c r="D8" i="5" s="1"/>
  <c r="B8" i="5"/>
  <c r="G7" i="5"/>
  <c r="B7" i="5"/>
  <c r="G6" i="5"/>
  <c r="B6" i="5"/>
  <c r="G5" i="5"/>
  <c r="B5" i="5"/>
  <c r="I49" i="4"/>
  <c r="D49" i="4"/>
  <c r="C49" i="4"/>
  <c r="B49" i="4"/>
  <c r="I48" i="4"/>
  <c r="D48" i="4"/>
  <c r="C48" i="4"/>
  <c r="B48" i="4"/>
  <c r="I47" i="4"/>
  <c r="D47" i="4"/>
  <c r="C47" i="4"/>
  <c r="B47" i="4"/>
  <c r="I46" i="4"/>
  <c r="D46" i="4"/>
  <c r="C46" i="4"/>
  <c r="B46" i="4"/>
  <c r="I45" i="4"/>
  <c r="D45" i="4"/>
  <c r="C45" i="4"/>
  <c r="B45" i="4"/>
  <c r="I44" i="4"/>
  <c r="D44" i="4"/>
  <c r="C44" i="4"/>
  <c r="B44" i="4"/>
  <c r="I43" i="4"/>
  <c r="E43" i="4"/>
  <c r="F43" i="4" s="1"/>
  <c r="D43" i="4"/>
  <c r="C43" i="4"/>
  <c r="B43" i="4"/>
  <c r="I42" i="4"/>
  <c r="D42" i="4"/>
  <c r="C42" i="4"/>
  <c r="B42" i="4"/>
  <c r="I41" i="4"/>
  <c r="E41" i="4"/>
  <c r="F41" i="4" s="1"/>
  <c r="D41" i="4"/>
  <c r="C41" i="4"/>
  <c r="B41" i="4"/>
  <c r="I40" i="4"/>
  <c r="D40" i="4"/>
  <c r="C40" i="4"/>
  <c r="B40" i="4"/>
  <c r="I39" i="4"/>
  <c r="E39" i="4"/>
  <c r="F39" i="4" s="1"/>
  <c r="D39" i="4"/>
  <c r="C39" i="4"/>
  <c r="B39" i="4"/>
  <c r="I38" i="4"/>
  <c r="D38" i="4"/>
  <c r="C38" i="4"/>
  <c r="B38" i="4"/>
  <c r="I37" i="4"/>
  <c r="E37" i="4"/>
  <c r="F37" i="4" s="1"/>
  <c r="D37" i="4"/>
  <c r="C37" i="4"/>
  <c r="B37" i="4"/>
  <c r="I36" i="4"/>
  <c r="D36" i="4"/>
  <c r="C36" i="4"/>
  <c r="B36" i="4"/>
  <c r="I35" i="4"/>
  <c r="D35" i="4"/>
  <c r="C35" i="4"/>
  <c r="B35" i="4"/>
  <c r="I34" i="4"/>
  <c r="D34" i="4"/>
  <c r="C34" i="4"/>
  <c r="B34" i="4"/>
  <c r="I33" i="4"/>
  <c r="D33" i="4"/>
  <c r="C33" i="4"/>
  <c r="B33" i="4"/>
  <c r="I32" i="4"/>
  <c r="D32" i="4"/>
  <c r="C32" i="4"/>
  <c r="B32" i="4"/>
  <c r="I31" i="4"/>
  <c r="D31" i="4"/>
  <c r="C31" i="4"/>
  <c r="B31" i="4"/>
  <c r="I30" i="4"/>
  <c r="D30" i="4"/>
  <c r="C30" i="4"/>
  <c r="B30" i="4"/>
  <c r="I29" i="4"/>
  <c r="D29" i="4"/>
  <c r="C29" i="4"/>
  <c r="B29" i="4"/>
  <c r="I28" i="4"/>
  <c r="D28" i="4"/>
  <c r="C28" i="4"/>
  <c r="B28" i="4"/>
  <c r="I27" i="4"/>
  <c r="D27" i="4"/>
  <c r="C27" i="4"/>
  <c r="B27" i="4"/>
  <c r="I26" i="4"/>
  <c r="D26" i="4"/>
  <c r="C26" i="4"/>
  <c r="B26" i="4"/>
  <c r="I25" i="4"/>
  <c r="D25" i="4"/>
  <c r="C25" i="4"/>
  <c r="B25" i="4"/>
  <c r="I24" i="4"/>
  <c r="D24" i="4"/>
  <c r="C24" i="4"/>
  <c r="B24" i="4"/>
  <c r="I23" i="4"/>
  <c r="D23" i="4"/>
  <c r="C23" i="4"/>
  <c r="B23" i="4"/>
  <c r="I22" i="4"/>
  <c r="D22" i="4"/>
  <c r="C22" i="4"/>
  <c r="B22" i="4"/>
  <c r="I21" i="4"/>
  <c r="D21" i="4"/>
  <c r="C21" i="4"/>
  <c r="B21" i="4"/>
  <c r="I20" i="4"/>
  <c r="D20" i="4"/>
  <c r="C20" i="4"/>
  <c r="B20" i="4"/>
  <c r="I19" i="4"/>
  <c r="D19" i="4"/>
  <c r="C19" i="4"/>
  <c r="B19" i="4"/>
  <c r="I18" i="4"/>
  <c r="E18" i="4"/>
  <c r="F18" i="4" s="1"/>
  <c r="D18" i="4"/>
  <c r="C18" i="4"/>
  <c r="B18" i="4"/>
  <c r="I17" i="4"/>
  <c r="D17" i="4"/>
  <c r="C17" i="4"/>
  <c r="B17" i="4"/>
  <c r="I16" i="4"/>
  <c r="E16" i="4"/>
  <c r="F16" i="4" s="1"/>
  <c r="D16" i="4"/>
  <c r="C16" i="4"/>
  <c r="B16" i="4"/>
  <c r="I15" i="4"/>
  <c r="D15" i="4"/>
  <c r="C15" i="4"/>
  <c r="B15" i="4"/>
  <c r="I14" i="4"/>
  <c r="E14" i="4"/>
  <c r="F14" i="4" s="1"/>
  <c r="G14" i="4" s="1"/>
  <c r="J14" i="4" s="1"/>
  <c r="D14" i="4"/>
  <c r="C14" i="4"/>
  <c r="B14" i="4"/>
  <c r="I13" i="4"/>
  <c r="D13" i="4"/>
  <c r="C13" i="4"/>
  <c r="B13" i="4"/>
  <c r="I12" i="4"/>
  <c r="E12" i="4"/>
  <c r="F12" i="4" s="1"/>
  <c r="D12" i="4"/>
  <c r="C12" i="4"/>
  <c r="B12" i="4"/>
  <c r="I11" i="4"/>
  <c r="D11" i="4"/>
  <c r="C11" i="4"/>
  <c r="B11" i="4"/>
  <c r="I10" i="4"/>
  <c r="D10" i="4"/>
  <c r="C10" i="4"/>
  <c r="B10" i="4"/>
  <c r="I9" i="4"/>
  <c r="D9" i="4"/>
  <c r="C9" i="4"/>
  <c r="B9" i="4"/>
  <c r="I8" i="4"/>
  <c r="D8" i="4"/>
  <c r="C8" i="4"/>
  <c r="B8" i="4"/>
  <c r="I7" i="4"/>
  <c r="D7" i="4"/>
  <c r="C7" i="4"/>
  <c r="B7" i="4"/>
  <c r="I6" i="4"/>
  <c r="D6" i="4"/>
  <c r="C6" i="4"/>
  <c r="B6" i="4"/>
  <c r="I5" i="4"/>
  <c r="D5" i="4"/>
  <c r="C5" i="4"/>
  <c r="B5" i="4"/>
  <c r="C15" i="3"/>
  <c r="E26" i="1" s="1"/>
  <c r="B15" i="3"/>
  <c r="G15" i="3" s="1"/>
  <c r="H14" i="3"/>
  <c r="I14" i="3" s="1"/>
  <c r="F14" i="3"/>
  <c r="C14" i="3"/>
  <c r="E25" i="1" s="1"/>
  <c r="B14" i="3"/>
  <c r="F13" i="3"/>
  <c r="C13" i="3"/>
  <c r="E24" i="1" s="1"/>
  <c r="B13" i="3"/>
  <c r="F12" i="3"/>
  <c r="D12" i="3"/>
  <c r="J12" i="3" s="1"/>
  <c r="C23" i="1" s="1"/>
  <c r="C12" i="3"/>
  <c r="E23" i="1" s="1"/>
  <c r="B12" i="3"/>
  <c r="C11" i="3"/>
  <c r="E22" i="1" s="1"/>
  <c r="B11" i="3"/>
  <c r="B22" i="1" s="1"/>
  <c r="F10" i="3"/>
  <c r="G10" i="3" s="1"/>
  <c r="D10" i="3"/>
  <c r="J10" i="3" s="1"/>
  <c r="C21" i="1" s="1"/>
  <c r="C10" i="3"/>
  <c r="E21" i="1" s="1"/>
  <c r="B10" i="3"/>
  <c r="F9" i="3"/>
  <c r="C9" i="3"/>
  <c r="B9" i="3"/>
  <c r="G9" i="3" s="1"/>
  <c r="F8" i="3"/>
  <c r="C8" i="3"/>
  <c r="E19" i="1" s="1"/>
  <c r="B8" i="3"/>
  <c r="C7" i="3"/>
  <c r="B7" i="3"/>
  <c r="G7" i="3" s="1"/>
  <c r="F6" i="3"/>
  <c r="G6" i="3" s="1"/>
  <c r="D6" i="3"/>
  <c r="C6" i="3"/>
  <c r="E17" i="1" s="1"/>
  <c r="B6" i="3"/>
  <c r="B25" i="1"/>
  <c r="B24" i="1"/>
  <c r="B21" i="1"/>
  <c r="E20" i="1"/>
  <c r="E18" i="1"/>
  <c r="B18" i="1"/>
  <c r="B17" i="1"/>
  <c r="D12" i="1"/>
  <c r="A12" i="1"/>
  <c r="A8" i="1"/>
  <c r="B5" i="1"/>
  <c r="E11" i="3" l="1"/>
  <c r="J11" i="3"/>
  <c r="C22" i="1" s="1"/>
  <c r="I6" i="3"/>
  <c r="E6" i="4"/>
  <c r="F6" i="4" s="1"/>
  <c r="G6" i="4" s="1"/>
  <c r="J6" i="4" s="1"/>
  <c r="E7" i="3"/>
  <c r="G14" i="3"/>
  <c r="E12" i="5"/>
  <c r="H12" i="5" s="1"/>
  <c r="E6" i="3"/>
  <c r="G13" i="3"/>
  <c r="E80" i="5"/>
  <c r="H80" i="5" s="1"/>
  <c r="G33" i="4"/>
  <c r="J33" i="4" s="1"/>
  <c r="E35" i="5"/>
  <c r="H35" i="5" s="1"/>
  <c r="C60" i="5"/>
  <c r="D60" i="5" s="1"/>
  <c r="E60" i="5" s="1"/>
  <c r="H60" i="5" s="1"/>
  <c r="E13" i="3"/>
  <c r="C78" i="5"/>
  <c r="D78" i="5" s="1"/>
  <c r="E78" i="5" s="1"/>
  <c r="H78" i="5" s="1"/>
  <c r="G35" i="4"/>
  <c r="J35" i="4" s="1"/>
  <c r="E5" i="5"/>
  <c r="H5" i="5" s="1"/>
  <c r="E14" i="3"/>
  <c r="H8" i="3"/>
  <c r="H9" i="3"/>
  <c r="H16" i="3" s="1"/>
  <c r="H11" i="3"/>
  <c r="I11" i="3" s="1"/>
  <c r="H12" i="3"/>
  <c r="I12" i="3" s="1"/>
  <c r="H13" i="3"/>
  <c r="I13" i="3" s="1"/>
  <c r="H15" i="3"/>
  <c r="I15" i="3" s="1"/>
  <c r="E9" i="3"/>
  <c r="B26" i="1"/>
  <c r="E10" i="3"/>
  <c r="B7" i="9"/>
  <c r="D7" i="9" s="1"/>
  <c r="F7" i="9" s="1"/>
  <c r="C58" i="5"/>
  <c r="D58" i="5" s="1"/>
  <c r="C67" i="5"/>
  <c r="D67" i="5" s="1"/>
  <c r="E67" i="5" s="1"/>
  <c r="H67" i="5" s="1"/>
  <c r="C75" i="5"/>
  <c r="D75" i="5" s="1"/>
  <c r="C79" i="5"/>
  <c r="D79" i="5" s="1"/>
  <c r="E79" i="5" s="1"/>
  <c r="H79" i="5" s="1"/>
  <c r="C70" i="5"/>
  <c r="D70" i="5" s="1"/>
  <c r="E71" i="5"/>
  <c r="H71" i="5" s="1"/>
  <c r="E64" i="5"/>
  <c r="H64" i="5" s="1"/>
  <c r="E30" i="5"/>
  <c r="H30" i="5" s="1"/>
  <c r="G28" i="4"/>
  <c r="J28" i="4" s="1"/>
  <c r="E11" i="5"/>
  <c r="H11" i="5" s="1"/>
  <c r="D22" i="1"/>
  <c r="F22" i="1" s="1"/>
  <c r="G17" i="4"/>
  <c r="J17" i="4" s="1"/>
  <c r="E10" i="5"/>
  <c r="H10" i="5" s="1"/>
  <c r="D26" i="1"/>
  <c r="F26" i="1" s="1"/>
  <c r="E73" i="5"/>
  <c r="H73" i="5" s="1"/>
  <c r="E16" i="5"/>
  <c r="H16" i="5" s="1"/>
  <c r="E75" i="5"/>
  <c r="H75" i="5" s="1"/>
  <c r="E32" i="5"/>
  <c r="H32" i="5" s="1"/>
  <c r="E52" i="5"/>
  <c r="H52" i="5" s="1"/>
  <c r="D21" i="1"/>
  <c r="F21" i="1" s="1"/>
  <c r="E21" i="5"/>
  <c r="H21" i="5" s="1"/>
  <c r="E37" i="5"/>
  <c r="H37" i="5" s="1"/>
  <c r="E68" i="5"/>
  <c r="H68" i="5" s="1"/>
  <c r="E33" i="5"/>
  <c r="H33" i="5" s="1"/>
  <c r="E41" i="5"/>
  <c r="H41" i="5" s="1"/>
  <c r="E22" i="5"/>
  <c r="H22" i="5" s="1"/>
  <c r="G12" i="4"/>
  <c r="J12" i="4" s="1"/>
  <c r="G45" i="4"/>
  <c r="J45" i="4" s="1"/>
  <c r="G49" i="4"/>
  <c r="J49" i="4" s="1"/>
  <c r="G37" i="4"/>
  <c r="J37" i="4" s="1"/>
  <c r="G43" i="4"/>
  <c r="J43" i="4" s="1"/>
  <c r="G47" i="4"/>
  <c r="J47" i="4" s="1"/>
  <c r="E42" i="5"/>
  <c r="H42" i="5" s="1"/>
  <c r="E46" i="5"/>
  <c r="H46" i="5" s="1"/>
  <c r="D25" i="1"/>
  <c r="F25" i="1" s="1"/>
  <c r="D18" i="1"/>
  <c r="F18" i="1" s="1"/>
  <c r="G20" i="4"/>
  <c r="J20" i="4" s="1"/>
  <c r="G24" i="4"/>
  <c r="J24" i="4" s="1"/>
  <c r="E25" i="5"/>
  <c r="H25" i="5" s="1"/>
  <c r="E40" i="5"/>
  <c r="H40" i="5" s="1"/>
  <c r="E18" i="5"/>
  <c r="H18" i="5" s="1"/>
  <c r="E29" i="5"/>
  <c r="H29" i="5" s="1"/>
  <c r="E44" i="5"/>
  <c r="H44" i="5" s="1"/>
  <c r="E61" i="5"/>
  <c r="H61" i="5" s="1"/>
  <c r="E49" i="5"/>
  <c r="H49" i="5" s="1"/>
  <c r="G31" i="4"/>
  <c r="J31" i="4" s="1"/>
  <c r="E8" i="5"/>
  <c r="H8" i="5" s="1"/>
  <c r="E23" i="5"/>
  <c r="H23" i="5" s="1"/>
  <c r="E34" i="5"/>
  <c r="H34" i="5" s="1"/>
  <c r="E53" i="5"/>
  <c r="H53" i="5" s="1"/>
  <c r="E65" i="5"/>
  <c r="H65" i="5" s="1"/>
  <c r="E81" i="5"/>
  <c r="H81" i="5" s="1"/>
  <c r="E56" i="5"/>
  <c r="H56" i="5" s="1"/>
  <c r="F5" i="5"/>
  <c r="G40" i="4"/>
  <c r="J40" i="4" s="1"/>
  <c r="E9" i="5"/>
  <c r="H9" i="5" s="1"/>
  <c r="E13" i="5"/>
  <c r="H13" i="5" s="1"/>
  <c r="E20" i="5"/>
  <c r="H20" i="5" s="1"/>
  <c r="E28" i="5"/>
  <c r="H28" i="5" s="1"/>
  <c r="E54" i="5"/>
  <c r="H54" i="5" s="1"/>
  <c r="E58" i="5"/>
  <c r="H58" i="5" s="1"/>
  <c r="F36" i="5"/>
  <c r="E48" i="5"/>
  <c r="H48" i="5" s="1"/>
  <c r="E6" i="5"/>
  <c r="H6" i="5" s="1"/>
  <c r="E17" i="5"/>
  <c r="H17" i="5" s="1"/>
  <c r="E24" i="5"/>
  <c r="H24" i="5" s="1"/>
  <c r="E66" i="5"/>
  <c r="H66" i="5" s="1"/>
  <c r="E47" i="5"/>
  <c r="H47" i="5" s="1"/>
  <c r="E59" i="5"/>
  <c r="H59" i="5" s="1"/>
  <c r="E14" i="5"/>
  <c r="H14" i="5" s="1"/>
  <c r="E43" i="5"/>
  <c r="H43" i="5" s="1"/>
  <c r="E55" i="5"/>
  <c r="H55" i="5" s="1"/>
  <c r="E26" i="5"/>
  <c r="H26" i="5" s="1"/>
  <c r="E38" i="5"/>
  <c r="H38" i="5" s="1"/>
  <c r="E50" i="5"/>
  <c r="H50" i="5" s="1"/>
  <c r="E76" i="5"/>
  <c r="H76" i="5" s="1"/>
  <c r="E15" i="5"/>
  <c r="H15" i="5" s="1"/>
  <c r="E27" i="5"/>
  <c r="H27" i="5" s="1"/>
  <c r="D24" i="1"/>
  <c r="F24" i="1" s="1"/>
  <c r="G8" i="3"/>
  <c r="E8" i="3"/>
  <c r="B19" i="1"/>
  <c r="D19" i="1" s="1"/>
  <c r="F19" i="1" s="1"/>
  <c r="I8" i="3"/>
  <c r="G12" i="3"/>
  <c r="E12" i="3"/>
  <c r="C16" i="3"/>
  <c r="G8" i="4"/>
  <c r="J8" i="4" s="1"/>
  <c r="G23" i="4"/>
  <c r="J23" i="4" s="1"/>
  <c r="G27" i="4"/>
  <c r="J27" i="4" s="1"/>
  <c r="G29" i="4"/>
  <c r="J29" i="4" s="1"/>
  <c r="H46" i="4"/>
  <c r="F60" i="5"/>
  <c r="E63" i="5"/>
  <c r="H63" i="5" s="1"/>
  <c r="G10" i="4"/>
  <c r="J10" i="4" s="1"/>
  <c r="G16" i="4"/>
  <c r="J16" i="4" s="1"/>
  <c r="H33" i="4"/>
  <c r="G39" i="4"/>
  <c r="J39" i="4" s="1"/>
  <c r="G41" i="4"/>
  <c r="J41" i="4" s="1"/>
  <c r="H6" i="4"/>
  <c r="F64" i="5"/>
  <c r="G9" i="4"/>
  <c r="J9" i="4" s="1"/>
  <c r="G18" i="4"/>
  <c r="J18" i="4" s="1"/>
  <c r="H22" i="4"/>
  <c r="F71" i="5"/>
  <c r="F16" i="3"/>
  <c r="F57" i="5"/>
  <c r="E39" i="5"/>
  <c r="H39" i="5" s="1"/>
  <c r="G7" i="4"/>
  <c r="J7" i="4" s="1"/>
  <c r="G32" i="4"/>
  <c r="J32" i="4" s="1"/>
  <c r="E82" i="5"/>
  <c r="H82" i="5" s="1"/>
  <c r="B23" i="1"/>
  <c r="D23" i="1" s="1"/>
  <c r="F23" i="1" s="1"/>
  <c r="G13" i="4"/>
  <c r="J13" i="4" s="1"/>
  <c r="G26" i="4"/>
  <c r="J26" i="4" s="1"/>
  <c r="H28" i="4"/>
  <c r="H30" i="4"/>
  <c r="G36" i="4"/>
  <c r="J36" i="4" s="1"/>
  <c r="E7" i="5"/>
  <c r="H7" i="5" s="1"/>
  <c r="E19" i="5"/>
  <c r="H19" i="5" s="1"/>
  <c r="E31" i="5"/>
  <c r="H31" i="5" s="1"/>
  <c r="F74" i="5"/>
  <c r="E77" i="5"/>
  <c r="H77" i="5" s="1"/>
  <c r="D6" i="9"/>
  <c r="F6" i="9" s="1"/>
  <c r="F45" i="5"/>
  <c r="E51" i="5"/>
  <c r="H51" i="5" s="1"/>
  <c r="G15" i="4"/>
  <c r="J15" i="4" s="1"/>
  <c r="G34" i="4"/>
  <c r="J34" i="4" s="1"/>
  <c r="G44" i="4"/>
  <c r="J44" i="4" s="1"/>
  <c r="F62" i="5"/>
  <c r="F72" i="5"/>
  <c r="G5" i="4"/>
  <c r="J5" i="4" s="1"/>
  <c r="H14" i="4"/>
  <c r="G11" i="4"/>
  <c r="J11" i="4" s="1"/>
  <c r="G21" i="4"/>
  <c r="J21" i="4" s="1"/>
  <c r="F11" i="5"/>
  <c r="F35" i="5"/>
  <c r="D16" i="3"/>
  <c r="B16" i="3"/>
  <c r="B8" i="9" s="1"/>
  <c r="D8" i="9" s="1"/>
  <c r="F8" i="9" s="1"/>
  <c r="G19" i="4"/>
  <c r="J19" i="4" s="1"/>
  <c r="G25" i="4"/>
  <c r="J25" i="4" s="1"/>
  <c r="G38" i="4"/>
  <c r="J38" i="4" s="1"/>
  <c r="H42" i="4"/>
  <c r="G48" i="4"/>
  <c r="J48" i="4" s="1"/>
  <c r="F69" i="5"/>
  <c r="E15" i="3"/>
  <c r="B20" i="1"/>
  <c r="D20" i="1" s="1"/>
  <c r="F20" i="1" s="1"/>
  <c r="G11" i="3"/>
  <c r="C8" i="9"/>
  <c r="D5" i="9"/>
  <c r="F5" i="9" s="1"/>
  <c r="J6" i="3"/>
  <c r="E16" i="3" l="1"/>
  <c r="I9" i="3"/>
  <c r="I16" i="3"/>
  <c r="G16" i="3"/>
  <c r="E70" i="5"/>
  <c r="H70" i="5" s="1"/>
  <c r="F80" i="5"/>
  <c r="F12" i="5"/>
  <c r="H35" i="4"/>
  <c r="H47" i="4"/>
  <c r="H40" i="4"/>
  <c r="F26" i="5"/>
  <c r="H17" i="4"/>
  <c r="H29" i="4"/>
  <c r="F30" i="5"/>
  <c r="F32" i="5"/>
  <c r="H37" i="4"/>
  <c r="F68" i="5"/>
  <c r="F54" i="5"/>
  <c r="F58" i="5"/>
  <c r="F56" i="5"/>
  <c r="H16" i="4"/>
  <c r="F6" i="5"/>
  <c r="F16" i="5"/>
  <c r="F44" i="5"/>
  <c r="F21" i="5"/>
  <c r="F73" i="5"/>
  <c r="F10" i="5"/>
  <c r="H9" i="4"/>
  <c r="F52" i="5"/>
  <c r="F40" i="5"/>
  <c r="H45" i="4"/>
  <c r="H49" i="4"/>
  <c r="F42" i="5"/>
  <c r="F81" i="5"/>
  <c r="F14" i="5"/>
  <c r="F18" i="5"/>
  <c r="F75" i="5"/>
  <c r="H34" i="4"/>
  <c r="H32" i="4"/>
  <c r="F9" i="5"/>
  <c r="H43" i="4"/>
  <c r="H41" i="4"/>
  <c r="F17" i="5"/>
  <c r="F82" i="5"/>
  <c r="H20" i="4"/>
  <c r="F41" i="5"/>
  <c r="F59" i="5"/>
  <c r="F49" i="5"/>
  <c r="H12" i="4"/>
  <c r="H31" i="4"/>
  <c r="H25" i="4"/>
  <c r="F37" i="5"/>
  <c r="F33" i="5"/>
  <c r="F28" i="5"/>
  <c r="F46" i="5"/>
  <c r="F61" i="5"/>
  <c r="F66" i="5"/>
  <c r="H13" i="4"/>
  <c r="F47" i="5"/>
  <c r="H48" i="4"/>
  <c r="F8" i="5"/>
  <c r="F23" i="5"/>
  <c r="F25" i="5"/>
  <c r="F22" i="5"/>
  <c r="F31" i="5"/>
  <c r="H19" i="4"/>
  <c r="F76" i="5"/>
  <c r="F65" i="5"/>
  <c r="F13" i="5"/>
  <c r="F34" i="5"/>
  <c r="F24" i="5"/>
  <c r="H38" i="4"/>
  <c r="H27" i="4"/>
  <c r="F53" i="5"/>
  <c r="F78" i="5"/>
  <c r="F29" i="5"/>
  <c r="H8" i="4"/>
  <c r="F20" i="5"/>
  <c r="H24" i="4"/>
  <c r="H18" i="4"/>
  <c r="F48" i="5"/>
  <c r="F15" i="5"/>
  <c r="F63" i="5"/>
  <c r="F77" i="5"/>
  <c r="F19" i="5"/>
  <c r="H44" i="4"/>
  <c r="H15" i="4"/>
  <c r="F39" i="5"/>
  <c r="F50" i="5"/>
  <c r="F55" i="5"/>
  <c r="H7" i="4"/>
  <c r="J12" i="1"/>
  <c r="G12" i="1"/>
  <c r="H36" i="4"/>
  <c r="F79" i="5"/>
  <c r="F7" i="5"/>
  <c r="F43" i="5"/>
  <c r="B12" i="9"/>
  <c r="E5" i="1" s="1"/>
  <c r="F51" i="5"/>
  <c r="H23" i="4"/>
  <c r="C17" i="1"/>
  <c r="J16" i="3"/>
  <c r="F27" i="5"/>
  <c r="H21" i="4"/>
  <c r="F67" i="5"/>
  <c r="H10" i="4"/>
  <c r="H11" i="4"/>
  <c r="H26" i="4"/>
  <c r="H39" i="4"/>
  <c r="F38" i="5"/>
  <c r="H5" i="4"/>
  <c r="F70" i="5" l="1"/>
  <c r="D17" i="1"/>
  <c r="F17" i="1" s="1"/>
</calcChain>
</file>

<file path=xl/sharedStrings.xml><?xml version="1.0" encoding="utf-8"?>
<sst xmlns="http://schemas.openxmlformats.org/spreadsheetml/2006/main" count="7425" uniqueCount="141">
  <si>
    <t>Walmart Retail Planning &amp; Scenario Model</t>
  </si>
  <si>
    <t>Actual vs illustrative plan | January-October 2012 | Selected scenario driven by Assumptions</t>
  </si>
  <si>
    <t>Selected Scenario</t>
  </si>
  <si>
    <t>Model Status</t>
  </si>
  <si>
    <t>Actual Sales</t>
  </si>
  <si>
    <t>Selected Plan</t>
  </si>
  <si>
    <t>Plan Variance</t>
  </si>
  <si>
    <t>Plan Variance %</t>
  </si>
  <si>
    <t>Forecast Sales</t>
  </si>
  <si>
    <t>Forecast MAE</t>
  </si>
  <si>
    <t>Favorable Stores</t>
  </si>
  <si>
    <t>Unfavorable Stores</t>
  </si>
  <si>
    <t>Month</t>
  </si>
  <si>
    <t>Variance</t>
  </si>
  <si>
    <t>Variance %</t>
  </si>
  <si>
    <t>Jan 2012</t>
  </si>
  <si>
    <t>Feb 2012</t>
  </si>
  <si>
    <t>Mar 2012</t>
  </si>
  <si>
    <t>Apr 2012</t>
  </si>
  <si>
    <t>May 2012</t>
  </si>
  <si>
    <t>Jun 2012</t>
  </si>
  <si>
    <t>Jul 2012</t>
  </si>
  <si>
    <t>Aug 2012</t>
  </si>
  <si>
    <t>Sep 2012</t>
  </si>
  <si>
    <t>Oct 2012</t>
  </si>
  <si>
    <t>Walmart Planning Model - Assumptions</t>
  </si>
  <si>
    <t>Blue-font cells are editable. Plans are illustrative and do not represent Walmart internal budgets.</t>
  </si>
  <si>
    <t>Scenario</t>
  </si>
  <si>
    <t>Growth Rate</t>
  </si>
  <si>
    <t>Holiday Uplift</t>
  </si>
  <si>
    <t>Purpose</t>
  </si>
  <si>
    <t>Base</t>
  </si>
  <si>
    <t>Illustrative prior-year comparable-week benchmark</t>
  </si>
  <si>
    <t>Upside</t>
  </si>
  <si>
    <t>Stronger growth and holiday performance</t>
  </si>
  <si>
    <t>Downside</t>
  </si>
  <si>
    <t>Slower growth and weaker holiday performance</t>
  </si>
  <si>
    <t>Model convention</t>
  </si>
  <si>
    <t>Value</t>
  </si>
  <si>
    <t>Units</t>
  </si>
  <si>
    <t>Source</t>
  </si>
  <si>
    <t>Notes</t>
  </si>
  <si>
    <t>Evaluation period</t>
  </si>
  <si>
    <t>Jan 6-Oct 26, 2012</t>
  </si>
  <si>
    <t>Weekly</t>
  </si>
  <si>
    <t>Walmart competition data</t>
  </si>
  <si>
    <t>Matches Power BI report</t>
  </si>
  <si>
    <t>Planning basis</t>
  </si>
  <si>
    <t>Prior-year comparable week</t>
  </si>
  <si>
    <t>Method</t>
  </si>
  <si>
    <t>Project methodology</t>
  </si>
  <si>
    <t>52-week lag</t>
  </si>
  <si>
    <t>Base growth</t>
  </si>
  <si>
    <t>Rate</t>
  </si>
  <si>
    <t>Project assumption</t>
  </si>
  <si>
    <t>Editable in B6</t>
  </si>
  <si>
    <t>Forecast method</t>
  </si>
  <si>
    <t>Seasonal naive</t>
  </si>
  <si>
    <t>Python pipeline</t>
  </si>
  <si>
    <t>Selected after chronological testing</t>
  </si>
  <si>
    <t>Currency</t>
  </si>
  <si>
    <t>USD</t>
  </si>
  <si>
    <t>Dollars</t>
  </si>
  <si>
    <t>Source data</t>
  </si>
  <si>
    <t>No inflation adjustment</t>
  </si>
  <si>
    <t>2012 Scenario Summary</t>
  </si>
  <si>
    <t>January through October 2012 | Formula-driven from store weekly source</t>
  </si>
  <si>
    <t>Base Plan</t>
  </si>
  <si>
    <t>Base Variance</t>
  </si>
  <si>
    <t>Upside Plan</t>
  </si>
  <si>
    <t>Upside Variance</t>
  </si>
  <si>
    <t>Downside Plan</t>
  </si>
  <si>
    <t>Downside Variance</t>
  </si>
  <si>
    <t>Total</t>
  </si>
  <si>
    <t>Store Performance by Selected Scenario</t>
  </si>
  <si>
    <t>Store</t>
  </si>
  <si>
    <t>Type</t>
  </si>
  <si>
    <t>Size</t>
  </si>
  <si>
    <t>Status</t>
  </si>
  <si>
    <t>Department Performance by Selected Scenario</t>
  </si>
  <si>
    <t>Department</t>
  </si>
  <si>
    <t>Monthly Historical Sales</t>
  </si>
  <si>
    <t>All weekly source rows | February 2010-October 2012</t>
  </si>
  <si>
    <t>Records</t>
  </si>
  <si>
    <t>Store-Level Weekly Source and Scenario Calculations</t>
  </si>
  <si>
    <t>Date</t>
  </si>
  <si>
    <t>Store Type</t>
  </si>
  <si>
    <t>Store Size</t>
  </si>
  <si>
    <t>Holiday</t>
  </si>
  <si>
    <t>Prior-Year Sales</t>
  </si>
  <si>
    <t>A</t>
  </si>
  <si>
    <t>No</t>
  </si>
  <si>
    <t>B</t>
  </si>
  <si>
    <t>C</t>
  </si>
  <si>
    <t>Yes</t>
  </si>
  <si>
    <t>Department-Level Weekly Source and Scenario Calculations</t>
  </si>
  <si>
    <t>Model Checks and Sources</t>
  </si>
  <si>
    <t>Check</t>
  </si>
  <si>
    <t>Actual</t>
  </si>
  <si>
    <t>Expected</t>
  </si>
  <si>
    <t>Difference</t>
  </si>
  <si>
    <t>Tolerance</t>
  </si>
  <si>
    <t>Where to Fix</t>
  </si>
  <si>
    <t>Store actuals tie to published total</t>
  </si>
  <si>
    <t>Store Weekly</t>
  </si>
  <si>
    <t>Department actuals tie to store actuals</t>
  </si>
  <si>
    <t>Department Weekly</t>
  </si>
  <si>
    <t>Base plan ties to published total</t>
  </si>
  <si>
    <t>Assumptions / Store Weekly</t>
  </si>
  <si>
    <t>Monthly actuals tie to store actuals</t>
  </si>
  <si>
    <t>Scenario Summary</t>
  </si>
  <si>
    <t>Scenario selector is valid</t>
  </si>
  <si>
    <t>Assumptions B10</t>
  </si>
  <si>
    <t>No blank scenario assumption cells</t>
  </si>
  <si>
    <t>Assumptions B6:C8</t>
  </si>
  <si>
    <t>MODEL STATUS</t>
  </si>
  <si>
    <t>Item</t>
  </si>
  <si>
    <t>Period / As Of</t>
  </si>
  <si>
    <t>Source Type</t>
  </si>
  <si>
    <t>Source / URL</t>
  </si>
  <si>
    <t>Weekly sales source</t>
  </si>
  <si>
    <t>Rows</t>
  </si>
  <si>
    <t>2010-02-05 to 2012-10-26</t>
  </si>
  <si>
    <t>Competition dataset</t>
  </si>
  <si>
    <t>https://www.kaggle.com/c/walmart-recruiting-store-sales-forecasting</t>
  </si>
  <si>
    <t>Raw train, features, and stores files</t>
  </si>
  <si>
    <t>Evaluation actual sales</t>
  </si>
  <si>
    <t>Jan-Oct 2012</t>
  </si>
  <si>
    <t>python/pipeline.py</t>
  </si>
  <si>
    <t>Published Power BI total</t>
  </si>
  <si>
    <t>Base planning scenario</t>
  </si>
  <si>
    <t>Prior-year comparable week plus 3%</t>
  </si>
  <si>
    <t>USD per row</t>
  </si>
  <si>
    <t>data/processed/forecast_metrics.csv</t>
  </si>
  <si>
    <t>Forecast WMAE</t>
  </si>
  <si>
    <t>Holiday errors weighted 5x</t>
  </si>
  <si>
    <t>Planning disclaimer</t>
  </si>
  <si>
    <t>Illustrative</t>
  </si>
  <si>
    <t>README.md</t>
  </si>
  <si>
    <t>Not Walmart internal budget or target</t>
  </si>
  <si>
    <t>Year / As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</si>
</sst>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%"/>
    <numFmt numFmtId="165" formatCode="yyyy\-mm\-dd"/>
    <numFmt numFmtId="166" formatCode="mmm\ d\,\ yyyy"/>
    <numFmt numFmtId="167" formatCode="\$#,##0;[Red]\(\$#,##0\);\-"/>
    <numFmt numFmtId="168" formatCode="mmm\ yyyy"/>
    <numFmt numFmtId="169" formatCode="0.0%;[Red]\(0.0%\);\-"/>
    <numFmt numFmtId="170" formatCode="[Green][=1]&quot;PASS&quot;;[Red][=0]&quot;FAIL&quot;;General"/>
    <numFmt numFmtId="171" formatCode="\$#,##0.00;[Red]\(\$#,##0.00\);\-"/>
    <numFmt numFmtId="172" formatCode="\$#,##0.00;[Red]\(\$#,##0.00\);\$0.00"/>
    <numFmt numFmtId="173" formatCode="\$#,##0.00,,&quot;M&quot;;[Red]\(\$#,##0.00,,&quot;M&quot;\);\-"/>
    <numFmt numFmtId="174" formatCode="\$#,##0"/>
  </numFmts>
  <fonts count="14">
    <font>
      <sz val="11"/>
      <name val="Carlito"/>
    </font>
    <font>
      <b/>
      <sz val="18"/>
      <color rgb="FFFFFFFF"/>
      <name val="Aptos"/>
    </font>
    <font>
      <i/>
      <sz val="11"/>
      <color rgb="FF666666"/>
      <name val="Aptos"/>
    </font>
    <font>
      <sz val="11"/>
      <name val="Aptos"/>
    </font>
    <font>
      <b/>
      <sz val="11"/>
      <color rgb="FF000000"/>
      <name val="Aptos"/>
    </font>
    <font>
      <sz val="11"/>
      <color rgb="FF0000FF"/>
      <name val="Aptos"/>
    </font>
    <font>
      <b/>
      <sz val="11"/>
      <name val="Aptos"/>
    </font>
    <font>
      <b/>
      <sz val="11"/>
      <color rgb="FF0000FF"/>
      <name val="Aptos"/>
    </font>
    <font>
      <b/>
      <sz val="10"/>
      <color rgb="FF17324D"/>
      <name val="Aptos"/>
    </font>
    <font>
      <b/>
      <sz val="18"/>
      <color rgb="FF000000"/>
      <name val="Aptos"/>
    </font>
    <font>
      <b/>
      <sz val="15"/>
      <color rgb="FFFFFFFF"/>
      <name val="Aptos"/>
    </font>
    <font>
      <sz val="11"/>
      <color rgb="FF008000"/>
      <name val="Aptos"/>
    </font>
    <font>
      <b/>
      <sz val="14"/>
      <name val="Aptos"/>
    </font>
    <font>
      <b/>
      <sz val="11"/>
      <color rgb="FF1F4E79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9">
    <border>
      <left/>
      <right/>
      <top/>
      <bottom/>
      <diagonal/>
    </border>
    <border>
      <left/>
      <right/>
      <top/>
      <bottom style="thin">
        <color rgb="FF17324D"/>
      </bottom>
      <diagonal/>
    </border>
    <border>
      <left/>
      <right/>
      <top style="double">
        <color rgb="FF17324D"/>
      </top>
      <bottom/>
      <diagonal/>
    </border>
    <border>
      <left style="thin">
        <color rgb="FFD9E1E8"/>
      </left>
      <right/>
      <top style="thin">
        <color rgb="FFD9E1E8"/>
      </top>
      <bottom/>
      <diagonal/>
    </border>
    <border>
      <left/>
      <right style="thin">
        <color rgb="FFD9E1E8"/>
      </right>
      <top style="thin">
        <color rgb="FFD9E1E8"/>
      </top>
      <bottom/>
      <diagonal/>
    </border>
    <border>
      <left style="thin">
        <color rgb="FFD9E1E8"/>
      </left>
      <right/>
      <top/>
      <bottom/>
      <diagonal/>
    </border>
    <border>
      <left/>
      <right style="thin">
        <color rgb="FFD9E1E8"/>
      </right>
      <top/>
      <bottom/>
      <diagonal/>
    </border>
    <border>
      <left style="thin">
        <color rgb="FFD9E1E8"/>
      </left>
      <right/>
      <top/>
      <bottom style="thin">
        <color rgb="FFD9E1E8"/>
      </bottom>
      <diagonal/>
    </border>
    <border>
      <left/>
      <right style="thin">
        <color rgb="FFD9E1E8"/>
      </right>
      <top/>
      <bottom style="thin">
        <color rgb="FFD9E1E8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0" borderId="0" xfId="0" applyFont="1"/>
    <xf numFmtId="0" fontId="4" fillId="3" borderId="1" xfId="0" applyFont="1" applyFill="1" applyBorder="1" applyAlignment="1">
      <alignment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wrapText="1"/>
    </xf>
    <xf numFmtId="164" fontId="5" fillId="4" borderId="0" xfId="0" applyNumberFormat="1" applyFont="1" applyFill="1" applyAlignment="1">
      <alignment wrapText="1"/>
    </xf>
    <xf numFmtId="0" fontId="6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164" fontId="3" fillId="0" borderId="0" xfId="0" applyNumberFormat="1" applyFont="1" applyAlignment="1">
      <alignment horizontal="left" wrapText="1"/>
    </xf>
    <xf numFmtId="167" fontId="3" fillId="0" borderId="0" xfId="0" applyNumberFormat="1" applyFont="1"/>
    <xf numFmtId="169" fontId="3" fillId="0" borderId="0" xfId="0" applyNumberFormat="1" applyFont="1"/>
    <xf numFmtId="0" fontId="3" fillId="0" borderId="0" xfId="0" applyFont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8" fontId="3" fillId="0" borderId="0" xfId="0" applyNumberFormat="1" applyFont="1" applyAlignment="1">
      <alignment vertical="center"/>
    </xf>
    <xf numFmtId="167" fontId="3" fillId="0" borderId="0" xfId="0" applyNumberFormat="1" applyFont="1" applyAlignment="1">
      <alignment vertical="center"/>
    </xf>
    <xf numFmtId="0" fontId="6" fillId="0" borderId="2" xfId="0" applyFont="1" applyBorder="1" applyAlignment="1">
      <alignment vertical="center"/>
    </xf>
    <xf numFmtId="167" fontId="6" fillId="0" borderId="2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vertical="center"/>
    </xf>
    <xf numFmtId="169" fontId="3" fillId="0" borderId="0" xfId="0" applyNumberFormat="1" applyFont="1" applyAlignment="1">
      <alignment vertical="center"/>
    </xf>
    <xf numFmtId="168" fontId="3" fillId="0" borderId="0" xfId="0" applyNumberFormat="1" applyFont="1" applyAlignment="1">
      <alignment horizontal="left" vertical="center"/>
    </xf>
    <xf numFmtId="166" fontId="3" fillId="0" borderId="0" xfId="0" applyNumberFormat="1" applyFont="1" applyAlignment="1">
      <alignment vertical="center"/>
    </xf>
    <xf numFmtId="167" fontId="11" fillId="0" borderId="0" xfId="0" applyNumberFormat="1" applyFont="1" applyAlignment="1">
      <alignment vertical="center"/>
    </xf>
    <xf numFmtId="0" fontId="3" fillId="0" borderId="0" xfId="0" applyFont="1" applyAlignment="1">
      <alignment vertical="center" wrapText="1"/>
    </xf>
    <xf numFmtId="171" fontId="3" fillId="0" borderId="0" xfId="0" applyNumberFormat="1" applyFont="1" applyAlignment="1">
      <alignment vertical="center" wrapText="1"/>
    </xf>
    <xf numFmtId="172" fontId="3" fillId="0" borderId="0" xfId="0" applyNumberFormat="1" applyFont="1" applyAlignment="1">
      <alignment vertical="center" wrapText="1"/>
    </xf>
    <xf numFmtId="170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vertical="center" wrapText="1"/>
    </xf>
    <xf numFmtId="0" fontId="12" fillId="0" borderId="0" xfId="0" applyFont="1" applyAlignment="1">
      <alignment vertical="center" wrapText="1"/>
    </xf>
    <xf numFmtId="170" fontId="12" fillId="0" borderId="0" xfId="0" applyNumberFormat="1" applyFont="1" applyAlignment="1">
      <alignment horizontal="center" vertical="center" wrapText="1"/>
    </xf>
    <xf numFmtId="3" fontId="3" fillId="0" borderId="0" xfId="0" applyNumberFormat="1" applyFont="1" applyAlignment="1">
      <alignment horizontal="left" vertical="center" wrapText="1"/>
    </xf>
    <xf numFmtId="171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70" fontId="6" fillId="0" borderId="0" xfId="0" applyNumberFormat="1" applyFont="1" applyAlignment="1">
      <alignment horizontal="left"/>
    </xf>
    <xf numFmtId="0" fontId="7" fillId="4" borderId="0" xfId="0" applyFont="1" applyFill="1" applyAlignment="1">
      <alignment horizontal="right" wrapText="1"/>
    </xf>
    <xf numFmtId="1" fontId="3" fillId="0" borderId="0" xfId="0" applyNumberFormat="1" applyFont="1" applyAlignment="1">
      <alignment horizontal="left" vertical="center" wrapText="1"/>
    </xf>
    <xf numFmtId="165" fontId="3" fillId="0" borderId="0" xfId="0" applyNumberFormat="1" applyFont="1" applyAlignment="1">
      <alignment horizontal="left" wrapText="1"/>
    </xf>
    <xf numFmtId="1" fontId="3" fillId="0" borderId="0" xfId="0" applyNumberFormat="1" applyFont="1" applyAlignment="1">
      <alignment horizontal="left" wrapText="1"/>
    </xf>
    <xf numFmtId="0" fontId="13" fillId="0" borderId="0" xfId="0" applyFont="1" applyAlignment="1">
      <alignment horizontal="center" vertical="top"/>
    </xf>
    <xf numFmtId="0" fontId="1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8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173" fontId="9" fillId="3" borderId="5" xfId="0" applyNumberFormat="1" applyFont="1" applyFill="1" applyBorder="1" applyAlignment="1">
      <alignment horizontal="center"/>
    </xf>
    <xf numFmtId="173" fontId="9" fillId="3" borderId="6" xfId="0" applyNumberFormat="1" applyFont="1" applyFill="1" applyBorder="1" applyAlignment="1">
      <alignment horizontal="center"/>
    </xf>
    <xf numFmtId="173" fontId="9" fillId="3" borderId="7" xfId="0" applyNumberFormat="1" applyFont="1" applyFill="1" applyBorder="1" applyAlignment="1">
      <alignment horizontal="center"/>
    </xf>
    <xf numFmtId="173" fontId="9" fillId="3" borderId="8" xfId="0" applyNumberFormat="1" applyFont="1" applyFill="1" applyBorder="1" applyAlignment="1">
      <alignment horizontal="center"/>
    </xf>
    <xf numFmtId="169" fontId="9" fillId="3" borderId="5" xfId="0" applyNumberFormat="1" applyFont="1" applyFill="1" applyBorder="1" applyAlignment="1">
      <alignment horizontal="center"/>
    </xf>
    <xf numFmtId="169" fontId="9" fillId="3" borderId="6" xfId="0" applyNumberFormat="1" applyFont="1" applyFill="1" applyBorder="1" applyAlignment="1">
      <alignment horizontal="center"/>
    </xf>
    <xf numFmtId="169" fontId="9" fillId="3" borderId="7" xfId="0" applyNumberFormat="1" applyFont="1" applyFill="1" applyBorder="1" applyAlignment="1">
      <alignment horizontal="center"/>
    </xf>
    <xf numFmtId="169" fontId="9" fillId="3" borderId="8" xfId="0" applyNumberFormat="1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1" fontId="9" fillId="5" borderId="5" xfId="0" applyNumberFormat="1" applyFont="1" applyFill="1" applyBorder="1" applyAlignment="1">
      <alignment horizontal="center"/>
    </xf>
    <xf numFmtId="1" fontId="9" fillId="5" borderId="6" xfId="0" applyNumberFormat="1" applyFont="1" applyFill="1" applyBorder="1" applyAlignment="1">
      <alignment horizontal="center"/>
    </xf>
    <xf numFmtId="1" fontId="9" fillId="5" borderId="7" xfId="0" applyNumberFormat="1" applyFont="1" applyFill="1" applyBorder="1" applyAlignment="1">
      <alignment horizontal="center"/>
    </xf>
    <xf numFmtId="1" fontId="9" fillId="5" borderId="8" xfId="0" applyNumberFormat="1" applyFont="1" applyFill="1" applyBorder="1" applyAlignment="1">
      <alignment horizontal="center"/>
    </xf>
    <xf numFmtId="174" fontId="9" fillId="3" borderId="5" xfId="0" applyNumberFormat="1" applyFont="1" applyFill="1" applyBorder="1" applyAlignment="1">
      <alignment horizontal="center"/>
    </xf>
    <xf numFmtId="174" fontId="9" fillId="3" borderId="6" xfId="0" applyNumberFormat="1" applyFont="1" applyFill="1" applyBorder="1" applyAlignment="1">
      <alignment horizontal="center"/>
    </xf>
    <xf numFmtId="174" fontId="9" fillId="3" borderId="7" xfId="0" applyNumberFormat="1" applyFont="1" applyFill="1" applyBorder="1" applyAlignment="1">
      <alignment horizontal="center"/>
    </xf>
    <xf numFmtId="174" fontId="9" fillId="3" borderId="8" xfId="0" applyNumberFormat="1" applyFont="1" applyFill="1" applyBorder="1" applyAlignment="1">
      <alignment horizontal="center"/>
    </xf>
    <xf numFmtId="1" fontId="9" fillId="3" borderId="5" xfId="0" applyNumberFormat="1" applyFont="1" applyFill="1" applyBorder="1" applyAlignment="1">
      <alignment horizontal="center"/>
    </xf>
    <xf numFmtId="1" fontId="9" fillId="3" borderId="6" xfId="0" applyNumberFormat="1" applyFont="1" applyFill="1" applyBorder="1" applyAlignment="1">
      <alignment horizontal="center"/>
    </xf>
    <xf numFmtId="1" fontId="9" fillId="3" borderId="7" xfId="0" applyNumberFormat="1" applyFont="1" applyFill="1" applyBorder="1" applyAlignment="1">
      <alignment horizontal="center"/>
    </xf>
    <xf numFmtId="1" fontId="9" fillId="3" borderId="8" xfId="0" applyNumberFormat="1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0" fillId="2" borderId="0" xfId="0" applyFont="1" applyFill="1" applyAlignment="1">
      <alignment vertical="center"/>
    </xf>
  </cellXfs>
  <cellStyles count="1">
    <cellStyle name="Normal" xfId="0" builtinId="0"/>
  </cellStyles>
  <dxfs count="8">
    <dxf>
      <font>
        <color rgb="FFB13A3A"/>
      </font>
      <fill>
        <patternFill patternType="solid">
          <bgColor rgb="FFFCE4D6"/>
        </patternFill>
      </fill>
    </dxf>
    <dxf>
      <font>
        <color rgb="FF2E7D6B"/>
      </font>
      <fill>
        <patternFill patternType="solid">
          <bgColor rgb="FFE2F0D9"/>
        </patternFill>
      </fill>
    </dxf>
    <dxf>
      <font>
        <color rgb="FFB13A3A"/>
      </font>
      <fill>
        <patternFill patternType="solid">
          <bgColor rgb="FFFCE4D6"/>
        </patternFill>
      </fill>
    </dxf>
    <dxf>
      <font>
        <color rgb="FF2E7D6B"/>
      </font>
      <fill>
        <patternFill patternType="solid">
          <bgColor rgb="FFE2F0D9"/>
        </patternFill>
      </fill>
    </dxf>
    <dxf>
      <font>
        <b/>
        <color rgb="FFB13A3A"/>
      </font>
    </dxf>
    <dxf>
      <font>
        <b/>
        <color rgb="FF2E7D6B"/>
      </font>
    </dxf>
    <dxf>
      <font>
        <b/>
        <color rgb="FFB13A3A"/>
      </font>
    </dxf>
    <dxf>
      <font>
        <b/>
        <color rgb="FF2E7D6B"/>
      </font>
    </dxf>
  </dxfs>
  <tableStyles count="0" defaultTableStyle="TableStyleMedium2" defaultPivotStyle="PivotStyleLight16"/>
  <colors>
    <mruColors>
      <color rgb="FF1F4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Monthly Sales: Actual vs Selected Plan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Actual Sales</c:v>
          </c:tx>
          <c:marker>
            <c:symbol val="none"/>
          </c:marker>
          <c:cat>
            <c:strRef>
              <c:f>'Executive Summary'!$A$17:$A$26</c:f>
              <c:strCache>
                <c:ptCount val="10"/>
                <c:pt idx="0">
                  <c:v>Jan 2012</c:v>
                </c:pt>
                <c:pt idx="1">
                  <c:v>Feb 2012</c:v>
                </c:pt>
                <c:pt idx="2">
                  <c:v>Mar 2012</c:v>
                </c:pt>
                <c:pt idx="3">
                  <c:v>Apr 2012</c:v>
                </c:pt>
                <c:pt idx="4">
                  <c:v>May 2012</c:v>
                </c:pt>
                <c:pt idx="5">
                  <c:v>Jun 2012</c:v>
                </c:pt>
                <c:pt idx="6">
                  <c:v>Jul 2012</c:v>
                </c:pt>
                <c:pt idx="7">
                  <c:v>Aug 2012</c:v>
                </c:pt>
                <c:pt idx="8">
                  <c:v>Sep 2012</c:v>
                </c:pt>
                <c:pt idx="9">
                  <c:v>Oct 2012</c:v>
                </c:pt>
              </c:strCache>
            </c:strRef>
          </c:cat>
          <c:val>
            <c:numRef>
              <c:f>'Executive Summary'!$B$17:$B$26</c:f>
              <c:numCache>
                <c:formatCode>\$#,##0;[Red]\(\$#,##0\);\-</c:formatCode>
                <c:ptCount val="10"/>
                <c:pt idx="0">
                  <c:v>168804291.75000006</c:v>
                </c:pt>
                <c:pt idx="1">
                  <c:v>191945517.1800001</c:v>
                </c:pt>
                <c:pt idx="2">
                  <c:v>231415081.68000013</c:v>
                </c:pt>
                <c:pt idx="3">
                  <c:v>188836776.44</c:v>
                </c:pt>
                <c:pt idx="4">
                  <c:v>188685912.42999992</c:v>
                </c:pt>
                <c:pt idx="5">
                  <c:v>240536277.03</c:v>
                </c:pt>
                <c:pt idx="6">
                  <c:v>187415155.94000006</c:v>
                </c:pt>
                <c:pt idx="7">
                  <c:v>236756296.86999992</c:v>
                </c:pt>
                <c:pt idx="8">
                  <c:v>180553603.39999992</c:v>
                </c:pt>
                <c:pt idx="9">
                  <c:v>184316563.16000003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EB3-476A-BD66-9AAB7DBC25DE}"/>
            </c:ext>
          </c:extLst>
        </c:ser>
        <c:ser>
          <c:idx val="1"/>
          <c:order val="1"/>
          <c:tx>
            <c:v>Selected Plan</c:v>
          </c:tx>
          <c:marker>
            <c:symbol val="none"/>
          </c:marker>
          <c:cat>
            <c:strRef>
              <c:f>'Executive Summary'!$A$17:$A$26</c:f>
              <c:strCache>
                <c:ptCount val="10"/>
                <c:pt idx="0">
                  <c:v>Jan 2012</c:v>
                </c:pt>
                <c:pt idx="1">
                  <c:v>Feb 2012</c:v>
                </c:pt>
                <c:pt idx="2">
                  <c:v>Mar 2012</c:v>
                </c:pt>
                <c:pt idx="3">
                  <c:v>Apr 2012</c:v>
                </c:pt>
                <c:pt idx="4">
                  <c:v>May 2012</c:v>
                </c:pt>
                <c:pt idx="5">
                  <c:v>Jun 2012</c:v>
                </c:pt>
                <c:pt idx="6">
                  <c:v>Jul 2012</c:v>
                </c:pt>
                <c:pt idx="7">
                  <c:v>Aug 2012</c:v>
                </c:pt>
                <c:pt idx="8">
                  <c:v>Sep 2012</c:v>
                </c:pt>
                <c:pt idx="9">
                  <c:v>Oct 2012</c:v>
                </c:pt>
              </c:strCache>
            </c:strRef>
          </c:cat>
          <c:val>
            <c:numRef>
              <c:f>'Executive Summary'!$C$17:$C$26</c:f>
              <c:numCache>
                <c:formatCode>\$#,##0;[Red]\(\$#,##0\);\-</c:formatCode>
                <c:ptCount val="10"/>
                <c:pt idx="0">
                  <c:v>168578189.24700007</c:v>
                </c:pt>
                <c:pt idx="1">
                  <c:v>191896621.27899992</c:v>
                </c:pt>
                <c:pt idx="2">
                  <c:v>229467854.02900001</c:v>
                </c:pt>
                <c:pt idx="3">
                  <c:v>188531139.05490002</c:v>
                </c:pt>
                <c:pt idx="4">
                  <c:v>187068514.02590004</c:v>
                </c:pt>
                <c:pt idx="5">
                  <c:v>244448951.13309997</c:v>
                </c:pt>
                <c:pt idx="6">
                  <c:v>187786327.55609995</c:v>
                </c:pt>
                <c:pt idx="7">
                  <c:v>240982797.73899999</c:v>
                </c:pt>
                <c:pt idx="8">
                  <c:v>180714920.26700008</c:v>
                </c:pt>
                <c:pt idx="9">
                  <c:v>188747360.59979999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EB3-476A-BD66-9AAB7DBC2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260000000"/>
          <c:min val="15000000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;[Red]\(\$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15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StorePerformanceTable" displayName="StorePerformanceTable" ref="A4:J49" totalsRowShown="0">
  <autoFilter ref="A4:J49" xr:uid="{00000000-0009-0000-0100-000004000000}"/>
  <tableColumns count="10">
    <tableColumn id="1" xr3:uid="{00000000-0010-0000-0000-000001000000}" name="Store"/>
    <tableColumn id="2" xr3:uid="{00000000-0010-0000-0000-000002000000}" name="Type"/>
    <tableColumn id="3" xr3:uid="{00000000-0010-0000-0000-000003000000}" name="Size"/>
    <tableColumn id="4" xr3:uid="{00000000-0010-0000-0000-000004000000}" name="Actual Sales"/>
    <tableColumn id="5" xr3:uid="{00000000-0010-0000-0000-000005000000}" name="Base Plan"/>
    <tableColumn id="6" xr3:uid="{00000000-0010-0000-0000-000006000000}" name="Selected Plan"/>
    <tableColumn id="7" xr3:uid="{00000000-0010-0000-0000-000007000000}" name="Variance"/>
    <tableColumn id="8" xr3:uid="{00000000-0010-0000-0000-000008000000}" name="Variance %"/>
    <tableColumn id="9" xr3:uid="{00000000-0010-0000-0000-000009000000}" name="Forecast Sales"/>
    <tableColumn id="10" xr3:uid="{00000000-0010-0000-0000-00000A000000}" name="Statu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DepartmentPerformanceTable" displayName="DepartmentPerformanceTable" ref="A4:H82" totalsRowShown="0">
  <autoFilter ref="A4:H82" xr:uid="{00000000-0009-0000-0100-000005000000}"/>
  <tableColumns count="8">
    <tableColumn id="1" xr3:uid="{00000000-0010-0000-0100-000001000000}" name="Department"/>
    <tableColumn id="2" xr3:uid="{00000000-0010-0000-0100-000002000000}" name="Actual Sales"/>
    <tableColumn id="3" xr3:uid="{00000000-0010-0000-0100-000003000000}" name="Base Plan"/>
    <tableColumn id="4" xr3:uid="{00000000-0010-0000-0100-000004000000}" name="Selected Plan"/>
    <tableColumn id="5" xr3:uid="{00000000-0010-0000-0100-000005000000}" name="Variance"/>
    <tableColumn id="6" xr3:uid="{00000000-0010-0000-0100-000006000000}" name="Variance %"/>
    <tableColumn id="7" xr3:uid="{00000000-0010-0000-0100-000007000000}" name="Forecast Sales"/>
    <tableColumn id="8" xr3:uid="{00000000-0010-0000-0100-000008000000}" name="Statu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onthlyHistoryTable" displayName="MonthlyHistoryTable" ref="A4:C37" totalsRowShown="0">
  <autoFilter ref="A4:C37" xr:uid="{00000000-0009-0000-0100-000003000000}"/>
  <tableColumns count="3">
    <tableColumn id="1" xr3:uid="{00000000-0010-0000-0200-000001000000}" name="Month"/>
    <tableColumn id="2" xr3:uid="{00000000-0010-0000-0200-000002000000}" name="Actual Sales"/>
    <tableColumn id="3" xr3:uid="{00000000-0010-0000-0200-000003000000}" name="Records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StoreWeeklyTable" displayName="StoreWeeklyTable" ref="A3:L1938" totalsRowShown="0">
  <autoFilter ref="A3:L1938" xr:uid="{00000000-0009-0000-0100-000001000000}"/>
  <tableColumns count="12">
    <tableColumn id="1" xr3:uid="{00000000-0010-0000-0300-000001000000}" name="Date"/>
    <tableColumn id="2" xr3:uid="{00000000-0010-0000-0300-000002000000}" name="Month"/>
    <tableColumn id="3" xr3:uid="{00000000-0010-0000-0300-000003000000}" name="Store"/>
    <tableColumn id="4" xr3:uid="{00000000-0010-0000-0300-000004000000}" name="Store Type"/>
    <tableColumn id="5" xr3:uid="{00000000-0010-0000-0300-000005000000}" name="Store Size"/>
    <tableColumn id="6" xr3:uid="{00000000-0010-0000-0300-000006000000}" name="Holiday"/>
    <tableColumn id="7" xr3:uid="{00000000-0010-0000-0300-000007000000}" name="Actual Sales"/>
    <tableColumn id="8" xr3:uid="{00000000-0010-0000-0300-000008000000}" name="Prior-Year Sales"/>
    <tableColumn id="9" xr3:uid="{00000000-0010-0000-0300-000009000000}" name="Forecast Sales"/>
    <tableColumn id="10" xr3:uid="{00000000-0010-0000-0300-00000A000000}" name="Base Plan"/>
    <tableColumn id="11" xr3:uid="{00000000-0010-0000-0300-00000B000000}" name="Upside Plan"/>
    <tableColumn id="12" xr3:uid="{00000000-0010-0000-0300-00000C000000}" name="Downside Plan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DepartmentWeeklyTable" displayName="DepartmentWeeklyTable" ref="A3:J3247" totalsRowShown="0">
  <autoFilter ref="A3:J3247" xr:uid="{00000000-0009-0000-0100-000002000000}"/>
  <tableColumns count="10">
    <tableColumn id="1" xr3:uid="{00000000-0010-0000-0400-000001000000}" name="Date"/>
    <tableColumn id="2" xr3:uid="{00000000-0010-0000-0400-000002000000}" name="Month"/>
    <tableColumn id="3" xr3:uid="{00000000-0010-0000-0400-000003000000}" name="Department"/>
    <tableColumn id="4" xr3:uid="{00000000-0010-0000-0400-000004000000}" name="Holiday"/>
    <tableColumn id="5" xr3:uid="{00000000-0010-0000-0400-000005000000}" name="Actual Sales"/>
    <tableColumn id="6" xr3:uid="{00000000-0010-0000-0400-000006000000}" name="Prior-Year Sales"/>
    <tableColumn id="7" xr3:uid="{00000000-0010-0000-0400-000007000000}" name="Forecast Sales"/>
    <tableColumn id="8" xr3:uid="{00000000-0010-0000-0400-000008000000}" name="Base Plan"/>
    <tableColumn id="9" xr3:uid="{00000000-0010-0000-0400-000009000000}" name="Upside Plan"/>
    <tableColumn id="10" xr3:uid="{00000000-0010-0000-0400-00000A000000}" name="Downside Pla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showGridLines="0" workbookViewId="0">
      <selection activeCell="B5" sqref="B5"/>
    </sheetView>
  </sheetViews>
  <sheetFormatPr defaultRowHeight="14.25"/>
  <cols>
    <col min="1" max="6" width="15" customWidth="1"/>
    <col min="7" max="12" width="14" customWidth="1"/>
  </cols>
  <sheetData>
    <row r="1" spans="1:12" ht="30" customHeight="1">
      <c r="A1" s="39" t="s">
        <v>0</v>
      </c>
      <c r="B1" s="39" t="s">
        <v>0</v>
      </c>
      <c r="C1" s="39" t="s">
        <v>0</v>
      </c>
      <c r="D1" s="39" t="s">
        <v>0</v>
      </c>
      <c r="E1" s="39" t="s">
        <v>0</v>
      </c>
      <c r="F1" s="39" t="s">
        <v>0</v>
      </c>
      <c r="G1" s="39" t="s">
        <v>0</v>
      </c>
      <c r="H1" s="39" t="s">
        <v>0</v>
      </c>
      <c r="I1" s="39" t="s">
        <v>0</v>
      </c>
      <c r="J1" s="39" t="s">
        <v>0</v>
      </c>
      <c r="K1" s="39" t="s">
        <v>0</v>
      </c>
      <c r="L1" s="39" t="s">
        <v>0</v>
      </c>
    </row>
    <row r="2" spans="1:12" ht="30" customHeight="1">
      <c r="A2" s="39" t="s">
        <v>0</v>
      </c>
      <c r="B2" s="39" t="s">
        <v>0</v>
      </c>
      <c r="C2" s="39" t="s">
        <v>0</v>
      </c>
      <c r="D2" s="39" t="s">
        <v>0</v>
      </c>
      <c r="E2" s="39" t="s">
        <v>0</v>
      </c>
      <c r="F2" s="39" t="s">
        <v>0</v>
      </c>
      <c r="G2" s="39" t="s">
        <v>0</v>
      </c>
      <c r="H2" s="39" t="s">
        <v>0</v>
      </c>
      <c r="I2" s="39" t="s">
        <v>0</v>
      </c>
      <c r="J2" s="39" t="s">
        <v>0</v>
      </c>
      <c r="K2" s="39" t="s">
        <v>0</v>
      </c>
      <c r="L2" s="39" t="s">
        <v>0</v>
      </c>
    </row>
    <row r="3" spans="1:12" ht="15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2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5">
      <c r="A5" s="1" t="s">
        <v>2</v>
      </c>
      <c r="B5" s="38" t="str">
        <f>Assumptions!$B$10</f>
        <v>Base</v>
      </c>
      <c r="C5" s="1"/>
      <c r="D5" s="1" t="s">
        <v>3</v>
      </c>
      <c r="E5" s="33">
        <f>'Checks &amp; Sources'!$B$12</f>
        <v>1</v>
      </c>
      <c r="F5" s="1"/>
      <c r="G5" s="1"/>
      <c r="H5" s="1"/>
      <c r="I5" s="1"/>
      <c r="J5" s="1"/>
      <c r="K5" s="1"/>
      <c r="L5" s="1"/>
    </row>
    <row r="6" spans="1:12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5">
      <c r="A7" s="42" t="s">
        <v>4</v>
      </c>
      <c r="B7" s="43" t="s">
        <v>4</v>
      </c>
      <c r="C7" s="1"/>
      <c r="D7" s="42" t="s">
        <v>5</v>
      </c>
      <c r="E7" s="43" t="s">
        <v>5</v>
      </c>
      <c r="F7" s="1"/>
      <c r="G7" s="42" t="s">
        <v>6</v>
      </c>
      <c r="H7" s="43" t="s">
        <v>6</v>
      </c>
      <c r="I7" s="1"/>
      <c r="J7" s="42" t="s">
        <v>7</v>
      </c>
      <c r="K7" s="43" t="s">
        <v>7</v>
      </c>
      <c r="L7" s="1"/>
    </row>
    <row r="8" spans="1:12" ht="15">
      <c r="A8" s="44">
        <f>SUM('Store Weekly'!$G$4:$G$1938)</f>
        <v>1999265475.8799994</v>
      </c>
      <c r="B8" s="45"/>
      <c r="C8" s="1"/>
      <c r="D8" s="44">
        <f>IF(Assumptions!$B$10="Upside",SUM('Store Weekly'!$K$4:$K$1938),IF(Assumptions!$B$10="Downside",SUM('Store Weekly'!$L$4:$L$1938),SUM('Store Weekly'!$J$4:$J$1938)))</f>
        <v>2008222674.9307997</v>
      </c>
      <c r="E8" s="45"/>
      <c r="F8" s="1"/>
      <c r="G8" s="44">
        <f>A8-D8</f>
        <v>-8957199.0508003235</v>
      </c>
      <c r="H8" s="45"/>
      <c r="I8" s="1"/>
      <c r="J8" s="48">
        <f>IF(D8=0,0,G8/D8)</f>
        <v>-4.4602618836125704E-3</v>
      </c>
      <c r="K8" s="49"/>
      <c r="L8" s="1"/>
    </row>
    <row r="9" spans="1:12" ht="15">
      <c r="A9" s="46"/>
      <c r="B9" s="47"/>
      <c r="C9" s="1"/>
      <c r="D9" s="46"/>
      <c r="E9" s="47"/>
      <c r="F9" s="1"/>
      <c r="G9" s="46"/>
      <c r="H9" s="47"/>
      <c r="I9" s="1"/>
      <c r="J9" s="50"/>
      <c r="K9" s="51"/>
      <c r="L9" s="1"/>
    </row>
    <row r="10" spans="1:12" ht="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15">
      <c r="A11" s="42" t="s">
        <v>8</v>
      </c>
      <c r="B11" s="43" t="s">
        <v>8</v>
      </c>
      <c r="C11" s="1"/>
      <c r="D11" s="42" t="s">
        <v>9</v>
      </c>
      <c r="E11" s="43" t="s">
        <v>9</v>
      </c>
      <c r="F11" s="1"/>
      <c r="G11" s="42" t="s">
        <v>10</v>
      </c>
      <c r="H11" s="43" t="s">
        <v>10</v>
      </c>
      <c r="I11" s="1"/>
      <c r="J11" s="52" t="s">
        <v>11</v>
      </c>
      <c r="K11" s="53" t="s">
        <v>11</v>
      </c>
      <c r="L11" s="1"/>
    </row>
    <row r="12" spans="1:12" ht="15">
      <c r="A12" s="44">
        <f>SUM('Store Weekly'!$I$4:$I$1938)</f>
        <v>1949730752.3600004</v>
      </c>
      <c r="B12" s="45"/>
      <c r="C12" s="1"/>
      <c r="D12" s="58">
        <f>'Checks &amp; Sources'!B19</f>
        <v>1811.56</v>
      </c>
      <c r="E12" s="59"/>
      <c r="F12" s="1"/>
      <c r="G12" s="62">
        <f>COUNTIF('Store Performance'!$J$5:$J$49,"Favorable")</f>
        <v>24</v>
      </c>
      <c r="H12" s="63"/>
      <c r="I12" s="1"/>
      <c r="J12" s="54">
        <f>COUNTIF('Store Performance'!$J$5:$J$49,"Unfavorable")</f>
        <v>21</v>
      </c>
      <c r="K12" s="55"/>
      <c r="L12" s="1"/>
    </row>
    <row r="13" spans="1:12" ht="15">
      <c r="A13" s="46"/>
      <c r="B13" s="47"/>
      <c r="C13" s="1"/>
      <c r="D13" s="60"/>
      <c r="E13" s="61"/>
      <c r="F13" s="1"/>
      <c r="G13" s="64"/>
      <c r="H13" s="65"/>
      <c r="I13" s="1"/>
      <c r="J13" s="56"/>
      <c r="K13" s="57"/>
      <c r="L13" s="1"/>
    </row>
    <row r="14" spans="1:12" ht="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5">
      <c r="A16" s="2" t="s">
        <v>12</v>
      </c>
      <c r="B16" s="2" t="s">
        <v>4</v>
      </c>
      <c r="C16" s="2" t="s">
        <v>5</v>
      </c>
      <c r="D16" s="2" t="s">
        <v>13</v>
      </c>
      <c r="E16" s="2" t="s">
        <v>8</v>
      </c>
      <c r="F16" s="2" t="s">
        <v>14</v>
      </c>
      <c r="G16" s="1"/>
      <c r="H16" s="1"/>
      <c r="I16" s="1"/>
      <c r="J16" s="1"/>
      <c r="K16" s="1"/>
      <c r="L16" s="1"/>
    </row>
    <row r="17" spans="1:12" ht="15">
      <c r="A17" s="1" t="s">
        <v>15</v>
      </c>
      <c r="B17" s="9">
        <f>'Scenario Summary'!B6</f>
        <v>168804291.75000006</v>
      </c>
      <c r="C17" s="9">
        <f>'Scenario Summary'!J6</f>
        <v>168578189.24700007</v>
      </c>
      <c r="D17" s="9">
        <f t="shared" ref="D17:D26" si="0">B17-C17</f>
        <v>226102.50299999118</v>
      </c>
      <c r="E17" s="9">
        <f>'Scenario Summary'!C6</f>
        <v>163668144.89999992</v>
      </c>
      <c r="F17" s="10">
        <f t="shared" ref="F17:F26" si="1">IF(C17=0,0,D17/C17)</f>
        <v>1.3412322436843044E-3</v>
      </c>
      <c r="G17" s="1"/>
      <c r="H17" s="1"/>
      <c r="I17" s="1"/>
      <c r="J17" s="1"/>
      <c r="K17" s="1"/>
      <c r="L17" s="1"/>
    </row>
    <row r="18" spans="1:12" ht="15">
      <c r="A18" s="1" t="s">
        <v>16</v>
      </c>
      <c r="B18" s="9">
        <f>'Scenario Summary'!B7</f>
        <v>191945517.1800001</v>
      </c>
      <c r="C18" s="9">
        <f>'Scenario Summary'!J7</f>
        <v>191896621.27899992</v>
      </c>
      <c r="D18" s="9">
        <f t="shared" si="0"/>
        <v>48895.9010001719</v>
      </c>
      <c r="E18" s="9">
        <f>'Scenario Summary'!C7</f>
        <v>186307399.29999998</v>
      </c>
      <c r="F18" s="10">
        <f t="shared" si="1"/>
        <v>2.5480334502128509E-4</v>
      </c>
      <c r="G18" s="1"/>
      <c r="H18" s="1"/>
      <c r="I18" s="1"/>
      <c r="J18" s="1"/>
      <c r="K18" s="1"/>
      <c r="L18" s="1"/>
    </row>
    <row r="19" spans="1:12" ht="15">
      <c r="A19" s="1" t="s">
        <v>17</v>
      </c>
      <c r="B19" s="9">
        <f>'Scenario Summary'!B8</f>
        <v>231415081.68000013</v>
      </c>
      <c r="C19" s="9">
        <f>'Scenario Summary'!J8</f>
        <v>229467854.02900001</v>
      </c>
      <c r="D19" s="9">
        <f t="shared" si="0"/>
        <v>1947227.6510001123</v>
      </c>
      <c r="E19" s="9">
        <f>'Scenario Summary'!C8</f>
        <v>222784324.3000001</v>
      </c>
      <c r="F19" s="10">
        <f t="shared" si="1"/>
        <v>8.4858406823032518E-3</v>
      </c>
      <c r="G19" s="1"/>
      <c r="H19" s="1"/>
      <c r="I19" s="1"/>
      <c r="J19" s="1"/>
      <c r="K19" s="1"/>
      <c r="L19" s="1"/>
    </row>
    <row r="20" spans="1:12" ht="15">
      <c r="A20" s="1" t="s">
        <v>18</v>
      </c>
      <c r="B20" s="9">
        <f>'Scenario Summary'!B9</f>
        <v>188836776.44</v>
      </c>
      <c r="C20" s="9">
        <f>'Scenario Summary'!J9</f>
        <v>188531139.05490002</v>
      </c>
      <c r="D20" s="9">
        <f t="shared" si="0"/>
        <v>305637.38509997725</v>
      </c>
      <c r="E20" s="9">
        <f>'Scenario Summary'!C9</f>
        <v>183039940.82999995</v>
      </c>
      <c r="F20" s="10">
        <f t="shared" si="1"/>
        <v>1.621150684349157E-3</v>
      </c>
      <c r="G20" s="1"/>
      <c r="H20" s="1"/>
      <c r="I20" s="1"/>
      <c r="J20" s="1"/>
      <c r="K20" s="1"/>
      <c r="L20" s="1"/>
    </row>
    <row r="21" spans="1:12" ht="15">
      <c r="A21" s="1" t="s">
        <v>19</v>
      </c>
      <c r="B21" s="9">
        <f>'Scenario Summary'!B10</f>
        <v>188685912.42999992</v>
      </c>
      <c r="C21" s="9">
        <f>'Scenario Summary'!J10</f>
        <v>187068514.02590004</v>
      </c>
      <c r="D21" s="9">
        <f t="shared" si="0"/>
        <v>1617398.4040998816</v>
      </c>
      <c r="E21" s="9">
        <f>'Scenario Summary'!C10</f>
        <v>181619916.52999994</v>
      </c>
      <c r="F21" s="10">
        <f t="shared" si="1"/>
        <v>8.6460215527020719E-3</v>
      </c>
      <c r="G21" s="1"/>
      <c r="H21" s="1"/>
      <c r="I21" s="1"/>
      <c r="J21" s="1"/>
      <c r="K21" s="1"/>
      <c r="L21" s="1"/>
    </row>
    <row r="22" spans="1:12" ht="15">
      <c r="A22" s="1" t="s">
        <v>20</v>
      </c>
      <c r="B22" s="9">
        <f>'Scenario Summary'!B11</f>
        <v>240536277.03</v>
      </c>
      <c r="C22" s="9">
        <f>'Scenario Summary'!J11</f>
        <v>244448951.13309997</v>
      </c>
      <c r="D22" s="9">
        <f t="shared" si="0"/>
        <v>-3912674.103099972</v>
      </c>
      <c r="E22" s="9">
        <f>'Scenario Summary'!C11</f>
        <v>237329078.76999983</v>
      </c>
      <c r="F22" s="10">
        <f t="shared" si="1"/>
        <v>-1.6006098962435558E-2</v>
      </c>
      <c r="G22" s="1"/>
      <c r="H22" s="1"/>
      <c r="I22" s="1"/>
      <c r="J22" s="1"/>
      <c r="K22" s="1"/>
      <c r="L22" s="1"/>
    </row>
    <row r="23" spans="1:12" ht="15">
      <c r="A23" s="1" t="s">
        <v>21</v>
      </c>
      <c r="B23" s="9">
        <f>'Scenario Summary'!B12</f>
        <v>187415155.94000006</v>
      </c>
      <c r="C23" s="9">
        <f>'Scenario Summary'!J12</f>
        <v>187786327.55609995</v>
      </c>
      <c r="D23" s="9">
        <f t="shared" si="0"/>
        <v>-371171.61609989405</v>
      </c>
      <c r="E23" s="9">
        <f>'Scenario Summary'!C12</f>
        <v>182316822.86999992</v>
      </c>
      <c r="F23" s="10">
        <f t="shared" si="1"/>
        <v>-1.9765635812277597E-3</v>
      </c>
      <c r="G23" s="1"/>
      <c r="H23" s="1"/>
      <c r="I23" s="1"/>
      <c r="J23" s="1"/>
      <c r="K23" s="1"/>
      <c r="L23" s="1"/>
    </row>
    <row r="24" spans="1:12" ht="15">
      <c r="A24" s="1" t="s">
        <v>22</v>
      </c>
      <c r="B24" s="9">
        <f>'Scenario Summary'!B13</f>
        <v>236756296.86999992</v>
      </c>
      <c r="C24" s="9">
        <f>'Scenario Summary'!J13</f>
        <v>240982797.73899999</v>
      </c>
      <c r="D24" s="9">
        <f t="shared" si="0"/>
        <v>-4226500.8690000772</v>
      </c>
      <c r="E24" s="9">
        <f>'Scenario Summary'!C13</f>
        <v>233963881.29999998</v>
      </c>
      <c r="F24" s="10">
        <f t="shared" si="1"/>
        <v>-1.7538599886194581E-2</v>
      </c>
      <c r="G24" s="1"/>
      <c r="H24" s="1"/>
      <c r="I24" s="1"/>
      <c r="J24" s="1"/>
      <c r="K24" s="1"/>
      <c r="L24" s="1"/>
    </row>
    <row r="25" spans="1:12" ht="15">
      <c r="A25" s="1" t="s">
        <v>23</v>
      </c>
      <c r="B25" s="9">
        <f>'Scenario Summary'!B14</f>
        <v>180553603.39999992</v>
      </c>
      <c r="C25" s="9">
        <f>'Scenario Summary'!J14</f>
        <v>180714920.26700008</v>
      </c>
      <c r="D25" s="9">
        <f t="shared" si="0"/>
        <v>-161316.8670001626</v>
      </c>
      <c r="E25" s="9">
        <f>'Scenario Summary'!C14</f>
        <v>175451378.89999998</v>
      </c>
      <c r="F25" s="10">
        <f t="shared" si="1"/>
        <v>-8.9265937069181933E-4</v>
      </c>
      <c r="G25" s="1"/>
      <c r="H25" s="1"/>
      <c r="I25" s="1"/>
      <c r="J25" s="1"/>
      <c r="K25" s="1"/>
      <c r="L25" s="1"/>
    </row>
    <row r="26" spans="1:12" ht="15">
      <c r="A26" s="1" t="s">
        <v>24</v>
      </c>
      <c r="B26" s="9">
        <f>'Scenario Summary'!B15</f>
        <v>184316563.16000003</v>
      </c>
      <c r="C26" s="9">
        <f>'Scenario Summary'!J15</f>
        <v>188747360.59979999</v>
      </c>
      <c r="D26" s="9">
        <f t="shared" si="0"/>
        <v>-4430797.4397999644</v>
      </c>
      <c r="E26" s="9">
        <f>'Scenario Summary'!C15</f>
        <v>183249864.66000012</v>
      </c>
      <c r="F26" s="10">
        <f t="shared" si="1"/>
        <v>-2.3474751783123263E-2</v>
      </c>
      <c r="G26" s="1"/>
      <c r="H26" s="1"/>
      <c r="I26" s="1"/>
      <c r="J26" s="1"/>
      <c r="K26" s="1"/>
      <c r="L26" s="1"/>
    </row>
    <row r="27" spans="1:12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mergeCells count="18">
    <mergeCell ref="J11:K11"/>
    <mergeCell ref="J12:K13"/>
    <mergeCell ref="A11:B11"/>
    <mergeCell ref="A12:B13"/>
    <mergeCell ref="D11:E11"/>
    <mergeCell ref="D12:E13"/>
    <mergeCell ref="G11:H11"/>
    <mergeCell ref="G12:H13"/>
    <mergeCell ref="A1:L2"/>
    <mergeCell ref="A3:L3"/>
    <mergeCell ref="A7:B7"/>
    <mergeCell ref="A8:B9"/>
    <mergeCell ref="D7:E7"/>
    <mergeCell ref="D8:E9"/>
    <mergeCell ref="G7:H7"/>
    <mergeCell ref="G8:H9"/>
    <mergeCell ref="J7:K7"/>
    <mergeCell ref="J8:K9"/>
  </mergeCells>
  <conditionalFormatting sqref="G8:H9">
    <cfRule type="cellIs" dxfId="7" priority="1" operator="greaterThanOrEqual">
      <formula>0</formula>
    </cfRule>
    <cfRule type="cellIs" dxfId="6" priority="2" operator="lessThan">
      <formula>0</formula>
    </cfRule>
  </conditionalFormatting>
  <conditionalFormatting sqref="J8:K9">
    <cfRule type="cellIs" dxfId="5" priority="3" operator="greaterThanOrEqual">
      <formula>0</formula>
    </cfRule>
    <cfRule type="cellIs" dxfId="4" priority="4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showGridLines="0" workbookViewId="0">
      <selection activeCell="B10" sqref="B10"/>
    </sheetView>
  </sheetViews>
  <sheetFormatPr defaultRowHeight="14.25"/>
  <cols>
    <col min="1" max="1" width="24" customWidth="1"/>
    <col min="2" max="3" width="16" customWidth="1"/>
    <col min="4" max="6" width="28" customWidth="1"/>
  </cols>
  <sheetData>
    <row r="1" spans="1:6" ht="30" customHeight="1">
      <c r="A1" s="39" t="s">
        <v>25</v>
      </c>
      <c r="B1" s="39" t="s">
        <v>25</v>
      </c>
      <c r="C1" s="39" t="s">
        <v>25</v>
      </c>
      <c r="D1" s="39" t="s">
        <v>25</v>
      </c>
      <c r="E1" s="39" t="s">
        <v>25</v>
      </c>
      <c r="F1" s="39" t="s">
        <v>25</v>
      </c>
    </row>
    <row r="2" spans="1:6" ht="30" customHeight="1">
      <c r="A2" s="39" t="s">
        <v>25</v>
      </c>
      <c r="B2" s="39" t="s">
        <v>25</v>
      </c>
      <c r="C2" s="39" t="s">
        <v>25</v>
      </c>
      <c r="D2" s="39" t="s">
        <v>25</v>
      </c>
      <c r="E2" s="39" t="s">
        <v>25</v>
      </c>
      <c r="F2" s="39" t="s">
        <v>25</v>
      </c>
    </row>
    <row r="3" spans="1:6" ht="15">
      <c r="A3" s="66" t="s">
        <v>26</v>
      </c>
      <c r="B3" s="66"/>
      <c r="C3" s="66"/>
      <c r="D3" s="66"/>
      <c r="E3" s="66"/>
      <c r="F3" s="66"/>
    </row>
    <row r="4" spans="1:6" ht="15">
      <c r="A4" s="4"/>
      <c r="B4" s="4"/>
      <c r="C4" s="4"/>
      <c r="D4" s="4"/>
      <c r="E4" s="4"/>
      <c r="F4" s="4"/>
    </row>
    <row r="5" spans="1:6" ht="15">
      <c r="A5" s="2" t="s">
        <v>27</v>
      </c>
      <c r="B5" s="2" t="s">
        <v>28</v>
      </c>
      <c r="C5" s="2" t="s">
        <v>29</v>
      </c>
      <c r="D5" s="2" t="s">
        <v>30</v>
      </c>
      <c r="E5" s="4"/>
      <c r="F5" s="4"/>
    </row>
    <row r="6" spans="1:6" ht="30">
      <c r="A6" s="4" t="s">
        <v>31</v>
      </c>
      <c r="B6" s="5">
        <v>0.03</v>
      </c>
      <c r="C6" s="5">
        <v>0</v>
      </c>
      <c r="D6" s="4" t="s">
        <v>32</v>
      </c>
      <c r="E6" s="4"/>
      <c r="F6" s="4"/>
    </row>
    <row r="7" spans="1:6" ht="30">
      <c r="A7" s="4" t="s">
        <v>33</v>
      </c>
      <c r="B7" s="5">
        <v>0.05</v>
      </c>
      <c r="C7" s="5">
        <v>0.01</v>
      </c>
      <c r="D7" s="4" t="s">
        <v>34</v>
      </c>
      <c r="E7" s="4"/>
      <c r="F7" s="4"/>
    </row>
    <row r="8" spans="1:6" ht="30">
      <c r="A8" s="4" t="s">
        <v>35</v>
      </c>
      <c r="B8" s="5">
        <v>0.01</v>
      </c>
      <c r="C8" s="5">
        <v>-0.01</v>
      </c>
      <c r="D8" s="4" t="s">
        <v>36</v>
      </c>
      <c r="E8" s="4"/>
      <c r="F8" s="4"/>
    </row>
    <row r="9" spans="1:6" ht="15">
      <c r="A9" s="4"/>
      <c r="B9" s="4"/>
      <c r="C9" s="4"/>
      <c r="D9" s="4"/>
      <c r="E9" s="4"/>
      <c r="F9" s="4"/>
    </row>
    <row r="10" spans="1:6" ht="15">
      <c r="A10" s="6" t="s">
        <v>2</v>
      </c>
      <c r="B10" s="34" t="s">
        <v>31</v>
      </c>
      <c r="C10" s="4"/>
      <c r="D10" s="4"/>
      <c r="E10" s="4"/>
      <c r="F10" s="4"/>
    </row>
    <row r="11" spans="1:6" ht="15">
      <c r="A11" s="4"/>
      <c r="B11" s="4"/>
      <c r="C11" s="4"/>
      <c r="D11" s="4"/>
      <c r="E11" s="4"/>
      <c r="F11" s="4"/>
    </row>
    <row r="12" spans="1:6" ht="15">
      <c r="A12" s="2" t="s">
        <v>37</v>
      </c>
      <c r="B12" s="2" t="s">
        <v>38</v>
      </c>
      <c r="C12" s="2" t="s">
        <v>39</v>
      </c>
      <c r="D12" s="2" t="s">
        <v>140</v>
      </c>
      <c r="E12" s="2" t="s">
        <v>40</v>
      </c>
      <c r="F12" s="2" t="s">
        <v>41</v>
      </c>
    </row>
    <row r="13" spans="1:6" ht="15">
      <c r="A13" s="4" t="s">
        <v>42</v>
      </c>
      <c r="B13" s="7" t="s">
        <v>43</v>
      </c>
      <c r="C13" s="4" t="s">
        <v>44</v>
      </c>
      <c r="D13" s="36">
        <v>41208</v>
      </c>
      <c r="E13" s="4" t="s">
        <v>45</v>
      </c>
      <c r="F13" s="4" t="s">
        <v>46</v>
      </c>
    </row>
    <row r="14" spans="1:6" ht="30">
      <c r="A14" s="4" t="s">
        <v>47</v>
      </c>
      <c r="B14" s="7" t="s">
        <v>48</v>
      </c>
      <c r="C14" s="4" t="s">
        <v>49</v>
      </c>
      <c r="D14" s="37">
        <v>2012</v>
      </c>
      <c r="E14" s="4" t="s">
        <v>50</v>
      </c>
      <c r="F14" s="4" t="s">
        <v>51</v>
      </c>
    </row>
    <row r="15" spans="1:6" ht="15">
      <c r="A15" s="4" t="s">
        <v>52</v>
      </c>
      <c r="B15" s="8">
        <v>0.03</v>
      </c>
      <c r="C15" s="4" t="s">
        <v>53</v>
      </c>
      <c r="D15" s="37">
        <v>2012</v>
      </c>
      <c r="E15" s="4" t="s">
        <v>54</v>
      </c>
      <c r="F15" s="4" t="s">
        <v>55</v>
      </c>
    </row>
    <row r="16" spans="1:6" ht="30">
      <c r="A16" s="4" t="s">
        <v>56</v>
      </c>
      <c r="B16" s="7" t="s">
        <v>57</v>
      </c>
      <c r="C16" s="4" t="s">
        <v>49</v>
      </c>
      <c r="D16" s="37">
        <v>2012</v>
      </c>
      <c r="E16" s="4" t="s">
        <v>58</v>
      </c>
      <c r="F16" s="4" t="s">
        <v>59</v>
      </c>
    </row>
    <row r="17" spans="1:6" ht="15">
      <c r="A17" s="4" t="s">
        <v>60</v>
      </c>
      <c r="B17" s="7" t="s">
        <v>61</v>
      </c>
      <c r="C17" s="4" t="s">
        <v>62</v>
      </c>
      <c r="D17" s="37">
        <v>2012</v>
      </c>
      <c r="E17" s="4" t="s">
        <v>63</v>
      </c>
      <c r="F17" s="4" t="s">
        <v>64</v>
      </c>
    </row>
    <row r="18" spans="1:6" ht="15">
      <c r="A18" s="1"/>
      <c r="B18" s="1"/>
      <c r="C18" s="1"/>
      <c r="D18" s="3"/>
      <c r="E18" s="1"/>
      <c r="F18" s="1"/>
    </row>
    <row r="19" spans="1:6" ht="15">
      <c r="A19" s="1"/>
      <c r="B19" s="1"/>
      <c r="C19" s="1"/>
      <c r="D19" s="1"/>
      <c r="E19" s="1"/>
      <c r="F19" s="1"/>
    </row>
    <row r="20" spans="1:6" ht="15">
      <c r="A20" s="1"/>
      <c r="B20" s="1"/>
      <c r="C20" s="1"/>
      <c r="D20" s="1"/>
      <c r="E20" s="1"/>
      <c r="F20" s="1"/>
    </row>
  </sheetData>
  <mergeCells count="2">
    <mergeCell ref="A1:F2"/>
    <mergeCell ref="A3:F3"/>
  </mergeCells>
  <dataValidations count="1">
    <dataValidation type="list" sqref="B10" xr:uid="{00000000-0002-0000-0100-000000000000}">
      <formula1>"Base,Upside,Downside"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showGridLines="0" tabSelected="1" topLeftCell="D1" workbookViewId="0">
      <selection sqref="A1:J2"/>
    </sheetView>
  </sheetViews>
  <sheetFormatPr defaultRowHeight="14.25"/>
  <cols>
    <col min="1" max="1" width="14" customWidth="1"/>
    <col min="2" max="10" width="16" customWidth="1"/>
  </cols>
  <sheetData>
    <row r="1" spans="1:10" ht="30" customHeight="1">
      <c r="A1" s="39" t="s">
        <v>65</v>
      </c>
      <c r="B1" s="39" t="s">
        <v>65</v>
      </c>
      <c r="C1" s="39" t="s">
        <v>65</v>
      </c>
      <c r="D1" s="39" t="s">
        <v>65</v>
      </c>
      <c r="E1" s="39" t="s">
        <v>65</v>
      </c>
      <c r="F1" s="39" t="s">
        <v>65</v>
      </c>
      <c r="G1" s="39" t="s">
        <v>65</v>
      </c>
      <c r="H1" s="39" t="s">
        <v>65</v>
      </c>
      <c r="I1" s="39" t="s">
        <v>65</v>
      </c>
      <c r="J1" s="39" t="s">
        <v>65</v>
      </c>
    </row>
    <row r="2" spans="1:10" ht="30" customHeight="1">
      <c r="A2" s="39" t="s">
        <v>65</v>
      </c>
      <c r="B2" s="39" t="s">
        <v>65</v>
      </c>
      <c r="C2" s="39" t="s">
        <v>65</v>
      </c>
      <c r="D2" s="39" t="s">
        <v>65</v>
      </c>
      <c r="E2" s="39" t="s">
        <v>65</v>
      </c>
      <c r="F2" s="39" t="s">
        <v>65</v>
      </c>
      <c r="G2" s="39" t="s">
        <v>65</v>
      </c>
      <c r="H2" s="39" t="s">
        <v>65</v>
      </c>
      <c r="I2" s="39" t="s">
        <v>65</v>
      </c>
      <c r="J2" s="39" t="s">
        <v>65</v>
      </c>
    </row>
    <row r="3" spans="1:10" ht="15">
      <c r="A3" s="40" t="s">
        <v>66</v>
      </c>
      <c r="B3" s="40"/>
      <c r="C3" s="40"/>
      <c r="D3" s="40"/>
      <c r="E3" s="40"/>
      <c r="F3" s="40"/>
      <c r="G3" s="40"/>
      <c r="H3" s="40"/>
      <c r="I3" s="40"/>
      <c r="J3" s="40"/>
    </row>
    <row r="4" spans="1:10" ht="15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 ht="30">
      <c r="A5" s="12" t="s">
        <v>12</v>
      </c>
      <c r="B5" s="12" t="s">
        <v>4</v>
      </c>
      <c r="C5" s="12" t="s">
        <v>8</v>
      </c>
      <c r="D5" s="12" t="s">
        <v>67</v>
      </c>
      <c r="E5" s="12" t="s">
        <v>68</v>
      </c>
      <c r="F5" s="12" t="s">
        <v>69</v>
      </c>
      <c r="G5" s="12" t="s">
        <v>70</v>
      </c>
      <c r="H5" s="12" t="s">
        <v>71</v>
      </c>
      <c r="I5" s="12" t="s">
        <v>72</v>
      </c>
      <c r="J5" s="12" t="s">
        <v>5</v>
      </c>
    </row>
    <row r="6" spans="1:10" ht="15">
      <c r="A6" s="13">
        <v>40909</v>
      </c>
      <c r="B6" s="14">
        <f>SUMIFS('Store Weekly'!$G$4:$G$1938,'Store Weekly'!$B$4:$B$1938,A6)</f>
        <v>168804291.75000006</v>
      </c>
      <c r="C6" s="14">
        <f>SUMIFS('Store Weekly'!$I$4:$I$1938,'Store Weekly'!$B$4:$B$1938,A6)</f>
        <v>163668144.89999992</v>
      </c>
      <c r="D6" s="14">
        <f>SUMIFS('Store Weekly'!$J$4:$J$1938,'Store Weekly'!$B$4:$B$1938,A6)</f>
        <v>168578189.24700007</v>
      </c>
      <c r="E6" s="14">
        <f t="shared" ref="E6:E15" si="0">B6-D6</f>
        <v>226102.50299999118</v>
      </c>
      <c r="F6" s="14">
        <f>SUMIFS('Store Weekly'!$K$4:$K$1938,'Store Weekly'!$B$4:$B$1938,A6)</f>
        <v>171851552.14499998</v>
      </c>
      <c r="G6" s="14">
        <f t="shared" ref="G6:G15" si="1">B6-F6</f>
        <v>-3047260.3949999213</v>
      </c>
      <c r="H6" s="14">
        <f>SUMIFS('Store Weekly'!$L$4:$L$1938,'Store Weekly'!$B$4:$B$1938,A6)</f>
        <v>165304826.34900001</v>
      </c>
      <c r="I6" s="14">
        <f t="shared" ref="I6:I15" si="2">B6-H6</f>
        <v>3499465.4010000527</v>
      </c>
      <c r="J6" s="14">
        <f>IF(Assumptions!$B$10="Upside",F6,IF(Assumptions!$B$10="Downside",H6,D6))</f>
        <v>168578189.24700007</v>
      </c>
    </row>
    <row r="7" spans="1:10" ht="15">
      <c r="A7" s="13">
        <v>40940</v>
      </c>
      <c r="B7" s="14">
        <f>SUMIFS('Store Weekly'!$G$4:$G$1938,'Store Weekly'!$B$4:$B$1938,A7)</f>
        <v>191945517.1800001</v>
      </c>
      <c r="C7" s="14">
        <f>SUMIFS('Store Weekly'!$I$4:$I$1938,'Store Weekly'!$B$4:$B$1938,A7)</f>
        <v>186307399.29999998</v>
      </c>
      <c r="D7" s="14">
        <f>SUMIFS('Store Weekly'!$J$4:$J$1938,'Store Weekly'!$B$4:$B$1938,A7)</f>
        <v>191896621.27899992</v>
      </c>
      <c r="E7" s="14">
        <f t="shared" si="0"/>
        <v>48895.9010001719</v>
      </c>
      <c r="F7" s="14">
        <f>SUMIFS('Store Weekly'!$K$4:$K$1938,'Store Weekly'!$B$4:$B$1938,A7)</f>
        <v>196096057.87190005</v>
      </c>
      <c r="G7" s="14">
        <f t="shared" si="1"/>
        <v>-4150540.6918999553</v>
      </c>
      <c r="H7" s="14">
        <f>SUMIFS('Store Weekly'!$L$4:$L$1938,'Store Weekly'!$B$4:$B$1938,A7)</f>
        <v>187697184.68609998</v>
      </c>
      <c r="I7" s="14">
        <f t="shared" si="2"/>
        <v>4248332.4939001203</v>
      </c>
      <c r="J7" s="14">
        <f>IF(Assumptions!$B$10="Upside",F7,IF(Assumptions!$B$10="Downside",H7,D7))</f>
        <v>191896621.27899992</v>
      </c>
    </row>
    <row r="8" spans="1:10" ht="15">
      <c r="A8" s="13">
        <v>40969</v>
      </c>
      <c r="B8" s="14">
        <f>SUMIFS('Store Weekly'!$G$4:$G$1938,'Store Weekly'!$B$4:$B$1938,A8)</f>
        <v>231415081.68000013</v>
      </c>
      <c r="C8" s="14">
        <f>SUMIFS('Store Weekly'!$I$4:$I$1938,'Store Weekly'!$B$4:$B$1938,A8)</f>
        <v>222784324.3000001</v>
      </c>
      <c r="D8" s="14">
        <f>SUMIFS('Store Weekly'!$J$4:$J$1938,'Store Weekly'!$B$4:$B$1938,A8)</f>
        <v>229467854.02900001</v>
      </c>
      <c r="E8" s="14">
        <f t="shared" si="0"/>
        <v>1947227.6510001123</v>
      </c>
      <c r="F8" s="14">
        <f>SUMIFS('Store Weekly'!$K$4:$K$1938,'Store Weekly'!$B$4:$B$1938,A8)</f>
        <v>233923540.51500002</v>
      </c>
      <c r="G8" s="14">
        <f t="shared" si="1"/>
        <v>-2508458.8349998891</v>
      </c>
      <c r="H8" s="14">
        <f>SUMIFS('Store Weekly'!$L$4:$L$1938,'Store Weekly'!$B$4:$B$1938,A8)</f>
        <v>225012167.54299995</v>
      </c>
      <c r="I8" s="14">
        <f t="shared" si="2"/>
        <v>6402914.1370001733</v>
      </c>
      <c r="J8" s="14">
        <f>IF(Assumptions!$B$10="Upside",F8,IF(Assumptions!$B$10="Downside",H8,D8))</f>
        <v>229467854.02900001</v>
      </c>
    </row>
    <row r="9" spans="1:10" ht="15">
      <c r="A9" s="13">
        <v>41000</v>
      </c>
      <c r="B9" s="14">
        <f>SUMIFS('Store Weekly'!$G$4:$G$1938,'Store Weekly'!$B$4:$B$1938,A9)</f>
        <v>188836776.44</v>
      </c>
      <c r="C9" s="14">
        <f>SUMIFS('Store Weekly'!$I$4:$I$1938,'Store Weekly'!$B$4:$B$1938,A9)</f>
        <v>183039940.82999995</v>
      </c>
      <c r="D9" s="14">
        <f>SUMIFS('Store Weekly'!$J$4:$J$1938,'Store Weekly'!$B$4:$B$1938,A9)</f>
        <v>188531139.05490002</v>
      </c>
      <c r="E9" s="14">
        <f t="shared" si="0"/>
        <v>305637.38509997725</v>
      </c>
      <c r="F9" s="14">
        <f>SUMIFS('Store Weekly'!$K$4:$K$1938,'Store Weekly'!$B$4:$B$1938,A9)</f>
        <v>192191937.87150005</v>
      </c>
      <c r="G9" s="14">
        <f t="shared" si="1"/>
        <v>-3355161.4315000474</v>
      </c>
      <c r="H9" s="14">
        <f>SUMIFS('Store Weekly'!$L$4:$L$1938,'Store Weekly'!$B$4:$B$1938,A9)</f>
        <v>184870340.23829997</v>
      </c>
      <c r="I9" s="14">
        <f t="shared" si="2"/>
        <v>3966436.2017000318</v>
      </c>
      <c r="J9" s="14">
        <f>IF(Assumptions!$B$10="Upside",F9,IF(Assumptions!$B$10="Downside",H9,D9))</f>
        <v>188531139.05490002</v>
      </c>
    </row>
    <row r="10" spans="1:10" ht="15">
      <c r="A10" s="13">
        <v>41030</v>
      </c>
      <c r="B10" s="14">
        <f>SUMIFS('Store Weekly'!$G$4:$G$1938,'Store Weekly'!$B$4:$B$1938,A10)</f>
        <v>188685912.42999992</v>
      </c>
      <c r="C10" s="14">
        <f>SUMIFS('Store Weekly'!$I$4:$I$1938,'Store Weekly'!$B$4:$B$1938,A10)</f>
        <v>181619916.52999994</v>
      </c>
      <c r="D10" s="14">
        <f>SUMIFS('Store Weekly'!$J$4:$J$1938,'Store Weekly'!$B$4:$B$1938,A10)</f>
        <v>187068514.02590004</v>
      </c>
      <c r="E10" s="14">
        <f t="shared" si="0"/>
        <v>1617398.4040998816</v>
      </c>
      <c r="F10" s="14">
        <f>SUMIFS('Store Weekly'!$K$4:$K$1938,'Store Weekly'!$B$4:$B$1938,A10)</f>
        <v>190700912.35650009</v>
      </c>
      <c r="G10" s="14">
        <f t="shared" si="1"/>
        <v>-2014999.9265001714</v>
      </c>
      <c r="H10" s="14">
        <f>SUMIFS('Store Weekly'!$L$4:$L$1938,'Store Weekly'!$B$4:$B$1938,A10)</f>
        <v>183436115.69530001</v>
      </c>
      <c r="I10" s="14">
        <f t="shared" si="2"/>
        <v>5249796.7346999049</v>
      </c>
      <c r="J10" s="14">
        <f>IF(Assumptions!$B$10="Upside",F10,IF(Assumptions!$B$10="Downside",H10,D10))</f>
        <v>187068514.02590004</v>
      </c>
    </row>
    <row r="11" spans="1:10" ht="15">
      <c r="A11" s="13">
        <v>41061</v>
      </c>
      <c r="B11" s="14">
        <f>SUMIFS('Store Weekly'!$G$4:$G$1938,'Store Weekly'!$B$4:$B$1938,A11)</f>
        <v>240536277.03</v>
      </c>
      <c r="C11" s="14">
        <f>SUMIFS('Store Weekly'!$I$4:$I$1938,'Store Weekly'!$B$4:$B$1938,A11)</f>
        <v>237329078.76999983</v>
      </c>
      <c r="D11" s="14">
        <f>SUMIFS('Store Weekly'!$J$4:$J$1938,'Store Weekly'!$B$4:$B$1938,A11)</f>
        <v>244448951.13309997</v>
      </c>
      <c r="E11" s="14">
        <f t="shared" si="0"/>
        <v>-3912674.103099972</v>
      </c>
      <c r="F11" s="14">
        <f>SUMIFS('Store Weekly'!$K$4:$K$1938,'Store Weekly'!$B$4:$B$1938,A11)</f>
        <v>249195532.70850003</v>
      </c>
      <c r="G11" s="14">
        <f t="shared" si="1"/>
        <v>-8659255.6785000265</v>
      </c>
      <c r="H11" s="14">
        <f>SUMIFS('Store Weekly'!$L$4:$L$1938,'Store Weekly'!$B$4:$B$1938,A11)</f>
        <v>239702369.55770013</v>
      </c>
      <c r="I11" s="14">
        <f t="shared" si="2"/>
        <v>833907.47229987383</v>
      </c>
      <c r="J11" s="14">
        <f>IF(Assumptions!$B$10="Upside",F11,IF(Assumptions!$B$10="Downside",H11,D11))</f>
        <v>244448951.13309997</v>
      </c>
    </row>
    <row r="12" spans="1:10" ht="15">
      <c r="A12" s="13">
        <v>41091</v>
      </c>
      <c r="B12" s="14">
        <f>SUMIFS('Store Weekly'!$G$4:$G$1938,'Store Weekly'!$B$4:$B$1938,A12)</f>
        <v>187415155.94000006</v>
      </c>
      <c r="C12" s="14">
        <f>SUMIFS('Store Weekly'!$I$4:$I$1938,'Store Weekly'!$B$4:$B$1938,A12)</f>
        <v>182316822.86999992</v>
      </c>
      <c r="D12" s="14">
        <f>SUMIFS('Store Weekly'!$J$4:$J$1938,'Store Weekly'!$B$4:$B$1938,A12)</f>
        <v>187786327.55609995</v>
      </c>
      <c r="E12" s="14">
        <f t="shared" si="0"/>
        <v>-371171.61609989405</v>
      </c>
      <c r="F12" s="14">
        <f>SUMIFS('Store Weekly'!$K$4:$K$1938,'Store Weekly'!$B$4:$B$1938,A12)</f>
        <v>191432664.01349992</v>
      </c>
      <c r="G12" s="14">
        <f t="shared" si="1"/>
        <v>-4017508.0734998584</v>
      </c>
      <c r="H12" s="14">
        <f>SUMIFS('Store Weekly'!$L$4:$L$1938,'Store Weekly'!$B$4:$B$1938,A12)</f>
        <v>184139991.09869996</v>
      </c>
      <c r="I12" s="14">
        <f t="shared" si="2"/>
        <v>3275164.8413001001</v>
      </c>
      <c r="J12" s="14">
        <f>IF(Assumptions!$B$10="Upside",F12,IF(Assumptions!$B$10="Downside",H12,D12))</f>
        <v>187786327.55609995</v>
      </c>
    </row>
    <row r="13" spans="1:10" ht="15">
      <c r="A13" s="13">
        <v>41122</v>
      </c>
      <c r="B13" s="14">
        <f>SUMIFS('Store Weekly'!$G$4:$G$1938,'Store Weekly'!$B$4:$B$1938,A13)</f>
        <v>236756296.86999992</v>
      </c>
      <c r="C13" s="14">
        <f>SUMIFS('Store Weekly'!$I$4:$I$1938,'Store Weekly'!$B$4:$B$1938,A13)</f>
        <v>233963881.29999998</v>
      </c>
      <c r="D13" s="14">
        <f>SUMIFS('Store Weekly'!$J$4:$J$1938,'Store Weekly'!$B$4:$B$1938,A13)</f>
        <v>240982797.73899999</v>
      </c>
      <c r="E13" s="14">
        <f t="shared" si="0"/>
        <v>-4226500.8690000772</v>
      </c>
      <c r="F13" s="14">
        <f>SUMIFS('Store Weekly'!$K$4:$K$1938,'Store Weekly'!$B$4:$B$1938,A13)</f>
        <v>245662075.36500004</v>
      </c>
      <c r="G13" s="14">
        <f t="shared" si="1"/>
        <v>-8905778.495000124</v>
      </c>
      <c r="H13" s="14">
        <f>SUMIFS('Store Weekly'!$L$4:$L$1938,'Store Weekly'!$B$4:$B$1938,A13)</f>
        <v>236303520.11299995</v>
      </c>
      <c r="I13" s="14">
        <f t="shared" si="2"/>
        <v>452776.75699996948</v>
      </c>
      <c r="J13" s="14">
        <f>IF(Assumptions!$B$10="Upside",F13,IF(Assumptions!$B$10="Downside",H13,D13))</f>
        <v>240982797.73899999</v>
      </c>
    </row>
    <row r="14" spans="1:10" ht="15">
      <c r="A14" s="13">
        <v>41153</v>
      </c>
      <c r="B14" s="14">
        <f>SUMIFS('Store Weekly'!$G$4:$G$1938,'Store Weekly'!$B$4:$B$1938,A14)</f>
        <v>180553603.39999992</v>
      </c>
      <c r="C14" s="14">
        <f>SUMIFS('Store Weekly'!$I$4:$I$1938,'Store Weekly'!$B$4:$B$1938,A14)</f>
        <v>175451378.89999998</v>
      </c>
      <c r="D14" s="14">
        <f>SUMIFS('Store Weekly'!$J$4:$J$1938,'Store Weekly'!$B$4:$B$1938,A14)</f>
        <v>180714920.26700008</v>
      </c>
      <c r="E14" s="14">
        <f t="shared" si="0"/>
        <v>-161316.8670001626</v>
      </c>
      <c r="F14" s="14">
        <f>SUMIFS('Store Weekly'!$K$4:$K$1938,'Store Weekly'!$B$4:$B$1938,A14)</f>
        <v>184691545.93029988</v>
      </c>
      <c r="G14" s="14">
        <f t="shared" si="1"/>
        <v>-4137942.5302999616</v>
      </c>
      <c r="H14" s="14">
        <f>SUMIFS('Store Weekly'!$L$4:$L$1938,'Store Weekly'!$B$4:$B$1938,A14)</f>
        <v>176738294.60370007</v>
      </c>
      <c r="I14" s="14">
        <f t="shared" si="2"/>
        <v>3815308.796299845</v>
      </c>
      <c r="J14" s="14">
        <f>IF(Assumptions!$B$10="Upside",F14,IF(Assumptions!$B$10="Downside",H14,D14))</f>
        <v>180714920.26700008</v>
      </c>
    </row>
    <row r="15" spans="1:10" ht="15">
      <c r="A15" s="13">
        <v>41183</v>
      </c>
      <c r="B15" s="14">
        <f>SUMIFS('Store Weekly'!$G$4:$G$1938,'Store Weekly'!$B$4:$B$1938,A15)</f>
        <v>184316563.16000003</v>
      </c>
      <c r="C15" s="14">
        <f>SUMIFS('Store Weekly'!$I$4:$I$1938,'Store Weekly'!$B$4:$B$1938,A15)</f>
        <v>183249864.66000012</v>
      </c>
      <c r="D15" s="14">
        <f>SUMIFS('Store Weekly'!$J$4:$J$1938,'Store Weekly'!$B$4:$B$1938,A15)</f>
        <v>188747360.59979999</v>
      </c>
      <c r="E15" s="14">
        <f t="shared" si="0"/>
        <v>-4430797.4397999644</v>
      </c>
      <c r="F15" s="14">
        <f>SUMIFS('Store Weekly'!$K$4:$K$1938,'Store Weekly'!$B$4:$B$1938,A15)</f>
        <v>192412357.89299995</v>
      </c>
      <c r="G15" s="14">
        <f t="shared" si="1"/>
        <v>-8095794.7329999208</v>
      </c>
      <c r="H15" s="14">
        <f>SUMIFS('Store Weekly'!$L$4:$L$1938,'Store Weekly'!$B$4:$B$1938,A15)</f>
        <v>185082363.30659997</v>
      </c>
      <c r="I15" s="14">
        <f t="shared" si="2"/>
        <v>-765800.14659994841</v>
      </c>
      <c r="J15" s="14">
        <f>IF(Assumptions!$B$10="Upside",F15,IF(Assumptions!$B$10="Downside",H15,D15))</f>
        <v>188747360.59979999</v>
      </c>
    </row>
    <row r="16" spans="1:10" ht="15">
      <c r="A16" s="15" t="s">
        <v>73</v>
      </c>
      <c r="B16" s="16">
        <f t="shared" ref="B16:J16" si="3">SUM(B6:B15)</f>
        <v>1999265475.8800004</v>
      </c>
      <c r="C16" s="16">
        <f t="shared" si="3"/>
        <v>1949730752.3599994</v>
      </c>
      <c r="D16" s="16">
        <f t="shared" si="3"/>
        <v>2008222674.9308004</v>
      </c>
      <c r="E16" s="16">
        <f t="shared" si="3"/>
        <v>-8957199.0507999361</v>
      </c>
      <c r="F16" s="16">
        <f t="shared" si="3"/>
        <v>2048158176.6701996</v>
      </c>
      <c r="G16" s="16">
        <f t="shared" si="3"/>
        <v>-48892700.790199876</v>
      </c>
      <c r="H16" s="16">
        <f t="shared" si="3"/>
        <v>1968287173.1914001</v>
      </c>
      <c r="I16" s="16">
        <f t="shared" si="3"/>
        <v>30978302.688600123</v>
      </c>
      <c r="J16" s="16">
        <f t="shared" si="3"/>
        <v>2008222674.9308004</v>
      </c>
    </row>
  </sheetData>
  <mergeCells count="2">
    <mergeCell ref="A1:J2"/>
    <mergeCell ref="A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9"/>
  <sheetViews>
    <sheetView showGridLines="0" workbookViewId="0">
      <selection sqref="A1:J2"/>
    </sheetView>
  </sheetViews>
  <sheetFormatPr defaultRowHeight="14.25"/>
  <cols>
    <col min="1" max="9" width="15" customWidth="1"/>
    <col min="10" max="10" width="16" customWidth="1"/>
  </cols>
  <sheetData>
    <row r="1" spans="1:10" ht="30" customHeight="1">
      <c r="A1" s="39" t="s">
        <v>74</v>
      </c>
      <c r="B1" s="39" t="s">
        <v>74</v>
      </c>
      <c r="C1" s="39" t="s">
        <v>74</v>
      </c>
      <c r="D1" s="39" t="s">
        <v>74</v>
      </c>
      <c r="E1" s="39" t="s">
        <v>74</v>
      </c>
      <c r="F1" s="39" t="s">
        <v>74</v>
      </c>
      <c r="G1" s="39" t="s">
        <v>74</v>
      </c>
      <c r="H1" s="39" t="s">
        <v>74</v>
      </c>
      <c r="I1" s="39" t="s">
        <v>74</v>
      </c>
      <c r="J1" s="39" t="s">
        <v>74</v>
      </c>
    </row>
    <row r="2" spans="1:10" ht="30" customHeight="1">
      <c r="A2" s="39" t="s">
        <v>74</v>
      </c>
      <c r="B2" s="39" t="s">
        <v>74</v>
      </c>
      <c r="C2" s="39" t="s">
        <v>74</v>
      </c>
      <c r="D2" s="39" t="s">
        <v>74</v>
      </c>
      <c r="E2" s="39" t="s">
        <v>74</v>
      </c>
      <c r="F2" s="39" t="s">
        <v>74</v>
      </c>
      <c r="G2" s="39" t="s">
        <v>74</v>
      </c>
      <c r="H2" s="39" t="s">
        <v>74</v>
      </c>
      <c r="I2" s="39" t="s">
        <v>74</v>
      </c>
      <c r="J2" s="39" t="s">
        <v>74</v>
      </c>
    </row>
    <row r="3" spans="1:10" ht="1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5">
      <c r="A4" s="12" t="s">
        <v>75</v>
      </c>
      <c r="B4" s="12" t="s">
        <v>76</v>
      </c>
      <c r="C4" s="12" t="s">
        <v>77</v>
      </c>
      <c r="D4" s="12" t="s">
        <v>4</v>
      </c>
      <c r="E4" s="12" t="s">
        <v>67</v>
      </c>
      <c r="F4" s="12" t="s">
        <v>5</v>
      </c>
      <c r="G4" s="12" t="s">
        <v>13</v>
      </c>
      <c r="H4" s="12" t="s">
        <v>14</v>
      </c>
      <c r="I4" s="12" t="s">
        <v>8</v>
      </c>
      <c r="J4" s="12" t="s">
        <v>78</v>
      </c>
    </row>
    <row r="5" spans="1:10" ht="15">
      <c r="A5" s="17">
        <v>1</v>
      </c>
      <c r="B5" s="17" t="str">
        <f>INDEX('Store Weekly'!$D$4:$D$1938,MATCH(A5,'Store Weekly'!$C$4:$C$1938,0))</f>
        <v>A</v>
      </c>
      <c r="C5" s="18">
        <f>INDEX('Store Weekly'!$E$4:$E$1938,MATCH(A5,'Store Weekly'!$C$4:$C$1938,0))</f>
        <v>151315</v>
      </c>
      <c r="D5" s="14">
        <f>SUMIFS('Store Weekly'!$G$4:$G$1938,'Store Weekly'!$C$4:$C$1938,A5)</f>
        <v>68194164.340000033</v>
      </c>
      <c r="E5" s="14">
        <f>SUMIFS('Store Weekly'!$J$4:$J$1938,'Store Weekly'!$C$4:$C$1938,A5)</f>
        <v>66973768.547800004</v>
      </c>
      <c r="F5" s="14">
        <f>IF(Assumptions!$B$10="Upside",SUMIFS('Store Weekly'!$K$4:$K$1938,'Store Weekly'!$C$4:$C$1938,A5),IF(Assumptions!$B$10="Downside",SUMIFS('Store Weekly'!$L$4:$L$1938,'Store Weekly'!$C$4:$C$1938,A5),E5))</f>
        <v>66973768.547800004</v>
      </c>
      <c r="G5" s="14">
        <f t="shared" ref="G5:G49" si="0">D5-F5</f>
        <v>1220395.7922000289</v>
      </c>
      <c r="H5" s="19">
        <f t="shared" ref="H5:H49" si="1">IF(F5=0,0,G5/F5)</f>
        <v>1.8221996740843655E-2</v>
      </c>
      <c r="I5" s="14">
        <f>SUMIFS('Store Weekly'!$I$4:$I$1938,'Store Weekly'!$C$4:$C$1938,A5)</f>
        <v>65023076.260000013</v>
      </c>
      <c r="J5" s="11" t="str">
        <f t="shared" ref="J5:J49" si="2">IF(G5&gt;=0,"Favorable","Unfavorable")</f>
        <v>Favorable</v>
      </c>
    </row>
    <row r="6" spans="1:10" ht="15">
      <c r="A6" s="17">
        <v>2</v>
      </c>
      <c r="B6" s="17" t="str">
        <f>INDEX('Store Weekly'!$D$4:$D$1938,MATCH(A6,'Store Weekly'!$C$4:$C$1938,0))</f>
        <v>A</v>
      </c>
      <c r="C6" s="18">
        <f>INDEX('Store Weekly'!$E$4:$E$1938,MATCH(A6,'Store Weekly'!$C$4:$C$1938,0))</f>
        <v>202307</v>
      </c>
      <c r="D6" s="14">
        <f>SUMIFS('Store Weekly'!$G$4:$G$1938,'Store Weekly'!$C$4:$C$1938,A6)</f>
        <v>81491214.609999999</v>
      </c>
      <c r="E6" s="14">
        <f>SUMIFS('Store Weekly'!$J$4:$J$1938,'Store Weekly'!$C$4:$C$1938,A6)</f>
        <v>80783041.728</v>
      </c>
      <c r="F6" s="14">
        <f>IF(Assumptions!$B$10="Upside",SUMIFS('Store Weekly'!$K$4:$K$1938,'Store Weekly'!$C$4:$C$1938,A6),IF(Assumptions!$B$10="Downside",SUMIFS('Store Weekly'!$L$4:$L$1938,'Store Weekly'!$C$4:$C$1938,A6),E6))</f>
        <v>80783041.728</v>
      </c>
      <c r="G6" s="14">
        <f t="shared" si="0"/>
        <v>708172.88199999928</v>
      </c>
      <c r="H6" s="19">
        <f t="shared" si="1"/>
        <v>8.7663557456086894E-3</v>
      </c>
      <c r="I6" s="14">
        <f>SUMIFS('Store Weekly'!$I$4:$I$1938,'Store Weekly'!$C$4:$C$1938,A6)</f>
        <v>78430137.600000009</v>
      </c>
      <c r="J6" s="11" t="str">
        <f t="shared" si="2"/>
        <v>Favorable</v>
      </c>
    </row>
    <row r="7" spans="1:10" ht="15">
      <c r="A7" s="17">
        <v>3</v>
      </c>
      <c r="B7" s="17" t="str">
        <f>INDEX('Store Weekly'!$D$4:$D$1938,MATCH(A7,'Store Weekly'!$C$4:$C$1938,0))</f>
        <v>B</v>
      </c>
      <c r="C7" s="18">
        <f>INDEX('Store Weekly'!$E$4:$E$1938,MATCH(A7,'Store Weekly'!$C$4:$C$1938,0))</f>
        <v>37392</v>
      </c>
      <c r="D7" s="14">
        <f>SUMIFS('Store Weekly'!$G$4:$G$1938,'Store Weekly'!$C$4:$C$1938,A7)</f>
        <v>18020529.209999997</v>
      </c>
      <c r="E7" s="14">
        <f>SUMIFS('Store Weekly'!$J$4:$J$1938,'Store Weekly'!$C$4:$C$1938,A7)</f>
        <v>17074996.319900002</v>
      </c>
      <c r="F7" s="14">
        <f>IF(Assumptions!$B$10="Upside",SUMIFS('Store Weekly'!$K$4:$K$1938,'Store Weekly'!$C$4:$C$1938,A7),IF(Assumptions!$B$10="Downside",SUMIFS('Store Weekly'!$L$4:$L$1938,'Store Weekly'!$C$4:$C$1938,A7),E7))</f>
        <v>17074996.319900002</v>
      </c>
      <c r="G7" s="14">
        <f t="shared" si="0"/>
        <v>945532.89009999484</v>
      </c>
      <c r="H7" s="19">
        <f t="shared" si="1"/>
        <v>5.5375291003607795E-2</v>
      </c>
      <c r="I7" s="14">
        <f>SUMIFS('Store Weekly'!$I$4:$I$1938,'Store Weekly'!$C$4:$C$1938,A7)</f>
        <v>16577666.330000002</v>
      </c>
      <c r="J7" s="11" t="str">
        <f t="shared" si="2"/>
        <v>Favorable</v>
      </c>
    </row>
    <row r="8" spans="1:10" ht="15">
      <c r="A8" s="17">
        <v>4</v>
      </c>
      <c r="B8" s="17" t="str">
        <f>INDEX('Store Weekly'!$D$4:$D$1938,MATCH(A8,'Store Weekly'!$C$4:$C$1938,0))</f>
        <v>A</v>
      </c>
      <c r="C8" s="18">
        <f>INDEX('Store Weekly'!$E$4:$E$1938,MATCH(A8,'Store Weekly'!$C$4:$C$1938,0))</f>
        <v>205863</v>
      </c>
      <c r="D8" s="14">
        <f>SUMIFS('Store Weekly'!$G$4:$G$1938,'Store Weekly'!$C$4:$C$1938,A8)</f>
        <v>92760692.759999976</v>
      </c>
      <c r="E8" s="14">
        <f>SUMIFS('Store Weekly'!$J$4:$J$1938,'Store Weekly'!$C$4:$C$1938,A8)</f>
        <v>90860445.101099998</v>
      </c>
      <c r="F8" s="14">
        <f>IF(Assumptions!$B$10="Upside",SUMIFS('Store Weekly'!$K$4:$K$1938,'Store Weekly'!$C$4:$C$1938,A8),IF(Assumptions!$B$10="Downside",SUMIFS('Store Weekly'!$L$4:$L$1938,'Store Weekly'!$C$4:$C$1938,A8),E8))</f>
        <v>90860445.101099998</v>
      </c>
      <c r="G8" s="14">
        <f t="shared" si="0"/>
        <v>1900247.6588999778</v>
      </c>
      <c r="H8" s="19">
        <f t="shared" si="1"/>
        <v>2.0913915365322951E-2</v>
      </c>
      <c r="I8" s="14">
        <f>SUMIFS('Store Weekly'!$I$4:$I$1938,'Store Weekly'!$C$4:$C$1938,A8)</f>
        <v>88214024.370000005</v>
      </c>
      <c r="J8" s="11" t="str">
        <f t="shared" si="2"/>
        <v>Favorable</v>
      </c>
    </row>
    <row r="9" spans="1:10" ht="15">
      <c r="A9" s="17">
        <v>5</v>
      </c>
      <c r="B9" s="17" t="str">
        <f>INDEX('Store Weekly'!$D$4:$D$1938,MATCH(A9,'Store Weekly'!$C$4:$C$1938,0))</f>
        <v>B</v>
      </c>
      <c r="C9" s="18">
        <f>INDEX('Store Weekly'!$E$4:$E$1938,MATCH(A9,'Store Weekly'!$C$4:$C$1938,0))</f>
        <v>34875</v>
      </c>
      <c r="D9" s="14">
        <f>SUMIFS('Store Weekly'!$G$4:$G$1938,'Store Weekly'!$C$4:$C$1938,A9)</f>
        <v>14163908.279999996</v>
      </c>
      <c r="E9" s="14">
        <f>SUMIFS('Store Weekly'!$J$4:$J$1938,'Store Weekly'!$C$4:$C$1938,A9)</f>
        <v>13439207.353900002</v>
      </c>
      <c r="F9" s="14">
        <f>IF(Assumptions!$B$10="Upside",SUMIFS('Store Weekly'!$K$4:$K$1938,'Store Weekly'!$C$4:$C$1938,A9),IF(Assumptions!$B$10="Downside",SUMIFS('Store Weekly'!$L$4:$L$1938,'Store Weekly'!$C$4:$C$1938,A9),E9))</f>
        <v>13439207.353900002</v>
      </c>
      <c r="G9" s="14">
        <f t="shared" si="0"/>
        <v>724700.92609999329</v>
      </c>
      <c r="H9" s="19">
        <f t="shared" si="1"/>
        <v>5.3924380137619354E-2</v>
      </c>
      <c r="I9" s="14">
        <f>SUMIFS('Store Weekly'!$I$4:$I$1938,'Store Weekly'!$C$4:$C$1938,A9)</f>
        <v>13047774.129999997</v>
      </c>
      <c r="J9" s="11" t="str">
        <f t="shared" si="2"/>
        <v>Favorable</v>
      </c>
    </row>
    <row r="10" spans="1:10" ht="15">
      <c r="A10" s="17">
        <v>6</v>
      </c>
      <c r="B10" s="17" t="str">
        <f>INDEX('Store Weekly'!$D$4:$D$1938,MATCH(A10,'Store Weekly'!$C$4:$C$1938,0))</f>
        <v>A</v>
      </c>
      <c r="C10" s="18">
        <f>INDEX('Store Weekly'!$E$4:$E$1938,MATCH(A10,'Store Weekly'!$C$4:$C$1938,0))</f>
        <v>202505</v>
      </c>
      <c r="D10" s="14">
        <f>SUMIFS('Store Weekly'!$G$4:$G$1938,'Store Weekly'!$C$4:$C$1938,A10)</f>
        <v>66304294.810000017</v>
      </c>
      <c r="E10" s="14">
        <f>SUMIFS('Store Weekly'!$J$4:$J$1938,'Store Weekly'!$C$4:$C$1938,A10)</f>
        <v>65739485.908</v>
      </c>
      <c r="F10" s="14">
        <f>IF(Assumptions!$B$10="Upside",SUMIFS('Store Weekly'!$K$4:$K$1938,'Store Weekly'!$C$4:$C$1938,A10),IF(Assumptions!$B$10="Downside",SUMIFS('Store Weekly'!$L$4:$L$1938,'Store Weekly'!$C$4:$C$1938,A10),E10))</f>
        <v>65739485.908</v>
      </c>
      <c r="G10" s="14">
        <f t="shared" si="0"/>
        <v>564808.90200001746</v>
      </c>
      <c r="H10" s="19">
        <f t="shared" si="1"/>
        <v>8.591623347807234E-3</v>
      </c>
      <c r="I10" s="14">
        <f>SUMIFS('Store Weekly'!$I$4:$I$1938,'Store Weekly'!$C$4:$C$1938,A10)</f>
        <v>63824743.599999994</v>
      </c>
      <c r="J10" s="11" t="str">
        <f t="shared" si="2"/>
        <v>Favorable</v>
      </c>
    </row>
    <row r="11" spans="1:10" ht="15">
      <c r="A11" s="17">
        <v>7</v>
      </c>
      <c r="B11" s="17" t="str">
        <f>INDEX('Store Weekly'!$D$4:$D$1938,MATCH(A11,'Store Weekly'!$C$4:$C$1938,0))</f>
        <v>B</v>
      </c>
      <c r="C11" s="18">
        <f>INDEX('Store Weekly'!$E$4:$E$1938,MATCH(A11,'Store Weekly'!$C$4:$C$1938,0))</f>
        <v>70713</v>
      </c>
      <c r="D11" s="14">
        <f>SUMIFS('Store Weekly'!$G$4:$G$1938,'Store Weekly'!$C$4:$C$1938,A11)</f>
        <v>25309824.060000002</v>
      </c>
      <c r="E11" s="14">
        <f>SUMIFS('Store Weekly'!$J$4:$J$1938,'Store Weekly'!$C$4:$C$1938,A11)</f>
        <v>24932556.423799992</v>
      </c>
      <c r="F11" s="14">
        <f>IF(Assumptions!$B$10="Upside",SUMIFS('Store Weekly'!$K$4:$K$1938,'Store Weekly'!$C$4:$C$1938,A11),IF(Assumptions!$B$10="Downside",SUMIFS('Store Weekly'!$L$4:$L$1938,'Store Weekly'!$C$4:$C$1938,A11),E11))</f>
        <v>24932556.423799992</v>
      </c>
      <c r="G11" s="14">
        <f t="shared" si="0"/>
        <v>377267.63620001078</v>
      </c>
      <c r="H11" s="19">
        <f t="shared" si="1"/>
        <v>1.5131526418200765E-2</v>
      </c>
      <c r="I11" s="14">
        <f>SUMIFS('Store Weekly'!$I$4:$I$1938,'Store Weekly'!$C$4:$C$1938,A11)</f>
        <v>24206365.460000001</v>
      </c>
      <c r="J11" s="11" t="str">
        <f t="shared" si="2"/>
        <v>Favorable</v>
      </c>
    </row>
    <row r="12" spans="1:10" ht="15">
      <c r="A12" s="17">
        <v>8</v>
      </c>
      <c r="B12" s="17" t="str">
        <f>INDEX('Store Weekly'!$D$4:$D$1938,MATCH(A12,'Store Weekly'!$C$4:$C$1938,0))</f>
        <v>A</v>
      </c>
      <c r="C12" s="18">
        <f>INDEX('Store Weekly'!$E$4:$E$1938,MATCH(A12,'Store Weekly'!$C$4:$C$1938,0))</f>
        <v>155078</v>
      </c>
      <c r="D12" s="14">
        <f>SUMIFS('Store Weekly'!$G$4:$G$1938,'Store Weekly'!$C$4:$C$1938,A12)</f>
        <v>39223987.920000002</v>
      </c>
      <c r="E12" s="14">
        <f>SUMIFS('Store Weekly'!$J$4:$J$1938,'Store Weekly'!$C$4:$C$1938,A12)</f>
        <v>39167240.409999996</v>
      </c>
      <c r="F12" s="14">
        <f>IF(Assumptions!$B$10="Upside",SUMIFS('Store Weekly'!$K$4:$K$1938,'Store Weekly'!$C$4:$C$1938,A12),IF(Assumptions!$B$10="Downside",SUMIFS('Store Weekly'!$L$4:$L$1938,'Store Weekly'!$C$4:$C$1938,A12),E12))</f>
        <v>39167240.409999996</v>
      </c>
      <c r="G12" s="14">
        <f t="shared" si="0"/>
        <v>56747.510000005364</v>
      </c>
      <c r="H12" s="19">
        <f t="shared" si="1"/>
        <v>1.4488513718601645E-3</v>
      </c>
      <c r="I12" s="14">
        <f>SUMIFS('Store Weekly'!$I$4:$I$1938,'Store Weekly'!$C$4:$C$1938,A12)</f>
        <v>38026447</v>
      </c>
      <c r="J12" s="11" t="str">
        <f t="shared" si="2"/>
        <v>Favorable</v>
      </c>
    </row>
    <row r="13" spans="1:10" ht="15">
      <c r="A13" s="17">
        <v>9</v>
      </c>
      <c r="B13" s="17" t="str">
        <f>INDEX('Store Weekly'!$D$4:$D$1938,MATCH(A13,'Store Weekly'!$C$4:$C$1938,0))</f>
        <v>B</v>
      </c>
      <c r="C13" s="18">
        <f>INDEX('Store Weekly'!$E$4:$E$1938,MATCH(A13,'Store Weekly'!$C$4:$C$1938,0))</f>
        <v>125833</v>
      </c>
      <c r="D13" s="14">
        <f>SUMIFS('Store Weekly'!$G$4:$G$1938,'Store Weekly'!$C$4:$C$1938,A13)</f>
        <v>23952884.010000002</v>
      </c>
      <c r="E13" s="14">
        <f>SUMIFS('Store Weekly'!$J$4:$J$1938,'Store Weekly'!$C$4:$C$1938,A13)</f>
        <v>23406174.106400009</v>
      </c>
      <c r="F13" s="14">
        <f>IF(Assumptions!$B$10="Upside",SUMIFS('Store Weekly'!$K$4:$K$1938,'Store Weekly'!$C$4:$C$1938,A13),IF(Assumptions!$B$10="Downside",SUMIFS('Store Weekly'!$L$4:$L$1938,'Store Weekly'!$C$4:$C$1938,A13),E13))</f>
        <v>23406174.106400009</v>
      </c>
      <c r="G13" s="14">
        <f t="shared" si="0"/>
        <v>546709.90359999239</v>
      </c>
      <c r="H13" s="19">
        <f t="shared" si="1"/>
        <v>2.3357508199108205E-2</v>
      </c>
      <c r="I13" s="14">
        <f>SUMIFS('Store Weekly'!$I$4:$I$1938,'Store Weekly'!$C$4:$C$1938,A13)</f>
        <v>22724440.879999992</v>
      </c>
      <c r="J13" s="11" t="str">
        <f t="shared" si="2"/>
        <v>Favorable</v>
      </c>
    </row>
    <row r="14" spans="1:10" ht="15">
      <c r="A14" s="17">
        <v>10</v>
      </c>
      <c r="B14" s="17" t="str">
        <f>INDEX('Store Weekly'!$D$4:$D$1938,MATCH(A14,'Store Weekly'!$C$4:$C$1938,0))</f>
        <v>B</v>
      </c>
      <c r="C14" s="18">
        <f>INDEX('Store Weekly'!$E$4:$E$1938,MATCH(A14,'Store Weekly'!$C$4:$C$1938,0))</f>
        <v>126512</v>
      </c>
      <c r="D14" s="14">
        <f>SUMIFS('Store Weekly'!$G$4:$G$1938,'Store Weekly'!$C$4:$C$1938,A14)</f>
        <v>78226262.299999982</v>
      </c>
      <c r="E14" s="14">
        <f>SUMIFS('Store Weekly'!$J$4:$J$1938,'Store Weekly'!$C$4:$C$1938,A14)</f>
        <v>79973764.58919999</v>
      </c>
      <c r="F14" s="14">
        <f>IF(Assumptions!$B$10="Upside",SUMIFS('Store Weekly'!$K$4:$K$1938,'Store Weekly'!$C$4:$C$1938,A14),IF(Assumptions!$B$10="Downside",SUMIFS('Store Weekly'!$L$4:$L$1938,'Store Weekly'!$C$4:$C$1938,A14),E14))</f>
        <v>79973764.58919999</v>
      </c>
      <c r="G14" s="14">
        <f t="shared" si="0"/>
        <v>-1747502.2892000079</v>
      </c>
      <c r="H14" s="19">
        <f t="shared" si="1"/>
        <v>-2.1850944471307261E-2</v>
      </c>
      <c r="I14" s="14">
        <f>SUMIFS('Store Weekly'!$I$4:$I$1938,'Store Weekly'!$C$4:$C$1938,A14)</f>
        <v>77644431.640000001</v>
      </c>
      <c r="J14" s="11" t="str">
        <f t="shared" si="2"/>
        <v>Unfavorable</v>
      </c>
    </row>
    <row r="15" spans="1:10" ht="15">
      <c r="A15" s="17">
        <v>11</v>
      </c>
      <c r="B15" s="17" t="str">
        <f>INDEX('Store Weekly'!$D$4:$D$1938,MATCH(A15,'Store Weekly'!$C$4:$C$1938,0))</f>
        <v>A</v>
      </c>
      <c r="C15" s="18">
        <f>INDEX('Store Weekly'!$E$4:$E$1938,MATCH(A15,'Store Weekly'!$C$4:$C$1938,0))</f>
        <v>207499</v>
      </c>
      <c r="D15" s="14">
        <f>SUMIFS('Store Weekly'!$G$4:$G$1938,'Store Weekly'!$C$4:$C$1938,A15)</f>
        <v>58134259.61999999</v>
      </c>
      <c r="E15" s="14">
        <f>SUMIFS('Store Weekly'!$J$4:$J$1938,'Store Weekly'!$C$4:$C$1938,A15)</f>
        <v>57823129.994800001</v>
      </c>
      <c r="F15" s="14">
        <f>IF(Assumptions!$B$10="Upside",SUMIFS('Store Weekly'!$K$4:$K$1938,'Store Weekly'!$C$4:$C$1938,A15),IF(Assumptions!$B$10="Downside",SUMIFS('Store Weekly'!$L$4:$L$1938,'Store Weekly'!$C$4:$C$1938,A15),E15))</f>
        <v>57823129.994800001</v>
      </c>
      <c r="G15" s="14">
        <f t="shared" si="0"/>
        <v>311129.62519998848</v>
      </c>
      <c r="H15" s="19">
        <f t="shared" si="1"/>
        <v>5.3807122725450553E-3</v>
      </c>
      <c r="I15" s="14">
        <f>SUMIFS('Store Weekly'!$I$4:$I$1938,'Store Weekly'!$C$4:$C$1938,A15)</f>
        <v>56138961.160000004</v>
      </c>
      <c r="J15" s="11" t="str">
        <f t="shared" si="2"/>
        <v>Favorable</v>
      </c>
    </row>
    <row r="16" spans="1:10" ht="15">
      <c r="A16" s="17">
        <v>12</v>
      </c>
      <c r="B16" s="17" t="str">
        <f>INDEX('Store Weekly'!$D$4:$D$1938,MATCH(A16,'Store Weekly'!$C$4:$C$1938,0))</f>
        <v>B</v>
      </c>
      <c r="C16" s="18">
        <f>INDEX('Store Weekly'!$E$4:$E$1938,MATCH(A16,'Store Weekly'!$C$4:$C$1938,0))</f>
        <v>112238</v>
      </c>
      <c r="D16" s="14">
        <f>SUMIFS('Store Weekly'!$G$4:$G$1938,'Store Weekly'!$C$4:$C$1938,A16)</f>
        <v>43325025.700000003</v>
      </c>
      <c r="E16" s="14">
        <f>SUMIFS('Store Weekly'!$J$4:$J$1938,'Store Weekly'!$C$4:$C$1938,A16)</f>
        <v>42832236.385600001</v>
      </c>
      <c r="F16" s="14">
        <f>IF(Assumptions!$B$10="Upside",SUMIFS('Store Weekly'!$K$4:$K$1938,'Store Weekly'!$C$4:$C$1938,A16),IF(Assumptions!$B$10="Downside",SUMIFS('Store Weekly'!$L$4:$L$1938,'Store Weekly'!$C$4:$C$1938,A16),E16))</f>
        <v>42832236.385600001</v>
      </c>
      <c r="G16" s="14">
        <f t="shared" si="0"/>
        <v>492789.31440000236</v>
      </c>
      <c r="H16" s="19">
        <f t="shared" si="1"/>
        <v>1.1505103538457214E-2</v>
      </c>
      <c r="I16" s="14">
        <f>SUMIFS('Store Weekly'!$I$4:$I$1938,'Store Weekly'!$C$4:$C$1938,A16)</f>
        <v>41584695.519999996</v>
      </c>
      <c r="J16" s="11" t="str">
        <f t="shared" si="2"/>
        <v>Favorable</v>
      </c>
    </row>
    <row r="17" spans="1:10" ht="15">
      <c r="A17" s="17">
        <v>13</v>
      </c>
      <c r="B17" s="17" t="str">
        <f>INDEX('Store Weekly'!$D$4:$D$1938,MATCH(A17,'Store Weekly'!$C$4:$C$1938,0))</f>
        <v>A</v>
      </c>
      <c r="C17" s="18">
        <f>INDEX('Store Weekly'!$E$4:$E$1938,MATCH(A17,'Store Weekly'!$C$4:$C$1938,0))</f>
        <v>219622</v>
      </c>
      <c r="D17" s="14">
        <f>SUMIFS('Store Weekly'!$G$4:$G$1938,'Store Weekly'!$C$4:$C$1938,A17)</f>
        <v>86699068.139999986</v>
      </c>
      <c r="E17" s="14">
        <f>SUMIFS('Store Weekly'!$J$4:$J$1938,'Store Weekly'!$C$4:$C$1938,A17)</f>
        <v>85186576.265499994</v>
      </c>
      <c r="F17" s="14">
        <f>IF(Assumptions!$B$10="Upside",SUMIFS('Store Weekly'!$K$4:$K$1938,'Store Weekly'!$C$4:$C$1938,A17),IF(Assumptions!$B$10="Downside",SUMIFS('Store Weekly'!$L$4:$L$1938,'Store Weekly'!$C$4:$C$1938,A17),E17))</f>
        <v>85186576.265499994</v>
      </c>
      <c r="G17" s="14">
        <f t="shared" si="0"/>
        <v>1512491.8744999915</v>
      </c>
      <c r="H17" s="19">
        <f t="shared" si="1"/>
        <v>1.7755049455045899E-2</v>
      </c>
      <c r="I17" s="14">
        <f>SUMIFS('Store Weekly'!$I$4:$I$1938,'Store Weekly'!$C$4:$C$1938,A17)</f>
        <v>82705413.849999994</v>
      </c>
      <c r="J17" s="11" t="str">
        <f t="shared" si="2"/>
        <v>Favorable</v>
      </c>
    </row>
    <row r="18" spans="1:10" ht="15">
      <c r="A18" s="17">
        <v>14</v>
      </c>
      <c r="B18" s="17" t="str">
        <f>INDEX('Store Weekly'!$D$4:$D$1938,MATCH(A18,'Store Weekly'!$C$4:$C$1938,0))</f>
        <v>A</v>
      </c>
      <c r="C18" s="18">
        <f>INDEX('Store Weekly'!$E$4:$E$1938,MATCH(A18,'Store Weekly'!$C$4:$C$1938,0))</f>
        <v>200898</v>
      </c>
      <c r="D18" s="14">
        <f>SUMIFS('Store Weekly'!$G$4:$G$1938,'Store Weekly'!$C$4:$C$1938,A18)</f>
        <v>77436106.12000002</v>
      </c>
      <c r="E18" s="14">
        <f>SUMIFS('Store Weekly'!$J$4:$J$1938,'Store Weekly'!$C$4:$C$1938,A18)</f>
        <v>87234894.108499989</v>
      </c>
      <c r="F18" s="14">
        <f>IF(Assumptions!$B$10="Upside",SUMIFS('Store Weekly'!$K$4:$K$1938,'Store Weekly'!$C$4:$C$1938,A18),IF(Assumptions!$B$10="Downside",SUMIFS('Store Weekly'!$L$4:$L$1938,'Store Weekly'!$C$4:$C$1938,A18),E18))</f>
        <v>87234894.108499989</v>
      </c>
      <c r="G18" s="14">
        <f t="shared" si="0"/>
        <v>-9798787.9884999692</v>
      </c>
      <c r="H18" s="19">
        <f t="shared" si="1"/>
        <v>-0.11232647312338739</v>
      </c>
      <c r="I18" s="14">
        <f>SUMIFS('Store Weekly'!$I$4:$I$1938,'Store Weekly'!$C$4:$C$1938,A18)</f>
        <v>84694071.950000003</v>
      </c>
      <c r="J18" s="11" t="str">
        <f t="shared" si="2"/>
        <v>Unfavorable</v>
      </c>
    </row>
    <row r="19" spans="1:10" ht="15">
      <c r="A19" s="17">
        <v>15</v>
      </c>
      <c r="B19" s="17" t="str">
        <f>INDEX('Store Weekly'!$D$4:$D$1938,MATCH(A19,'Store Weekly'!$C$4:$C$1938,0))</f>
        <v>B</v>
      </c>
      <c r="C19" s="18">
        <f>INDEX('Store Weekly'!$E$4:$E$1938,MATCH(A19,'Store Weekly'!$C$4:$C$1938,0))</f>
        <v>123737</v>
      </c>
      <c r="D19" s="14">
        <f>SUMIFS('Store Weekly'!$G$4:$G$1938,'Store Weekly'!$C$4:$C$1938,A19)</f>
        <v>24821174.910000004</v>
      </c>
      <c r="E19" s="14">
        <f>SUMIFS('Store Weekly'!$J$4:$J$1938,'Store Weekly'!$C$4:$C$1938,A19)</f>
        <v>26014454.147999998</v>
      </c>
      <c r="F19" s="14">
        <f>IF(Assumptions!$B$10="Upside",SUMIFS('Store Weekly'!$K$4:$K$1938,'Store Weekly'!$C$4:$C$1938,A19),IF(Assumptions!$B$10="Downside",SUMIFS('Store Weekly'!$L$4:$L$1938,'Store Weekly'!$C$4:$C$1938,A19),E19))</f>
        <v>26014454.147999998</v>
      </c>
      <c r="G19" s="14">
        <f t="shared" si="0"/>
        <v>-1193279.2379999943</v>
      </c>
      <c r="H19" s="19">
        <f t="shared" si="1"/>
        <v>-4.58698549356929E-2</v>
      </c>
      <c r="I19" s="14">
        <f>SUMIFS('Store Weekly'!$I$4:$I$1938,'Store Weekly'!$C$4:$C$1938,A19)</f>
        <v>25256751.600000005</v>
      </c>
      <c r="J19" s="11" t="str">
        <f t="shared" si="2"/>
        <v>Unfavorable</v>
      </c>
    </row>
    <row r="20" spans="1:10" ht="15">
      <c r="A20" s="17">
        <v>16</v>
      </c>
      <c r="B20" s="17" t="str">
        <f>INDEX('Store Weekly'!$D$4:$D$1938,MATCH(A20,'Store Weekly'!$C$4:$C$1938,0))</f>
        <v>B</v>
      </c>
      <c r="C20" s="18">
        <f>INDEX('Store Weekly'!$E$4:$E$1938,MATCH(A20,'Store Weekly'!$C$4:$C$1938,0))</f>
        <v>57197</v>
      </c>
      <c r="D20" s="14">
        <f>SUMIFS('Store Weekly'!$G$4:$G$1938,'Store Weekly'!$C$4:$C$1938,A20)</f>
        <v>21999530.219999999</v>
      </c>
      <c r="E20" s="14">
        <f>SUMIFS('Store Weekly'!$J$4:$J$1938,'Store Weekly'!$C$4:$C$1938,A20)</f>
        <v>22452854.351599995</v>
      </c>
      <c r="F20" s="14">
        <f>IF(Assumptions!$B$10="Upside",SUMIFS('Store Weekly'!$K$4:$K$1938,'Store Weekly'!$C$4:$C$1938,A20),IF(Assumptions!$B$10="Downside",SUMIFS('Store Weekly'!$L$4:$L$1938,'Store Weekly'!$C$4:$C$1938,A20),E20))</f>
        <v>22452854.351599995</v>
      </c>
      <c r="G20" s="14">
        <f t="shared" si="0"/>
        <v>-453324.13159999624</v>
      </c>
      <c r="H20" s="19">
        <f t="shared" si="1"/>
        <v>-2.0190044637584899E-2</v>
      </c>
      <c r="I20" s="14">
        <f>SUMIFS('Store Weekly'!$I$4:$I$1938,'Store Weekly'!$C$4:$C$1938,A20)</f>
        <v>21798887.720000003</v>
      </c>
      <c r="J20" s="11" t="str">
        <f t="shared" si="2"/>
        <v>Unfavorable</v>
      </c>
    </row>
    <row r="21" spans="1:10" ht="15">
      <c r="A21" s="17">
        <v>17</v>
      </c>
      <c r="B21" s="17" t="str">
        <f>INDEX('Store Weekly'!$D$4:$D$1938,MATCH(A21,'Store Weekly'!$C$4:$C$1938,0))</f>
        <v>B</v>
      </c>
      <c r="C21" s="18">
        <f>INDEX('Store Weekly'!$E$4:$E$1938,MATCH(A21,'Store Weekly'!$C$4:$C$1938,0))</f>
        <v>93188</v>
      </c>
      <c r="D21" s="14">
        <f>SUMIFS('Store Weekly'!$G$4:$G$1938,'Store Weekly'!$C$4:$C$1938,A21)</f>
        <v>40244701.260000005</v>
      </c>
      <c r="E21" s="14">
        <f>SUMIFS('Store Weekly'!$J$4:$J$1938,'Store Weekly'!$C$4:$C$1938,A21)</f>
        <v>38505280.9164</v>
      </c>
      <c r="F21" s="14">
        <f>IF(Assumptions!$B$10="Upside",SUMIFS('Store Weekly'!$K$4:$K$1938,'Store Weekly'!$C$4:$C$1938,A21),IF(Assumptions!$B$10="Downside",SUMIFS('Store Weekly'!$L$4:$L$1938,'Store Weekly'!$C$4:$C$1938,A21),E21))</f>
        <v>38505280.9164</v>
      </c>
      <c r="G21" s="14">
        <f t="shared" si="0"/>
        <v>1739420.3436000049</v>
      </c>
      <c r="H21" s="19">
        <f t="shared" si="1"/>
        <v>4.5173552879058693E-2</v>
      </c>
      <c r="I21" s="14">
        <f>SUMIFS('Store Weekly'!$I$4:$I$1938,'Store Weekly'!$C$4:$C$1938,A21)</f>
        <v>37383767.880000003</v>
      </c>
      <c r="J21" s="11" t="str">
        <f t="shared" si="2"/>
        <v>Favorable</v>
      </c>
    </row>
    <row r="22" spans="1:10" ht="15">
      <c r="A22" s="17">
        <v>18</v>
      </c>
      <c r="B22" s="17" t="str">
        <f>INDEX('Store Weekly'!$D$4:$D$1938,MATCH(A22,'Store Weekly'!$C$4:$C$1938,0))</f>
        <v>B</v>
      </c>
      <c r="C22" s="18">
        <f>INDEX('Store Weekly'!$E$4:$E$1938,MATCH(A22,'Store Weekly'!$C$4:$C$1938,0))</f>
        <v>120653</v>
      </c>
      <c r="D22" s="14">
        <f>SUMIFS('Store Weekly'!$G$4:$G$1938,'Store Weekly'!$C$4:$C$1938,A22)</f>
        <v>44747247.900000006</v>
      </c>
      <c r="E22" s="14">
        <f>SUMIFS('Store Weekly'!$J$4:$J$1938,'Store Weekly'!$C$4:$C$1938,A22)</f>
        <v>43660525.944200017</v>
      </c>
      <c r="F22" s="14">
        <f>IF(Assumptions!$B$10="Upside",SUMIFS('Store Weekly'!$K$4:$K$1938,'Store Weekly'!$C$4:$C$1938,A22),IF(Assumptions!$B$10="Downside",SUMIFS('Store Weekly'!$L$4:$L$1938,'Store Weekly'!$C$4:$C$1938,A22),E22))</f>
        <v>43660525.944200017</v>
      </c>
      <c r="G22" s="14">
        <f t="shared" si="0"/>
        <v>1086721.9557999894</v>
      </c>
      <c r="H22" s="19">
        <f t="shared" si="1"/>
        <v>2.4890262595298682E-2</v>
      </c>
      <c r="I22" s="14">
        <f>SUMIFS('Store Weekly'!$I$4:$I$1938,'Store Weekly'!$C$4:$C$1938,A22)</f>
        <v>42388860.140000008</v>
      </c>
      <c r="J22" s="11" t="str">
        <f t="shared" si="2"/>
        <v>Favorable</v>
      </c>
    </row>
    <row r="23" spans="1:10" ht="15">
      <c r="A23" s="17">
        <v>19</v>
      </c>
      <c r="B23" s="17" t="str">
        <f>INDEX('Store Weekly'!$D$4:$D$1938,MATCH(A23,'Store Weekly'!$C$4:$C$1938,0))</f>
        <v>A</v>
      </c>
      <c r="C23" s="18">
        <f>INDEX('Store Weekly'!$E$4:$E$1938,MATCH(A23,'Store Weekly'!$C$4:$C$1938,0))</f>
        <v>203819</v>
      </c>
      <c r="D23" s="14">
        <f>SUMIFS('Store Weekly'!$G$4:$G$1938,'Store Weekly'!$C$4:$C$1938,A23)</f>
        <v>59204219.389999993</v>
      </c>
      <c r="E23" s="14">
        <f>SUMIFS('Store Weekly'!$J$4:$J$1938,'Store Weekly'!$C$4:$C$1938,A23)</f>
        <v>61321272.34610001</v>
      </c>
      <c r="F23" s="14">
        <f>IF(Assumptions!$B$10="Upside",SUMIFS('Store Weekly'!$K$4:$K$1938,'Store Weekly'!$C$4:$C$1938,A23),IF(Assumptions!$B$10="Downside",SUMIFS('Store Weekly'!$L$4:$L$1938,'Store Weekly'!$C$4:$C$1938,A23),E23))</f>
        <v>61321272.34610001</v>
      </c>
      <c r="G23" s="14">
        <f t="shared" si="0"/>
        <v>-2117052.9561000168</v>
      </c>
      <c r="H23" s="19">
        <f t="shared" si="1"/>
        <v>-3.4523956778836469E-2</v>
      </c>
      <c r="I23" s="14">
        <f>SUMIFS('Store Weekly'!$I$4:$I$1938,'Store Weekly'!$C$4:$C$1938,A23)</f>
        <v>59535215.869999997</v>
      </c>
      <c r="J23" s="11" t="str">
        <f t="shared" si="2"/>
        <v>Unfavorable</v>
      </c>
    </row>
    <row r="24" spans="1:10" ht="15">
      <c r="A24" s="17">
        <v>20</v>
      </c>
      <c r="B24" s="17" t="str">
        <f>INDEX('Store Weekly'!$D$4:$D$1938,MATCH(A24,'Store Weekly'!$C$4:$C$1938,0))</f>
        <v>A</v>
      </c>
      <c r="C24" s="18">
        <f>INDEX('Store Weekly'!$E$4:$E$1938,MATCH(A24,'Store Weekly'!$C$4:$C$1938,0))</f>
        <v>203742</v>
      </c>
      <c r="D24" s="14">
        <f>SUMIFS('Store Weekly'!$G$4:$G$1938,'Store Weekly'!$C$4:$C$1938,A24)</f>
        <v>89811311.089999989</v>
      </c>
      <c r="E24" s="14">
        <f>SUMIFS('Store Weekly'!$J$4:$J$1938,'Store Weekly'!$C$4:$C$1938,A24)</f>
        <v>89596250.591800019</v>
      </c>
      <c r="F24" s="14">
        <f>IF(Assumptions!$B$10="Upside",SUMIFS('Store Weekly'!$K$4:$K$1938,'Store Weekly'!$C$4:$C$1938,A24),IF(Assumptions!$B$10="Downside",SUMIFS('Store Weekly'!$L$4:$L$1938,'Store Weekly'!$C$4:$C$1938,A24),E24))</f>
        <v>89596250.591800019</v>
      </c>
      <c r="G24" s="14">
        <f t="shared" si="0"/>
        <v>215060.49819996953</v>
      </c>
      <c r="H24" s="19">
        <f t="shared" si="1"/>
        <v>2.4003292189065354E-3</v>
      </c>
      <c r="I24" s="14">
        <f>SUMIFS('Store Weekly'!$I$4:$I$1938,'Store Weekly'!$C$4:$C$1938,A24)</f>
        <v>86986651.060000017</v>
      </c>
      <c r="J24" s="11" t="str">
        <f t="shared" si="2"/>
        <v>Favorable</v>
      </c>
    </row>
    <row r="25" spans="1:10" ht="15">
      <c r="A25" s="17">
        <v>21</v>
      </c>
      <c r="B25" s="17" t="str">
        <f>INDEX('Store Weekly'!$D$4:$D$1938,MATCH(A25,'Store Weekly'!$C$4:$C$1938,0))</f>
        <v>B</v>
      </c>
      <c r="C25" s="18">
        <f>INDEX('Store Weekly'!$E$4:$E$1938,MATCH(A25,'Store Weekly'!$C$4:$C$1938,0))</f>
        <v>140167</v>
      </c>
      <c r="D25" s="14">
        <f>SUMIFS('Store Weekly'!$G$4:$G$1938,'Store Weekly'!$C$4:$C$1938,A25)</f>
        <v>30233112.030000005</v>
      </c>
      <c r="E25" s="14">
        <f>SUMIFS('Store Weekly'!$J$4:$J$1938,'Store Weekly'!$C$4:$C$1938,A25)</f>
        <v>32799480.474000003</v>
      </c>
      <c r="F25" s="14">
        <f>IF(Assumptions!$B$10="Upside",SUMIFS('Store Weekly'!$K$4:$K$1938,'Store Weekly'!$C$4:$C$1938,A25),IF(Assumptions!$B$10="Downside",SUMIFS('Store Weekly'!$L$4:$L$1938,'Store Weekly'!$C$4:$C$1938,A25),E25))</f>
        <v>32799480.474000003</v>
      </c>
      <c r="G25" s="14">
        <f t="shared" si="0"/>
        <v>-2566368.4439999983</v>
      </c>
      <c r="H25" s="19">
        <f t="shared" si="1"/>
        <v>-7.8244179691637092E-2</v>
      </c>
      <c r="I25" s="14">
        <f>SUMIFS('Store Weekly'!$I$4:$I$1938,'Store Weekly'!$C$4:$C$1938,A25)</f>
        <v>31844155.800000001</v>
      </c>
      <c r="J25" s="11" t="str">
        <f t="shared" si="2"/>
        <v>Unfavorable</v>
      </c>
    </row>
    <row r="26" spans="1:10" ht="15">
      <c r="A26" s="17">
        <v>22</v>
      </c>
      <c r="B26" s="17" t="str">
        <f>INDEX('Store Weekly'!$D$4:$D$1938,MATCH(A26,'Store Weekly'!$C$4:$C$1938,0))</f>
        <v>B</v>
      </c>
      <c r="C26" s="18">
        <f>INDEX('Store Weekly'!$E$4:$E$1938,MATCH(A26,'Store Weekly'!$C$4:$C$1938,0))</f>
        <v>119557</v>
      </c>
      <c r="D26" s="14">
        <f>SUMIFS('Store Weekly'!$G$4:$G$1938,'Store Weekly'!$C$4:$C$1938,A26)</f>
        <v>42626399.580000006</v>
      </c>
      <c r="E26" s="14">
        <f>SUMIFS('Store Weekly'!$J$4:$J$1938,'Store Weekly'!$C$4:$C$1938,A26)</f>
        <v>43336199.482399993</v>
      </c>
      <c r="F26" s="14">
        <f>IF(Assumptions!$B$10="Upside",SUMIFS('Store Weekly'!$K$4:$K$1938,'Store Weekly'!$C$4:$C$1938,A26),IF(Assumptions!$B$10="Downside",SUMIFS('Store Weekly'!$L$4:$L$1938,'Store Weekly'!$C$4:$C$1938,A26),E26))</f>
        <v>43336199.482399993</v>
      </c>
      <c r="G26" s="14">
        <f t="shared" si="0"/>
        <v>-709799.90239998698</v>
      </c>
      <c r="H26" s="19">
        <f t="shared" si="1"/>
        <v>-1.6378914415147456E-2</v>
      </c>
      <c r="I26" s="14">
        <f>SUMIFS('Store Weekly'!$I$4:$I$1938,'Store Weekly'!$C$4:$C$1938,A26)</f>
        <v>42073980.080000006</v>
      </c>
      <c r="J26" s="11" t="str">
        <f t="shared" si="2"/>
        <v>Unfavorable</v>
      </c>
    </row>
    <row r="27" spans="1:10" ht="15">
      <c r="A27" s="17">
        <v>23</v>
      </c>
      <c r="B27" s="17" t="str">
        <f>INDEX('Store Weekly'!$D$4:$D$1938,MATCH(A27,'Store Weekly'!$C$4:$C$1938,0))</f>
        <v>B</v>
      </c>
      <c r="C27" s="18">
        <f>INDEX('Store Weekly'!$E$4:$E$1938,MATCH(A27,'Store Weekly'!$C$4:$C$1938,0))</f>
        <v>114533</v>
      </c>
      <c r="D27" s="14">
        <f>SUMIFS('Store Weekly'!$G$4:$G$1938,'Store Weekly'!$C$4:$C$1938,A27)</f>
        <v>58761674.060000002</v>
      </c>
      <c r="E27" s="14">
        <f>SUMIFS('Store Weekly'!$J$4:$J$1938,'Store Weekly'!$C$4:$C$1938,A27)</f>
        <v>58330513.968799993</v>
      </c>
      <c r="F27" s="14">
        <f>IF(Assumptions!$B$10="Upside",SUMIFS('Store Weekly'!$K$4:$K$1938,'Store Weekly'!$C$4:$C$1938,A27),IF(Assumptions!$B$10="Downside",SUMIFS('Store Weekly'!$L$4:$L$1938,'Store Weekly'!$C$4:$C$1938,A27),E27))</f>
        <v>58330513.968799993</v>
      </c>
      <c r="G27" s="14">
        <f t="shared" si="0"/>
        <v>431160.09120000899</v>
      </c>
      <c r="H27" s="19">
        <f t="shared" si="1"/>
        <v>7.3916731032171125E-3</v>
      </c>
      <c r="I27" s="14">
        <f>SUMIFS('Store Weekly'!$I$4:$I$1938,'Store Weekly'!$C$4:$C$1938,A27)</f>
        <v>56631566.959999993</v>
      </c>
      <c r="J27" s="11" t="str">
        <f t="shared" si="2"/>
        <v>Favorable</v>
      </c>
    </row>
    <row r="28" spans="1:10" ht="15">
      <c r="A28" s="17">
        <v>24</v>
      </c>
      <c r="B28" s="17" t="str">
        <f>INDEX('Store Weekly'!$D$4:$D$1938,MATCH(A28,'Store Weekly'!$C$4:$C$1938,0))</f>
        <v>A</v>
      </c>
      <c r="C28" s="18">
        <f>INDEX('Store Weekly'!$E$4:$E$1938,MATCH(A28,'Store Weekly'!$C$4:$C$1938,0))</f>
        <v>203819</v>
      </c>
      <c r="D28" s="14">
        <f>SUMIFS('Store Weekly'!$G$4:$G$1938,'Store Weekly'!$C$4:$C$1938,A28)</f>
        <v>57180443.660000011</v>
      </c>
      <c r="E28" s="14">
        <f>SUMIFS('Store Weekly'!$J$4:$J$1938,'Store Weekly'!$C$4:$C$1938,A28)</f>
        <v>57721198.043000005</v>
      </c>
      <c r="F28" s="14">
        <f>IF(Assumptions!$B$10="Upside",SUMIFS('Store Weekly'!$K$4:$K$1938,'Store Weekly'!$C$4:$C$1938,A28),IF(Assumptions!$B$10="Downside",SUMIFS('Store Weekly'!$L$4:$L$1938,'Store Weekly'!$C$4:$C$1938,A28),E28))</f>
        <v>57721198.043000005</v>
      </c>
      <c r="G28" s="14">
        <f t="shared" si="0"/>
        <v>-540754.38299999386</v>
      </c>
      <c r="H28" s="19">
        <f t="shared" si="1"/>
        <v>-9.3683846027789175E-3</v>
      </c>
      <c r="I28" s="14">
        <f>SUMIFS('Store Weekly'!$I$4:$I$1938,'Store Weekly'!$C$4:$C$1938,A28)</f>
        <v>56039998.100000001</v>
      </c>
      <c r="J28" s="11" t="str">
        <f t="shared" si="2"/>
        <v>Unfavorable</v>
      </c>
    </row>
    <row r="29" spans="1:10" ht="15">
      <c r="A29" s="17">
        <v>25</v>
      </c>
      <c r="B29" s="17" t="str">
        <f>INDEX('Store Weekly'!$D$4:$D$1938,MATCH(A29,'Store Weekly'!$C$4:$C$1938,0))</f>
        <v>B</v>
      </c>
      <c r="C29" s="18">
        <f>INDEX('Store Weekly'!$E$4:$E$1938,MATCH(A29,'Store Weekly'!$C$4:$C$1938,0))</f>
        <v>128107</v>
      </c>
      <c r="D29" s="14">
        <f>SUMIFS('Store Weekly'!$G$4:$G$1938,'Store Weekly'!$C$4:$C$1938,A29)</f>
        <v>29439015.199999996</v>
      </c>
      <c r="E29" s="14">
        <f>SUMIFS('Store Weekly'!$J$4:$J$1938,'Store Weekly'!$C$4:$C$1938,A29)</f>
        <v>29228634.728100006</v>
      </c>
      <c r="F29" s="14">
        <f>IF(Assumptions!$B$10="Upside",SUMIFS('Store Weekly'!$K$4:$K$1938,'Store Weekly'!$C$4:$C$1938,A29),IF(Assumptions!$B$10="Downside",SUMIFS('Store Weekly'!$L$4:$L$1938,'Store Weekly'!$C$4:$C$1938,A29),E29))</f>
        <v>29228634.728100006</v>
      </c>
      <c r="G29" s="14">
        <f t="shared" si="0"/>
        <v>210380.47189998999</v>
      </c>
      <c r="H29" s="19">
        <f t="shared" si="1"/>
        <v>7.1977522678379879E-3</v>
      </c>
      <c r="I29" s="14">
        <f>SUMIFS('Store Weekly'!$I$4:$I$1938,'Store Weekly'!$C$4:$C$1938,A29)</f>
        <v>28377315.27</v>
      </c>
      <c r="J29" s="11" t="str">
        <f t="shared" si="2"/>
        <v>Favorable</v>
      </c>
    </row>
    <row r="30" spans="1:10" ht="15">
      <c r="A30" s="17">
        <v>26</v>
      </c>
      <c r="B30" s="17" t="str">
        <f>INDEX('Store Weekly'!$D$4:$D$1938,MATCH(A30,'Store Weekly'!$C$4:$C$1938,0))</f>
        <v>A</v>
      </c>
      <c r="C30" s="18">
        <f>INDEX('Store Weekly'!$E$4:$E$1938,MATCH(A30,'Store Weekly'!$C$4:$C$1938,0))</f>
        <v>152513</v>
      </c>
      <c r="D30" s="14">
        <f>SUMIFS('Store Weekly'!$G$4:$G$1938,'Store Weekly'!$C$4:$C$1938,A30)</f>
        <v>42960643.43999999</v>
      </c>
      <c r="E30" s="14">
        <f>SUMIFS('Store Weekly'!$J$4:$J$1938,'Store Weekly'!$C$4:$C$1938,A30)</f>
        <v>43150884.622200005</v>
      </c>
      <c r="F30" s="14">
        <f>IF(Assumptions!$B$10="Upside",SUMIFS('Store Weekly'!$K$4:$K$1938,'Store Weekly'!$C$4:$C$1938,A30),IF(Assumptions!$B$10="Downside",SUMIFS('Store Weekly'!$L$4:$L$1938,'Store Weekly'!$C$4:$C$1938,A30),E30))</f>
        <v>43150884.622200005</v>
      </c>
      <c r="G30" s="14">
        <f t="shared" si="0"/>
        <v>-190241.18220001459</v>
      </c>
      <c r="H30" s="19">
        <f t="shared" si="1"/>
        <v>-4.4087435023786384E-3</v>
      </c>
      <c r="I30" s="14">
        <f>SUMIFS('Store Weekly'!$I$4:$I$1938,'Store Weekly'!$C$4:$C$1938,A30)</f>
        <v>41894062.740000002</v>
      </c>
      <c r="J30" s="11" t="str">
        <f t="shared" si="2"/>
        <v>Unfavorable</v>
      </c>
    </row>
    <row r="31" spans="1:10" ht="15">
      <c r="A31" s="17">
        <v>27</v>
      </c>
      <c r="B31" s="17" t="str">
        <f>INDEX('Store Weekly'!$D$4:$D$1938,MATCH(A31,'Store Weekly'!$C$4:$C$1938,0))</f>
        <v>A</v>
      </c>
      <c r="C31" s="18">
        <f>INDEX('Store Weekly'!$E$4:$E$1938,MATCH(A31,'Store Weekly'!$C$4:$C$1938,0))</f>
        <v>204184</v>
      </c>
      <c r="D31" s="14">
        <f>SUMIFS('Store Weekly'!$G$4:$G$1938,'Store Weekly'!$C$4:$C$1938,A31)</f>
        <v>71912790.170000002</v>
      </c>
      <c r="E31" s="14">
        <f>SUMIFS('Store Weekly'!$J$4:$J$1938,'Store Weekly'!$C$4:$C$1938,A31)</f>
        <v>76061767.228500009</v>
      </c>
      <c r="F31" s="14">
        <f>IF(Assumptions!$B$10="Upside",SUMIFS('Store Weekly'!$K$4:$K$1938,'Store Weekly'!$C$4:$C$1938,A31),IF(Assumptions!$B$10="Downside",SUMIFS('Store Weekly'!$L$4:$L$1938,'Store Weekly'!$C$4:$C$1938,A31),E31))</f>
        <v>76061767.228500009</v>
      </c>
      <c r="G31" s="14">
        <f t="shared" si="0"/>
        <v>-4148977.0585000068</v>
      </c>
      <c r="H31" s="19">
        <f t="shared" si="1"/>
        <v>-5.454747121554393E-2</v>
      </c>
      <c r="I31" s="14">
        <f>SUMIFS('Store Weekly'!$I$4:$I$1938,'Store Weekly'!$C$4:$C$1938,A31)</f>
        <v>73846375.950000003</v>
      </c>
      <c r="J31" s="11" t="str">
        <f t="shared" si="2"/>
        <v>Unfavorable</v>
      </c>
    </row>
    <row r="32" spans="1:10" ht="15">
      <c r="A32" s="17">
        <v>28</v>
      </c>
      <c r="B32" s="17" t="str">
        <f>INDEX('Store Weekly'!$D$4:$D$1938,MATCH(A32,'Store Weekly'!$C$4:$C$1938,0))</f>
        <v>A</v>
      </c>
      <c r="C32" s="18">
        <f>INDEX('Store Weekly'!$E$4:$E$1938,MATCH(A32,'Store Weekly'!$C$4:$C$1938,0))</f>
        <v>206302</v>
      </c>
      <c r="D32" s="14">
        <f>SUMIFS('Store Weekly'!$G$4:$G$1938,'Store Weekly'!$C$4:$C$1938,A32)</f>
        <v>55325144.859999992</v>
      </c>
      <c r="E32" s="14">
        <f>SUMIFS('Store Weekly'!$J$4:$J$1938,'Store Weekly'!$C$4:$C$1938,A32)</f>
        <v>57329106.851199992</v>
      </c>
      <c r="F32" s="14">
        <f>IF(Assumptions!$B$10="Upside",SUMIFS('Store Weekly'!$K$4:$K$1938,'Store Weekly'!$C$4:$C$1938,A32),IF(Assumptions!$B$10="Downside",SUMIFS('Store Weekly'!$L$4:$L$1938,'Store Weekly'!$C$4:$C$1938,A32),E32))</f>
        <v>57329106.851199992</v>
      </c>
      <c r="G32" s="14">
        <f t="shared" si="0"/>
        <v>-2003961.9912</v>
      </c>
      <c r="H32" s="19">
        <f t="shared" si="1"/>
        <v>-3.4955402260170639E-2</v>
      </c>
      <c r="I32" s="14">
        <f>SUMIFS('Store Weekly'!$I$4:$I$1938,'Store Weekly'!$C$4:$C$1938,A32)</f>
        <v>55659327.039999999</v>
      </c>
      <c r="J32" s="11" t="str">
        <f t="shared" si="2"/>
        <v>Unfavorable</v>
      </c>
    </row>
    <row r="33" spans="1:10" ht="15">
      <c r="A33" s="17">
        <v>29</v>
      </c>
      <c r="B33" s="17" t="str">
        <f>INDEX('Store Weekly'!$D$4:$D$1938,MATCH(A33,'Store Weekly'!$C$4:$C$1938,0))</f>
        <v>B</v>
      </c>
      <c r="C33" s="18">
        <f>INDEX('Store Weekly'!$E$4:$E$1938,MATCH(A33,'Store Weekly'!$C$4:$C$1938,0))</f>
        <v>93638</v>
      </c>
      <c r="D33" s="14">
        <f>SUMIFS('Store Weekly'!$G$4:$G$1938,'Store Weekly'!$C$4:$C$1938,A33)</f>
        <v>22235136.770000003</v>
      </c>
      <c r="E33" s="14">
        <f>SUMIFS('Store Weekly'!$J$4:$J$1938,'Store Weekly'!$C$4:$C$1938,A33)</f>
        <v>22495791.982199997</v>
      </c>
      <c r="F33" s="14">
        <f>IF(Assumptions!$B$10="Upside",SUMIFS('Store Weekly'!$K$4:$K$1938,'Store Weekly'!$C$4:$C$1938,A33),IF(Assumptions!$B$10="Downside",SUMIFS('Store Weekly'!$L$4:$L$1938,'Store Weekly'!$C$4:$C$1938,A33),E33))</f>
        <v>22495791.982199997</v>
      </c>
      <c r="G33" s="14">
        <f t="shared" si="0"/>
        <v>-260655.21219999343</v>
      </c>
      <c r="H33" s="19">
        <f t="shared" si="1"/>
        <v>-1.1586843104089835E-2</v>
      </c>
      <c r="I33" s="14">
        <f>SUMIFS('Store Weekly'!$I$4:$I$1938,'Store Weekly'!$C$4:$C$1938,A33)</f>
        <v>21840574.739999998</v>
      </c>
      <c r="J33" s="11" t="str">
        <f t="shared" si="2"/>
        <v>Unfavorable</v>
      </c>
    </row>
    <row r="34" spans="1:10" ht="15">
      <c r="A34" s="17">
        <v>30</v>
      </c>
      <c r="B34" s="17" t="str">
        <f>INDEX('Store Weekly'!$D$4:$D$1938,MATCH(A34,'Store Weekly'!$C$4:$C$1938,0))</f>
        <v>C</v>
      </c>
      <c r="C34" s="18">
        <f>INDEX('Store Weekly'!$E$4:$E$1938,MATCH(A34,'Store Weekly'!$C$4:$C$1938,0))</f>
        <v>42988</v>
      </c>
      <c r="D34" s="14">
        <f>SUMIFS('Store Weekly'!$G$4:$G$1938,'Store Weekly'!$C$4:$C$1938,A34)</f>
        <v>18791866.590000004</v>
      </c>
      <c r="E34" s="14">
        <f>SUMIFS('Store Weekly'!$J$4:$J$1938,'Store Weekly'!$C$4:$C$1938,A34)</f>
        <v>18835582.849199999</v>
      </c>
      <c r="F34" s="14">
        <f>IF(Assumptions!$B$10="Upside",SUMIFS('Store Weekly'!$K$4:$K$1938,'Store Weekly'!$C$4:$C$1938,A34),IF(Assumptions!$B$10="Downside",SUMIFS('Store Weekly'!$L$4:$L$1938,'Store Weekly'!$C$4:$C$1938,A34),E34))</f>
        <v>18835582.849199999</v>
      </c>
      <c r="G34" s="14">
        <f t="shared" si="0"/>
        <v>-43716.259199995548</v>
      </c>
      <c r="H34" s="19">
        <f t="shared" si="1"/>
        <v>-2.3209400818649103E-3</v>
      </c>
      <c r="I34" s="14">
        <f>SUMIFS('Store Weekly'!$I$4:$I$1938,'Store Weekly'!$C$4:$C$1938,A34)</f>
        <v>18286973.640000004</v>
      </c>
      <c r="J34" s="11" t="str">
        <f t="shared" si="2"/>
        <v>Unfavorable</v>
      </c>
    </row>
    <row r="35" spans="1:10" ht="15">
      <c r="A35" s="17">
        <v>31</v>
      </c>
      <c r="B35" s="17" t="str">
        <f>INDEX('Store Weekly'!$D$4:$D$1938,MATCH(A35,'Store Weekly'!$C$4:$C$1938,0))</f>
        <v>A</v>
      </c>
      <c r="C35" s="18">
        <f>INDEX('Store Weekly'!$E$4:$E$1938,MATCH(A35,'Store Weekly'!$C$4:$C$1938,0))</f>
        <v>203750</v>
      </c>
      <c r="D35" s="14">
        <f>SUMIFS('Store Weekly'!$G$4:$G$1938,'Store Weekly'!$C$4:$C$1938,A35)</f>
        <v>59881475.749999993</v>
      </c>
      <c r="E35" s="14">
        <f>SUMIFS('Store Weekly'!$J$4:$J$1938,'Store Weekly'!$C$4:$C$1938,A35)</f>
        <v>61778930.041899994</v>
      </c>
      <c r="F35" s="14">
        <f>IF(Assumptions!$B$10="Upside",SUMIFS('Store Weekly'!$K$4:$K$1938,'Store Weekly'!$C$4:$C$1938,A35),IF(Assumptions!$B$10="Downside",SUMIFS('Store Weekly'!$L$4:$L$1938,'Store Weekly'!$C$4:$C$1938,A35),E35))</f>
        <v>61778930.041899994</v>
      </c>
      <c r="G35" s="14">
        <f t="shared" si="0"/>
        <v>-1897454.2919000015</v>
      </c>
      <c r="H35" s="19">
        <f t="shared" si="1"/>
        <v>-3.0713615315336493E-2</v>
      </c>
      <c r="I35" s="14">
        <f>SUMIFS('Store Weekly'!$I$4:$I$1938,'Store Weekly'!$C$4:$C$1938,A35)</f>
        <v>59979543.730000004</v>
      </c>
      <c r="J35" s="11" t="str">
        <f t="shared" si="2"/>
        <v>Unfavorable</v>
      </c>
    </row>
    <row r="36" spans="1:10" ht="15">
      <c r="A36" s="17">
        <v>32</v>
      </c>
      <c r="B36" s="17" t="str">
        <f>INDEX('Store Weekly'!$D$4:$D$1938,MATCH(A36,'Store Weekly'!$C$4:$C$1938,0))</f>
        <v>A</v>
      </c>
      <c r="C36" s="18">
        <f>INDEX('Store Weekly'!$E$4:$E$1938,MATCH(A36,'Store Weekly'!$C$4:$C$1938,0))</f>
        <v>203007</v>
      </c>
      <c r="D36" s="14">
        <f>SUMIFS('Store Weekly'!$G$4:$G$1938,'Store Weekly'!$C$4:$C$1938,A36)</f>
        <v>50277785.120000012</v>
      </c>
      <c r="E36" s="14">
        <f>SUMIFS('Store Weekly'!$J$4:$J$1938,'Store Weekly'!$C$4:$C$1938,A36)</f>
        <v>50345369.732200004</v>
      </c>
      <c r="F36" s="14">
        <f>IF(Assumptions!$B$10="Upside",SUMIFS('Store Weekly'!$K$4:$K$1938,'Store Weekly'!$C$4:$C$1938,A36),IF(Assumptions!$B$10="Downside",SUMIFS('Store Weekly'!$L$4:$L$1938,'Store Weekly'!$C$4:$C$1938,A36),E36))</f>
        <v>50345369.732200004</v>
      </c>
      <c r="G36" s="14">
        <f t="shared" si="0"/>
        <v>-67584.612199991941</v>
      </c>
      <c r="H36" s="19">
        <f t="shared" si="1"/>
        <v>-1.3424196218935706E-3</v>
      </c>
      <c r="I36" s="14">
        <f>SUMIFS('Store Weekly'!$I$4:$I$1938,'Store Weekly'!$C$4:$C$1938,A36)</f>
        <v>48878999.739999987</v>
      </c>
      <c r="J36" s="11" t="str">
        <f t="shared" si="2"/>
        <v>Unfavorable</v>
      </c>
    </row>
    <row r="37" spans="1:10" ht="15">
      <c r="A37" s="17">
        <v>33</v>
      </c>
      <c r="B37" s="17" t="str">
        <f>INDEX('Store Weekly'!$D$4:$D$1938,MATCH(A37,'Store Weekly'!$C$4:$C$1938,0))</f>
        <v>A</v>
      </c>
      <c r="C37" s="18">
        <f>INDEX('Store Weekly'!$E$4:$E$1938,MATCH(A37,'Store Weekly'!$C$4:$C$1938,0))</f>
        <v>39690</v>
      </c>
      <c r="D37" s="14">
        <f>SUMIFS('Store Weekly'!$G$4:$G$1938,'Store Weekly'!$C$4:$C$1938,A37)</f>
        <v>11430767.57</v>
      </c>
      <c r="E37" s="14">
        <f>SUMIFS('Store Weekly'!$J$4:$J$1938,'Store Weekly'!$C$4:$C$1938,A37)</f>
        <v>11039622.657500001</v>
      </c>
      <c r="F37" s="14">
        <f>IF(Assumptions!$B$10="Upside",SUMIFS('Store Weekly'!$K$4:$K$1938,'Store Weekly'!$C$4:$C$1938,A37),IF(Assumptions!$B$10="Downside",SUMIFS('Store Weekly'!$L$4:$L$1938,'Store Weekly'!$C$4:$C$1938,A37),E37))</f>
        <v>11039622.657500001</v>
      </c>
      <c r="G37" s="14">
        <f t="shared" si="0"/>
        <v>391144.91249999963</v>
      </c>
      <c r="H37" s="19">
        <f t="shared" si="1"/>
        <v>3.5431003815539569E-2</v>
      </c>
      <c r="I37" s="14">
        <f>SUMIFS('Store Weekly'!$I$4:$I$1938,'Store Weekly'!$C$4:$C$1938,A37)</f>
        <v>10718080.249999998</v>
      </c>
      <c r="J37" s="11" t="str">
        <f t="shared" si="2"/>
        <v>Favorable</v>
      </c>
    </row>
    <row r="38" spans="1:10" ht="15">
      <c r="A38" s="17">
        <v>34</v>
      </c>
      <c r="B38" s="17" t="str">
        <f>INDEX('Store Weekly'!$D$4:$D$1938,MATCH(A38,'Store Weekly'!$C$4:$C$1938,0))</f>
        <v>A</v>
      </c>
      <c r="C38" s="18">
        <f>INDEX('Store Weekly'!$E$4:$E$1938,MATCH(A38,'Store Weekly'!$C$4:$C$1938,0))</f>
        <v>158114</v>
      </c>
      <c r="D38" s="14">
        <f>SUMIFS('Store Weekly'!$G$4:$G$1938,'Store Weekly'!$C$4:$C$1938,A38)</f>
        <v>41731535.790000007</v>
      </c>
      <c r="E38" s="14">
        <f>SUMIFS('Store Weekly'!$J$4:$J$1938,'Store Weekly'!$C$4:$C$1938,A38)</f>
        <v>41466282.336200014</v>
      </c>
      <c r="F38" s="14">
        <f>IF(Assumptions!$B$10="Upside",SUMIFS('Store Weekly'!$K$4:$K$1938,'Store Weekly'!$C$4:$C$1938,A38),IF(Assumptions!$B$10="Downside",SUMIFS('Store Weekly'!$L$4:$L$1938,'Store Weekly'!$C$4:$C$1938,A38),E38))</f>
        <v>41466282.336200014</v>
      </c>
      <c r="G38" s="14">
        <f t="shared" si="0"/>
        <v>265253.4537999928</v>
      </c>
      <c r="H38" s="19">
        <f t="shared" si="1"/>
        <v>6.3968467597208941E-3</v>
      </c>
      <c r="I38" s="14">
        <f>SUMIFS('Store Weekly'!$I$4:$I$1938,'Store Weekly'!$C$4:$C$1938,A38)</f>
        <v>40258526.539999984</v>
      </c>
      <c r="J38" s="11" t="str">
        <f t="shared" si="2"/>
        <v>Favorable</v>
      </c>
    </row>
    <row r="39" spans="1:10" ht="15">
      <c r="A39" s="17">
        <v>35</v>
      </c>
      <c r="B39" s="17" t="str">
        <f>INDEX('Store Weekly'!$D$4:$D$1938,MATCH(A39,'Store Weekly'!$C$4:$C$1938,0))</f>
        <v>B</v>
      </c>
      <c r="C39" s="18">
        <f>INDEX('Store Weekly'!$E$4:$E$1938,MATCH(A39,'Store Weekly'!$C$4:$C$1938,0))</f>
        <v>103681</v>
      </c>
      <c r="D39" s="14">
        <f>SUMIFS('Store Weekly'!$G$4:$G$1938,'Store Weekly'!$C$4:$C$1938,A39)</f>
        <v>35236716.390000008</v>
      </c>
      <c r="E39" s="14">
        <f>SUMIFS('Store Weekly'!$J$4:$J$1938,'Store Weekly'!$C$4:$C$1938,A39)</f>
        <v>35613008.976099998</v>
      </c>
      <c r="F39" s="14">
        <f>IF(Assumptions!$B$10="Upside",SUMIFS('Store Weekly'!$K$4:$K$1938,'Store Weekly'!$C$4:$C$1938,A39),IF(Assumptions!$B$10="Downside",SUMIFS('Store Weekly'!$L$4:$L$1938,'Store Weekly'!$C$4:$C$1938,A39),E39))</f>
        <v>35613008.976099998</v>
      </c>
      <c r="G39" s="14">
        <f t="shared" si="0"/>
        <v>-376292.58609998971</v>
      </c>
      <c r="H39" s="19">
        <f t="shared" si="1"/>
        <v>-1.0566155371833951E-2</v>
      </c>
      <c r="I39" s="14">
        <f>SUMIFS('Store Weekly'!$I$4:$I$1938,'Store Weekly'!$C$4:$C$1938,A39)</f>
        <v>34575736.869999997</v>
      </c>
      <c r="J39" s="11" t="str">
        <f t="shared" si="2"/>
        <v>Unfavorable</v>
      </c>
    </row>
    <row r="40" spans="1:10" ht="15">
      <c r="A40" s="17">
        <v>36</v>
      </c>
      <c r="B40" s="17" t="str">
        <f>INDEX('Store Weekly'!$D$4:$D$1938,MATCH(A40,'Store Weekly'!$C$4:$C$1938,0))</f>
        <v>A</v>
      </c>
      <c r="C40" s="18">
        <f>INDEX('Store Weekly'!$E$4:$E$1938,MATCH(A40,'Store Weekly'!$C$4:$C$1938,0))</f>
        <v>39910</v>
      </c>
      <c r="D40" s="14">
        <f>SUMIFS('Store Weekly'!$G$4:$G$1938,'Store Weekly'!$C$4:$C$1938,A40)</f>
        <v>13283070.640000004</v>
      </c>
      <c r="E40" s="14">
        <f>SUMIFS('Store Weekly'!$J$4:$J$1938,'Store Weekly'!$C$4:$C$1938,A40)</f>
        <v>16583542.305300003</v>
      </c>
      <c r="F40" s="14">
        <f>IF(Assumptions!$B$10="Upside",SUMIFS('Store Weekly'!$K$4:$K$1938,'Store Weekly'!$C$4:$C$1938,A40),IF(Assumptions!$B$10="Downside",SUMIFS('Store Weekly'!$L$4:$L$1938,'Store Weekly'!$C$4:$C$1938,A40),E40))</f>
        <v>16583542.305300003</v>
      </c>
      <c r="G40" s="14">
        <f t="shared" si="0"/>
        <v>-3300471.6652999986</v>
      </c>
      <c r="H40" s="19">
        <f t="shared" si="1"/>
        <v>-0.19902090907593289</v>
      </c>
      <c r="I40" s="14">
        <f>SUMIFS('Store Weekly'!$I$4:$I$1938,'Store Weekly'!$C$4:$C$1938,A40)</f>
        <v>16100526.51</v>
      </c>
      <c r="J40" s="11" t="str">
        <f t="shared" si="2"/>
        <v>Unfavorable</v>
      </c>
    </row>
    <row r="41" spans="1:10" ht="15">
      <c r="A41" s="17">
        <v>37</v>
      </c>
      <c r="B41" s="17" t="str">
        <f>INDEX('Store Weekly'!$D$4:$D$1938,MATCH(A41,'Store Weekly'!$C$4:$C$1938,0))</f>
        <v>C</v>
      </c>
      <c r="C41" s="18">
        <f>INDEX('Store Weekly'!$E$4:$E$1938,MATCH(A41,'Store Weekly'!$C$4:$C$1938,0))</f>
        <v>39910</v>
      </c>
      <c r="D41" s="14">
        <f>SUMIFS('Store Weekly'!$G$4:$G$1938,'Store Weekly'!$C$4:$C$1938,A41)</f>
        <v>22604736.550000004</v>
      </c>
      <c r="E41" s="14">
        <f>SUMIFS('Store Weekly'!$J$4:$J$1938,'Store Weekly'!$C$4:$C$1938,A41)</f>
        <v>22986249.028900001</v>
      </c>
      <c r="F41" s="14">
        <f>IF(Assumptions!$B$10="Upside",SUMIFS('Store Weekly'!$K$4:$K$1938,'Store Weekly'!$C$4:$C$1938,A41),IF(Assumptions!$B$10="Downside",SUMIFS('Store Weekly'!$L$4:$L$1938,'Store Weekly'!$C$4:$C$1938,A41),E41))</f>
        <v>22986249.028900001</v>
      </c>
      <c r="G41" s="14">
        <f t="shared" si="0"/>
        <v>-381512.47889999673</v>
      </c>
      <c r="H41" s="19">
        <f t="shared" si="1"/>
        <v>-1.6597422155321263E-2</v>
      </c>
      <c r="I41" s="14">
        <f>SUMIFS('Store Weekly'!$I$4:$I$1938,'Store Weekly'!$C$4:$C$1938,A41)</f>
        <v>22316746.629999995</v>
      </c>
      <c r="J41" s="11" t="str">
        <f t="shared" si="2"/>
        <v>Unfavorable</v>
      </c>
    </row>
    <row r="42" spans="1:10" ht="15">
      <c r="A42" s="17">
        <v>38</v>
      </c>
      <c r="B42" s="17" t="str">
        <f>INDEX('Store Weekly'!$D$4:$D$1938,MATCH(A42,'Store Weekly'!$C$4:$C$1938,0))</f>
        <v>C</v>
      </c>
      <c r="C42" s="18">
        <f>INDEX('Store Weekly'!$E$4:$E$1938,MATCH(A42,'Store Weekly'!$C$4:$C$1938,0))</f>
        <v>39690</v>
      </c>
      <c r="D42" s="14">
        <f>SUMIFS('Store Weekly'!$G$4:$G$1938,'Store Weekly'!$C$4:$C$1938,A42)</f>
        <v>18626251.330000002</v>
      </c>
      <c r="E42" s="14">
        <f>SUMIFS('Store Weekly'!$J$4:$J$1938,'Store Weekly'!$C$4:$C$1938,A42)</f>
        <v>16780750.874200001</v>
      </c>
      <c r="F42" s="14">
        <f>IF(Assumptions!$B$10="Upside",SUMIFS('Store Weekly'!$K$4:$K$1938,'Store Weekly'!$C$4:$C$1938,A42),IF(Assumptions!$B$10="Downside",SUMIFS('Store Weekly'!$L$4:$L$1938,'Store Weekly'!$C$4:$C$1938,A42),E42))</f>
        <v>16780750.874200001</v>
      </c>
      <c r="G42" s="14">
        <f t="shared" si="0"/>
        <v>1845500.4558000006</v>
      </c>
      <c r="H42" s="19">
        <f t="shared" si="1"/>
        <v>0.10997722745752771</v>
      </c>
      <c r="I42" s="14">
        <f>SUMIFS('Store Weekly'!$I$4:$I$1938,'Store Weekly'!$C$4:$C$1938,A42)</f>
        <v>16291991.140000001</v>
      </c>
      <c r="J42" s="11" t="str">
        <f t="shared" si="2"/>
        <v>Favorable</v>
      </c>
    </row>
    <row r="43" spans="1:10" ht="15">
      <c r="A43" s="17">
        <v>39</v>
      </c>
      <c r="B43" s="17" t="str">
        <f>INDEX('Store Weekly'!$D$4:$D$1938,MATCH(A43,'Store Weekly'!$C$4:$C$1938,0))</f>
        <v>A</v>
      </c>
      <c r="C43" s="18">
        <f>INDEX('Store Weekly'!$E$4:$E$1938,MATCH(A43,'Store Weekly'!$C$4:$C$1938,0))</f>
        <v>184109</v>
      </c>
      <c r="D43" s="14">
        <f>SUMIFS('Store Weekly'!$G$4:$G$1938,'Store Weekly'!$C$4:$C$1938,A43)</f>
        <v>65872889.139999993</v>
      </c>
      <c r="E43" s="14">
        <f>SUMIFS('Store Weekly'!$J$4:$J$1938,'Store Weekly'!$C$4:$C$1938,A43)</f>
        <v>61201130.08700002</v>
      </c>
      <c r="F43" s="14">
        <f>IF(Assumptions!$B$10="Upside",SUMIFS('Store Weekly'!$K$4:$K$1938,'Store Weekly'!$C$4:$C$1938,A43),IF(Assumptions!$B$10="Downside",SUMIFS('Store Weekly'!$L$4:$L$1938,'Store Weekly'!$C$4:$C$1938,A43),E43))</f>
        <v>61201130.08700002</v>
      </c>
      <c r="G43" s="14">
        <f t="shared" si="0"/>
        <v>4671759.0529999733</v>
      </c>
      <c r="H43" s="19">
        <f t="shared" si="1"/>
        <v>7.633452268542866E-2</v>
      </c>
      <c r="I43" s="14">
        <f>SUMIFS('Store Weekly'!$I$4:$I$1938,'Store Weekly'!$C$4:$C$1938,A43)</f>
        <v>59418572.899999999</v>
      </c>
      <c r="J43" s="11" t="str">
        <f t="shared" si="2"/>
        <v>Favorable</v>
      </c>
    </row>
    <row r="44" spans="1:10" ht="15">
      <c r="A44" s="17">
        <v>40</v>
      </c>
      <c r="B44" s="17" t="str">
        <f>INDEX('Store Weekly'!$D$4:$D$1938,MATCH(A44,'Store Weekly'!$C$4:$C$1938,0))</f>
        <v>A</v>
      </c>
      <c r="C44" s="18">
        <f>INDEX('Store Weekly'!$E$4:$E$1938,MATCH(A44,'Store Weekly'!$C$4:$C$1938,0))</f>
        <v>155083</v>
      </c>
      <c r="D44" s="14">
        <f>SUMIFS('Store Weekly'!$G$4:$G$1938,'Store Weekly'!$C$4:$C$1938,A44)</f>
        <v>41165268.269999996</v>
      </c>
      <c r="E44" s="14">
        <f>SUMIFS('Store Weekly'!$J$4:$J$1938,'Store Weekly'!$C$4:$C$1938,A44)</f>
        <v>41433061.004600003</v>
      </c>
      <c r="F44" s="14">
        <f>IF(Assumptions!$B$10="Upside",SUMIFS('Store Weekly'!$K$4:$K$1938,'Store Weekly'!$C$4:$C$1938,A44),IF(Assumptions!$B$10="Downside",SUMIFS('Store Weekly'!$L$4:$L$1938,'Store Weekly'!$C$4:$C$1938,A44),E44))</f>
        <v>41433061.004600003</v>
      </c>
      <c r="G44" s="14">
        <f t="shared" si="0"/>
        <v>-267792.73460000753</v>
      </c>
      <c r="H44" s="19">
        <f t="shared" si="1"/>
        <v>-6.4632621415607336E-3</v>
      </c>
      <c r="I44" s="14">
        <f>SUMIFS('Store Weekly'!$I$4:$I$1938,'Store Weekly'!$C$4:$C$1938,A44)</f>
        <v>40226272.820000008</v>
      </c>
      <c r="J44" s="11" t="str">
        <f t="shared" si="2"/>
        <v>Unfavorable</v>
      </c>
    </row>
    <row r="45" spans="1:10" ht="15">
      <c r="A45" s="17">
        <v>41</v>
      </c>
      <c r="B45" s="17" t="str">
        <f>INDEX('Store Weekly'!$D$4:$D$1938,MATCH(A45,'Store Weekly'!$C$4:$C$1938,0))</f>
        <v>A</v>
      </c>
      <c r="C45" s="18">
        <f>INDEX('Store Weekly'!$E$4:$E$1938,MATCH(A45,'Store Weekly'!$C$4:$C$1938,0))</f>
        <v>196321</v>
      </c>
      <c r="D45" s="14">
        <f>SUMIFS('Store Weekly'!$G$4:$G$1938,'Store Weekly'!$C$4:$C$1938,A45)</f>
        <v>56837996.180000007</v>
      </c>
      <c r="E45" s="14">
        <f>SUMIFS('Store Weekly'!$J$4:$J$1938,'Store Weekly'!$C$4:$C$1938,A45)</f>
        <v>54496273.996400006</v>
      </c>
      <c r="F45" s="14">
        <f>IF(Assumptions!$B$10="Upside",SUMIFS('Store Weekly'!$K$4:$K$1938,'Store Weekly'!$C$4:$C$1938,A45),IF(Assumptions!$B$10="Downside",SUMIFS('Store Weekly'!$L$4:$L$1938,'Store Weekly'!$C$4:$C$1938,A45),E45))</f>
        <v>54496273.996400006</v>
      </c>
      <c r="G45" s="14">
        <f t="shared" si="0"/>
        <v>2341722.183600001</v>
      </c>
      <c r="H45" s="19">
        <f t="shared" si="1"/>
        <v>4.2970317268932808E-2</v>
      </c>
      <c r="I45" s="14">
        <f>SUMIFS('Store Weekly'!$I$4:$I$1938,'Store Weekly'!$C$4:$C$1938,A45)</f>
        <v>52909003.879999995</v>
      </c>
      <c r="J45" s="11" t="str">
        <f t="shared" si="2"/>
        <v>Favorable</v>
      </c>
    </row>
    <row r="46" spans="1:10" ht="15">
      <c r="A46" s="17">
        <v>42</v>
      </c>
      <c r="B46" s="17" t="str">
        <f>INDEX('Store Weekly'!$D$4:$D$1938,MATCH(A46,'Store Weekly'!$C$4:$C$1938,0))</f>
        <v>C</v>
      </c>
      <c r="C46" s="18">
        <f>INDEX('Store Weekly'!$E$4:$E$1938,MATCH(A46,'Store Weekly'!$C$4:$C$1938,0))</f>
        <v>39690</v>
      </c>
      <c r="D46" s="14">
        <f>SUMIFS('Store Weekly'!$G$4:$G$1938,'Store Weekly'!$C$4:$C$1938,A46)</f>
        <v>24942939.419999998</v>
      </c>
      <c r="E46" s="14">
        <f>SUMIFS('Store Weekly'!$J$4:$J$1938,'Store Weekly'!$C$4:$C$1938,A46)</f>
        <v>24690387.057099994</v>
      </c>
      <c r="F46" s="14">
        <f>IF(Assumptions!$B$10="Upside",SUMIFS('Store Weekly'!$K$4:$K$1938,'Store Weekly'!$C$4:$C$1938,A46),IF(Assumptions!$B$10="Downside",SUMIFS('Store Weekly'!$L$4:$L$1938,'Store Weekly'!$C$4:$C$1938,A46),E46))</f>
        <v>24690387.057099994</v>
      </c>
      <c r="G46" s="14">
        <f t="shared" si="0"/>
        <v>252552.36290000379</v>
      </c>
      <c r="H46" s="19">
        <f t="shared" si="1"/>
        <v>1.0228772935634461E-2</v>
      </c>
      <c r="I46" s="14">
        <f>SUMIFS('Store Weekly'!$I$4:$I$1938,'Store Weekly'!$C$4:$C$1938,A46)</f>
        <v>23971249.569999997</v>
      </c>
      <c r="J46" s="11" t="str">
        <f t="shared" si="2"/>
        <v>Favorable</v>
      </c>
    </row>
    <row r="47" spans="1:10" ht="15">
      <c r="A47" s="17">
        <v>43</v>
      </c>
      <c r="B47" s="17" t="str">
        <f>INDEX('Store Weekly'!$D$4:$D$1938,MATCH(A47,'Store Weekly'!$C$4:$C$1938,0))</f>
        <v>C</v>
      </c>
      <c r="C47" s="18">
        <f>INDEX('Store Weekly'!$E$4:$E$1938,MATCH(A47,'Store Weekly'!$C$4:$C$1938,0))</f>
        <v>41062</v>
      </c>
      <c r="D47" s="14">
        <f>SUMIFS('Store Weekly'!$G$4:$G$1938,'Store Weekly'!$C$4:$C$1938,A47)</f>
        <v>26945763.139999997</v>
      </c>
      <c r="E47" s="14">
        <f>SUMIFS('Store Weekly'!$J$4:$J$1938,'Store Weekly'!$C$4:$C$1938,A47)</f>
        <v>27231438.277700011</v>
      </c>
      <c r="F47" s="14">
        <f>IF(Assumptions!$B$10="Upside",SUMIFS('Store Weekly'!$K$4:$K$1938,'Store Weekly'!$C$4:$C$1938,A47),IF(Assumptions!$B$10="Downside",SUMIFS('Store Weekly'!$L$4:$L$1938,'Store Weekly'!$C$4:$C$1938,A47),E47))</f>
        <v>27231438.277700011</v>
      </c>
      <c r="G47" s="14">
        <f t="shared" si="0"/>
        <v>-285675.13770001382</v>
      </c>
      <c r="H47" s="19">
        <f t="shared" si="1"/>
        <v>-1.0490637137369087E-2</v>
      </c>
      <c r="I47" s="14">
        <f>SUMIFS('Store Weekly'!$I$4:$I$1938,'Store Weekly'!$C$4:$C$1938,A47)</f>
        <v>26438289.590000007</v>
      </c>
      <c r="J47" s="11" t="str">
        <f t="shared" si="2"/>
        <v>Unfavorable</v>
      </c>
    </row>
    <row r="48" spans="1:10" ht="15">
      <c r="A48" s="17">
        <v>44</v>
      </c>
      <c r="B48" s="17" t="str">
        <f>INDEX('Store Weekly'!$D$4:$D$1938,MATCH(A48,'Store Weekly'!$C$4:$C$1938,0))</f>
        <v>C</v>
      </c>
      <c r="C48" s="18">
        <f>INDEX('Store Weekly'!$E$4:$E$1938,MATCH(A48,'Store Weekly'!$C$4:$C$1938,0))</f>
        <v>39910</v>
      </c>
      <c r="D48" s="14">
        <f>SUMIFS('Store Weekly'!$G$4:$G$1938,'Store Weekly'!$C$4:$C$1938,A48)</f>
        <v>14179901.680000003</v>
      </c>
      <c r="E48" s="14">
        <f>SUMIFS('Store Weekly'!$J$4:$J$1938,'Store Weekly'!$C$4:$C$1938,A48)</f>
        <v>13098458.767799998</v>
      </c>
      <c r="F48" s="14">
        <f>IF(Assumptions!$B$10="Upside",SUMIFS('Store Weekly'!$K$4:$K$1938,'Store Weekly'!$C$4:$C$1938,A48),IF(Assumptions!$B$10="Downside",SUMIFS('Store Weekly'!$L$4:$L$1938,'Store Weekly'!$C$4:$C$1938,A48),E48))</f>
        <v>13098458.767799998</v>
      </c>
      <c r="G48" s="14">
        <f t="shared" si="0"/>
        <v>1081442.9122000057</v>
      </c>
      <c r="H48" s="19">
        <f t="shared" si="1"/>
        <v>8.2562607660263201E-2</v>
      </c>
      <c r="I48" s="14">
        <f>SUMIFS('Store Weekly'!$I$4:$I$1938,'Store Weekly'!$C$4:$C$1938,A48)</f>
        <v>12716950.259999998</v>
      </c>
      <c r="J48" s="11" t="str">
        <f t="shared" si="2"/>
        <v>Favorable</v>
      </c>
    </row>
    <row r="49" spans="1:10" ht="15">
      <c r="A49" s="17">
        <v>45</v>
      </c>
      <c r="B49" s="17" t="str">
        <f>INDEX('Store Weekly'!$D$4:$D$1938,MATCH(A49,'Store Weekly'!$C$4:$C$1938,0))</f>
        <v>B</v>
      </c>
      <c r="C49" s="18">
        <f>INDEX('Store Weekly'!$E$4:$E$1938,MATCH(A49,'Store Weekly'!$C$4:$C$1938,0))</f>
        <v>118221</v>
      </c>
      <c r="D49" s="14">
        <f>SUMIFS('Store Weekly'!$G$4:$G$1938,'Store Weekly'!$C$4:$C$1938,A49)</f>
        <v>32711745.900000002</v>
      </c>
      <c r="E49" s="14">
        <f>SUMIFS('Store Weekly'!$J$4:$J$1938,'Store Weekly'!$C$4:$C$1938,A49)</f>
        <v>33210854.01769999</v>
      </c>
      <c r="F49" s="14">
        <f>IF(Assumptions!$B$10="Upside",SUMIFS('Store Weekly'!$K$4:$K$1938,'Store Weekly'!$C$4:$C$1938,A49),IF(Assumptions!$B$10="Downside",SUMIFS('Store Weekly'!$L$4:$L$1938,'Store Weekly'!$C$4:$C$1938,A49),E49))</f>
        <v>33210854.01769999</v>
      </c>
      <c r="G49" s="14">
        <f t="shared" si="0"/>
        <v>-499108.11769998819</v>
      </c>
      <c r="H49" s="19">
        <f t="shared" si="1"/>
        <v>-1.5028463809873258E-2</v>
      </c>
      <c r="I49" s="14">
        <f>SUMIFS('Store Weekly'!$I$4:$I$1938,'Store Weekly'!$C$4:$C$1938,A49)</f>
        <v>32243547.590000007</v>
      </c>
      <c r="J49" s="11" t="str">
        <f t="shared" si="2"/>
        <v>Unfavorable</v>
      </c>
    </row>
  </sheetData>
  <mergeCells count="1">
    <mergeCell ref="A1:J2"/>
  </mergeCells>
  <conditionalFormatting sqref="G5:G49">
    <cfRule type="cellIs" dxfId="3" priority="1" operator="greaterThanOrEqual">
      <formula>0</formula>
    </cfRule>
    <cfRule type="cellIs" dxfId="2" priority="2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2"/>
  <sheetViews>
    <sheetView showGridLines="0" workbookViewId="0">
      <selection sqref="A1:H2"/>
    </sheetView>
  </sheetViews>
  <sheetFormatPr defaultRowHeight="14.25"/>
  <cols>
    <col min="1" max="8" width="17" customWidth="1"/>
  </cols>
  <sheetData>
    <row r="1" spans="1:8" ht="30" customHeight="1">
      <c r="A1" s="39" t="s">
        <v>79</v>
      </c>
      <c r="B1" s="39" t="s">
        <v>79</v>
      </c>
      <c r="C1" s="39" t="s">
        <v>79</v>
      </c>
      <c r="D1" s="39" t="s">
        <v>79</v>
      </c>
      <c r="E1" s="39" t="s">
        <v>79</v>
      </c>
      <c r="F1" s="39" t="s">
        <v>79</v>
      </c>
      <c r="G1" s="39" t="s">
        <v>79</v>
      </c>
      <c r="H1" s="39" t="s">
        <v>79</v>
      </c>
    </row>
    <row r="2" spans="1:8" ht="30" customHeight="1">
      <c r="A2" s="39" t="s">
        <v>79</v>
      </c>
      <c r="B2" s="39" t="s">
        <v>79</v>
      </c>
      <c r="C2" s="39" t="s">
        <v>79</v>
      </c>
      <c r="D2" s="39" t="s">
        <v>79</v>
      </c>
      <c r="E2" s="39" t="s">
        <v>79</v>
      </c>
      <c r="F2" s="39" t="s">
        <v>79</v>
      </c>
      <c r="G2" s="39" t="s">
        <v>79</v>
      </c>
      <c r="H2" s="39" t="s">
        <v>79</v>
      </c>
    </row>
    <row r="3" spans="1:8" ht="15">
      <c r="A3" s="11"/>
      <c r="B3" s="11"/>
      <c r="C3" s="11"/>
      <c r="D3" s="11"/>
      <c r="E3" s="11"/>
      <c r="F3" s="11"/>
      <c r="G3" s="11"/>
      <c r="H3" s="11"/>
    </row>
    <row r="4" spans="1:8" ht="15">
      <c r="A4" s="12" t="s">
        <v>80</v>
      </c>
      <c r="B4" s="12" t="s">
        <v>4</v>
      </c>
      <c r="C4" s="12" t="s">
        <v>67</v>
      </c>
      <c r="D4" s="12" t="s">
        <v>5</v>
      </c>
      <c r="E4" s="12" t="s">
        <v>13</v>
      </c>
      <c r="F4" s="12" t="s">
        <v>14</v>
      </c>
      <c r="G4" s="12" t="s">
        <v>8</v>
      </c>
      <c r="H4" s="12" t="s">
        <v>78</v>
      </c>
    </row>
    <row r="5" spans="1:8" ht="15">
      <c r="A5" s="17">
        <v>1</v>
      </c>
      <c r="B5" s="14">
        <f>SUMIFS('Department Weekly'!$E$4:$E$3247,'Department Weekly'!$C$4:$C$3247,A5)</f>
        <v>35445927.759999998</v>
      </c>
      <c r="C5" s="14">
        <f>SUMIFS('Department Weekly'!$H$4:$H$3247,'Department Weekly'!$C$4:$C$3247,A5)</f>
        <v>35442809.314400002</v>
      </c>
      <c r="D5" s="14">
        <f>IF(Assumptions!$B$10="Upside",SUMIFS('Department Weekly'!$I$4:$I$3247,'Department Weekly'!$C$4:$C$3247,A5),IF(Assumptions!$B$10="Downside",SUMIFS('Department Weekly'!$J$4:$J$3247,'Department Weekly'!$C$4:$C$3247,A5),C5))</f>
        <v>35442809.314400002</v>
      </c>
      <c r="E5" s="14">
        <f t="shared" ref="E5:E36" si="0">B5-D5</f>
        <v>3118.4455999955535</v>
      </c>
      <c r="F5" s="19">
        <f t="shared" ref="F5:F36" si="1">IF(D5=0,0,E5/D5)</f>
        <v>8.7985282778602013E-5</v>
      </c>
      <c r="G5" s="14">
        <f>SUMIFS('Department Weekly'!$G$4:$G$3247,'Department Weekly'!$C$4:$C$3247,A5)</f>
        <v>34410494.480000004</v>
      </c>
      <c r="H5" s="11" t="str">
        <f t="shared" ref="H5:H36" si="2">IF(E5&gt;=0,"Favorable","Unfavorable")</f>
        <v>Favorable</v>
      </c>
    </row>
    <row r="6" spans="1:8" ht="15">
      <c r="A6" s="17">
        <v>2</v>
      </c>
      <c r="B6" s="14">
        <f>SUMIFS('Department Weekly'!$E$4:$E$3247,'Department Weekly'!$C$4:$C$3247,A6)</f>
        <v>85052985.88000001</v>
      </c>
      <c r="C6" s="14">
        <f>SUMIFS('Department Weekly'!$H$4:$H$3247,'Department Weekly'!$C$4:$C$3247,A6)</f>
        <v>85468722.24969998</v>
      </c>
      <c r="D6" s="14">
        <f>IF(Assumptions!$B$10="Upside",SUMIFS('Department Weekly'!$I$4:$I$3247,'Department Weekly'!$C$4:$C$3247,A6),IF(Assumptions!$B$10="Downside",SUMIFS('Department Weekly'!$J$4:$J$3247,'Department Weekly'!$C$4:$C$3247,A6),C6))</f>
        <v>85468722.24969998</v>
      </c>
      <c r="E6" s="14">
        <f t="shared" si="0"/>
        <v>-415736.36969996989</v>
      </c>
      <c r="F6" s="19">
        <f t="shared" si="1"/>
        <v>-4.8641931078059293E-3</v>
      </c>
      <c r="G6" s="14">
        <f>SUMIFS('Department Weekly'!$G$4:$G$3247,'Department Weekly'!$C$4:$C$3247,A6)</f>
        <v>82979341.989999995</v>
      </c>
      <c r="H6" s="11" t="str">
        <f t="shared" si="2"/>
        <v>Unfavorable</v>
      </c>
    </row>
    <row r="7" spans="1:8" ht="15">
      <c r="A7" s="17">
        <v>3</v>
      </c>
      <c r="B7" s="14">
        <f>SUMIFS('Department Weekly'!$E$4:$E$3247,'Department Weekly'!$C$4:$C$3247,A7)</f>
        <v>23783096.650000002</v>
      </c>
      <c r="C7" s="14">
        <f>SUMIFS('Department Weekly'!$H$4:$H$3247,'Department Weekly'!$C$4:$C$3247,A7)</f>
        <v>23711323.080600005</v>
      </c>
      <c r="D7" s="14">
        <f>IF(Assumptions!$B$10="Upside",SUMIFS('Department Weekly'!$I$4:$I$3247,'Department Weekly'!$C$4:$C$3247,A7),IF(Assumptions!$B$10="Downside",SUMIFS('Department Weekly'!$J$4:$J$3247,'Department Weekly'!$C$4:$C$3247,A7),C7))</f>
        <v>23711323.080600005</v>
      </c>
      <c r="E7" s="14">
        <f t="shared" si="0"/>
        <v>71773.569399997592</v>
      </c>
      <c r="F7" s="19">
        <f t="shared" si="1"/>
        <v>3.0269744609368039E-3</v>
      </c>
      <c r="G7" s="14">
        <f>SUMIFS('Department Weekly'!$G$4:$G$3247,'Department Weekly'!$C$4:$C$3247,A7)</f>
        <v>23020702.020000003</v>
      </c>
      <c r="H7" s="11" t="str">
        <f t="shared" si="2"/>
        <v>Favorable</v>
      </c>
    </row>
    <row r="8" spans="1:8" ht="15">
      <c r="A8" s="17">
        <v>4</v>
      </c>
      <c r="B8" s="14">
        <f>SUMIFS('Department Weekly'!$E$4:$E$3247,'Department Weekly'!$C$4:$C$3247,A8)</f>
        <v>51003352.420000002</v>
      </c>
      <c r="C8" s="14">
        <f>SUMIFS('Department Weekly'!$H$4:$H$3247,'Department Weekly'!$C$4:$C$3247,A8)</f>
        <v>51042424.281900011</v>
      </c>
      <c r="D8" s="14">
        <f>IF(Assumptions!$B$10="Upside",SUMIFS('Department Weekly'!$I$4:$I$3247,'Department Weekly'!$C$4:$C$3247,A8),IF(Assumptions!$B$10="Downside",SUMIFS('Department Weekly'!$J$4:$J$3247,'Department Weekly'!$C$4:$C$3247,A8),C8))</f>
        <v>51042424.281900011</v>
      </c>
      <c r="E8" s="14">
        <f t="shared" si="0"/>
        <v>-39071.861900009215</v>
      </c>
      <c r="F8" s="19">
        <f t="shared" si="1"/>
        <v>-7.6547817721628797E-4</v>
      </c>
      <c r="G8" s="14">
        <f>SUMIFS('Department Weekly'!$G$4:$G$3247,'Department Weekly'!$C$4:$C$3247,A8)</f>
        <v>49555751.729999982</v>
      </c>
      <c r="H8" s="11" t="str">
        <f t="shared" si="2"/>
        <v>Unfavorable</v>
      </c>
    </row>
    <row r="9" spans="1:8" ht="15">
      <c r="A9" s="17">
        <v>5</v>
      </c>
      <c r="B9" s="14">
        <f>SUMIFS('Department Weekly'!$E$4:$E$3247,'Department Weekly'!$C$4:$C$3247,A9)</f>
        <v>33452135.799999997</v>
      </c>
      <c r="C9" s="14">
        <f>SUMIFS('Department Weekly'!$H$4:$H$3247,'Department Weekly'!$C$4:$C$3247,A9)</f>
        <v>35861694.658400007</v>
      </c>
      <c r="D9" s="14">
        <f>IF(Assumptions!$B$10="Upside",SUMIFS('Department Weekly'!$I$4:$I$3247,'Department Weekly'!$C$4:$C$3247,A9),IF(Assumptions!$B$10="Downside",SUMIFS('Department Weekly'!$J$4:$J$3247,'Department Weekly'!$C$4:$C$3247,A9),C9))</f>
        <v>35861694.658400007</v>
      </c>
      <c r="E9" s="14">
        <f t="shared" si="0"/>
        <v>-2409558.8584000096</v>
      </c>
      <c r="F9" s="19">
        <f t="shared" si="1"/>
        <v>-6.7190323306029559E-2</v>
      </c>
      <c r="G9" s="14">
        <f>SUMIFS('Department Weekly'!$G$4:$G$3247,'Department Weekly'!$C$4:$C$3247,A9)</f>
        <v>34817179.279999994</v>
      </c>
      <c r="H9" s="11" t="str">
        <f t="shared" si="2"/>
        <v>Unfavorable</v>
      </c>
    </row>
    <row r="10" spans="1:8" ht="15">
      <c r="A10" s="17">
        <v>6</v>
      </c>
      <c r="B10" s="14">
        <f>SUMIFS('Department Weekly'!$E$4:$E$3247,'Department Weekly'!$C$4:$C$3247,A10)</f>
        <v>5955777.5199999996</v>
      </c>
      <c r="C10" s="14">
        <f>SUMIFS('Department Weekly'!$H$4:$H$3247,'Department Weekly'!$C$4:$C$3247,A10)</f>
        <v>7459647.6095999992</v>
      </c>
      <c r="D10" s="14">
        <f>IF(Assumptions!$B$10="Upside",SUMIFS('Department Weekly'!$I$4:$I$3247,'Department Weekly'!$C$4:$C$3247,A10),IF(Assumptions!$B$10="Downside",SUMIFS('Department Weekly'!$J$4:$J$3247,'Department Weekly'!$C$4:$C$3247,A10),C10))</f>
        <v>7459647.6095999992</v>
      </c>
      <c r="E10" s="14">
        <f t="shared" si="0"/>
        <v>-1503870.0895999996</v>
      </c>
      <c r="F10" s="19">
        <f t="shared" si="1"/>
        <v>-0.20160068790174929</v>
      </c>
      <c r="G10" s="14">
        <f>SUMIFS('Department Weekly'!$G$4:$G$3247,'Department Weekly'!$C$4:$C$3247,A10)</f>
        <v>7242376.3199999984</v>
      </c>
      <c r="H10" s="11" t="str">
        <f t="shared" si="2"/>
        <v>Unfavorable</v>
      </c>
    </row>
    <row r="11" spans="1:8" ht="15">
      <c r="A11" s="17">
        <v>7</v>
      </c>
      <c r="B11" s="14">
        <f>SUMIFS('Department Weekly'!$E$4:$E$3247,'Department Weekly'!$C$4:$C$3247,A11)</f>
        <v>37849580.529999994</v>
      </c>
      <c r="C11" s="14">
        <f>SUMIFS('Department Weekly'!$H$4:$H$3247,'Department Weekly'!$C$4:$C$3247,A11)</f>
        <v>38110641.617899999</v>
      </c>
      <c r="D11" s="14">
        <f>IF(Assumptions!$B$10="Upside",SUMIFS('Department Weekly'!$I$4:$I$3247,'Department Weekly'!$C$4:$C$3247,A11),IF(Assumptions!$B$10="Downside",SUMIFS('Department Weekly'!$J$4:$J$3247,'Department Weekly'!$C$4:$C$3247,A11),C11))</f>
        <v>38110641.617899999</v>
      </c>
      <c r="E11" s="14">
        <f t="shared" si="0"/>
        <v>-261061.08790000528</v>
      </c>
      <c r="F11" s="19">
        <f t="shared" si="1"/>
        <v>-6.8500837775816604E-3</v>
      </c>
      <c r="G11" s="14">
        <f>SUMIFS('Department Weekly'!$G$4:$G$3247,'Department Weekly'!$C$4:$C$3247,A11)</f>
        <v>37000622.930000007</v>
      </c>
      <c r="H11" s="11" t="str">
        <f t="shared" si="2"/>
        <v>Unfavorable</v>
      </c>
    </row>
    <row r="12" spans="1:8" ht="15">
      <c r="A12" s="17">
        <v>8</v>
      </c>
      <c r="B12" s="14">
        <f>SUMIFS('Department Weekly'!$E$4:$E$3247,'Department Weekly'!$C$4:$C$3247,A12)</f>
        <v>58876083.760000005</v>
      </c>
      <c r="C12" s="14">
        <f>SUMIFS('Department Weekly'!$H$4:$H$3247,'Department Weekly'!$C$4:$C$3247,A12)</f>
        <v>58964251.555100001</v>
      </c>
      <c r="D12" s="14">
        <f>IF(Assumptions!$B$10="Upside",SUMIFS('Department Weekly'!$I$4:$I$3247,'Department Weekly'!$C$4:$C$3247,A12),IF(Assumptions!$B$10="Downside",SUMIFS('Department Weekly'!$J$4:$J$3247,'Department Weekly'!$C$4:$C$3247,A12),C12))</f>
        <v>58964251.555100001</v>
      </c>
      <c r="E12" s="14">
        <f t="shared" si="0"/>
        <v>-88167.79509999603</v>
      </c>
      <c r="F12" s="19">
        <f t="shared" si="1"/>
        <v>-1.4952754045831711E-3</v>
      </c>
      <c r="G12" s="14">
        <f>SUMIFS('Department Weekly'!$G$4:$G$3247,'Department Weekly'!$C$4:$C$3247,A12)</f>
        <v>57246846.170000002</v>
      </c>
      <c r="H12" s="11" t="str">
        <f t="shared" si="2"/>
        <v>Unfavorable</v>
      </c>
    </row>
    <row r="13" spans="1:8" ht="15">
      <c r="A13" s="17">
        <v>9</v>
      </c>
      <c r="B13" s="14">
        <f>SUMIFS('Department Weekly'!$E$4:$E$3247,'Department Weekly'!$C$4:$C$3247,A13)</f>
        <v>40182176.399999999</v>
      </c>
      <c r="C13" s="14">
        <f>SUMIFS('Department Weekly'!$H$4:$H$3247,'Department Weekly'!$C$4:$C$3247,A13)</f>
        <v>38521873.279100001</v>
      </c>
      <c r="D13" s="14">
        <f>IF(Assumptions!$B$10="Upside",SUMIFS('Department Weekly'!$I$4:$I$3247,'Department Weekly'!$C$4:$C$3247,A13),IF(Assumptions!$B$10="Downside",SUMIFS('Department Weekly'!$J$4:$J$3247,'Department Weekly'!$C$4:$C$3247,A13),C13))</f>
        <v>38521873.279100001</v>
      </c>
      <c r="E13" s="14">
        <f t="shared" si="0"/>
        <v>1660303.1208999977</v>
      </c>
      <c r="F13" s="19">
        <f t="shared" si="1"/>
        <v>4.3100269524036706E-2</v>
      </c>
      <c r="G13" s="14">
        <f>SUMIFS('Department Weekly'!$G$4:$G$3247,'Department Weekly'!$C$4:$C$3247,A13)</f>
        <v>37399876.969999999</v>
      </c>
      <c r="H13" s="11" t="str">
        <f t="shared" si="2"/>
        <v>Favorable</v>
      </c>
    </row>
    <row r="14" spans="1:8" ht="15">
      <c r="A14" s="17">
        <v>10</v>
      </c>
      <c r="B14" s="14">
        <f>SUMIFS('Department Weekly'!$E$4:$E$3247,'Department Weekly'!$C$4:$C$3247,A14)</f>
        <v>35790072.730000004</v>
      </c>
      <c r="C14" s="14">
        <f>SUMIFS('Department Weekly'!$H$4:$H$3247,'Department Weekly'!$C$4:$C$3247,A14)</f>
        <v>36107933.349099994</v>
      </c>
      <c r="D14" s="14">
        <f>IF(Assumptions!$B$10="Upside",SUMIFS('Department Weekly'!$I$4:$I$3247,'Department Weekly'!$C$4:$C$3247,A14),IF(Assumptions!$B$10="Downside",SUMIFS('Department Weekly'!$J$4:$J$3247,'Department Weekly'!$C$4:$C$3247,A14),C14))</f>
        <v>36107933.349099994</v>
      </c>
      <c r="E14" s="14">
        <f t="shared" si="0"/>
        <v>-317860.61909998953</v>
      </c>
      <c r="F14" s="19">
        <f t="shared" si="1"/>
        <v>-8.8030687335893271E-3</v>
      </c>
      <c r="G14" s="14">
        <f>SUMIFS('Department Weekly'!$G$4:$G$3247,'Department Weekly'!$C$4:$C$3247,A14)</f>
        <v>35056245.969999991</v>
      </c>
      <c r="H14" s="11" t="str">
        <f t="shared" si="2"/>
        <v>Unfavorable</v>
      </c>
    </row>
    <row r="15" spans="1:8" ht="15">
      <c r="A15" s="17">
        <v>11</v>
      </c>
      <c r="B15" s="14">
        <f>SUMIFS('Department Weekly'!$E$4:$E$3247,'Department Weekly'!$C$4:$C$3247,A15)</f>
        <v>27336093.559999999</v>
      </c>
      <c r="C15" s="14">
        <f>SUMIFS('Department Weekly'!$H$4:$H$3247,'Department Weekly'!$C$4:$C$3247,A15)</f>
        <v>27892738.746399995</v>
      </c>
      <c r="D15" s="14">
        <f>IF(Assumptions!$B$10="Upside",SUMIFS('Department Weekly'!$I$4:$I$3247,'Department Weekly'!$C$4:$C$3247,A15),IF(Assumptions!$B$10="Downside",SUMIFS('Department Weekly'!$J$4:$J$3247,'Department Weekly'!$C$4:$C$3247,A15),C15))</f>
        <v>27892738.746399995</v>
      </c>
      <c r="E15" s="14">
        <f t="shared" si="0"/>
        <v>-556645.18639999628</v>
      </c>
      <c r="F15" s="19">
        <f t="shared" si="1"/>
        <v>-1.9956634286112915E-2</v>
      </c>
      <c r="G15" s="14">
        <f>SUMIFS('Department Weekly'!$G$4:$G$3247,'Department Weekly'!$C$4:$C$3247,A15)</f>
        <v>27080328.879999999</v>
      </c>
      <c r="H15" s="11" t="str">
        <f t="shared" si="2"/>
        <v>Unfavorable</v>
      </c>
    </row>
    <row r="16" spans="1:8" ht="15">
      <c r="A16" s="17">
        <v>12</v>
      </c>
      <c r="B16" s="14">
        <f>SUMIFS('Department Weekly'!$E$4:$E$3247,'Department Weekly'!$C$4:$C$3247,A16)</f>
        <v>8187798.5200000005</v>
      </c>
      <c r="C16" s="14">
        <f>SUMIFS('Department Weekly'!$H$4:$H$3247,'Department Weekly'!$C$4:$C$3247,A16)</f>
        <v>8250680.4510999992</v>
      </c>
      <c r="D16" s="14">
        <f>IF(Assumptions!$B$10="Upside",SUMIFS('Department Weekly'!$I$4:$I$3247,'Department Weekly'!$C$4:$C$3247,A16),IF(Assumptions!$B$10="Downside",SUMIFS('Department Weekly'!$J$4:$J$3247,'Department Weekly'!$C$4:$C$3247,A16),C16))</f>
        <v>8250680.4510999992</v>
      </c>
      <c r="E16" s="14">
        <f t="shared" si="0"/>
        <v>-62881.931099998765</v>
      </c>
      <c r="F16" s="19">
        <f t="shared" si="1"/>
        <v>-7.6214236477447394E-3</v>
      </c>
      <c r="G16" s="14">
        <f>SUMIFS('Department Weekly'!$G$4:$G$3247,'Department Weekly'!$C$4:$C$3247,A16)</f>
        <v>8010369.370000001</v>
      </c>
      <c r="H16" s="11" t="str">
        <f t="shared" si="2"/>
        <v>Unfavorable</v>
      </c>
    </row>
    <row r="17" spans="1:8" ht="15">
      <c r="A17" s="17">
        <v>13</v>
      </c>
      <c r="B17" s="14">
        <f>SUMIFS('Department Weekly'!$E$4:$E$3247,'Department Weekly'!$C$4:$C$3247,A17)</f>
        <v>59510812.890000008</v>
      </c>
      <c r="C17" s="14">
        <f>SUMIFS('Department Weekly'!$H$4:$H$3247,'Department Weekly'!$C$4:$C$3247,A17)</f>
        <v>60488783.364200003</v>
      </c>
      <c r="D17" s="14">
        <f>IF(Assumptions!$B$10="Upside",SUMIFS('Department Weekly'!$I$4:$I$3247,'Department Weekly'!$C$4:$C$3247,A17),IF(Assumptions!$B$10="Downside",SUMIFS('Department Weekly'!$J$4:$J$3247,'Department Weekly'!$C$4:$C$3247,A17),C17))</f>
        <v>60488783.364200003</v>
      </c>
      <c r="E17" s="14">
        <f t="shared" si="0"/>
        <v>-977970.4741999954</v>
      </c>
      <c r="F17" s="19">
        <f t="shared" si="1"/>
        <v>-1.6167798719172167E-2</v>
      </c>
      <c r="G17" s="14">
        <f>SUMIFS('Department Weekly'!$G$4:$G$3247,'Department Weekly'!$C$4:$C$3247,A17)</f>
        <v>58726974.140000008</v>
      </c>
      <c r="H17" s="11" t="str">
        <f t="shared" si="2"/>
        <v>Unfavorable</v>
      </c>
    </row>
    <row r="18" spans="1:8" ht="15">
      <c r="A18" s="17">
        <v>14</v>
      </c>
      <c r="B18" s="14">
        <f>SUMIFS('Department Weekly'!$E$4:$E$3247,'Department Weekly'!$C$4:$C$3247,A18)</f>
        <v>26532589.689999994</v>
      </c>
      <c r="C18" s="14">
        <f>SUMIFS('Department Weekly'!$H$4:$H$3247,'Department Weekly'!$C$4:$C$3247,A18)</f>
        <v>26188536.724300005</v>
      </c>
      <c r="D18" s="14">
        <f>IF(Assumptions!$B$10="Upside",SUMIFS('Department Weekly'!$I$4:$I$3247,'Department Weekly'!$C$4:$C$3247,A18),IF(Assumptions!$B$10="Downside",SUMIFS('Department Weekly'!$J$4:$J$3247,'Department Weekly'!$C$4:$C$3247,A18),C18))</f>
        <v>26188536.724300005</v>
      </c>
      <c r="E18" s="14">
        <f t="shared" si="0"/>
        <v>344052.96569998935</v>
      </c>
      <c r="F18" s="19">
        <f t="shared" si="1"/>
        <v>1.3137540646963564E-2</v>
      </c>
      <c r="G18" s="14">
        <f>SUMIFS('Department Weekly'!$G$4:$G$3247,'Department Weekly'!$C$4:$C$3247,A18)</f>
        <v>25425763.809999999</v>
      </c>
      <c r="H18" s="11" t="str">
        <f t="shared" si="2"/>
        <v>Favorable</v>
      </c>
    </row>
    <row r="19" spans="1:8" ht="15">
      <c r="A19" s="17">
        <v>16</v>
      </c>
      <c r="B19" s="14">
        <f>SUMIFS('Department Weekly'!$E$4:$E$3247,'Department Weekly'!$C$4:$C$3247,A19)</f>
        <v>29431276.259999994</v>
      </c>
      <c r="C19" s="14">
        <f>SUMIFS('Department Weekly'!$H$4:$H$3247,'Department Weekly'!$C$4:$C$3247,A19)</f>
        <v>29825191.013900004</v>
      </c>
      <c r="D19" s="14">
        <f>IF(Assumptions!$B$10="Upside",SUMIFS('Department Weekly'!$I$4:$I$3247,'Department Weekly'!$C$4:$C$3247,A19),IF(Assumptions!$B$10="Downside",SUMIFS('Department Weekly'!$J$4:$J$3247,'Department Weekly'!$C$4:$C$3247,A19),C19))</f>
        <v>29825191.013900004</v>
      </c>
      <c r="E19" s="14">
        <f t="shared" si="0"/>
        <v>-393914.75390001014</v>
      </c>
      <c r="F19" s="19">
        <f t="shared" si="1"/>
        <v>-1.3207451168256609E-2</v>
      </c>
      <c r="G19" s="14">
        <f>SUMIFS('Department Weekly'!$G$4:$G$3247,'Department Weekly'!$C$4:$C$3247,A19)</f>
        <v>28956496.129999995</v>
      </c>
      <c r="H19" s="11" t="str">
        <f t="shared" si="2"/>
        <v>Unfavorable</v>
      </c>
    </row>
    <row r="20" spans="1:8" ht="15">
      <c r="A20" s="17">
        <v>17</v>
      </c>
      <c r="B20" s="14">
        <f>SUMIFS('Department Weekly'!$E$4:$E$3247,'Department Weekly'!$C$4:$C$3247,A20)</f>
        <v>18335108.209999997</v>
      </c>
      <c r="C20" s="14">
        <f>SUMIFS('Department Weekly'!$H$4:$H$3247,'Department Weekly'!$C$4:$C$3247,A20)</f>
        <v>18810891.647999998</v>
      </c>
      <c r="D20" s="14">
        <f>IF(Assumptions!$B$10="Upside",SUMIFS('Department Weekly'!$I$4:$I$3247,'Department Weekly'!$C$4:$C$3247,A20),IF(Assumptions!$B$10="Downside",SUMIFS('Department Weekly'!$J$4:$J$3247,'Department Weekly'!$C$4:$C$3247,A20),C20))</f>
        <v>18810891.647999998</v>
      </c>
      <c r="E20" s="14">
        <f t="shared" si="0"/>
        <v>-475783.43800000101</v>
      </c>
      <c r="F20" s="19">
        <f t="shared" si="1"/>
        <v>-2.529297637257865E-2</v>
      </c>
      <c r="G20" s="14">
        <f>SUMIFS('Department Weekly'!$G$4:$G$3247,'Department Weekly'!$C$4:$C$3247,A20)</f>
        <v>18263001.600000005</v>
      </c>
      <c r="H20" s="11" t="str">
        <f t="shared" si="2"/>
        <v>Unfavorable</v>
      </c>
    </row>
    <row r="21" spans="1:8" ht="15">
      <c r="A21" s="17">
        <v>18</v>
      </c>
      <c r="B21" s="14">
        <f>SUMIFS('Department Weekly'!$E$4:$E$3247,'Department Weekly'!$C$4:$C$3247,A21)</f>
        <v>5436317.3700000001</v>
      </c>
      <c r="C21" s="14">
        <f>SUMIFS('Department Weekly'!$H$4:$H$3247,'Department Weekly'!$C$4:$C$3247,A21)</f>
        <v>5468531.1153000006</v>
      </c>
      <c r="D21" s="14">
        <f>IF(Assumptions!$B$10="Upside",SUMIFS('Department Weekly'!$I$4:$I$3247,'Department Weekly'!$C$4:$C$3247,A21),IF(Assumptions!$B$10="Downside",SUMIFS('Department Weekly'!$J$4:$J$3247,'Department Weekly'!$C$4:$C$3247,A21),C21))</f>
        <v>5468531.1153000006</v>
      </c>
      <c r="E21" s="14">
        <f t="shared" si="0"/>
        <v>-32213.745300000533</v>
      </c>
      <c r="F21" s="19">
        <f t="shared" si="1"/>
        <v>-5.8907492013480674E-3</v>
      </c>
      <c r="G21" s="14">
        <f>SUMIFS('Department Weekly'!$G$4:$G$3247,'Department Weekly'!$C$4:$C$3247,A21)</f>
        <v>5309253.5100000026</v>
      </c>
      <c r="H21" s="11" t="str">
        <f t="shared" si="2"/>
        <v>Unfavorable</v>
      </c>
    </row>
    <row r="22" spans="1:8" ht="15">
      <c r="A22" s="17">
        <v>19</v>
      </c>
      <c r="B22" s="14">
        <f>SUMIFS('Department Weekly'!$E$4:$E$3247,'Department Weekly'!$C$4:$C$3247,A22)</f>
        <v>1916121.4599999993</v>
      </c>
      <c r="C22" s="14">
        <f>SUMIFS('Department Weekly'!$H$4:$H$3247,'Department Weekly'!$C$4:$C$3247,A22)</f>
        <v>1947095.9526</v>
      </c>
      <c r="D22" s="14">
        <f>IF(Assumptions!$B$10="Upside",SUMIFS('Department Weekly'!$I$4:$I$3247,'Department Weekly'!$C$4:$C$3247,A22),IF(Assumptions!$B$10="Downside",SUMIFS('Department Weekly'!$J$4:$J$3247,'Department Weekly'!$C$4:$C$3247,A22),C22))</f>
        <v>1947095.9526</v>
      </c>
      <c r="E22" s="14">
        <f t="shared" si="0"/>
        <v>-30974.492600000696</v>
      </c>
      <c r="F22" s="19">
        <f t="shared" si="1"/>
        <v>-1.5908046318230888E-2</v>
      </c>
      <c r="G22" s="14">
        <f>SUMIFS('Department Weekly'!$G$4:$G$3247,'Department Weekly'!$C$4:$C$3247,A22)</f>
        <v>1890384.4200000002</v>
      </c>
      <c r="H22" s="11" t="str">
        <f t="shared" si="2"/>
        <v>Unfavorable</v>
      </c>
    </row>
    <row r="23" spans="1:8" ht="15">
      <c r="A23" s="17">
        <v>20</v>
      </c>
      <c r="B23" s="14">
        <f>SUMIFS('Department Weekly'!$E$4:$E$3247,'Department Weekly'!$C$4:$C$3247,A23)</f>
        <v>10037214.489999998</v>
      </c>
      <c r="C23" s="14">
        <f>SUMIFS('Department Weekly'!$H$4:$H$3247,'Department Weekly'!$C$4:$C$3247,A23)</f>
        <v>10067100.0153</v>
      </c>
      <c r="D23" s="14">
        <f>IF(Assumptions!$B$10="Upside",SUMIFS('Department Weekly'!$I$4:$I$3247,'Department Weekly'!$C$4:$C$3247,A23),IF(Assumptions!$B$10="Downside",SUMIFS('Department Weekly'!$J$4:$J$3247,'Department Weekly'!$C$4:$C$3247,A23),C23))</f>
        <v>10067100.0153</v>
      </c>
      <c r="E23" s="14">
        <f t="shared" si="0"/>
        <v>-29885.525300001726</v>
      </c>
      <c r="F23" s="19">
        <f t="shared" si="1"/>
        <v>-2.9686329980413068E-3</v>
      </c>
      <c r="G23" s="14">
        <f>SUMIFS('Department Weekly'!$G$4:$G$3247,'Department Weekly'!$C$4:$C$3247,A23)</f>
        <v>9773883.5100000016</v>
      </c>
      <c r="H23" s="11" t="str">
        <f t="shared" si="2"/>
        <v>Unfavorable</v>
      </c>
    </row>
    <row r="24" spans="1:8" ht="15">
      <c r="A24" s="17">
        <v>21</v>
      </c>
      <c r="B24" s="14">
        <f>SUMIFS('Department Weekly'!$E$4:$E$3247,'Department Weekly'!$C$4:$C$3247,A24)</f>
        <v>8818067.2399999984</v>
      </c>
      <c r="C24" s="14">
        <f>SUMIFS('Department Weekly'!$H$4:$H$3247,'Department Weekly'!$C$4:$C$3247,A24)</f>
        <v>9235342.3848999999</v>
      </c>
      <c r="D24" s="14">
        <f>IF(Assumptions!$B$10="Upside",SUMIFS('Department Weekly'!$I$4:$I$3247,'Department Weekly'!$C$4:$C$3247,A24),IF(Assumptions!$B$10="Downside",SUMIFS('Department Weekly'!$J$4:$J$3247,'Department Weekly'!$C$4:$C$3247,A24),C24))</f>
        <v>9235342.3848999999</v>
      </c>
      <c r="E24" s="14">
        <f t="shared" si="0"/>
        <v>-417275.14490000159</v>
      </c>
      <c r="F24" s="19">
        <f t="shared" si="1"/>
        <v>-4.5182422860927836E-2</v>
      </c>
      <c r="G24" s="14">
        <f>SUMIFS('Department Weekly'!$G$4:$G$3247,'Department Weekly'!$C$4:$C$3247,A24)</f>
        <v>8966351.8300000001</v>
      </c>
      <c r="H24" s="11" t="str">
        <f t="shared" si="2"/>
        <v>Unfavorable</v>
      </c>
    </row>
    <row r="25" spans="1:8" ht="15">
      <c r="A25" s="17">
        <v>22</v>
      </c>
      <c r="B25" s="14">
        <f>SUMIFS('Department Weekly'!$E$4:$E$3247,'Department Weekly'!$C$4:$C$3247,A25)</f>
        <v>17316479.669999998</v>
      </c>
      <c r="C25" s="14">
        <f>SUMIFS('Department Weekly'!$H$4:$H$3247,'Department Weekly'!$C$4:$C$3247,A25)</f>
        <v>17190276.999600001</v>
      </c>
      <c r="D25" s="14">
        <f>IF(Assumptions!$B$10="Upside",SUMIFS('Department Weekly'!$I$4:$I$3247,'Department Weekly'!$C$4:$C$3247,A25),IF(Assumptions!$B$10="Downside",SUMIFS('Department Weekly'!$J$4:$J$3247,'Department Weekly'!$C$4:$C$3247,A25),C25))</f>
        <v>17190276.999600001</v>
      </c>
      <c r="E25" s="14">
        <f t="shared" si="0"/>
        <v>126202.67039999738</v>
      </c>
      <c r="F25" s="19">
        <f t="shared" si="1"/>
        <v>7.3415146482476105E-3</v>
      </c>
      <c r="G25" s="14">
        <f>SUMIFS('Department Weekly'!$G$4:$G$3247,'Department Weekly'!$C$4:$C$3247,A25)</f>
        <v>16689589.32</v>
      </c>
      <c r="H25" s="11" t="str">
        <f t="shared" si="2"/>
        <v>Favorable</v>
      </c>
    </row>
    <row r="26" spans="1:8" ht="15">
      <c r="A26" s="17">
        <v>23</v>
      </c>
      <c r="B26" s="14">
        <f>SUMIFS('Department Weekly'!$E$4:$E$3247,'Department Weekly'!$C$4:$C$3247,A26)</f>
        <v>39935324.919999994</v>
      </c>
      <c r="C26" s="14">
        <f>SUMIFS('Department Weekly'!$H$4:$H$3247,'Department Weekly'!$C$4:$C$3247,A26)</f>
        <v>39254474.869499996</v>
      </c>
      <c r="D26" s="14">
        <f>IF(Assumptions!$B$10="Upside",SUMIFS('Department Weekly'!$I$4:$I$3247,'Department Weekly'!$C$4:$C$3247,A26),IF(Assumptions!$B$10="Downside",SUMIFS('Department Weekly'!$J$4:$J$3247,'Department Weekly'!$C$4:$C$3247,A26),C26))</f>
        <v>39254474.869499996</v>
      </c>
      <c r="E26" s="14">
        <f t="shared" si="0"/>
        <v>680850.05049999803</v>
      </c>
      <c r="F26" s="19">
        <f t="shared" si="1"/>
        <v>1.7344520663273629E-2</v>
      </c>
      <c r="G26" s="14">
        <f>SUMIFS('Department Weekly'!$G$4:$G$3247,'Department Weekly'!$C$4:$C$3247,A26)</f>
        <v>38111140.650000006</v>
      </c>
      <c r="H26" s="11" t="str">
        <f t="shared" si="2"/>
        <v>Favorable</v>
      </c>
    </row>
    <row r="27" spans="1:8" ht="15">
      <c r="A27" s="17">
        <v>24</v>
      </c>
      <c r="B27" s="14">
        <f>SUMIFS('Department Weekly'!$E$4:$E$3247,'Department Weekly'!$C$4:$C$3247,A27)</f>
        <v>9576784.959999999</v>
      </c>
      <c r="C27" s="14">
        <f>SUMIFS('Department Weekly'!$H$4:$H$3247,'Department Weekly'!$C$4:$C$3247,A27)</f>
        <v>9501730.1828000005</v>
      </c>
      <c r="D27" s="14">
        <f>IF(Assumptions!$B$10="Upside",SUMIFS('Department Weekly'!$I$4:$I$3247,'Department Weekly'!$C$4:$C$3247,A27),IF(Assumptions!$B$10="Downside",SUMIFS('Department Weekly'!$J$4:$J$3247,'Department Weekly'!$C$4:$C$3247,A27),C27))</f>
        <v>9501730.1828000005</v>
      </c>
      <c r="E27" s="14">
        <f t="shared" si="0"/>
        <v>75054.777199998498</v>
      </c>
      <c r="F27" s="19">
        <f t="shared" si="1"/>
        <v>7.8990642499891656E-3</v>
      </c>
      <c r="G27" s="14">
        <f>SUMIFS('Department Weekly'!$G$4:$G$3247,'Department Weekly'!$C$4:$C$3247,A27)</f>
        <v>9224980.7600000016</v>
      </c>
      <c r="H27" s="11" t="str">
        <f t="shared" si="2"/>
        <v>Favorable</v>
      </c>
    </row>
    <row r="28" spans="1:8" ht="15">
      <c r="A28" s="17">
        <v>25</v>
      </c>
      <c r="B28" s="14">
        <f>SUMIFS('Department Weekly'!$E$4:$E$3247,'Department Weekly'!$C$4:$C$3247,A28)</f>
        <v>16561801.569999998</v>
      </c>
      <c r="C28" s="14">
        <f>SUMIFS('Department Weekly'!$H$4:$H$3247,'Department Weekly'!$C$4:$C$3247,A28)</f>
        <v>16999389.087500002</v>
      </c>
      <c r="D28" s="14">
        <f>IF(Assumptions!$B$10="Upside",SUMIFS('Department Weekly'!$I$4:$I$3247,'Department Weekly'!$C$4:$C$3247,A28),IF(Assumptions!$B$10="Downside",SUMIFS('Department Weekly'!$J$4:$J$3247,'Department Weekly'!$C$4:$C$3247,A28),C28))</f>
        <v>16999389.087500002</v>
      </c>
      <c r="E28" s="14">
        <f t="shared" si="0"/>
        <v>-437587.5175000038</v>
      </c>
      <c r="F28" s="19">
        <f t="shared" si="1"/>
        <v>-2.5741367248413111E-2</v>
      </c>
      <c r="G28" s="14">
        <f>SUMIFS('Department Weekly'!$G$4:$G$3247,'Department Weekly'!$C$4:$C$3247,A28)</f>
        <v>16504261.250000002</v>
      </c>
      <c r="H28" s="11" t="str">
        <f t="shared" si="2"/>
        <v>Unfavorable</v>
      </c>
    </row>
    <row r="29" spans="1:8" ht="15">
      <c r="A29" s="17">
        <v>26</v>
      </c>
      <c r="B29" s="14">
        <f>SUMIFS('Department Weekly'!$E$4:$E$3247,'Department Weekly'!$C$4:$C$3247,A29)</f>
        <v>12231380.32</v>
      </c>
      <c r="C29" s="14">
        <f>SUMIFS('Department Weekly'!$H$4:$H$3247,'Department Weekly'!$C$4:$C$3247,A29)</f>
        <v>12568707.684600003</v>
      </c>
      <c r="D29" s="14">
        <f>IF(Assumptions!$B$10="Upside",SUMIFS('Department Weekly'!$I$4:$I$3247,'Department Weekly'!$C$4:$C$3247,A29),IF(Assumptions!$B$10="Downside",SUMIFS('Department Weekly'!$J$4:$J$3247,'Department Weekly'!$C$4:$C$3247,A29),C29))</f>
        <v>12568707.684600003</v>
      </c>
      <c r="E29" s="14">
        <f t="shared" si="0"/>
        <v>-337327.36460000277</v>
      </c>
      <c r="F29" s="19">
        <f t="shared" si="1"/>
        <v>-2.6838667352676055E-2</v>
      </c>
      <c r="G29" s="14">
        <f>SUMIFS('Department Weekly'!$G$4:$G$3247,'Department Weekly'!$C$4:$C$3247,A29)</f>
        <v>12202628.82</v>
      </c>
      <c r="H29" s="11" t="str">
        <f t="shared" si="2"/>
        <v>Unfavorable</v>
      </c>
    </row>
    <row r="30" spans="1:8" ht="15">
      <c r="A30" s="17">
        <v>27</v>
      </c>
      <c r="B30" s="14">
        <f>SUMIFS('Department Weekly'!$E$4:$E$3247,'Department Weekly'!$C$4:$C$3247,A30)</f>
        <v>2483799.5299999993</v>
      </c>
      <c r="C30" s="14">
        <f>SUMIFS('Department Weekly'!$H$4:$H$3247,'Department Weekly'!$C$4:$C$3247,A30)</f>
        <v>2409460.6042000004</v>
      </c>
      <c r="D30" s="14">
        <f>IF(Assumptions!$B$10="Upside",SUMIFS('Department Weekly'!$I$4:$I$3247,'Department Weekly'!$C$4:$C$3247,A30),IF(Assumptions!$B$10="Downside",SUMIFS('Department Weekly'!$J$4:$J$3247,'Department Weekly'!$C$4:$C$3247,A30),C30))</f>
        <v>2409460.6042000004</v>
      </c>
      <c r="E30" s="14">
        <f t="shared" si="0"/>
        <v>74338.92579999892</v>
      </c>
      <c r="F30" s="19">
        <f t="shared" si="1"/>
        <v>3.085293267315373E-2</v>
      </c>
      <c r="G30" s="14">
        <f>SUMIFS('Department Weekly'!$G$4:$G$3247,'Department Weekly'!$C$4:$C$3247,A30)</f>
        <v>2339282.1399999997</v>
      </c>
      <c r="H30" s="11" t="str">
        <f t="shared" si="2"/>
        <v>Favorable</v>
      </c>
    </row>
    <row r="31" spans="1:8" ht="15">
      <c r="A31" s="17">
        <v>28</v>
      </c>
      <c r="B31" s="14">
        <f>SUMIFS('Department Weekly'!$E$4:$E$3247,'Department Weekly'!$C$4:$C$3247,A31)</f>
        <v>987987.39999999979</v>
      </c>
      <c r="C31" s="14">
        <f>SUMIFS('Department Weekly'!$H$4:$H$3247,'Department Weekly'!$C$4:$C$3247,A31)</f>
        <v>1058475.9980000001</v>
      </c>
      <c r="D31" s="14">
        <f>IF(Assumptions!$B$10="Upside",SUMIFS('Department Weekly'!$I$4:$I$3247,'Department Weekly'!$C$4:$C$3247,A31),IF(Assumptions!$B$10="Downside",SUMIFS('Department Weekly'!$J$4:$J$3247,'Department Weekly'!$C$4:$C$3247,A31),C31))</f>
        <v>1058475.9980000001</v>
      </c>
      <c r="E31" s="14">
        <f t="shared" si="0"/>
        <v>-70488.598000000347</v>
      </c>
      <c r="F31" s="19">
        <f t="shared" si="1"/>
        <v>-6.6594422672964892E-2</v>
      </c>
      <c r="G31" s="14">
        <f>SUMIFS('Department Weekly'!$G$4:$G$3247,'Department Weekly'!$C$4:$C$3247,A31)</f>
        <v>1027646.5999999996</v>
      </c>
      <c r="H31" s="11" t="str">
        <f t="shared" si="2"/>
        <v>Unfavorable</v>
      </c>
    </row>
    <row r="32" spans="1:8" ht="15">
      <c r="A32" s="17">
        <v>29</v>
      </c>
      <c r="B32" s="14">
        <f>SUMIFS('Department Weekly'!$E$4:$E$3247,'Department Weekly'!$C$4:$C$3247,A32)</f>
        <v>8514794.8400000017</v>
      </c>
      <c r="C32" s="14">
        <f>SUMIFS('Department Weekly'!$H$4:$H$3247,'Department Weekly'!$C$4:$C$3247,A32)</f>
        <v>8490348.8129999992</v>
      </c>
      <c r="D32" s="14">
        <f>IF(Assumptions!$B$10="Upside",SUMIFS('Department Weekly'!$I$4:$I$3247,'Department Weekly'!$C$4:$C$3247,A32),IF(Assumptions!$B$10="Downside",SUMIFS('Department Weekly'!$J$4:$J$3247,'Department Weekly'!$C$4:$C$3247,A32),C32))</f>
        <v>8490348.8129999992</v>
      </c>
      <c r="E32" s="14">
        <f t="shared" si="0"/>
        <v>24446.027000002563</v>
      </c>
      <c r="F32" s="19">
        <f t="shared" si="1"/>
        <v>2.8792723995711487E-3</v>
      </c>
      <c r="G32" s="14">
        <f>SUMIFS('Department Weekly'!$G$4:$G$3247,'Department Weekly'!$C$4:$C$3247,A32)</f>
        <v>8243057.0999999987</v>
      </c>
      <c r="H32" s="11" t="str">
        <f t="shared" si="2"/>
        <v>Favorable</v>
      </c>
    </row>
    <row r="33" spans="1:8" ht="15">
      <c r="A33" s="17">
        <v>30</v>
      </c>
      <c r="B33" s="14">
        <f>SUMIFS('Department Weekly'!$E$4:$E$3247,'Department Weekly'!$C$4:$C$3247,A33)</f>
        <v>6254995.2000000011</v>
      </c>
      <c r="C33" s="14">
        <f>SUMIFS('Department Weekly'!$H$4:$H$3247,'Department Weekly'!$C$4:$C$3247,A33)</f>
        <v>6795319.8988000005</v>
      </c>
      <c r="D33" s="14">
        <f>IF(Assumptions!$B$10="Upside",SUMIFS('Department Weekly'!$I$4:$I$3247,'Department Weekly'!$C$4:$C$3247,A33),IF(Assumptions!$B$10="Downside",SUMIFS('Department Weekly'!$J$4:$J$3247,'Department Weekly'!$C$4:$C$3247,A33),C33))</f>
        <v>6795319.8988000005</v>
      </c>
      <c r="E33" s="14">
        <f t="shared" si="0"/>
        <v>-540324.69879999943</v>
      </c>
      <c r="F33" s="19">
        <f t="shared" si="1"/>
        <v>-7.9514240219274515E-2</v>
      </c>
      <c r="G33" s="14">
        <f>SUMIFS('Department Weekly'!$G$4:$G$3247,'Department Weekly'!$C$4:$C$3247,A33)</f>
        <v>6597397.9600000009</v>
      </c>
      <c r="H33" s="11" t="str">
        <f t="shared" si="2"/>
        <v>Unfavorable</v>
      </c>
    </row>
    <row r="34" spans="1:8" ht="15">
      <c r="A34" s="17">
        <v>31</v>
      </c>
      <c r="B34" s="14">
        <f>SUMIFS('Department Weekly'!$E$4:$E$3247,'Department Weekly'!$C$4:$C$3247,A34)</f>
        <v>3809164.8699999996</v>
      </c>
      <c r="C34" s="14">
        <f>SUMIFS('Department Weekly'!$H$4:$H$3247,'Department Weekly'!$C$4:$C$3247,A34)</f>
        <v>4279554.5910999998</v>
      </c>
      <c r="D34" s="14">
        <f>IF(Assumptions!$B$10="Upside",SUMIFS('Department Weekly'!$I$4:$I$3247,'Department Weekly'!$C$4:$C$3247,A34),IF(Assumptions!$B$10="Downside",SUMIFS('Department Weekly'!$J$4:$J$3247,'Department Weekly'!$C$4:$C$3247,A34),C34))</f>
        <v>4279554.5910999998</v>
      </c>
      <c r="E34" s="14">
        <f t="shared" si="0"/>
        <v>-470389.7211000002</v>
      </c>
      <c r="F34" s="19">
        <f t="shared" si="1"/>
        <v>-0.10991557908345155</v>
      </c>
      <c r="G34" s="14">
        <f>SUMIFS('Department Weekly'!$G$4:$G$3247,'Department Weekly'!$C$4:$C$3247,A34)</f>
        <v>4154907.3699999987</v>
      </c>
      <c r="H34" s="11" t="str">
        <f t="shared" si="2"/>
        <v>Unfavorable</v>
      </c>
    </row>
    <row r="35" spans="1:8" ht="15">
      <c r="A35" s="17">
        <v>32</v>
      </c>
      <c r="B35" s="14">
        <f>SUMIFS('Department Weekly'!$E$4:$E$3247,'Department Weekly'!$C$4:$C$3247,A35)</f>
        <v>10970664.469999999</v>
      </c>
      <c r="C35" s="14">
        <f>SUMIFS('Department Weekly'!$H$4:$H$3247,'Department Weekly'!$C$4:$C$3247,A35)</f>
        <v>11354628.278500002</v>
      </c>
      <c r="D35" s="14">
        <f>IF(Assumptions!$B$10="Upside",SUMIFS('Department Weekly'!$I$4:$I$3247,'Department Weekly'!$C$4:$C$3247,A35),IF(Assumptions!$B$10="Downside",SUMIFS('Department Weekly'!$J$4:$J$3247,'Department Weekly'!$C$4:$C$3247,A35),C35))</f>
        <v>11354628.278500002</v>
      </c>
      <c r="E35" s="14">
        <f t="shared" si="0"/>
        <v>-383963.80850000307</v>
      </c>
      <c r="F35" s="19">
        <f t="shared" si="1"/>
        <v>-3.381562117951839E-2</v>
      </c>
      <c r="G35" s="14">
        <f>SUMIFS('Department Weekly'!$G$4:$G$3247,'Department Weekly'!$C$4:$C$3247,A35)</f>
        <v>11023910.950000003</v>
      </c>
      <c r="H35" s="11" t="str">
        <f t="shared" si="2"/>
        <v>Unfavorable</v>
      </c>
    </row>
    <row r="36" spans="1:8" ht="15">
      <c r="A36" s="17">
        <v>33</v>
      </c>
      <c r="B36" s="14">
        <f>SUMIFS('Department Weekly'!$E$4:$E$3247,'Department Weekly'!$C$4:$C$3247,A36)</f>
        <v>9629176.5300000012</v>
      </c>
      <c r="C36" s="14">
        <f>SUMIFS('Department Weekly'!$H$4:$H$3247,'Department Weekly'!$C$4:$C$3247,A36)</f>
        <v>9696176.3638000004</v>
      </c>
      <c r="D36" s="14">
        <f>IF(Assumptions!$B$10="Upside",SUMIFS('Department Weekly'!$I$4:$I$3247,'Department Weekly'!$C$4:$C$3247,A36),IF(Assumptions!$B$10="Downside",SUMIFS('Department Weekly'!$J$4:$J$3247,'Department Weekly'!$C$4:$C$3247,A36),C36))</f>
        <v>9696176.3638000004</v>
      </c>
      <c r="E36" s="14">
        <f t="shared" si="0"/>
        <v>-66999.833799999207</v>
      </c>
      <c r="F36" s="19">
        <f t="shared" si="1"/>
        <v>-6.9099231785983619E-3</v>
      </c>
      <c r="G36" s="14">
        <f>SUMIFS('Department Weekly'!$G$4:$G$3247,'Department Weekly'!$C$4:$C$3247,A36)</f>
        <v>9413763.4600000009</v>
      </c>
      <c r="H36" s="11" t="str">
        <f t="shared" si="2"/>
        <v>Unfavorable</v>
      </c>
    </row>
    <row r="37" spans="1:8" ht="15">
      <c r="A37" s="17">
        <v>34</v>
      </c>
      <c r="B37" s="14">
        <f>SUMIFS('Department Weekly'!$E$4:$E$3247,'Department Weekly'!$C$4:$C$3247,A37)</f>
        <v>25163255.100000013</v>
      </c>
      <c r="C37" s="14">
        <f>SUMIFS('Department Weekly'!$H$4:$H$3247,'Department Weekly'!$C$4:$C$3247,A37)</f>
        <v>24300879.713000003</v>
      </c>
      <c r="D37" s="14">
        <f>IF(Assumptions!$B$10="Upside",SUMIFS('Department Weekly'!$I$4:$I$3247,'Department Weekly'!$C$4:$C$3247,A37),IF(Assumptions!$B$10="Downside",SUMIFS('Department Weekly'!$J$4:$J$3247,'Department Weekly'!$C$4:$C$3247,A37),C37))</f>
        <v>24300879.713000003</v>
      </c>
      <c r="E37" s="14">
        <f t="shared" ref="E37:E68" si="3">B37-D37</f>
        <v>862375.38700000942</v>
      </c>
      <c r="F37" s="19">
        <f t="shared" ref="F37:F68" si="4">IF(D37=0,0,E37/D37)</f>
        <v>3.5487414331698983E-2</v>
      </c>
      <c r="G37" s="14">
        <f>SUMIFS('Department Weekly'!$G$4:$G$3247,'Department Weekly'!$C$4:$C$3247,A37)</f>
        <v>23593087.100000005</v>
      </c>
      <c r="H37" s="11" t="str">
        <f t="shared" ref="H37:H68" si="5">IF(E37&gt;=0,"Favorable","Unfavorable")</f>
        <v>Favorable</v>
      </c>
    </row>
    <row r="38" spans="1:8" ht="15">
      <c r="A38" s="17">
        <v>35</v>
      </c>
      <c r="B38" s="14">
        <f>SUMIFS('Department Weekly'!$E$4:$E$3247,'Department Weekly'!$C$4:$C$3247,A38)</f>
        <v>4568672.0999999987</v>
      </c>
      <c r="C38" s="14">
        <f>SUMIFS('Department Weekly'!$H$4:$H$3247,'Department Weekly'!$C$4:$C$3247,A38)</f>
        <v>4782535.7065000013</v>
      </c>
      <c r="D38" s="14">
        <f>IF(Assumptions!$B$10="Upside",SUMIFS('Department Weekly'!$I$4:$I$3247,'Department Weekly'!$C$4:$C$3247,A38),IF(Assumptions!$B$10="Downside",SUMIFS('Department Weekly'!$J$4:$J$3247,'Department Weekly'!$C$4:$C$3247,A38),C38))</f>
        <v>4782535.7065000013</v>
      </c>
      <c r="E38" s="14">
        <f t="shared" si="3"/>
        <v>-213863.60650000256</v>
      </c>
      <c r="F38" s="19">
        <f t="shared" si="4"/>
        <v>-4.471761835658393E-2</v>
      </c>
      <c r="G38" s="14">
        <f>SUMIFS('Department Weekly'!$G$4:$G$3247,'Department Weekly'!$C$4:$C$3247,A38)</f>
        <v>4643238.55</v>
      </c>
      <c r="H38" s="11" t="str">
        <f t="shared" si="5"/>
        <v>Unfavorable</v>
      </c>
    </row>
    <row r="39" spans="1:8" ht="15">
      <c r="A39" s="17">
        <v>36</v>
      </c>
      <c r="B39" s="14">
        <f>SUMIFS('Department Weekly'!$E$4:$E$3247,'Department Weekly'!$C$4:$C$3247,A39)</f>
        <v>3054541.1099999989</v>
      </c>
      <c r="C39" s="14">
        <f>SUMIFS('Department Weekly'!$H$4:$H$3247,'Department Weekly'!$C$4:$C$3247,A39)</f>
        <v>3312302.84</v>
      </c>
      <c r="D39" s="14">
        <f>IF(Assumptions!$B$10="Upside",SUMIFS('Department Weekly'!$I$4:$I$3247,'Department Weekly'!$C$4:$C$3247,A39),IF(Assumptions!$B$10="Downside",SUMIFS('Department Weekly'!$J$4:$J$3247,'Department Weekly'!$C$4:$C$3247,A39),C39))</f>
        <v>3312302.84</v>
      </c>
      <c r="E39" s="14">
        <f t="shared" si="3"/>
        <v>-257761.73000000091</v>
      </c>
      <c r="F39" s="19">
        <f t="shared" si="4"/>
        <v>-7.7819493703057935E-2</v>
      </c>
      <c r="G39" s="14">
        <f>SUMIFS('Department Weekly'!$G$4:$G$3247,'Department Weekly'!$C$4:$C$3247,A39)</f>
        <v>3215828.0000000009</v>
      </c>
      <c r="H39" s="11" t="str">
        <f t="shared" si="5"/>
        <v>Unfavorable</v>
      </c>
    </row>
    <row r="40" spans="1:8" ht="15">
      <c r="A40" s="17">
        <v>37</v>
      </c>
      <c r="B40" s="14">
        <f>SUMIFS('Department Weekly'!$E$4:$E$3247,'Department Weekly'!$C$4:$C$3247,A40)</f>
        <v>2356245.25</v>
      </c>
      <c r="C40" s="14">
        <f>SUMIFS('Department Weekly'!$H$4:$H$3247,'Department Weekly'!$C$4:$C$3247,A40)</f>
        <v>2420709.1518000006</v>
      </c>
      <c r="D40" s="14">
        <f>IF(Assumptions!$B$10="Upside",SUMIFS('Department Weekly'!$I$4:$I$3247,'Department Weekly'!$C$4:$C$3247,A40),IF(Assumptions!$B$10="Downside",SUMIFS('Department Weekly'!$J$4:$J$3247,'Department Weekly'!$C$4:$C$3247,A40),C40))</f>
        <v>2420709.1518000006</v>
      </c>
      <c r="E40" s="14">
        <f t="shared" si="3"/>
        <v>-64463.901800000574</v>
      </c>
      <c r="F40" s="19">
        <f t="shared" si="4"/>
        <v>-2.6630172299743755E-2</v>
      </c>
      <c r="G40" s="14">
        <f>SUMIFS('Department Weekly'!$G$4:$G$3247,'Department Weekly'!$C$4:$C$3247,A40)</f>
        <v>2350203.0599999996</v>
      </c>
      <c r="H40" s="11" t="str">
        <f t="shared" si="5"/>
        <v>Unfavorable</v>
      </c>
    </row>
    <row r="41" spans="1:8" ht="15">
      <c r="A41" s="17">
        <v>38</v>
      </c>
      <c r="B41" s="14">
        <f>SUMIFS('Department Weekly'!$E$4:$E$3247,'Department Weekly'!$C$4:$C$3247,A41)</f>
        <v>121001575.86999997</v>
      </c>
      <c r="C41" s="14">
        <f>SUMIFS('Department Weekly'!$H$4:$H$3247,'Department Weekly'!$C$4:$C$3247,A41)</f>
        <v>121988753.0677</v>
      </c>
      <c r="D41" s="14">
        <f>IF(Assumptions!$B$10="Upside",SUMIFS('Department Weekly'!$I$4:$I$3247,'Department Weekly'!$C$4:$C$3247,A41),IF(Assumptions!$B$10="Downside",SUMIFS('Department Weekly'!$J$4:$J$3247,'Department Weekly'!$C$4:$C$3247,A41),C41))</f>
        <v>121988753.0677</v>
      </c>
      <c r="E41" s="14">
        <f t="shared" si="3"/>
        <v>-987177.19770002365</v>
      </c>
      <c r="F41" s="19">
        <f t="shared" si="4"/>
        <v>-8.0923623930492239E-3</v>
      </c>
      <c r="G41" s="14">
        <f>SUMIFS('Department Weekly'!$G$4:$G$3247,'Department Weekly'!$C$4:$C$3247,A41)</f>
        <v>118435682.59000002</v>
      </c>
      <c r="H41" s="11" t="str">
        <f t="shared" si="5"/>
        <v>Unfavorable</v>
      </c>
    </row>
    <row r="42" spans="1:8" ht="15">
      <c r="A42" s="17">
        <v>40</v>
      </c>
      <c r="B42" s="14">
        <f>SUMIFS('Department Weekly'!$E$4:$E$3247,'Department Weekly'!$C$4:$C$3247,A42)</f>
        <v>89199336.999999985</v>
      </c>
      <c r="C42" s="14">
        <f>SUMIFS('Department Weekly'!$H$4:$H$3247,'Department Weekly'!$C$4:$C$3247,A42)</f>
        <v>87827913.147700012</v>
      </c>
      <c r="D42" s="14">
        <f>IF(Assumptions!$B$10="Upside",SUMIFS('Department Weekly'!$I$4:$I$3247,'Department Weekly'!$C$4:$C$3247,A42),IF(Assumptions!$B$10="Downside",SUMIFS('Department Weekly'!$J$4:$J$3247,'Department Weekly'!$C$4:$C$3247,A42),C42))</f>
        <v>87827913.147700012</v>
      </c>
      <c r="E42" s="14">
        <f t="shared" si="3"/>
        <v>1371423.8522999734</v>
      </c>
      <c r="F42" s="19">
        <f t="shared" si="4"/>
        <v>1.5614897395929844E-2</v>
      </c>
      <c r="G42" s="14">
        <f>SUMIFS('Department Weekly'!$G$4:$G$3247,'Department Weekly'!$C$4:$C$3247,A42)</f>
        <v>85269818.590000018</v>
      </c>
      <c r="H42" s="11" t="str">
        <f t="shared" si="5"/>
        <v>Favorable</v>
      </c>
    </row>
    <row r="43" spans="1:8" ht="15">
      <c r="A43" s="17">
        <v>41</v>
      </c>
      <c r="B43" s="14">
        <f>SUMIFS('Department Weekly'!$E$4:$E$3247,'Department Weekly'!$C$4:$C$3247,A43)</f>
        <v>2855827.93</v>
      </c>
      <c r="C43" s="14">
        <f>SUMIFS('Department Weekly'!$H$4:$H$3247,'Department Weekly'!$C$4:$C$3247,A43)</f>
        <v>3160468.8198999995</v>
      </c>
      <c r="D43" s="14">
        <f>IF(Assumptions!$B$10="Upside",SUMIFS('Department Weekly'!$I$4:$I$3247,'Department Weekly'!$C$4:$C$3247,A43),IF(Assumptions!$B$10="Downside",SUMIFS('Department Weekly'!$J$4:$J$3247,'Department Weekly'!$C$4:$C$3247,A43),C43))</f>
        <v>3160468.8198999995</v>
      </c>
      <c r="E43" s="14">
        <f t="shared" si="3"/>
        <v>-304640.88989999937</v>
      </c>
      <c r="F43" s="19">
        <f t="shared" si="4"/>
        <v>-9.6391044259578715E-2</v>
      </c>
      <c r="G43" s="14">
        <f>SUMIFS('Department Weekly'!$G$4:$G$3247,'Department Weekly'!$C$4:$C$3247,A43)</f>
        <v>3068416.3299999996</v>
      </c>
      <c r="H43" s="11" t="str">
        <f t="shared" si="5"/>
        <v>Unfavorable</v>
      </c>
    </row>
    <row r="44" spans="1:8" ht="15">
      <c r="A44" s="17">
        <v>42</v>
      </c>
      <c r="B44" s="14">
        <f>SUMIFS('Department Weekly'!$E$4:$E$3247,'Department Weekly'!$C$4:$C$3247,A44)</f>
        <v>10436570.590000002</v>
      </c>
      <c r="C44" s="14">
        <f>SUMIFS('Department Weekly'!$H$4:$H$3247,'Department Weekly'!$C$4:$C$3247,A44)</f>
        <v>10159932.658700004</v>
      </c>
      <c r="D44" s="14">
        <f>IF(Assumptions!$B$10="Upside",SUMIFS('Department Weekly'!$I$4:$I$3247,'Department Weekly'!$C$4:$C$3247,A44),IF(Assumptions!$B$10="Downside",SUMIFS('Department Weekly'!$J$4:$J$3247,'Department Weekly'!$C$4:$C$3247,A44),C44))</f>
        <v>10159932.658700004</v>
      </c>
      <c r="E44" s="14">
        <f t="shared" si="3"/>
        <v>276637.93129999749</v>
      </c>
      <c r="F44" s="19">
        <f t="shared" si="4"/>
        <v>2.722832331601243E-2</v>
      </c>
      <c r="G44" s="14">
        <f>SUMIFS('Department Weekly'!$G$4:$G$3247,'Department Weekly'!$C$4:$C$3247,A44)</f>
        <v>9864012.2899999991</v>
      </c>
      <c r="H44" s="11" t="str">
        <f t="shared" si="5"/>
        <v>Favorable</v>
      </c>
    </row>
    <row r="45" spans="1:8" ht="15">
      <c r="A45" s="17">
        <v>44</v>
      </c>
      <c r="B45" s="14">
        <f>SUMIFS('Department Weekly'!$E$4:$E$3247,'Department Weekly'!$C$4:$C$3247,A45)</f>
        <v>7382111.7999999989</v>
      </c>
      <c r="C45" s="14">
        <f>SUMIFS('Department Weekly'!$H$4:$H$3247,'Department Weekly'!$C$4:$C$3247,A45)</f>
        <v>7232574.6233000001</v>
      </c>
      <c r="D45" s="14">
        <f>IF(Assumptions!$B$10="Upside",SUMIFS('Department Weekly'!$I$4:$I$3247,'Department Weekly'!$C$4:$C$3247,A45),IF(Assumptions!$B$10="Downside",SUMIFS('Department Weekly'!$J$4:$J$3247,'Department Weekly'!$C$4:$C$3247,A45),C45))</f>
        <v>7232574.6233000001</v>
      </c>
      <c r="E45" s="14">
        <f t="shared" si="3"/>
        <v>149537.17669999879</v>
      </c>
      <c r="F45" s="19">
        <f t="shared" si="4"/>
        <v>2.0675511071570472E-2</v>
      </c>
      <c r="G45" s="14">
        <f>SUMIFS('Department Weekly'!$G$4:$G$3247,'Department Weekly'!$C$4:$C$3247,A45)</f>
        <v>7021917.1100000003</v>
      </c>
      <c r="H45" s="11" t="str">
        <f t="shared" si="5"/>
        <v>Favorable</v>
      </c>
    </row>
    <row r="46" spans="1:8" ht="15">
      <c r="A46" s="17">
        <v>45</v>
      </c>
      <c r="B46" s="14">
        <f>SUMIFS('Department Weekly'!$E$4:$E$3247,'Department Weekly'!$C$4:$C$3247,A46)</f>
        <v>4341.079999999999</v>
      </c>
      <c r="C46" s="14">
        <f>SUMIFS('Department Weekly'!$H$4:$H$3247,'Department Weekly'!$C$4:$C$3247,A46)</f>
        <v>4807.8134</v>
      </c>
      <c r="D46" s="14">
        <f>IF(Assumptions!$B$10="Upside",SUMIFS('Department Weekly'!$I$4:$I$3247,'Department Weekly'!$C$4:$C$3247,A46),IF(Assumptions!$B$10="Downside",SUMIFS('Department Weekly'!$J$4:$J$3247,'Department Weekly'!$C$4:$C$3247,A46),C46))</f>
        <v>4807.8134</v>
      </c>
      <c r="E46" s="14">
        <f t="shared" si="3"/>
        <v>-466.73340000000098</v>
      </c>
      <c r="F46" s="19">
        <f t="shared" si="4"/>
        <v>-9.707810207442763E-2</v>
      </c>
      <c r="G46" s="14">
        <f>SUMIFS('Department Weekly'!$G$4:$G$3247,'Department Weekly'!$C$4:$C$3247,A46)</f>
        <v>4667.7800000000007</v>
      </c>
      <c r="H46" s="11" t="str">
        <f t="shared" si="5"/>
        <v>Unfavorable</v>
      </c>
    </row>
    <row r="47" spans="1:8" ht="15">
      <c r="A47" s="17">
        <v>46</v>
      </c>
      <c r="B47" s="14">
        <f>SUMIFS('Department Weekly'!$E$4:$E$3247,'Department Weekly'!$C$4:$C$3247,A47)</f>
        <v>38729071.839999989</v>
      </c>
      <c r="C47" s="14">
        <f>SUMIFS('Department Weekly'!$H$4:$H$3247,'Department Weekly'!$C$4:$C$3247,A47)</f>
        <v>38779932.939900011</v>
      </c>
      <c r="D47" s="14">
        <f>IF(Assumptions!$B$10="Upside",SUMIFS('Department Weekly'!$I$4:$I$3247,'Department Weekly'!$C$4:$C$3247,A47),IF(Assumptions!$B$10="Downside",SUMIFS('Department Weekly'!$J$4:$J$3247,'Department Weekly'!$C$4:$C$3247,A47),C47))</f>
        <v>38779932.939900011</v>
      </c>
      <c r="E47" s="14">
        <f t="shared" si="3"/>
        <v>-50861.099900022149</v>
      </c>
      <c r="F47" s="19">
        <f t="shared" si="4"/>
        <v>-1.3115314041116362E-3</v>
      </c>
      <c r="G47" s="14">
        <f>SUMIFS('Department Weekly'!$G$4:$G$3247,'Department Weekly'!$C$4:$C$3247,A47)</f>
        <v>37650420.330000006</v>
      </c>
      <c r="H47" s="11" t="str">
        <f t="shared" si="5"/>
        <v>Unfavorable</v>
      </c>
    </row>
    <row r="48" spans="1:8" ht="15">
      <c r="A48" s="17">
        <v>47</v>
      </c>
      <c r="B48" s="14">
        <f>SUMIFS('Department Weekly'!$E$4:$E$3247,'Department Weekly'!$C$4:$C$3247,A48)</f>
        <v>408.64</v>
      </c>
      <c r="C48" s="14">
        <f>SUMIFS('Department Weekly'!$H$4:$H$3247,'Department Weekly'!$C$4:$C$3247,A48)</f>
        <v>268.97419999999994</v>
      </c>
      <c r="D48" s="14">
        <f>IF(Assumptions!$B$10="Upside",SUMIFS('Department Weekly'!$I$4:$I$3247,'Department Weekly'!$C$4:$C$3247,A48),IF(Assumptions!$B$10="Downside",SUMIFS('Department Weekly'!$J$4:$J$3247,'Department Weekly'!$C$4:$C$3247,A48),C48))</f>
        <v>268.97419999999994</v>
      </c>
      <c r="E48" s="14">
        <f t="shared" si="3"/>
        <v>139.66580000000005</v>
      </c>
      <c r="F48" s="19">
        <f t="shared" si="4"/>
        <v>0.51925351948253806</v>
      </c>
      <c r="G48" s="14">
        <f>SUMIFS('Department Weekly'!$G$4:$G$3247,'Department Weekly'!$C$4:$C$3247,A48)</f>
        <v>261.1400000000001</v>
      </c>
      <c r="H48" s="11" t="str">
        <f t="shared" si="5"/>
        <v>Favorable</v>
      </c>
    </row>
    <row r="49" spans="1:8" ht="15">
      <c r="A49" s="17">
        <v>48</v>
      </c>
      <c r="B49" s="14">
        <f>SUMIFS('Department Weekly'!$E$4:$E$3247,'Department Weekly'!$C$4:$C$3247,A49)</f>
        <v>875418.94</v>
      </c>
      <c r="C49" s="14">
        <f>SUMIFS('Department Weekly'!$H$4:$H$3247,'Department Weekly'!$C$4:$C$3247,A49)</f>
        <v>498610.72239999997</v>
      </c>
      <c r="D49" s="14">
        <f>IF(Assumptions!$B$10="Upside",SUMIFS('Department Weekly'!$I$4:$I$3247,'Department Weekly'!$C$4:$C$3247,A49),IF(Assumptions!$B$10="Downside",SUMIFS('Department Weekly'!$J$4:$J$3247,'Department Weekly'!$C$4:$C$3247,A49),C49))</f>
        <v>498610.72239999997</v>
      </c>
      <c r="E49" s="14">
        <f t="shared" si="3"/>
        <v>376808.21759999997</v>
      </c>
      <c r="F49" s="19">
        <f t="shared" si="4"/>
        <v>0.75571623447301939</v>
      </c>
      <c r="G49" s="14">
        <f>SUMIFS('Department Weekly'!$G$4:$G$3247,'Department Weekly'!$C$4:$C$3247,A49)</f>
        <v>484088.07999999996</v>
      </c>
      <c r="H49" s="11" t="str">
        <f t="shared" si="5"/>
        <v>Favorable</v>
      </c>
    </row>
    <row r="50" spans="1:8" ht="15">
      <c r="A50" s="17">
        <v>49</v>
      </c>
      <c r="B50" s="14">
        <f>SUMIFS('Department Weekly'!$E$4:$E$3247,'Department Weekly'!$C$4:$C$3247,A50)</f>
        <v>11318534.580000002</v>
      </c>
      <c r="C50" s="14">
        <f>SUMIFS('Department Weekly'!$H$4:$H$3247,'Department Weekly'!$C$4:$C$3247,A50)</f>
        <v>11544743.0108</v>
      </c>
      <c r="D50" s="14">
        <f>IF(Assumptions!$B$10="Upside",SUMIFS('Department Weekly'!$I$4:$I$3247,'Department Weekly'!$C$4:$C$3247,A50),IF(Assumptions!$B$10="Downside",SUMIFS('Department Weekly'!$J$4:$J$3247,'Department Weekly'!$C$4:$C$3247,A50),C50))</f>
        <v>11544743.0108</v>
      </c>
      <c r="E50" s="14">
        <f t="shared" si="3"/>
        <v>-226208.43079999834</v>
      </c>
      <c r="F50" s="19">
        <f t="shared" si="4"/>
        <v>-1.9594063773302053E-2</v>
      </c>
      <c r="G50" s="14">
        <f>SUMIFS('Department Weekly'!$G$4:$G$3247,'Department Weekly'!$C$4:$C$3247,A50)</f>
        <v>11208488.359999999</v>
      </c>
      <c r="H50" s="11" t="str">
        <f t="shared" si="5"/>
        <v>Unfavorable</v>
      </c>
    </row>
    <row r="51" spans="1:8" ht="15">
      <c r="A51" s="17">
        <v>50</v>
      </c>
      <c r="B51" s="14">
        <f>SUMIFS('Department Weekly'!$E$4:$E$3247,'Department Weekly'!$C$4:$C$3247,A51)</f>
        <v>1281448.0499999996</v>
      </c>
      <c r="C51" s="14">
        <f>SUMIFS('Department Weekly'!$H$4:$H$3247,'Department Weekly'!$C$4:$C$3247,A51)</f>
        <v>1296032.7671999999</v>
      </c>
      <c r="D51" s="14">
        <f>IF(Assumptions!$B$10="Upside",SUMIFS('Department Weekly'!$I$4:$I$3247,'Department Weekly'!$C$4:$C$3247,A51),IF(Assumptions!$B$10="Downside",SUMIFS('Department Weekly'!$J$4:$J$3247,'Department Weekly'!$C$4:$C$3247,A51),C51))</f>
        <v>1296032.7671999999</v>
      </c>
      <c r="E51" s="14">
        <f t="shared" si="3"/>
        <v>-14584.717200000305</v>
      </c>
      <c r="F51" s="19">
        <f t="shared" si="4"/>
        <v>-1.1253355292482073E-2</v>
      </c>
      <c r="G51" s="14">
        <f>SUMIFS('Department Weekly'!$G$4:$G$3247,'Department Weekly'!$C$4:$C$3247,A51)</f>
        <v>1258284.24</v>
      </c>
      <c r="H51" s="11" t="str">
        <f t="shared" si="5"/>
        <v>Unfavorable</v>
      </c>
    </row>
    <row r="52" spans="1:8" ht="15">
      <c r="A52" s="17">
        <v>51</v>
      </c>
      <c r="B52" s="14">
        <f>SUMIFS('Department Weekly'!$E$4:$E$3247,'Department Weekly'!$C$4:$C$3247,A52)</f>
        <v>326.78000000000009</v>
      </c>
      <c r="C52" s="14">
        <f>SUMIFS('Department Weekly'!$H$4:$H$3247,'Department Weekly'!$C$4:$C$3247,A52)</f>
        <v>794.8922</v>
      </c>
      <c r="D52" s="14">
        <f>IF(Assumptions!$B$10="Upside",SUMIFS('Department Weekly'!$I$4:$I$3247,'Department Weekly'!$C$4:$C$3247,A52),IF(Assumptions!$B$10="Downside",SUMIFS('Department Weekly'!$J$4:$J$3247,'Department Weekly'!$C$4:$C$3247,A52),C52))</f>
        <v>794.8922</v>
      </c>
      <c r="E52" s="14">
        <f t="shared" si="3"/>
        <v>-468.11219999999992</v>
      </c>
      <c r="F52" s="19">
        <f t="shared" si="4"/>
        <v>-0.58890023074826992</v>
      </c>
      <c r="G52" s="14">
        <f>SUMIFS('Department Weekly'!$G$4:$G$3247,'Department Weekly'!$C$4:$C$3247,A52)</f>
        <v>771.7399999999999</v>
      </c>
      <c r="H52" s="11" t="str">
        <f t="shared" si="5"/>
        <v>Unfavorable</v>
      </c>
    </row>
    <row r="53" spans="1:8" ht="15">
      <c r="A53" s="17">
        <v>52</v>
      </c>
      <c r="B53" s="14">
        <f>SUMIFS('Department Weekly'!$E$4:$E$3247,'Department Weekly'!$C$4:$C$3247,A53)</f>
        <v>3329647.51</v>
      </c>
      <c r="C53" s="14">
        <f>SUMIFS('Department Weekly'!$H$4:$H$3247,'Department Weekly'!$C$4:$C$3247,A53)</f>
        <v>3547836.1330000008</v>
      </c>
      <c r="D53" s="14">
        <f>IF(Assumptions!$B$10="Upside",SUMIFS('Department Weekly'!$I$4:$I$3247,'Department Weekly'!$C$4:$C$3247,A53),IF(Assumptions!$B$10="Downside",SUMIFS('Department Weekly'!$J$4:$J$3247,'Department Weekly'!$C$4:$C$3247,A53),C53))</f>
        <v>3547836.1330000008</v>
      </c>
      <c r="E53" s="14">
        <f t="shared" si="3"/>
        <v>-218188.62300000107</v>
      </c>
      <c r="F53" s="19">
        <f t="shared" si="4"/>
        <v>-6.1499070086842994E-2</v>
      </c>
      <c r="G53" s="14">
        <f>SUMIFS('Department Weekly'!$G$4:$G$3247,'Department Weekly'!$C$4:$C$3247,A53)</f>
        <v>3444501.100000001</v>
      </c>
      <c r="H53" s="11" t="str">
        <f t="shared" si="5"/>
        <v>Unfavorable</v>
      </c>
    </row>
    <row r="54" spans="1:8" ht="15">
      <c r="A54" s="17">
        <v>54</v>
      </c>
      <c r="B54" s="14">
        <f>SUMIFS('Department Weekly'!$E$4:$E$3247,'Department Weekly'!$C$4:$C$3247,A54)</f>
        <v>46805.920000000006</v>
      </c>
      <c r="C54" s="14">
        <f>SUMIFS('Department Weekly'!$H$4:$H$3247,'Department Weekly'!$C$4:$C$3247,A54)</f>
        <v>76208.2065</v>
      </c>
      <c r="D54" s="14">
        <f>IF(Assumptions!$B$10="Upside",SUMIFS('Department Weekly'!$I$4:$I$3247,'Department Weekly'!$C$4:$C$3247,A54),IF(Assumptions!$B$10="Downside",SUMIFS('Department Weekly'!$J$4:$J$3247,'Department Weekly'!$C$4:$C$3247,A54),C54))</f>
        <v>76208.2065</v>
      </c>
      <c r="E54" s="14">
        <f t="shared" si="3"/>
        <v>-29402.286499999995</v>
      </c>
      <c r="F54" s="19">
        <f t="shared" si="4"/>
        <v>-0.38581522713042715</v>
      </c>
      <c r="G54" s="14">
        <f>SUMIFS('Department Weekly'!$G$4:$G$3247,'Department Weekly'!$C$4:$C$3247,A54)</f>
        <v>73988.550000000017</v>
      </c>
      <c r="H54" s="11" t="str">
        <f t="shared" si="5"/>
        <v>Unfavorable</v>
      </c>
    </row>
    <row r="55" spans="1:8" ht="15">
      <c r="A55" s="17">
        <v>55</v>
      </c>
      <c r="B55" s="14">
        <f>SUMIFS('Department Weekly'!$E$4:$E$3247,'Department Weekly'!$C$4:$C$3247,A55)</f>
        <v>12861708.919999998</v>
      </c>
      <c r="C55" s="14">
        <f>SUMIFS('Department Weekly'!$H$4:$H$3247,'Department Weekly'!$C$4:$C$3247,A55)</f>
        <v>15133822.887900004</v>
      </c>
      <c r="D55" s="14">
        <f>IF(Assumptions!$B$10="Upside",SUMIFS('Department Weekly'!$I$4:$I$3247,'Department Weekly'!$C$4:$C$3247,A55),IF(Assumptions!$B$10="Downside",SUMIFS('Department Weekly'!$J$4:$J$3247,'Department Weekly'!$C$4:$C$3247,A55),C55))</f>
        <v>15133822.887900004</v>
      </c>
      <c r="E55" s="14">
        <f t="shared" si="3"/>
        <v>-2272113.9679000061</v>
      </c>
      <c r="F55" s="19">
        <f t="shared" si="4"/>
        <v>-0.15013483273394437</v>
      </c>
      <c r="G55" s="14">
        <f>SUMIFS('Department Weekly'!$G$4:$G$3247,'Department Weekly'!$C$4:$C$3247,A55)</f>
        <v>14693031.93</v>
      </c>
      <c r="H55" s="11" t="str">
        <f t="shared" si="5"/>
        <v>Unfavorable</v>
      </c>
    </row>
    <row r="56" spans="1:8" ht="15">
      <c r="A56" s="17">
        <v>56</v>
      </c>
      <c r="B56" s="14">
        <f>SUMIFS('Department Weekly'!$E$4:$E$3247,'Department Weekly'!$C$4:$C$3247,A56)</f>
        <v>7329335.1600000001</v>
      </c>
      <c r="C56" s="14">
        <f>SUMIFS('Department Weekly'!$H$4:$H$3247,'Department Weekly'!$C$4:$C$3247,A56)</f>
        <v>7346680.8455000008</v>
      </c>
      <c r="D56" s="14">
        <f>IF(Assumptions!$B$10="Upside",SUMIFS('Department Weekly'!$I$4:$I$3247,'Department Weekly'!$C$4:$C$3247,A56),IF(Assumptions!$B$10="Downside",SUMIFS('Department Weekly'!$J$4:$J$3247,'Department Weekly'!$C$4:$C$3247,A56),C56))</f>
        <v>7346680.8455000008</v>
      </c>
      <c r="E56" s="14">
        <f t="shared" si="3"/>
        <v>-17345.685500000603</v>
      </c>
      <c r="F56" s="19">
        <f t="shared" si="4"/>
        <v>-2.3610234151692062E-3</v>
      </c>
      <c r="G56" s="14">
        <f>SUMIFS('Department Weekly'!$G$4:$G$3247,'Department Weekly'!$C$4:$C$3247,A56)</f>
        <v>7132699.8499999978</v>
      </c>
      <c r="H56" s="11" t="str">
        <f t="shared" si="5"/>
        <v>Unfavorable</v>
      </c>
    </row>
    <row r="57" spans="1:8" ht="15">
      <c r="A57" s="17">
        <v>58</v>
      </c>
      <c r="B57" s="14">
        <f>SUMIFS('Department Weekly'!$E$4:$E$3247,'Department Weekly'!$C$4:$C$3247,A57)</f>
        <v>4727765.040000001</v>
      </c>
      <c r="C57" s="14">
        <f>SUMIFS('Department Weekly'!$H$4:$H$3247,'Department Weekly'!$C$4:$C$3247,A57)</f>
        <v>4157653.6790999994</v>
      </c>
      <c r="D57" s="14">
        <f>IF(Assumptions!$B$10="Upside",SUMIFS('Department Weekly'!$I$4:$I$3247,'Department Weekly'!$C$4:$C$3247,A57),IF(Assumptions!$B$10="Downside",SUMIFS('Department Weekly'!$J$4:$J$3247,'Department Weekly'!$C$4:$C$3247,A57),C57))</f>
        <v>4157653.6790999994</v>
      </c>
      <c r="E57" s="14">
        <f t="shared" si="3"/>
        <v>570111.3609000016</v>
      </c>
      <c r="F57" s="19">
        <f t="shared" si="4"/>
        <v>0.1371233404470121</v>
      </c>
      <c r="G57" s="14">
        <f>SUMIFS('Department Weekly'!$G$4:$G$3247,'Department Weekly'!$C$4:$C$3247,A57)</f>
        <v>4036556.9700000011</v>
      </c>
      <c r="H57" s="11" t="str">
        <f t="shared" si="5"/>
        <v>Favorable</v>
      </c>
    </row>
    <row r="58" spans="1:8" ht="15">
      <c r="A58" s="17">
        <v>59</v>
      </c>
      <c r="B58" s="14">
        <f>SUMIFS('Department Weekly'!$E$4:$E$3247,'Department Weekly'!$C$4:$C$3247,A58)</f>
        <v>395087.34000000008</v>
      </c>
      <c r="C58" s="14">
        <f>SUMIFS('Department Weekly'!$H$4:$H$3247,'Department Weekly'!$C$4:$C$3247,A58)</f>
        <v>615802.0830000001</v>
      </c>
      <c r="D58" s="14">
        <f>IF(Assumptions!$B$10="Upside",SUMIFS('Department Weekly'!$I$4:$I$3247,'Department Weekly'!$C$4:$C$3247,A58),IF(Assumptions!$B$10="Downside",SUMIFS('Department Weekly'!$J$4:$J$3247,'Department Weekly'!$C$4:$C$3247,A58),C58))</f>
        <v>615802.0830000001</v>
      </c>
      <c r="E58" s="14">
        <f t="shared" si="3"/>
        <v>-220714.74300000002</v>
      </c>
      <c r="F58" s="19">
        <f t="shared" si="4"/>
        <v>-0.35841831181334277</v>
      </c>
      <c r="G58" s="14">
        <f>SUMIFS('Department Weekly'!$G$4:$G$3247,'Department Weekly'!$C$4:$C$3247,A58)</f>
        <v>597866.10000000009</v>
      </c>
      <c r="H58" s="11" t="str">
        <f t="shared" si="5"/>
        <v>Unfavorable</v>
      </c>
    </row>
    <row r="59" spans="1:8" ht="15">
      <c r="A59" s="17">
        <v>60</v>
      </c>
      <c r="B59" s="14">
        <f>SUMIFS('Department Weekly'!$E$4:$E$3247,'Department Weekly'!$C$4:$C$3247,A59)</f>
        <v>592752.41</v>
      </c>
      <c r="C59" s="14">
        <f>SUMIFS('Department Weekly'!$H$4:$H$3247,'Department Weekly'!$C$4:$C$3247,A59)</f>
        <v>595908.81750000012</v>
      </c>
      <c r="D59" s="14">
        <f>IF(Assumptions!$B$10="Upside",SUMIFS('Department Weekly'!$I$4:$I$3247,'Department Weekly'!$C$4:$C$3247,A59),IF(Assumptions!$B$10="Downside",SUMIFS('Department Weekly'!$J$4:$J$3247,'Department Weekly'!$C$4:$C$3247,A59),C59))</f>
        <v>595908.81750000012</v>
      </c>
      <c r="E59" s="14">
        <f t="shared" si="3"/>
        <v>-3156.4075000000885</v>
      </c>
      <c r="F59" s="19">
        <f t="shared" si="4"/>
        <v>-5.2967960991785251E-3</v>
      </c>
      <c r="G59" s="14">
        <f>SUMIFS('Department Weekly'!$G$4:$G$3247,'Department Weekly'!$C$4:$C$3247,A59)</f>
        <v>578552.25000000023</v>
      </c>
      <c r="H59" s="11" t="str">
        <f t="shared" si="5"/>
        <v>Unfavorable</v>
      </c>
    </row>
    <row r="60" spans="1:8" ht="15">
      <c r="A60" s="17">
        <v>65</v>
      </c>
      <c r="B60" s="14">
        <f>SUMIFS('Department Weekly'!$E$4:$E$3247,'Department Weekly'!$C$4:$C$3247,A60)</f>
        <v>1993897.24</v>
      </c>
      <c r="C60" s="14">
        <f>SUMIFS('Department Weekly'!$H$4:$H$3247,'Department Weekly'!$C$4:$C$3247,A60)</f>
        <v>1921551.4170000001</v>
      </c>
      <c r="D60" s="14">
        <f>IF(Assumptions!$B$10="Upside",SUMIFS('Department Weekly'!$I$4:$I$3247,'Department Weekly'!$C$4:$C$3247,A60),IF(Assumptions!$B$10="Downside",SUMIFS('Department Weekly'!$J$4:$J$3247,'Department Weekly'!$C$4:$C$3247,A60),C60))</f>
        <v>1921551.4170000001</v>
      </c>
      <c r="E60" s="14">
        <f t="shared" si="3"/>
        <v>72345.822999999858</v>
      </c>
      <c r="F60" s="19">
        <f t="shared" si="4"/>
        <v>3.7649694075295129E-2</v>
      </c>
      <c r="G60" s="14">
        <f>SUMIFS('Department Weekly'!$G$4:$G$3247,'Department Weekly'!$C$4:$C$3247,A60)</f>
        <v>1865583.9000000001</v>
      </c>
      <c r="H60" s="11" t="str">
        <f t="shared" si="5"/>
        <v>Favorable</v>
      </c>
    </row>
    <row r="61" spans="1:8" ht="15">
      <c r="A61" s="17">
        <v>67</v>
      </c>
      <c r="B61" s="14">
        <f>SUMIFS('Department Weekly'!$E$4:$E$3247,'Department Weekly'!$C$4:$C$3247,A61)</f>
        <v>14177061.480000004</v>
      </c>
      <c r="C61" s="14">
        <f>SUMIFS('Department Weekly'!$H$4:$H$3247,'Department Weekly'!$C$4:$C$3247,A61)</f>
        <v>13866642.717599999</v>
      </c>
      <c r="D61" s="14">
        <f>IF(Assumptions!$B$10="Upside",SUMIFS('Department Weekly'!$I$4:$I$3247,'Department Weekly'!$C$4:$C$3247,A61),IF(Assumptions!$B$10="Downside",SUMIFS('Department Weekly'!$J$4:$J$3247,'Department Weekly'!$C$4:$C$3247,A61),C61))</f>
        <v>13866642.717599999</v>
      </c>
      <c r="E61" s="14">
        <f t="shared" si="3"/>
        <v>310418.76240000501</v>
      </c>
      <c r="F61" s="19">
        <f t="shared" si="4"/>
        <v>2.2386007105094825E-2</v>
      </c>
      <c r="G61" s="14">
        <f>SUMIFS('Department Weekly'!$G$4:$G$3247,'Department Weekly'!$C$4:$C$3247,A61)</f>
        <v>13462759.920000002</v>
      </c>
      <c r="H61" s="11" t="str">
        <f t="shared" si="5"/>
        <v>Favorable</v>
      </c>
    </row>
    <row r="62" spans="1:8" ht="15">
      <c r="A62" s="17">
        <v>71</v>
      </c>
      <c r="B62" s="14">
        <f>SUMIFS('Department Weekly'!$E$4:$E$3247,'Department Weekly'!$C$4:$C$3247,A62)</f>
        <v>8891483.6500000004</v>
      </c>
      <c r="C62" s="14">
        <f>SUMIFS('Department Weekly'!$H$4:$H$3247,'Department Weekly'!$C$4:$C$3247,A62)</f>
        <v>8977822.1865999997</v>
      </c>
      <c r="D62" s="14">
        <f>IF(Assumptions!$B$10="Upside",SUMIFS('Department Weekly'!$I$4:$I$3247,'Department Weekly'!$C$4:$C$3247,A62),IF(Assumptions!$B$10="Downside",SUMIFS('Department Weekly'!$J$4:$J$3247,'Department Weekly'!$C$4:$C$3247,A62),C62))</f>
        <v>8977822.1865999997</v>
      </c>
      <c r="E62" s="14">
        <f t="shared" si="3"/>
        <v>-86338.536599999294</v>
      </c>
      <c r="F62" s="19">
        <f t="shared" si="4"/>
        <v>-9.6168686353429161E-3</v>
      </c>
      <c r="G62" s="14">
        <f>SUMIFS('Department Weekly'!$G$4:$G$3247,'Department Weekly'!$C$4:$C$3247,A62)</f>
        <v>8716332.2200000025</v>
      </c>
      <c r="H62" s="11" t="str">
        <f t="shared" si="5"/>
        <v>Unfavorable</v>
      </c>
    </row>
    <row r="63" spans="1:8" ht="15">
      <c r="A63" s="17">
        <v>72</v>
      </c>
      <c r="B63" s="14">
        <f>SUMIFS('Department Weekly'!$E$4:$E$3247,'Department Weekly'!$C$4:$C$3247,A63)</f>
        <v>80308496.37000002</v>
      </c>
      <c r="C63" s="14">
        <f>SUMIFS('Department Weekly'!$H$4:$H$3247,'Department Weekly'!$C$4:$C$3247,A63)</f>
        <v>84646292.2993</v>
      </c>
      <c r="D63" s="14">
        <f>IF(Assumptions!$B$10="Upside",SUMIFS('Department Weekly'!$I$4:$I$3247,'Department Weekly'!$C$4:$C$3247,A63),IF(Assumptions!$B$10="Downside",SUMIFS('Department Weekly'!$J$4:$J$3247,'Department Weekly'!$C$4:$C$3247,A63),C63))</f>
        <v>84646292.2993</v>
      </c>
      <c r="E63" s="14">
        <f t="shared" si="3"/>
        <v>-4337795.9292999804</v>
      </c>
      <c r="F63" s="19">
        <f t="shared" si="4"/>
        <v>-5.1246142169606317E-2</v>
      </c>
      <c r="G63" s="14">
        <f>SUMIFS('Department Weekly'!$G$4:$G$3247,'Department Weekly'!$C$4:$C$3247,A63)</f>
        <v>82180866.310000002</v>
      </c>
      <c r="H63" s="11" t="str">
        <f t="shared" si="5"/>
        <v>Unfavorable</v>
      </c>
    </row>
    <row r="64" spans="1:8" ht="15">
      <c r="A64" s="17">
        <v>74</v>
      </c>
      <c r="B64" s="14">
        <f>SUMIFS('Department Weekly'!$E$4:$E$3247,'Department Weekly'!$C$4:$C$3247,A64)</f>
        <v>26440245.639999997</v>
      </c>
      <c r="C64" s="14">
        <f>SUMIFS('Department Weekly'!$H$4:$H$3247,'Department Weekly'!$C$4:$C$3247,A64)</f>
        <v>27079941.634100001</v>
      </c>
      <c r="D64" s="14">
        <f>IF(Assumptions!$B$10="Upside",SUMIFS('Department Weekly'!$I$4:$I$3247,'Department Weekly'!$C$4:$C$3247,A64),IF(Assumptions!$B$10="Downside",SUMIFS('Department Weekly'!$J$4:$J$3247,'Department Weekly'!$C$4:$C$3247,A64),C64))</f>
        <v>27079941.634100001</v>
      </c>
      <c r="E64" s="14">
        <f t="shared" si="3"/>
        <v>-639695.99410000443</v>
      </c>
      <c r="F64" s="19">
        <f t="shared" si="4"/>
        <v>-2.3622502690126817E-2</v>
      </c>
      <c r="G64" s="14">
        <f>SUMIFS('Department Weekly'!$G$4:$G$3247,'Department Weekly'!$C$4:$C$3247,A64)</f>
        <v>26291205.470000006</v>
      </c>
      <c r="H64" s="11" t="str">
        <f t="shared" si="5"/>
        <v>Unfavorable</v>
      </c>
    </row>
    <row r="65" spans="1:8" ht="15">
      <c r="A65" s="17">
        <v>77</v>
      </c>
      <c r="B65" s="14">
        <f>SUMIFS('Department Weekly'!$E$4:$E$3247,'Department Weekly'!$C$4:$C$3247,A65)</f>
        <v>20.97</v>
      </c>
      <c r="C65" s="14">
        <f>SUMIFS('Department Weekly'!$H$4:$H$3247,'Department Weekly'!$C$4:$C$3247,A65)</f>
        <v>-21.5991</v>
      </c>
      <c r="D65" s="14">
        <f>IF(Assumptions!$B$10="Upside",SUMIFS('Department Weekly'!$I$4:$I$3247,'Department Weekly'!$C$4:$C$3247,A65),IF(Assumptions!$B$10="Downside",SUMIFS('Department Weekly'!$J$4:$J$3247,'Department Weekly'!$C$4:$C$3247,A65),C65))</f>
        <v>-21.5991</v>
      </c>
      <c r="E65" s="14">
        <f t="shared" si="3"/>
        <v>42.569099999999999</v>
      </c>
      <c r="F65" s="19">
        <f t="shared" si="4"/>
        <v>-1.970873786407767</v>
      </c>
      <c r="G65" s="14">
        <f>SUMIFS('Department Weekly'!$G$4:$G$3247,'Department Weekly'!$C$4:$C$3247,A65)</f>
        <v>-20.97</v>
      </c>
      <c r="H65" s="11" t="str">
        <f t="shared" si="5"/>
        <v>Favorable</v>
      </c>
    </row>
    <row r="66" spans="1:8" ht="15">
      <c r="A66" s="17">
        <v>79</v>
      </c>
      <c r="B66" s="14">
        <f>SUMIFS('Department Weekly'!$E$4:$E$3247,'Department Weekly'!$C$4:$C$3247,A66)</f>
        <v>42634761.849999994</v>
      </c>
      <c r="C66" s="14">
        <f>SUMIFS('Department Weekly'!$H$4:$H$3247,'Department Weekly'!$C$4:$C$3247,A66)</f>
        <v>43088539.546200015</v>
      </c>
      <c r="D66" s="14">
        <f>IF(Assumptions!$B$10="Upside",SUMIFS('Department Weekly'!$I$4:$I$3247,'Department Weekly'!$C$4:$C$3247,A66),IF(Assumptions!$B$10="Downside",SUMIFS('Department Weekly'!$J$4:$J$3247,'Department Weekly'!$C$4:$C$3247,A66),C66))</f>
        <v>43088539.546200015</v>
      </c>
      <c r="E66" s="14">
        <f t="shared" si="3"/>
        <v>-453777.69620002061</v>
      </c>
      <c r="F66" s="19">
        <f t="shared" si="4"/>
        <v>-1.0531285139369254E-2</v>
      </c>
      <c r="G66" s="14">
        <f>SUMIFS('Department Weekly'!$G$4:$G$3247,'Department Weekly'!$C$4:$C$3247,A66)</f>
        <v>41833533.540000014</v>
      </c>
      <c r="H66" s="11" t="str">
        <f t="shared" si="5"/>
        <v>Unfavorable</v>
      </c>
    </row>
    <row r="67" spans="1:8" ht="15">
      <c r="A67" s="17">
        <v>80</v>
      </c>
      <c r="B67" s="14">
        <f>SUMIFS('Department Weekly'!$E$4:$E$3247,'Department Weekly'!$C$4:$C$3247,A67)</f>
        <v>21730321.710000005</v>
      </c>
      <c r="C67" s="14">
        <f>SUMIFS('Department Weekly'!$H$4:$H$3247,'Department Weekly'!$C$4:$C$3247,A67)</f>
        <v>22314335.481400002</v>
      </c>
      <c r="D67" s="14">
        <f>IF(Assumptions!$B$10="Upside",SUMIFS('Department Weekly'!$I$4:$I$3247,'Department Weekly'!$C$4:$C$3247,A67),IF(Assumptions!$B$10="Downside",SUMIFS('Department Weekly'!$J$4:$J$3247,'Department Weekly'!$C$4:$C$3247,A67),C67))</f>
        <v>22314335.481400002</v>
      </c>
      <c r="E67" s="14">
        <f t="shared" si="3"/>
        <v>-584013.77139999717</v>
      </c>
      <c r="F67" s="19">
        <f t="shared" si="4"/>
        <v>-2.617213368898208E-2</v>
      </c>
      <c r="G67" s="14">
        <f>SUMIFS('Department Weekly'!$G$4:$G$3247,'Department Weekly'!$C$4:$C$3247,A67)</f>
        <v>21664403.379999992</v>
      </c>
      <c r="H67" s="11" t="str">
        <f t="shared" si="5"/>
        <v>Unfavorable</v>
      </c>
    </row>
    <row r="68" spans="1:8" ht="15">
      <c r="A68" s="17">
        <v>81</v>
      </c>
      <c r="B68" s="14">
        <f>SUMIFS('Department Weekly'!$E$4:$E$3247,'Department Weekly'!$C$4:$C$3247,A68)</f>
        <v>30457998.240000002</v>
      </c>
      <c r="C68" s="14">
        <f>SUMIFS('Department Weekly'!$H$4:$H$3247,'Department Weekly'!$C$4:$C$3247,A68)</f>
        <v>30981895.454500001</v>
      </c>
      <c r="D68" s="14">
        <f>IF(Assumptions!$B$10="Upside",SUMIFS('Department Weekly'!$I$4:$I$3247,'Department Weekly'!$C$4:$C$3247,A68),IF(Assumptions!$B$10="Downside",SUMIFS('Department Weekly'!$J$4:$J$3247,'Department Weekly'!$C$4:$C$3247,A68),C68))</f>
        <v>30981895.454500001</v>
      </c>
      <c r="E68" s="14">
        <f t="shared" si="3"/>
        <v>-523897.21449999884</v>
      </c>
      <c r="F68" s="19">
        <f t="shared" si="4"/>
        <v>-1.6909785757601374E-2</v>
      </c>
      <c r="G68" s="14">
        <f>SUMIFS('Department Weekly'!$G$4:$G$3247,'Department Weekly'!$C$4:$C$3247,A68)</f>
        <v>30079510.149999999</v>
      </c>
      <c r="H68" s="11" t="str">
        <f t="shared" si="5"/>
        <v>Unfavorable</v>
      </c>
    </row>
    <row r="69" spans="1:8" ht="15">
      <c r="A69" s="17">
        <v>82</v>
      </c>
      <c r="B69" s="14">
        <f>SUMIFS('Department Weekly'!$E$4:$E$3247,'Department Weekly'!$C$4:$C$3247,A69)</f>
        <v>29500491.180000007</v>
      </c>
      <c r="C69" s="14">
        <f>SUMIFS('Department Weekly'!$H$4:$H$3247,'Department Weekly'!$C$4:$C$3247,A69)</f>
        <v>28647359.882800009</v>
      </c>
      <c r="D69" s="14">
        <f>IF(Assumptions!$B$10="Upside",SUMIFS('Department Weekly'!$I$4:$I$3247,'Department Weekly'!$C$4:$C$3247,A69),IF(Assumptions!$B$10="Downside",SUMIFS('Department Weekly'!$J$4:$J$3247,'Department Weekly'!$C$4:$C$3247,A69),C69))</f>
        <v>28647359.882800009</v>
      </c>
      <c r="E69" s="14">
        <f t="shared" ref="E69:E82" si="6">B69-D69</f>
        <v>853131.29719999805</v>
      </c>
      <c r="F69" s="19">
        <f t="shared" ref="F69:F82" si="7">IF(D69=0,0,E69/D69)</f>
        <v>2.9780450997588141E-2</v>
      </c>
      <c r="G69" s="14">
        <f>SUMIFS('Department Weekly'!$G$4:$G$3247,'Department Weekly'!$C$4:$C$3247,A69)</f>
        <v>27812970.75999999</v>
      </c>
      <c r="H69" s="11" t="str">
        <f t="shared" ref="H69:H82" si="8">IF(E69&gt;=0,"Favorable","Unfavorable")</f>
        <v>Favorable</v>
      </c>
    </row>
    <row r="70" spans="1:8" ht="15">
      <c r="A70" s="17">
        <v>83</v>
      </c>
      <c r="B70" s="14">
        <f>SUMIFS('Department Weekly'!$E$4:$E$3247,'Department Weekly'!$C$4:$C$3247,A70)</f>
        <v>5995726.2700000014</v>
      </c>
      <c r="C70" s="14">
        <f>SUMIFS('Department Weekly'!$H$4:$H$3247,'Department Weekly'!$C$4:$C$3247,A70)</f>
        <v>6004012.2121000011</v>
      </c>
      <c r="D70" s="14">
        <f>IF(Assumptions!$B$10="Upside",SUMIFS('Department Weekly'!$I$4:$I$3247,'Department Weekly'!$C$4:$C$3247,A70),IF(Assumptions!$B$10="Downside",SUMIFS('Department Weekly'!$J$4:$J$3247,'Department Weekly'!$C$4:$C$3247,A70),C70))</f>
        <v>6004012.2121000011</v>
      </c>
      <c r="E70" s="14">
        <f t="shared" si="6"/>
        <v>-8285.9420999996364</v>
      </c>
      <c r="F70" s="19">
        <f t="shared" si="7"/>
        <v>-1.380067496082173E-3</v>
      </c>
      <c r="G70" s="14">
        <f>SUMIFS('Department Weekly'!$G$4:$G$3247,'Department Weekly'!$C$4:$C$3247,A70)</f>
        <v>5829138.0700000003</v>
      </c>
      <c r="H70" s="11" t="str">
        <f t="shared" si="8"/>
        <v>Unfavorable</v>
      </c>
    </row>
    <row r="71" spans="1:8" ht="15">
      <c r="A71" s="17">
        <v>85</v>
      </c>
      <c r="B71" s="14">
        <f>SUMIFS('Department Weekly'!$E$4:$E$3247,'Department Weekly'!$C$4:$C$3247,A71)</f>
        <v>3483603.0200000005</v>
      </c>
      <c r="C71" s="14">
        <f>SUMIFS('Department Weekly'!$H$4:$H$3247,'Department Weekly'!$C$4:$C$3247,A71)</f>
        <v>3861715.0885000005</v>
      </c>
      <c r="D71" s="14">
        <f>IF(Assumptions!$B$10="Upside",SUMIFS('Department Weekly'!$I$4:$I$3247,'Department Weekly'!$C$4:$C$3247,A71),IF(Assumptions!$B$10="Downside",SUMIFS('Department Weekly'!$J$4:$J$3247,'Department Weekly'!$C$4:$C$3247,A71),C71))</f>
        <v>3861715.0885000005</v>
      </c>
      <c r="E71" s="14">
        <f t="shared" si="6"/>
        <v>-378112.06850000005</v>
      </c>
      <c r="F71" s="19">
        <f t="shared" si="7"/>
        <v>-9.7912989393236019E-2</v>
      </c>
      <c r="G71" s="14">
        <f>SUMIFS('Department Weekly'!$G$4:$G$3247,'Department Weekly'!$C$4:$C$3247,A71)</f>
        <v>3749237.9499999997</v>
      </c>
      <c r="H71" s="11" t="str">
        <f t="shared" si="8"/>
        <v>Unfavorable</v>
      </c>
    </row>
    <row r="72" spans="1:8" ht="15">
      <c r="A72" s="17">
        <v>87</v>
      </c>
      <c r="B72" s="14">
        <f>SUMIFS('Department Weekly'!$E$4:$E$3247,'Department Weekly'!$C$4:$C$3247,A72)</f>
        <v>29178185.280000005</v>
      </c>
      <c r="C72" s="14">
        <f>SUMIFS('Department Weekly'!$H$4:$H$3247,'Department Weekly'!$C$4:$C$3247,A72)</f>
        <v>25757000.940899994</v>
      </c>
      <c r="D72" s="14">
        <f>IF(Assumptions!$B$10="Upside",SUMIFS('Department Weekly'!$I$4:$I$3247,'Department Weekly'!$C$4:$C$3247,A72),IF(Assumptions!$B$10="Downside",SUMIFS('Department Weekly'!$J$4:$J$3247,'Department Weekly'!$C$4:$C$3247,A72),C72))</f>
        <v>25757000.940899994</v>
      </c>
      <c r="E72" s="14">
        <f t="shared" si="6"/>
        <v>3421184.3391000107</v>
      </c>
      <c r="F72" s="19">
        <f t="shared" si="7"/>
        <v>0.13282541499881889</v>
      </c>
      <c r="G72" s="14">
        <f>SUMIFS('Department Weekly'!$G$4:$G$3247,'Department Weekly'!$C$4:$C$3247,A72)</f>
        <v>25006797.029999994</v>
      </c>
      <c r="H72" s="11" t="str">
        <f t="shared" si="8"/>
        <v>Favorable</v>
      </c>
    </row>
    <row r="73" spans="1:8" ht="15">
      <c r="A73" s="17">
        <v>90</v>
      </c>
      <c r="B73" s="14">
        <f>SUMIFS('Department Weekly'!$E$4:$E$3247,'Department Weekly'!$C$4:$C$3247,A73)</f>
        <v>89715358.349999979</v>
      </c>
      <c r="C73" s="14">
        <f>SUMIFS('Department Weekly'!$H$4:$H$3247,'Department Weekly'!$C$4:$C$3247,A73)</f>
        <v>90131186.046099991</v>
      </c>
      <c r="D73" s="14">
        <f>IF(Assumptions!$B$10="Upside",SUMIFS('Department Weekly'!$I$4:$I$3247,'Department Weekly'!$C$4:$C$3247,A73),IF(Assumptions!$B$10="Downside",SUMIFS('Department Weekly'!$J$4:$J$3247,'Department Weekly'!$C$4:$C$3247,A73),C73))</f>
        <v>90131186.046099991</v>
      </c>
      <c r="E73" s="14">
        <f t="shared" si="6"/>
        <v>-415827.69610001147</v>
      </c>
      <c r="F73" s="19">
        <f t="shared" si="7"/>
        <v>-4.6135828711643201E-3</v>
      </c>
      <c r="G73" s="14">
        <f>SUMIFS('Department Weekly'!$G$4:$G$3247,'Department Weekly'!$C$4:$C$3247,A73)</f>
        <v>87506005.87000002</v>
      </c>
      <c r="H73" s="11" t="str">
        <f t="shared" si="8"/>
        <v>Unfavorable</v>
      </c>
    </row>
    <row r="74" spans="1:8" ht="15">
      <c r="A74" s="17">
        <v>91</v>
      </c>
      <c r="B74" s="14">
        <f>SUMIFS('Department Weekly'!$E$4:$E$3247,'Department Weekly'!$C$4:$C$3247,A74)</f>
        <v>66488166.769999981</v>
      </c>
      <c r="C74" s="14">
        <f>SUMIFS('Department Weekly'!$H$4:$H$3247,'Department Weekly'!$C$4:$C$3247,A74)</f>
        <v>67547953.542600006</v>
      </c>
      <c r="D74" s="14">
        <f>IF(Assumptions!$B$10="Upside",SUMIFS('Department Weekly'!$I$4:$I$3247,'Department Weekly'!$C$4:$C$3247,A74),IF(Assumptions!$B$10="Downside",SUMIFS('Department Weekly'!$J$4:$J$3247,'Department Weekly'!$C$4:$C$3247,A74),C74))</f>
        <v>67547953.542600006</v>
      </c>
      <c r="E74" s="14">
        <f t="shared" si="6"/>
        <v>-1059786.7726000249</v>
      </c>
      <c r="F74" s="19">
        <f t="shared" si="7"/>
        <v>-1.5689398671888059E-2</v>
      </c>
      <c r="G74" s="14">
        <f>SUMIFS('Department Weekly'!$G$4:$G$3247,'Department Weekly'!$C$4:$C$3247,A74)</f>
        <v>65580537.420000002</v>
      </c>
      <c r="H74" s="11" t="str">
        <f t="shared" si="8"/>
        <v>Unfavorable</v>
      </c>
    </row>
    <row r="75" spans="1:8" ht="15">
      <c r="A75" s="17">
        <v>92</v>
      </c>
      <c r="B75" s="14">
        <f>SUMIFS('Department Weekly'!$E$4:$E$3247,'Department Weekly'!$C$4:$C$3247,A75)</f>
        <v>151629440.97999996</v>
      </c>
      <c r="C75" s="14">
        <f>SUMIFS('Department Weekly'!$H$4:$H$3247,'Department Weekly'!$C$4:$C$3247,A75)</f>
        <v>145522366.22100002</v>
      </c>
      <c r="D75" s="14">
        <f>IF(Assumptions!$B$10="Upside",SUMIFS('Department Weekly'!$I$4:$I$3247,'Department Weekly'!$C$4:$C$3247,A75),IF(Assumptions!$B$10="Downside",SUMIFS('Department Weekly'!$J$4:$J$3247,'Department Weekly'!$C$4:$C$3247,A75),C75))</f>
        <v>145522366.22100002</v>
      </c>
      <c r="E75" s="14">
        <f t="shared" si="6"/>
        <v>6107074.7589999437</v>
      </c>
      <c r="F75" s="19">
        <f t="shared" si="7"/>
        <v>4.1966571308532263E-2</v>
      </c>
      <c r="G75" s="14">
        <f>SUMIFS('Department Weekly'!$G$4:$G$3247,'Department Weekly'!$C$4:$C$3247,A75)</f>
        <v>141283850.69999999</v>
      </c>
      <c r="H75" s="11" t="str">
        <f t="shared" si="8"/>
        <v>Favorable</v>
      </c>
    </row>
    <row r="76" spans="1:8" ht="15">
      <c r="A76" s="17">
        <v>93</v>
      </c>
      <c r="B76" s="14">
        <f>SUMIFS('Department Weekly'!$E$4:$E$3247,'Department Weekly'!$C$4:$C$3247,A76)</f>
        <v>49445544.649999999</v>
      </c>
      <c r="C76" s="14">
        <f>SUMIFS('Department Weekly'!$H$4:$H$3247,'Department Weekly'!$C$4:$C$3247,A76)</f>
        <v>48861511.984499998</v>
      </c>
      <c r="D76" s="14">
        <f>IF(Assumptions!$B$10="Upside",SUMIFS('Department Weekly'!$I$4:$I$3247,'Department Weekly'!$C$4:$C$3247,A76),IF(Assumptions!$B$10="Downside",SUMIFS('Department Weekly'!$J$4:$J$3247,'Department Weekly'!$C$4:$C$3247,A76),C76))</f>
        <v>48861511.984499998</v>
      </c>
      <c r="E76" s="14">
        <f t="shared" si="6"/>
        <v>584032.66550000012</v>
      </c>
      <c r="F76" s="19">
        <f t="shared" si="7"/>
        <v>1.19528160668722E-2</v>
      </c>
      <c r="G76" s="14">
        <f>SUMIFS('Department Weekly'!$G$4:$G$3247,'Department Weekly'!$C$4:$C$3247,A76)</f>
        <v>47438361.149999991</v>
      </c>
      <c r="H76" s="11" t="str">
        <f t="shared" si="8"/>
        <v>Favorable</v>
      </c>
    </row>
    <row r="77" spans="1:8" ht="15">
      <c r="A77" s="17">
        <v>94</v>
      </c>
      <c r="B77" s="14">
        <f>SUMIFS('Department Weekly'!$E$4:$E$3247,'Department Weekly'!$C$4:$C$3247,A77)</f>
        <v>58195408.210000001</v>
      </c>
      <c r="C77" s="14">
        <f>SUMIFS('Department Weekly'!$H$4:$H$3247,'Department Weekly'!$C$4:$C$3247,A77)</f>
        <v>60007101.721800007</v>
      </c>
      <c r="D77" s="14">
        <f>IF(Assumptions!$B$10="Upside",SUMIFS('Department Weekly'!$I$4:$I$3247,'Department Weekly'!$C$4:$C$3247,A77),IF(Assumptions!$B$10="Downside",SUMIFS('Department Weekly'!$J$4:$J$3247,'Department Weekly'!$C$4:$C$3247,A77),C77))</f>
        <v>60007101.721800007</v>
      </c>
      <c r="E77" s="14">
        <f t="shared" si="6"/>
        <v>-1811693.511800006</v>
      </c>
      <c r="F77" s="19">
        <f t="shared" si="7"/>
        <v>-3.0191318357604247E-2</v>
      </c>
      <c r="G77" s="14">
        <f>SUMIFS('Department Weekly'!$G$4:$G$3247,'Department Weekly'!$C$4:$C$3247,A77)</f>
        <v>58259322.060000002</v>
      </c>
      <c r="H77" s="11" t="str">
        <f t="shared" si="8"/>
        <v>Unfavorable</v>
      </c>
    </row>
    <row r="78" spans="1:8" ht="15">
      <c r="A78" s="17">
        <v>95</v>
      </c>
      <c r="B78" s="14">
        <f>SUMIFS('Department Weekly'!$E$4:$E$3247,'Department Weekly'!$C$4:$C$3247,A78)</f>
        <v>137891789.99999997</v>
      </c>
      <c r="C78" s="14">
        <f>SUMIFS('Department Weekly'!$H$4:$H$3247,'Department Weekly'!$C$4:$C$3247,A78)</f>
        <v>139233314.68260002</v>
      </c>
      <c r="D78" s="14">
        <f>IF(Assumptions!$B$10="Upside",SUMIFS('Department Weekly'!$I$4:$I$3247,'Department Weekly'!$C$4:$C$3247,A78),IF(Assumptions!$B$10="Downside",SUMIFS('Department Weekly'!$J$4:$J$3247,'Department Weekly'!$C$4:$C$3247,A78),C78))</f>
        <v>139233314.68260002</v>
      </c>
      <c r="E78" s="14">
        <f t="shared" si="6"/>
        <v>-1341524.6826000512</v>
      </c>
      <c r="F78" s="19">
        <f t="shared" si="7"/>
        <v>-9.6350840002496999E-3</v>
      </c>
      <c r="G78" s="14">
        <f>SUMIFS('Department Weekly'!$G$4:$G$3247,'Department Weekly'!$C$4:$C$3247,A78)</f>
        <v>135177975.42000002</v>
      </c>
      <c r="H78" s="11" t="str">
        <f t="shared" si="8"/>
        <v>Unfavorable</v>
      </c>
    </row>
    <row r="79" spans="1:8" ht="15">
      <c r="A79" s="17">
        <v>96</v>
      </c>
      <c r="B79" s="14">
        <f>SUMIFS('Department Weekly'!$E$4:$E$3247,'Department Weekly'!$C$4:$C$3247,A79)</f>
        <v>23526627.390000001</v>
      </c>
      <c r="C79" s="14">
        <f>SUMIFS('Department Weekly'!$H$4:$H$3247,'Department Weekly'!$C$4:$C$3247,A79)</f>
        <v>22578805.347199995</v>
      </c>
      <c r="D79" s="14">
        <f>IF(Assumptions!$B$10="Upside",SUMIFS('Department Weekly'!$I$4:$I$3247,'Department Weekly'!$C$4:$C$3247,A79),IF(Assumptions!$B$10="Downside",SUMIFS('Department Weekly'!$J$4:$J$3247,'Department Weekly'!$C$4:$C$3247,A79),C79))</f>
        <v>22578805.347199995</v>
      </c>
      <c r="E79" s="14">
        <f t="shared" si="6"/>
        <v>947822.04280000553</v>
      </c>
      <c r="F79" s="19">
        <f t="shared" si="7"/>
        <v>4.1978396475150323E-2</v>
      </c>
      <c r="G79" s="14">
        <f>SUMIFS('Department Weekly'!$G$4:$G$3247,'Department Weekly'!$C$4:$C$3247,A79)</f>
        <v>21921170.240000002</v>
      </c>
      <c r="H79" s="11" t="str">
        <f t="shared" si="8"/>
        <v>Favorable</v>
      </c>
    </row>
    <row r="80" spans="1:8" ht="15">
      <c r="A80" s="17">
        <v>97</v>
      </c>
      <c r="B80" s="14">
        <f>SUMIFS('Department Weekly'!$E$4:$E$3247,'Department Weekly'!$C$4:$C$3247,A80)</f>
        <v>27368401.869999997</v>
      </c>
      <c r="C80" s="14">
        <f>SUMIFS('Department Weekly'!$H$4:$H$3247,'Department Weekly'!$C$4:$C$3247,A80)</f>
        <v>27970045.056499995</v>
      </c>
      <c r="D80" s="14">
        <f>IF(Assumptions!$B$10="Upside",SUMIFS('Department Weekly'!$I$4:$I$3247,'Department Weekly'!$C$4:$C$3247,A80),IF(Assumptions!$B$10="Downside",SUMIFS('Department Weekly'!$J$4:$J$3247,'Department Weekly'!$C$4:$C$3247,A80),C80))</f>
        <v>27970045.056499995</v>
      </c>
      <c r="E80" s="14">
        <f t="shared" si="6"/>
        <v>-601643.18649999797</v>
      </c>
      <c r="F80" s="19">
        <f t="shared" si="7"/>
        <v>-2.1510268763767375E-2</v>
      </c>
      <c r="G80" s="14">
        <f>SUMIFS('Department Weekly'!$G$4:$G$3247,'Department Weekly'!$C$4:$C$3247,A80)</f>
        <v>27155383.549999997</v>
      </c>
      <c r="H80" s="11" t="str">
        <f t="shared" si="8"/>
        <v>Unfavorable</v>
      </c>
    </row>
    <row r="81" spans="1:8" ht="15">
      <c r="A81" s="17">
        <v>98</v>
      </c>
      <c r="B81" s="14">
        <f>SUMIFS('Department Weekly'!$E$4:$E$3247,'Department Weekly'!$C$4:$C$3247,A81)</f>
        <v>11479439.999999998</v>
      </c>
      <c r="C81" s="14">
        <f>SUMIFS('Department Weekly'!$H$4:$H$3247,'Department Weekly'!$C$4:$C$3247,A81)</f>
        <v>11942445.807399999</v>
      </c>
      <c r="D81" s="14">
        <f>IF(Assumptions!$B$10="Upside",SUMIFS('Department Weekly'!$I$4:$I$3247,'Department Weekly'!$C$4:$C$3247,A81),IF(Assumptions!$B$10="Downside",SUMIFS('Department Weekly'!$J$4:$J$3247,'Department Weekly'!$C$4:$C$3247,A81),C81))</f>
        <v>11942445.807399999</v>
      </c>
      <c r="E81" s="14">
        <f t="shared" si="6"/>
        <v>-463005.80740000121</v>
      </c>
      <c r="F81" s="19">
        <f t="shared" si="7"/>
        <v>-3.8769764156108208E-2</v>
      </c>
      <c r="G81" s="14">
        <f>SUMIFS('Department Weekly'!$G$4:$G$3247,'Department Weekly'!$C$4:$C$3247,A81)</f>
        <v>11594607.579999996</v>
      </c>
      <c r="H81" s="11" t="str">
        <f t="shared" si="8"/>
        <v>Unfavorable</v>
      </c>
    </row>
    <row r="82" spans="1:8" ht="15">
      <c r="A82" s="17">
        <v>99</v>
      </c>
      <c r="B82" s="14">
        <f>SUMIFS('Department Weekly'!$E$4:$E$3247,'Department Weekly'!$C$4:$C$3247,A82)</f>
        <v>17272.380000000005</v>
      </c>
      <c r="C82" s="14">
        <f>SUMIFS('Department Weekly'!$H$4:$H$3247,'Department Weekly'!$C$4:$C$3247,A82)</f>
        <v>30927.9748</v>
      </c>
      <c r="D82" s="14">
        <f>IF(Assumptions!$B$10="Upside",SUMIFS('Department Weekly'!$I$4:$I$3247,'Department Weekly'!$C$4:$C$3247,A82),IF(Assumptions!$B$10="Downside",SUMIFS('Department Weekly'!$J$4:$J$3247,'Department Weekly'!$C$4:$C$3247,A82),C82))</f>
        <v>30927.9748</v>
      </c>
      <c r="E82" s="14">
        <f t="shared" si="6"/>
        <v>-13655.594799999995</v>
      </c>
      <c r="F82" s="19">
        <f t="shared" si="7"/>
        <v>-0.44152890347026524</v>
      </c>
      <c r="G82" s="14">
        <f>SUMIFS('Department Weekly'!$G$4:$G$3247,'Department Weekly'!$C$4:$C$3247,A82)</f>
        <v>30027.160000000003</v>
      </c>
      <c r="H82" s="11" t="str">
        <f t="shared" si="8"/>
        <v>Unfavorable</v>
      </c>
    </row>
  </sheetData>
  <mergeCells count="1">
    <mergeCell ref="A1:H2"/>
  </mergeCells>
  <conditionalFormatting sqref="E5:E82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7"/>
  <sheetViews>
    <sheetView showGridLines="0" workbookViewId="0">
      <selection sqref="A1:C2"/>
    </sheetView>
  </sheetViews>
  <sheetFormatPr defaultRowHeight="14.25"/>
  <cols>
    <col min="1" max="3" width="20" customWidth="1"/>
  </cols>
  <sheetData>
    <row r="1" spans="1:3" ht="30" customHeight="1">
      <c r="A1" s="39" t="s">
        <v>81</v>
      </c>
      <c r="B1" s="39" t="s">
        <v>81</v>
      </c>
      <c r="C1" s="39" t="s">
        <v>81</v>
      </c>
    </row>
    <row r="2" spans="1:3" ht="30" customHeight="1">
      <c r="A2" s="39" t="s">
        <v>81</v>
      </c>
      <c r="B2" s="39" t="s">
        <v>81</v>
      </c>
      <c r="C2" s="39" t="s">
        <v>81</v>
      </c>
    </row>
    <row r="3" spans="1:3" ht="15">
      <c r="A3" s="67" t="s">
        <v>82</v>
      </c>
      <c r="B3" s="67"/>
      <c r="C3" s="67"/>
    </row>
    <row r="4" spans="1:3" ht="15">
      <c r="A4" s="12" t="s">
        <v>12</v>
      </c>
      <c r="B4" s="12" t="s">
        <v>4</v>
      </c>
      <c r="C4" s="12" t="s">
        <v>83</v>
      </c>
    </row>
    <row r="5" spans="1:3" ht="15">
      <c r="A5" s="20">
        <v>40210</v>
      </c>
      <c r="B5" s="14">
        <v>190332983.03999999</v>
      </c>
      <c r="C5" s="18">
        <v>11839</v>
      </c>
    </row>
    <row r="6" spans="1:3" ht="15">
      <c r="A6" s="20">
        <v>40238</v>
      </c>
      <c r="B6" s="14">
        <v>181919802.5</v>
      </c>
      <c r="C6" s="18">
        <v>11788</v>
      </c>
    </row>
    <row r="7" spans="1:3" ht="15">
      <c r="A7" s="20">
        <v>40269</v>
      </c>
      <c r="B7" s="14">
        <v>231412368.05000001</v>
      </c>
      <c r="C7" s="18">
        <v>14697</v>
      </c>
    </row>
    <row r="8" spans="1:3" ht="15">
      <c r="A8" s="20">
        <v>40299</v>
      </c>
      <c r="B8" s="14">
        <v>186710934.34</v>
      </c>
      <c r="C8" s="18">
        <v>11672</v>
      </c>
    </row>
    <row r="9" spans="1:3" ht="15">
      <c r="A9" s="20">
        <v>40330</v>
      </c>
      <c r="B9" s="14">
        <v>192246172.36000001</v>
      </c>
      <c r="C9" s="18">
        <v>11661</v>
      </c>
    </row>
    <row r="10" spans="1:3" ht="15">
      <c r="A10" s="20">
        <v>40360</v>
      </c>
      <c r="B10" s="14">
        <v>232580125.97999999</v>
      </c>
      <c r="C10" s="18">
        <v>14561</v>
      </c>
    </row>
    <row r="11" spans="1:3" ht="15">
      <c r="A11" s="20">
        <v>40391</v>
      </c>
      <c r="B11" s="14">
        <v>187640110.88999999</v>
      </c>
      <c r="C11" s="18">
        <v>11603</v>
      </c>
    </row>
    <row r="12" spans="1:3" ht="15">
      <c r="A12" s="20">
        <v>40422</v>
      </c>
      <c r="B12" s="14">
        <v>177267896.37</v>
      </c>
      <c r="C12" s="18">
        <v>11724</v>
      </c>
    </row>
    <row r="13" spans="1:3" ht="15">
      <c r="A13" s="20">
        <v>40452</v>
      </c>
      <c r="B13" s="14">
        <v>217161824.02000001</v>
      </c>
      <c r="C13" s="18">
        <v>14667</v>
      </c>
    </row>
    <row r="14" spans="1:3" ht="15">
      <c r="A14" s="20">
        <v>40483</v>
      </c>
      <c r="B14" s="14">
        <v>202853370.13999999</v>
      </c>
      <c r="C14" s="18">
        <v>11712</v>
      </c>
    </row>
    <row r="15" spans="1:3" ht="15">
      <c r="A15" s="20">
        <v>40513</v>
      </c>
      <c r="B15" s="14">
        <v>288760532.72000003</v>
      </c>
      <c r="C15" s="18">
        <v>14755</v>
      </c>
    </row>
    <row r="16" spans="1:3" ht="15">
      <c r="A16" s="20">
        <v>40544</v>
      </c>
      <c r="B16" s="14">
        <v>163703966.83000001</v>
      </c>
      <c r="C16" s="18">
        <v>11695</v>
      </c>
    </row>
    <row r="17" spans="1:3" ht="15">
      <c r="A17" s="20">
        <v>40575</v>
      </c>
      <c r="B17" s="14">
        <v>186331327.87</v>
      </c>
      <c r="C17" s="18">
        <v>11741</v>
      </c>
    </row>
    <row r="18" spans="1:3" ht="15">
      <c r="A18" s="20">
        <v>40603</v>
      </c>
      <c r="B18" s="14">
        <v>179356448.28999999</v>
      </c>
      <c r="C18" s="18">
        <v>11813</v>
      </c>
    </row>
    <row r="19" spans="1:3" ht="15">
      <c r="A19" s="20">
        <v>40634</v>
      </c>
      <c r="B19" s="14">
        <v>226526510.97</v>
      </c>
      <c r="C19" s="18">
        <v>14746</v>
      </c>
    </row>
    <row r="20" spans="1:3" ht="15">
      <c r="A20" s="20">
        <v>40664</v>
      </c>
      <c r="B20" s="14">
        <v>181648158.16</v>
      </c>
      <c r="C20" s="18">
        <v>11820</v>
      </c>
    </row>
    <row r="21" spans="1:3" ht="15">
      <c r="A21" s="20">
        <v>40695</v>
      </c>
      <c r="B21" s="14">
        <v>189773385.19</v>
      </c>
      <c r="C21" s="18">
        <v>11723</v>
      </c>
    </row>
    <row r="22" spans="1:3" ht="15">
      <c r="A22" s="20">
        <v>40725</v>
      </c>
      <c r="B22" s="14">
        <v>229911398.87</v>
      </c>
      <c r="C22" s="18">
        <v>14621</v>
      </c>
    </row>
    <row r="23" spans="1:3" ht="15">
      <c r="A23" s="20">
        <v>40756</v>
      </c>
      <c r="B23" s="14">
        <v>188599332.25</v>
      </c>
      <c r="C23" s="18">
        <v>11765</v>
      </c>
    </row>
    <row r="24" spans="1:3" ht="15">
      <c r="A24" s="20">
        <v>40787</v>
      </c>
      <c r="B24" s="14">
        <v>220847738.41999999</v>
      </c>
      <c r="C24" s="18">
        <v>14761</v>
      </c>
    </row>
    <row r="25" spans="1:3" ht="15">
      <c r="A25" s="20">
        <v>40817</v>
      </c>
      <c r="B25" s="14">
        <v>183261283.15000001</v>
      </c>
      <c r="C25" s="18">
        <v>11820</v>
      </c>
    </row>
    <row r="26" spans="1:3" ht="15">
      <c r="A26" s="20">
        <v>40848</v>
      </c>
      <c r="B26" s="14">
        <v>210162354.87</v>
      </c>
      <c r="C26" s="18">
        <v>11901</v>
      </c>
    </row>
    <row r="27" spans="1:3" ht="15">
      <c r="A27" s="20">
        <v>40878</v>
      </c>
      <c r="B27" s="14">
        <v>288078102.48000002</v>
      </c>
      <c r="C27" s="18">
        <v>15047</v>
      </c>
    </row>
    <row r="28" spans="1:3" ht="15">
      <c r="A28" s="20">
        <v>40909</v>
      </c>
      <c r="B28" s="14">
        <v>168894471.66</v>
      </c>
      <c r="C28" s="18">
        <v>11850</v>
      </c>
    </row>
    <row r="29" spans="1:3" ht="15">
      <c r="A29" s="20">
        <v>40940</v>
      </c>
      <c r="B29" s="14">
        <v>192063579.53999999</v>
      </c>
      <c r="C29" s="18">
        <v>11946</v>
      </c>
    </row>
    <row r="30" spans="1:3" ht="15">
      <c r="A30" s="20">
        <v>40969</v>
      </c>
      <c r="B30" s="14">
        <v>231509650.49000001</v>
      </c>
      <c r="C30" s="18">
        <v>14850</v>
      </c>
    </row>
    <row r="31" spans="1:3" ht="15">
      <c r="A31" s="20">
        <v>41000</v>
      </c>
      <c r="B31" s="14">
        <v>188920905.94999999</v>
      </c>
      <c r="C31" s="18">
        <v>11889</v>
      </c>
    </row>
    <row r="32" spans="1:3" ht="15">
      <c r="A32" s="20">
        <v>41030</v>
      </c>
      <c r="B32" s="14">
        <v>188766479.44999999</v>
      </c>
      <c r="C32" s="18">
        <v>11822</v>
      </c>
    </row>
    <row r="33" spans="1:3" ht="15">
      <c r="A33" s="20">
        <v>41061</v>
      </c>
      <c r="B33" s="14">
        <v>240610329.28999999</v>
      </c>
      <c r="C33" s="18">
        <v>14753</v>
      </c>
    </row>
    <row r="34" spans="1:3" ht="15">
      <c r="A34" s="20">
        <v>41091</v>
      </c>
      <c r="B34" s="14">
        <v>187509452.40000001</v>
      </c>
      <c r="C34" s="18">
        <v>11798</v>
      </c>
    </row>
    <row r="35" spans="1:3" ht="15">
      <c r="A35" s="20">
        <v>41122</v>
      </c>
      <c r="B35" s="14">
        <v>236850765.68000001</v>
      </c>
      <c r="C35" s="18">
        <v>14801</v>
      </c>
    </row>
    <row r="36" spans="1:3" ht="15">
      <c r="A36" s="20">
        <v>41153</v>
      </c>
      <c r="B36" s="14">
        <v>180645544.47</v>
      </c>
      <c r="C36" s="18">
        <v>11854</v>
      </c>
    </row>
    <row r="37" spans="1:3" ht="15">
      <c r="A37" s="20">
        <v>41183</v>
      </c>
      <c r="B37" s="14">
        <v>184361680.41999999</v>
      </c>
      <c r="C37" s="18">
        <v>11875</v>
      </c>
    </row>
  </sheetData>
  <mergeCells count="2">
    <mergeCell ref="A1:C2"/>
    <mergeCell ref="A3:C3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938"/>
  <sheetViews>
    <sheetView showGridLines="0" workbookViewId="0">
      <selection sqref="A1:L1"/>
    </sheetView>
  </sheetViews>
  <sheetFormatPr defaultRowHeight="14.25"/>
  <cols>
    <col min="1" max="3" width="15" customWidth="1"/>
    <col min="4" max="4" width="11" customWidth="1"/>
    <col min="5" max="5" width="15" customWidth="1"/>
    <col min="6" max="6" width="10" customWidth="1"/>
    <col min="7" max="7" width="15" customWidth="1"/>
    <col min="8" max="8" width="17" customWidth="1"/>
    <col min="9" max="12" width="15" customWidth="1"/>
  </cols>
  <sheetData>
    <row r="1" spans="1:12" ht="19.5">
      <c r="A1" s="68" t="s">
        <v>84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1:12" ht="1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5">
      <c r="A3" s="12" t="s">
        <v>85</v>
      </c>
      <c r="B3" s="12" t="s">
        <v>12</v>
      </c>
      <c r="C3" s="12" t="s">
        <v>75</v>
      </c>
      <c r="D3" s="12" t="s">
        <v>86</v>
      </c>
      <c r="E3" s="12" t="s">
        <v>87</v>
      </c>
      <c r="F3" s="12" t="s">
        <v>88</v>
      </c>
      <c r="G3" s="12" t="s">
        <v>4</v>
      </c>
      <c r="H3" s="12" t="s">
        <v>89</v>
      </c>
      <c r="I3" s="12" t="s">
        <v>8</v>
      </c>
      <c r="J3" s="12" t="s">
        <v>67</v>
      </c>
      <c r="K3" s="12" t="s">
        <v>69</v>
      </c>
      <c r="L3" s="12" t="s">
        <v>71</v>
      </c>
    </row>
    <row r="4" spans="1:12" ht="15">
      <c r="A4" s="21">
        <v>40914</v>
      </c>
      <c r="B4" s="21">
        <v>40909</v>
      </c>
      <c r="C4" s="17">
        <v>1</v>
      </c>
      <c r="D4" s="17" t="s">
        <v>90</v>
      </c>
      <c r="E4" s="18">
        <v>151315</v>
      </c>
      <c r="F4" s="17" t="s">
        <v>91</v>
      </c>
      <c r="G4" s="14">
        <v>1550369.92</v>
      </c>
      <c r="H4" s="14">
        <v>1444732.28</v>
      </c>
      <c r="I4" s="14">
        <v>1444732.28</v>
      </c>
      <c r="J4" s="22">
        <f>H4*(1+Assumptions!$B$6+IF(F4="Yes",Assumptions!$C$6,0))</f>
        <v>1488074.2484000002</v>
      </c>
      <c r="K4" s="22">
        <f>H4*(1+Assumptions!$B$7+IF(F4="Yes",Assumptions!$C$7,0))</f>
        <v>1516968.8940000001</v>
      </c>
      <c r="L4" s="22">
        <f>H4*(1+Assumptions!$B$8+IF(F4="Yes",Assumptions!$C$8,0))</f>
        <v>1459179.6028</v>
      </c>
    </row>
    <row r="5" spans="1:12" ht="15">
      <c r="A5" s="21">
        <v>40914</v>
      </c>
      <c r="B5" s="21">
        <v>40909</v>
      </c>
      <c r="C5" s="17">
        <v>2</v>
      </c>
      <c r="D5" s="17" t="s">
        <v>90</v>
      </c>
      <c r="E5" s="18">
        <v>202307</v>
      </c>
      <c r="F5" s="17" t="s">
        <v>91</v>
      </c>
      <c r="G5" s="14">
        <v>1799520.1400000001</v>
      </c>
      <c r="H5" s="14">
        <v>1758050.79</v>
      </c>
      <c r="I5" s="14">
        <v>1758050.79</v>
      </c>
      <c r="J5" s="22">
        <f>H5*(1+Assumptions!$B$6+IF(F5="Yes",Assumptions!$C$6,0))</f>
        <v>1810792.3137000001</v>
      </c>
      <c r="K5" s="22">
        <f>H5*(1+Assumptions!$B$7+IF(F5="Yes",Assumptions!$C$7,0))</f>
        <v>1845953.3295000002</v>
      </c>
      <c r="L5" s="22">
        <f>H5*(1+Assumptions!$B$8+IF(F5="Yes",Assumptions!$C$8,0))</f>
        <v>1775631.2979000001</v>
      </c>
    </row>
    <row r="6" spans="1:12" ht="15">
      <c r="A6" s="21">
        <v>40914</v>
      </c>
      <c r="B6" s="21">
        <v>40909</v>
      </c>
      <c r="C6" s="17">
        <v>3</v>
      </c>
      <c r="D6" s="17" t="s">
        <v>92</v>
      </c>
      <c r="E6" s="18">
        <v>37392</v>
      </c>
      <c r="F6" s="17" t="s">
        <v>91</v>
      </c>
      <c r="G6" s="14">
        <v>397940.27</v>
      </c>
      <c r="H6" s="14">
        <v>378237.33999999997</v>
      </c>
      <c r="I6" s="14">
        <v>378237.33999999997</v>
      </c>
      <c r="J6" s="22">
        <f>H6*(1+Assumptions!$B$6+IF(F6="Yes",Assumptions!$C$6,0))</f>
        <v>389584.46019999997</v>
      </c>
      <c r="K6" s="22">
        <f>H6*(1+Assumptions!$B$7+IF(F6="Yes",Assumptions!$C$7,0))</f>
        <v>397149.20699999999</v>
      </c>
      <c r="L6" s="22">
        <f>H6*(1+Assumptions!$B$8+IF(F6="Yes",Assumptions!$C$8,0))</f>
        <v>382019.71339999995</v>
      </c>
    </row>
    <row r="7" spans="1:12" ht="15">
      <c r="A7" s="21">
        <v>40914</v>
      </c>
      <c r="B7" s="21">
        <v>40909</v>
      </c>
      <c r="C7" s="17">
        <v>4</v>
      </c>
      <c r="D7" s="17" t="s">
        <v>90</v>
      </c>
      <c r="E7" s="18">
        <v>205863</v>
      </c>
      <c r="F7" s="17" t="s">
        <v>91</v>
      </c>
      <c r="G7" s="14">
        <v>2047854.07</v>
      </c>
      <c r="H7" s="14">
        <v>1862476.27</v>
      </c>
      <c r="I7" s="14">
        <v>1862476.27</v>
      </c>
      <c r="J7" s="22">
        <f>H7*(1+Assumptions!$B$6+IF(F7="Yes",Assumptions!$C$6,0))</f>
        <v>1918350.5581</v>
      </c>
      <c r="K7" s="22">
        <f>H7*(1+Assumptions!$B$7+IF(F7="Yes",Assumptions!$C$7,0))</f>
        <v>1955600.0835000002</v>
      </c>
      <c r="L7" s="22">
        <f>H7*(1+Assumptions!$B$8+IF(F7="Yes",Assumptions!$C$8,0))</f>
        <v>1881101.0327000001</v>
      </c>
    </row>
    <row r="8" spans="1:12" ht="15">
      <c r="A8" s="21">
        <v>40914</v>
      </c>
      <c r="B8" s="21">
        <v>40909</v>
      </c>
      <c r="C8" s="17">
        <v>5</v>
      </c>
      <c r="D8" s="17" t="s">
        <v>92</v>
      </c>
      <c r="E8" s="18">
        <v>34875</v>
      </c>
      <c r="F8" s="17" t="s">
        <v>91</v>
      </c>
      <c r="G8" s="14">
        <v>311949.98</v>
      </c>
      <c r="H8" s="14">
        <v>285903.09000000003</v>
      </c>
      <c r="I8" s="14">
        <v>285903.09000000003</v>
      </c>
      <c r="J8" s="22">
        <f>H8*(1+Assumptions!$B$6+IF(F8="Yes",Assumptions!$C$6,0))</f>
        <v>294480.18270000006</v>
      </c>
      <c r="K8" s="22">
        <f>H8*(1+Assumptions!$B$7+IF(F8="Yes",Assumptions!$C$7,0))</f>
        <v>300198.24450000003</v>
      </c>
      <c r="L8" s="22">
        <f>H8*(1+Assumptions!$B$8+IF(F8="Yes",Assumptions!$C$8,0))</f>
        <v>288762.12090000004</v>
      </c>
    </row>
    <row r="9" spans="1:12" ht="15">
      <c r="A9" s="21">
        <v>40914</v>
      </c>
      <c r="B9" s="21">
        <v>40909</v>
      </c>
      <c r="C9" s="17">
        <v>6</v>
      </c>
      <c r="D9" s="17" t="s">
        <v>90</v>
      </c>
      <c r="E9" s="18">
        <v>202505</v>
      </c>
      <c r="F9" s="17" t="s">
        <v>91</v>
      </c>
      <c r="G9" s="14">
        <v>1395339.71</v>
      </c>
      <c r="H9" s="14">
        <v>1350407.27</v>
      </c>
      <c r="I9" s="14">
        <v>1350407.27</v>
      </c>
      <c r="J9" s="22">
        <f>H9*(1+Assumptions!$B$6+IF(F9="Yes",Assumptions!$C$6,0))</f>
        <v>1390919.4881</v>
      </c>
      <c r="K9" s="22">
        <f>H9*(1+Assumptions!$B$7+IF(F9="Yes",Assumptions!$C$7,0))</f>
        <v>1417927.6335</v>
      </c>
      <c r="L9" s="22">
        <f>H9*(1+Assumptions!$B$8+IF(F9="Yes",Assumptions!$C$8,0))</f>
        <v>1363911.3426999999</v>
      </c>
    </row>
    <row r="10" spans="1:12" ht="15">
      <c r="A10" s="21">
        <v>40914</v>
      </c>
      <c r="B10" s="21">
        <v>40909</v>
      </c>
      <c r="C10" s="17">
        <v>7</v>
      </c>
      <c r="D10" s="17" t="s">
        <v>92</v>
      </c>
      <c r="E10" s="18">
        <v>70713</v>
      </c>
      <c r="F10" s="17" t="s">
        <v>91</v>
      </c>
      <c r="G10" s="14">
        <v>711831.09</v>
      </c>
      <c r="H10" s="14">
        <v>661092.1</v>
      </c>
      <c r="I10" s="14">
        <v>661092.1</v>
      </c>
      <c r="J10" s="22">
        <f>H10*(1+Assumptions!$B$6+IF(F10="Yes",Assumptions!$C$6,0))</f>
        <v>680924.86300000001</v>
      </c>
      <c r="K10" s="22">
        <f>H10*(1+Assumptions!$B$7+IF(F10="Yes",Assumptions!$C$7,0))</f>
        <v>694146.70499999996</v>
      </c>
      <c r="L10" s="22">
        <f>H10*(1+Assumptions!$B$8+IF(F10="Yes",Assumptions!$C$8,0))</f>
        <v>667703.02099999995</v>
      </c>
    </row>
    <row r="11" spans="1:12" ht="15">
      <c r="A11" s="21">
        <v>40914</v>
      </c>
      <c r="B11" s="21">
        <v>40909</v>
      </c>
      <c r="C11" s="17">
        <v>8</v>
      </c>
      <c r="D11" s="17" t="s">
        <v>90</v>
      </c>
      <c r="E11" s="18">
        <v>155078</v>
      </c>
      <c r="F11" s="17" t="s">
        <v>91</v>
      </c>
      <c r="G11" s="14">
        <v>872028.85</v>
      </c>
      <c r="H11" s="14">
        <v>873065.23</v>
      </c>
      <c r="I11" s="14">
        <v>873065.23</v>
      </c>
      <c r="J11" s="22">
        <f>H11*(1+Assumptions!$B$6+IF(F11="Yes",Assumptions!$C$6,0))</f>
        <v>899257.18689999997</v>
      </c>
      <c r="K11" s="22">
        <f>H11*(1+Assumptions!$B$7+IF(F11="Yes",Assumptions!$C$7,0))</f>
        <v>916718.4915</v>
      </c>
      <c r="L11" s="22">
        <f>H11*(1+Assumptions!$B$8+IF(F11="Yes",Assumptions!$C$8,0))</f>
        <v>881795.88229999994</v>
      </c>
    </row>
    <row r="12" spans="1:12" ht="15">
      <c r="A12" s="21">
        <v>40914</v>
      </c>
      <c r="B12" s="21">
        <v>40909</v>
      </c>
      <c r="C12" s="17">
        <v>9</v>
      </c>
      <c r="D12" s="17" t="s">
        <v>92</v>
      </c>
      <c r="E12" s="18">
        <v>125833</v>
      </c>
      <c r="F12" s="17" t="s">
        <v>91</v>
      </c>
      <c r="G12" s="14">
        <v>518803.3</v>
      </c>
      <c r="H12" s="14">
        <v>490982.78</v>
      </c>
      <c r="I12" s="14">
        <v>490982.78</v>
      </c>
      <c r="J12" s="22">
        <f>H12*(1+Assumptions!$B$6+IF(F12="Yes",Assumptions!$C$6,0))</f>
        <v>505712.26340000005</v>
      </c>
      <c r="K12" s="22">
        <f>H12*(1+Assumptions!$B$7+IF(F12="Yes",Assumptions!$C$7,0))</f>
        <v>515531.91900000005</v>
      </c>
      <c r="L12" s="22">
        <f>H12*(1+Assumptions!$B$8+IF(F12="Yes",Assumptions!$C$8,0))</f>
        <v>495892.60780000006</v>
      </c>
    </row>
    <row r="13" spans="1:12" ht="15">
      <c r="A13" s="21">
        <v>40914</v>
      </c>
      <c r="B13" s="21">
        <v>40909</v>
      </c>
      <c r="C13" s="17">
        <v>10</v>
      </c>
      <c r="D13" s="17" t="s">
        <v>92</v>
      </c>
      <c r="E13" s="18">
        <v>126512</v>
      </c>
      <c r="F13" s="17" t="s">
        <v>91</v>
      </c>
      <c r="G13" s="14">
        <v>1682572.78</v>
      </c>
      <c r="H13" s="14">
        <v>1714337.07</v>
      </c>
      <c r="I13" s="14">
        <v>1714337.07</v>
      </c>
      <c r="J13" s="22">
        <f>H13*(1+Assumptions!$B$6+IF(F13="Yes",Assumptions!$C$6,0))</f>
        <v>1765767.1821000001</v>
      </c>
      <c r="K13" s="22">
        <f>H13*(1+Assumptions!$B$7+IF(F13="Yes",Assumptions!$C$7,0))</f>
        <v>1800053.9235</v>
      </c>
      <c r="L13" s="22">
        <f>H13*(1+Assumptions!$B$8+IF(F13="Yes",Assumptions!$C$8,0))</f>
        <v>1731480.4407000002</v>
      </c>
    </row>
    <row r="14" spans="1:12" ht="15">
      <c r="A14" s="21">
        <v>40914</v>
      </c>
      <c r="B14" s="21">
        <v>40909</v>
      </c>
      <c r="C14" s="17">
        <v>11</v>
      </c>
      <c r="D14" s="17" t="s">
        <v>90</v>
      </c>
      <c r="E14" s="18">
        <v>207499</v>
      </c>
      <c r="F14" s="17" t="s">
        <v>91</v>
      </c>
      <c r="G14" s="14">
        <v>1282525.7</v>
      </c>
      <c r="H14" s="14">
        <v>1178905.44</v>
      </c>
      <c r="I14" s="14">
        <v>1178905.44</v>
      </c>
      <c r="J14" s="22">
        <f>H14*(1+Assumptions!$B$6+IF(F14="Yes",Assumptions!$C$6,0))</f>
        <v>1214272.6032</v>
      </c>
      <c r="K14" s="22">
        <f>H14*(1+Assumptions!$B$7+IF(F14="Yes",Assumptions!$C$7,0))</f>
        <v>1237850.7120000001</v>
      </c>
      <c r="L14" s="22">
        <f>H14*(1+Assumptions!$B$8+IF(F14="Yes",Assumptions!$C$8,0))</f>
        <v>1190694.4944</v>
      </c>
    </row>
    <row r="15" spans="1:12" ht="15">
      <c r="A15" s="21">
        <v>40914</v>
      </c>
      <c r="B15" s="21">
        <v>40909</v>
      </c>
      <c r="C15" s="17">
        <v>12</v>
      </c>
      <c r="D15" s="17" t="s">
        <v>92</v>
      </c>
      <c r="E15" s="18">
        <v>112238</v>
      </c>
      <c r="F15" s="17" t="s">
        <v>91</v>
      </c>
      <c r="G15" s="14">
        <v>945793.95</v>
      </c>
      <c r="H15" s="14">
        <v>910110.24</v>
      </c>
      <c r="I15" s="14">
        <v>910110.24</v>
      </c>
      <c r="J15" s="22">
        <f>H15*(1+Assumptions!$B$6+IF(F15="Yes",Assumptions!$C$6,0))</f>
        <v>937413.54720000003</v>
      </c>
      <c r="K15" s="22">
        <f>H15*(1+Assumptions!$B$7+IF(F15="Yes",Assumptions!$C$7,0))</f>
        <v>955615.75199999998</v>
      </c>
      <c r="L15" s="22">
        <f>H15*(1+Assumptions!$B$8+IF(F15="Yes",Assumptions!$C$8,0))</f>
        <v>919211.34239999996</v>
      </c>
    </row>
    <row r="16" spans="1:12" ht="15">
      <c r="A16" s="21">
        <v>40914</v>
      </c>
      <c r="B16" s="21">
        <v>40909</v>
      </c>
      <c r="C16" s="17">
        <v>13</v>
      </c>
      <c r="D16" s="17" t="s">
        <v>90</v>
      </c>
      <c r="E16" s="18">
        <v>219622</v>
      </c>
      <c r="F16" s="17" t="s">
        <v>91</v>
      </c>
      <c r="G16" s="14">
        <v>1865727.78</v>
      </c>
      <c r="H16" s="14">
        <v>1744544.39</v>
      </c>
      <c r="I16" s="14">
        <v>1744544.39</v>
      </c>
      <c r="J16" s="22">
        <f>H16*(1+Assumptions!$B$6+IF(F16="Yes",Assumptions!$C$6,0))</f>
        <v>1796880.7216999999</v>
      </c>
      <c r="K16" s="22">
        <f>H16*(1+Assumptions!$B$7+IF(F16="Yes",Assumptions!$C$7,0))</f>
        <v>1831771.6095</v>
      </c>
      <c r="L16" s="22">
        <f>H16*(1+Assumptions!$B$8+IF(F16="Yes",Assumptions!$C$8,0))</f>
        <v>1761989.8339</v>
      </c>
    </row>
    <row r="17" spans="1:12" ht="15">
      <c r="A17" s="21">
        <v>40914</v>
      </c>
      <c r="B17" s="21">
        <v>40909</v>
      </c>
      <c r="C17" s="17">
        <v>14</v>
      </c>
      <c r="D17" s="17" t="s">
        <v>90</v>
      </c>
      <c r="E17" s="18">
        <v>200898</v>
      </c>
      <c r="F17" s="17" t="s">
        <v>91</v>
      </c>
      <c r="G17" s="14">
        <v>1859272.98</v>
      </c>
      <c r="H17" s="14">
        <v>1864746.1</v>
      </c>
      <c r="I17" s="14">
        <v>1864746.1</v>
      </c>
      <c r="J17" s="22">
        <f>H17*(1+Assumptions!$B$6+IF(F17="Yes",Assumptions!$C$6,0))</f>
        <v>1920688.4830000002</v>
      </c>
      <c r="K17" s="22">
        <f>H17*(1+Assumptions!$B$7+IF(F17="Yes",Assumptions!$C$7,0))</f>
        <v>1957983.4050000003</v>
      </c>
      <c r="L17" s="22">
        <f>H17*(1+Assumptions!$B$8+IF(F17="Yes",Assumptions!$C$8,0))</f>
        <v>1883393.5610000002</v>
      </c>
    </row>
    <row r="18" spans="1:12" ht="15">
      <c r="A18" s="21">
        <v>40914</v>
      </c>
      <c r="B18" s="21">
        <v>40909</v>
      </c>
      <c r="C18" s="17">
        <v>15</v>
      </c>
      <c r="D18" s="17" t="s">
        <v>92</v>
      </c>
      <c r="E18" s="18">
        <v>123737</v>
      </c>
      <c r="F18" s="17" t="s">
        <v>91</v>
      </c>
      <c r="G18" s="14">
        <v>516075.27</v>
      </c>
      <c r="H18" s="14">
        <v>508046.61</v>
      </c>
      <c r="I18" s="14">
        <v>508046.61</v>
      </c>
      <c r="J18" s="22">
        <f>H18*(1+Assumptions!$B$6+IF(F18="Yes",Assumptions!$C$6,0))</f>
        <v>523288.00829999999</v>
      </c>
      <c r="K18" s="22">
        <f>H18*(1+Assumptions!$B$7+IF(F18="Yes",Assumptions!$C$7,0))</f>
        <v>533448.94050000003</v>
      </c>
      <c r="L18" s="22">
        <f>H18*(1+Assumptions!$B$8+IF(F18="Yes",Assumptions!$C$8,0))</f>
        <v>513127.07610000001</v>
      </c>
    </row>
    <row r="19" spans="1:12" ht="15">
      <c r="A19" s="21">
        <v>40914</v>
      </c>
      <c r="B19" s="21">
        <v>40909</v>
      </c>
      <c r="C19" s="17">
        <v>16</v>
      </c>
      <c r="D19" s="17" t="s">
        <v>92</v>
      </c>
      <c r="E19" s="18">
        <v>57197</v>
      </c>
      <c r="F19" s="17" t="s">
        <v>91</v>
      </c>
      <c r="G19" s="14">
        <v>562695.36</v>
      </c>
      <c r="H19" s="14">
        <v>573259.21</v>
      </c>
      <c r="I19" s="14">
        <v>573259.21</v>
      </c>
      <c r="J19" s="22">
        <f>H19*(1+Assumptions!$B$6+IF(F19="Yes",Assumptions!$C$6,0))</f>
        <v>590456.98629999999</v>
      </c>
      <c r="K19" s="22">
        <f>H19*(1+Assumptions!$B$7+IF(F19="Yes",Assumptions!$C$7,0))</f>
        <v>601922.17050000001</v>
      </c>
      <c r="L19" s="22">
        <f>H19*(1+Assumptions!$B$8+IF(F19="Yes",Assumptions!$C$8,0))</f>
        <v>578991.80209999997</v>
      </c>
    </row>
    <row r="20" spans="1:12" ht="15">
      <c r="A20" s="21">
        <v>40914</v>
      </c>
      <c r="B20" s="21">
        <v>40909</v>
      </c>
      <c r="C20" s="17">
        <v>17</v>
      </c>
      <c r="D20" s="17" t="s">
        <v>92</v>
      </c>
      <c r="E20" s="18">
        <v>93188</v>
      </c>
      <c r="F20" s="17" t="s">
        <v>91</v>
      </c>
      <c r="G20" s="14">
        <v>1197672.1399999999</v>
      </c>
      <c r="H20" s="14">
        <v>1083071.1399999999</v>
      </c>
      <c r="I20" s="14">
        <v>1083071.1399999999</v>
      </c>
      <c r="J20" s="22">
        <f>H20*(1+Assumptions!$B$6+IF(F20="Yes",Assumptions!$C$6,0))</f>
        <v>1115563.2741999999</v>
      </c>
      <c r="K20" s="22">
        <f>H20*(1+Assumptions!$B$7+IF(F20="Yes",Assumptions!$C$7,0))</f>
        <v>1137224.6969999999</v>
      </c>
      <c r="L20" s="22">
        <f>H20*(1+Assumptions!$B$8+IF(F20="Yes",Assumptions!$C$8,0))</f>
        <v>1093901.8513999998</v>
      </c>
    </row>
    <row r="21" spans="1:12" ht="15">
      <c r="A21" s="21">
        <v>40914</v>
      </c>
      <c r="B21" s="21">
        <v>40909</v>
      </c>
      <c r="C21" s="17">
        <v>18</v>
      </c>
      <c r="D21" s="17" t="s">
        <v>92</v>
      </c>
      <c r="E21" s="18">
        <v>120653</v>
      </c>
      <c r="F21" s="17" t="s">
        <v>91</v>
      </c>
      <c r="G21" s="14">
        <v>975836.01</v>
      </c>
      <c r="H21" s="14">
        <v>933960.3</v>
      </c>
      <c r="I21" s="14">
        <v>933960.3</v>
      </c>
      <c r="J21" s="22">
        <f>H21*(1+Assumptions!$B$6+IF(F21="Yes",Assumptions!$C$6,0))</f>
        <v>961979.10900000005</v>
      </c>
      <c r="K21" s="22">
        <f>H21*(1+Assumptions!$B$7+IF(F21="Yes",Assumptions!$C$7,0))</f>
        <v>980658.31500000006</v>
      </c>
      <c r="L21" s="22">
        <f>H21*(1+Assumptions!$B$8+IF(F21="Yes",Assumptions!$C$8,0))</f>
        <v>943299.90300000005</v>
      </c>
    </row>
    <row r="22" spans="1:12" ht="15">
      <c r="A22" s="21">
        <v>40914</v>
      </c>
      <c r="B22" s="21">
        <v>40909</v>
      </c>
      <c r="C22" s="17">
        <v>19</v>
      </c>
      <c r="D22" s="17" t="s">
        <v>90</v>
      </c>
      <c r="E22" s="18">
        <v>203819</v>
      </c>
      <c r="F22" s="17" t="s">
        <v>91</v>
      </c>
      <c r="G22" s="14">
        <v>1266570.3999999999</v>
      </c>
      <c r="H22" s="14">
        <v>1224132.03</v>
      </c>
      <c r="I22" s="14">
        <v>1224132.03</v>
      </c>
      <c r="J22" s="22">
        <f>H22*(1+Assumptions!$B$6+IF(F22="Yes",Assumptions!$C$6,0))</f>
        <v>1260855.9909000001</v>
      </c>
      <c r="K22" s="22">
        <f>H22*(1+Assumptions!$B$7+IF(F22="Yes",Assumptions!$C$7,0))</f>
        <v>1285338.6315000001</v>
      </c>
      <c r="L22" s="22">
        <f>H22*(1+Assumptions!$B$8+IF(F22="Yes",Assumptions!$C$8,0))</f>
        <v>1236373.3503</v>
      </c>
    </row>
    <row r="23" spans="1:12" ht="15">
      <c r="A23" s="21">
        <v>40914</v>
      </c>
      <c r="B23" s="21">
        <v>40909</v>
      </c>
      <c r="C23" s="17">
        <v>20</v>
      </c>
      <c r="D23" s="17" t="s">
        <v>90</v>
      </c>
      <c r="E23" s="18">
        <v>203742</v>
      </c>
      <c r="F23" s="17" t="s">
        <v>91</v>
      </c>
      <c r="G23" s="14">
        <v>1964157</v>
      </c>
      <c r="H23" s="14">
        <v>1842994.95</v>
      </c>
      <c r="I23" s="14">
        <v>1842994.95</v>
      </c>
      <c r="J23" s="22">
        <f>H23*(1+Assumptions!$B$6+IF(F23="Yes",Assumptions!$C$6,0))</f>
        <v>1898284.7985</v>
      </c>
      <c r="K23" s="22">
        <f>H23*(1+Assumptions!$B$7+IF(F23="Yes",Assumptions!$C$7,0))</f>
        <v>1935144.6975</v>
      </c>
      <c r="L23" s="22">
        <f>H23*(1+Assumptions!$B$8+IF(F23="Yes",Assumptions!$C$8,0))</f>
        <v>1861424.8995000001</v>
      </c>
    </row>
    <row r="24" spans="1:12" ht="15">
      <c r="A24" s="21">
        <v>40914</v>
      </c>
      <c r="B24" s="21">
        <v>40909</v>
      </c>
      <c r="C24" s="17">
        <v>21</v>
      </c>
      <c r="D24" s="17" t="s">
        <v>92</v>
      </c>
      <c r="E24" s="18">
        <v>140167</v>
      </c>
      <c r="F24" s="17" t="s">
        <v>91</v>
      </c>
      <c r="G24" s="14">
        <v>640096.76</v>
      </c>
      <c r="H24" s="14">
        <v>629152.05999999994</v>
      </c>
      <c r="I24" s="14">
        <v>629152.05999999994</v>
      </c>
      <c r="J24" s="22">
        <f>H24*(1+Assumptions!$B$6+IF(F24="Yes",Assumptions!$C$6,0))</f>
        <v>648026.62179999996</v>
      </c>
      <c r="K24" s="22">
        <f>H24*(1+Assumptions!$B$7+IF(F24="Yes",Assumptions!$C$7,0))</f>
        <v>660609.66299999994</v>
      </c>
      <c r="L24" s="22">
        <f>H24*(1+Assumptions!$B$8+IF(F24="Yes",Assumptions!$C$8,0))</f>
        <v>635443.58059999999</v>
      </c>
    </row>
    <row r="25" spans="1:12" ht="15">
      <c r="A25" s="21">
        <v>40914</v>
      </c>
      <c r="B25" s="21">
        <v>40909</v>
      </c>
      <c r="C25" s="17">
        <v>22</v>
      </c>
      <c r="D25" s="17" t="s">
        <v>92</v>
      </c>
      <c r="E25" s="18">
        <v>119557</v>
      </c>
      <c r="F25" s="17" t="s">
        <v>91</v>
      </c>
      <c r="G25" s="14">
        <v>894041.38</v>
      </c>
      <c r="H25" s="14">
        <v>873944.23</v>
      </c>
      <c r="I25" s="14">
        <v>873944.23</v>
      </c>
      <c r="J25" s="22">
        <f>H25*(1+Assumptions!$B$6+IF(F25="Yes",Assumptions!$C$6,0))</f>
        <v>900162.55689999997</v>
      </c>
      <c r="K25" s="22">
        <f>H25*(1+Assumptions!$B$7+IF(F25="Yes",Assumptions!$C$7,0))</f>
        <v>917641.44150000007</v>
      </c>
      <c r="L25" s="22">
        <f>H25*(1+Assumptions!$B$8+IF(F25="Yes",Assumptions!$C$8,0))</f>
        <v>882683.67229999998</v>
      </c>
    </row>
    <row r="26" spans="1:12" ht="15">
      <c r="A26" s="21">
        <v>40914</v>
      </c>
      <c r="B26" s="21">
        <v>40909</v>
      </c>
      <c r="C26" s="17">
        <v>23</v>
      </c>
      <c r="D26" s="17" t="s">
        <v>92</v>
      </c>
      <c r="E26" s="18">
        <v>114533</v>
      </c>
      <c r="F26" s="17" t="s">
        <v>91</v>
      </c>
      <c r="G26" s="14">
        <v>1150461.95</v>
      </c>
      <c r="H26" s="14">
        <v>1122136.8</v>
      </c>
      <c r="I26" s="14">
        <v>1122136.8</v>
      </c>
      <c r="J26" s="22">
        <f>H26*(1+Assumptions!$B$6+IF(F26="Yes",Assumptions!$C$6,0))</f>
        <v>1155800.9040000001</v>
      </c>
      <c r="K26" s="22">
        <f>H26*(1+Assumptions!$B$7+IF(F26="Yes",Assumptions!$C$7,0))</f>
        <v>1178243.6400000001</v>
      </c>
      <c r="L26" s="22">
        <f>H26*(1+Assumptions!$B$8+IF(F26="Yes",Assumptions!$C$8,0))</f>
        <v>1133358.1680000001</v>
      </c>
    </row>
    <row r="27" spans="1:12" ht="15">
      <c r="A27" s="21">
        <v>40914</v>
      </c>
      <c r="B27" s="21">
        <v>40909</v>
      </c>
      <c r="C27" s="17">
        <v>24</v>
      </c>
      <c r="D27" s="17" t="s">
        <v>90</v>
      </c>
      <c r="E27" s="18">
        <v>203819</v>
      </c>
      <c r="F27" s="17" t="s">
        <v>91</v>
      </c>
      <c r="G27" s="14">
        <v>1251569.9200000002</v>
      </c>
      <c r="H27" s="14">
        <v>1178641.71</v>
      </c>
      <c r="I27" s="14">
        <v>1178641.71</v>
      </c>
      <c r="J27" s="22">
        <f>H27*(1+Assumptions!$B$6+IF(F27="Yes",Assumptions!$C$6,0))</f>
        <v>1214000.9613000001</v>
      </c>
      <c r="K27" s="22">
        <f>H27*(1+Assumptions!$B$7+IF(F27="Yes",Assumptions!$C$7,0))</f>
        <v>1237573.7955</v>
      </c>
      <c r="L27" s="22">
        <f>H27*(1+Assumptions!$B$8+IF(F27="Yes",Assumptions!$C$8,0))</f>
        <v>1190428.1270999999</v>
      </c>
    </row>
    <row r="28" spans="1:12" ht="15">
      <c r="A28" s="21">
        <v>40914</v>
      </c>
      <c r="B28" s="21">
        <v>40909</v>
      </c>
      <c r="C28" s="17">
        <v>25</v>
      </c>
      <c r="D28" s="17" t="s">
        <v>92</v>
      </c>
      <c r="E28" s="18">
        <v>128107</v>
      </c>
      <c r="F28" s="17" t="s">
        <v>91</v>
      </c>
      <c r="G28" s="14">
        <v>632909.19000000006</v>
      </c>
      <c r="H28" s="14">
        <v>558758.71</v>
      </c>
      <c r="I28" s="14">
        <v>558758.71</v>
      </c>
      <c r="J28" s="22">
        <f>H28*(1+Assumptions!$B$6+IF(F28="Yes",Assumptions!$C$6,0))</f>
        <v>575521.47129999998</v>
      </c>
      <c r="K28" s="22">
        <f>H28*(1+Assumptions!$B$7+IF(F28="Yes",Assumptions!$C$7,0))</f>
        <v>586696.64549999998</v>
      </c>
      <c r="L28" s="22">
        <f>H28*(1+Assumptions!$B$8+IF(F28="Yes",Assumptions!$C$8,0))</f>
        <v>564346.29709999997</v>
      </c>
    </row>
    <row r="29" spans="1:12" ht="15">
      <c r="A29" s="21">
        <v>40914</v>
      </c>
      <c r="B29" s="21">
        <v>40909</v>
      </c>
      <c r="C29" s="17">
        <v>26</v>
      </c>
      <c r="D29" s="17" t="s">
        <v>90</v>
      </c>
      <c r="E29" s="18">
        <v>152513</v>
      </c>
      <c r="F29" s="17" t="s">
        <v>91</v>
      </c>
      <c r="G29" s="14">
        <v>971252.65</v>
      </c>
      <c r="H29" s="14">
        <v>938031.61</v>
      </c>
      <c r="I29" s="14">
        <v>938031.61</v>
      </c>
      <c r="J29" s="22">
        <f>H29*(1+Assumptions!$B$6+IF(F29="Yes",Assumptions!$C$6,0))</f>
        <v>966172.55830000003</v>
      </c>
      <c r="K29" s="22">
        <f>H29*(1+Assumptions!$B$7+IF(F29="Yes",Assumptions!$C$7,0))</f>
        <v>984933.19050000003</v>
      </c>
      <c r="L29" s="22">
        <f>H29*(1+Assumptions!$B$8+IF(F29="Yes",Assumptions!$C$8,0))</f>
        <v>947411.92610000004</v>
      </c>
    </row>
    <row r="30" spans="1:12" ht="15">
      <c r="A30" s="21">
        <v>40914</v>
      </c>
      <c r="B30" s="21">
        <v>40909</v>
      </c>
      <c r="C30" s="17">
        <v>27</v>
      </c>
      <c r="D30" s="17" t="s">
        <v>90</v>
      </c>
      <c r="E30" s="18">
        <v>204184</v>
      </c>
      <c r="F30" s="17" t="s">
        <v>91</v>
      </c>
      <c r="G30" s="14">
        <v>1535273.4</v>
      </c>
      <c r="H30" s="14">
        <v>1566191.48</v>
      </c>
      <c r="I30" s="14">
        <v>1566191.48</v>
      </c>
      <c r="J30" s="22">
        <f>H30*(1+Assumptions!$B$6+IF(F30="Yes",Assumptions!$C$6,0))</f>
        <v>1613177.2243999999</v>
      </c>
      <c r="K30" s="22">
        <f>H30*(1+Assumptions!$B$7+IF(F30="Yes",Assumptions!$C$7,0))</f>
        <v>1644501.054</v>
      </c>
      <c r="L30" s="22">
        <f>H30*(1+Assumptions!$B$8+IF(F30="Yes",Assumptions!$C$8,0))</f>
        <v>1581853.3947999999</v>
      </c>
    </row>
    <row r="31" spans="1:12" ht="15">
      <c r="A31" s="21">
        <v>40914</v>
      </c>
      <c r="B31" s="21">
        <v>40909</v>
      </c>
      <c r="C31" s="17">
        <v>28</v>
      </c>
      <c r="D31" s="17" t="s">
        <v>90</v>
      </c>
      <c r="E31" s="18">
        <v>206302</v>
      </c>
      <c r="F31" s="17" t="s">
        <v>91</v>
      </c>
      <c r="G31" s="14">
        <v>1466046.07</v>
      </c>
      <c r="H31" s="14">
        <v>1402896.47</v>
      </c>
      <c r="I31" s="14">
        <v>1402896.47</v>
      </c>
      <c r="J31" s="22">
        <f>H31*(1+Assumptions!$B$6+IF(F31="Yes",Assumptions!$C$6,0))</f>
        <v>1444983.3641000001</v>
      </c>
      <c r="K31" s="22">
        <f>H31*(1+Assumptions!$B$7+IF(F31="Yes",Assumptions!$C$7,0))</f>
        <v>1473041.2935000001</v>
      </c>
      <c r="L31" s="22">
        <f>H31*(1+Assumptions!$B$8+IF(F31="Yes",Assumptions!$C$8,0))</f>
        <v>1416925.4347000001</v>
      </c>
    </row>
    <row r="32" spans="1:12" ht="15">
      <c r="A32" s="21">
        <v>40914</v>
      </c>
      <c r="B32" s="21">
        <v>40909</v>
      </c>
      <c r="C32" s="17">
        <v>29</v>
      </c>
      <c r="D32" s="17" t="s">
        <v>92</v>
      </c>
      <c r="E32" s="18">
        <v>93638</v>
      </c>
      <c r="F32" s="17" t="s">
        <v>91</v>
      </c>
      <c r="G32" s="14">
        <v>469656.87</v>
      </c>
      <c r="H32" s="14">
        <v>455886.57</v>
      </c>
      <c r="I32" s="14">
        <v>455886.57</v>
      </c>
      <c r="J32" s="22">
        <f>H32*(1+Assumptions!$B$6+IF(F32="Yes",Assumptions!$C$6,0))</f>
        <v>469563.16710000002</v>
      </c>
      <c r="K32" s="22">
        <f>H32*(1+Assumptions!$B$7+IF(F32="Yes",Assumptions!$C$7,0))</f>
        <v>478680.89850000001</v>
      </c>
      <c r="L32" s="22">
        <f>H32*(1+Assumptions!$B$8+IF(F32="Yes",Assumptions!$C$8,0))</f>
        <v>460445.43570000003</v>
      </c>
    </row>
    <row r="33" spans="1:12" ht="15">
      <c r="A33" s="21">
        <v>40914</v>
      </c>
      <c r="B33" s="21">
        <v>40909</v>
      </c>
      <c r="C33" s="17">
        <v>30</v>
      </c>
      <c r="D33" s="17" t="s">
        <v>93</v>
      </c>
      <c r="E33" s="18">
        <v>42988</v>
      </c>
      <c r="F33" s="17" t="s">
        <v>91</v>
      </c>
      <c r="G33" s="14">
        <v>456815.93</v>
      </c>
      <c r="H33" s="14">
        <v>451072.21</v>
      </c>
      <c r="I33" s="14">
        <v>451072.21</v>
      </c>
      <c r="J33" s="22">
        <f>H33*(1+Assumptions!$B$6+IF(F33="Yes",Assumptions!$C$6,0))</f>
        <v>464604.37630000006</v>
      </c>
      <c r="K33" s="22">
        <f>H33*(1+Assumptions!$B$7+IF(F33="Yes",Assumptions!$C$7,0))</f>
        <v>473625.82050000003</v>
      </c>
      <c r="L33" s="22">
        <f>H33*(1+Assumptions!$B$8+IF(F33="Yes",Assumptions!$C$8,0))</f>
        <v>455582.93210000003</v>
      </c>
    </row>
    <row r="34" spans="1:12" ht="15">
      <c r="A34" s="21">
        <v>40914</v>
      </c>
      <c r="B34" s="21">
        <v>40909</v>
      </c>
      <c r="C34" s="17">
        <v>31</v>
      </c>
      <c r="D34" s="17" t="s">
        <v>90</v>
      </c>
      <c r="E34" s="18">
        <v>203750</v>
      </c>
      <c r="F34" s="17" t="s">
        <v>91</v>
      </c>
      <c r="G34" s="14">
        <v>1401232.52</v>
      </c>
      <c r="H34" s="14">
        <v>1311984.71</v>
      </c>
      <c r="I34" s="14">
        <v>1311984.71</v>
      </c>
      <c r="J34" s="22">
        <f>H34*(1+Assumptions!$B$6+IF(F34="Yes",Assumptions!$C$6,0))</f>
        <v>1351344.2512999999</v>
      </c>
      <c r="K34" s="22">
        <f>H34*(1+Assumptions!$B$7+IF(F34="Yes",Assumptions!$C$7,0))</f>
        <v>1377583.9454999999</v>
      </c>
      <c r="L34" s="22">
        <f>H34*(1+Assumptions!$B$8+IF(F34="Yes",Assumptions!$C$8,0))</f>
        <v>1325104.5570999999</v>
      </c>
    </row>
    <row r="35" spans="1:12" ht="15">
      <c r="A35" s="21">
        <v>40914</v>
      </c>
      <c r="B35" s="21">
        <v>40909</v>
      </c>
      <c r="C35" s="17">
        <v>32</v>
      </c>
      <c r="D35" s="17" t="s">
        <v>90</v>
      </c>
      <c r="E35" s="18">
        <v>203007</v>
      </c>
      <c r="F35" s="17" t="s">
        <v>91</v>
      </c>
      <c r="G35" s="14">
        <v>1099937.25</v>
      </c>
      <c r="H35" s="14">
        <v>1046405.25</v>
      </c>
      <c r="I35" s="14">
        <v>1046405.25</v>
      </c>
      <c r="J35" s="22">
        <f>H35*(1+Assumptions!$B$6+IF(F35="Yes",Assumptions!$C$6,0))</f>
        <v>1077797.4075</v>
      </c>
      <c r="K35" s="22">
        <f>H35*(1+Assumptions!$B$7+IF(F35="Yes",Assumptions!$C$7,0))</f>
        <v>1098725.5125</v>
      </c>
      <c r="L35" s="22">
        <f>H35*(1+Assumptions!$B$8+IF(F35="Yes",Assumptions!$C$8,0))</f>
        <v>1056869.3025</v>
      </c>
    </row>
    <row r="36" spans="1:12" ht="15">
      <c r="A36" s="21">
        <v>40914</v>
      </c>
      <c r="B36" s="21">
        <v>40909</v>
      </c>
      <c r="C36" s="17">
        <v>33</v>
      </c>
      <c r="D36" s="17" t="s">
        <v>90</v>
      </c>
      <c r="E36" s="18">
        <v>39690</v>
      </c>
      <c r="F36" s="17" t="s">
        <v>91</v>
      </c>
      <c r="G36" s="14">
        <v>267008.83</v>
      </c>
      <c r="H36" s="14">
        <v>243856.27</v>
      </c>
      <c r="I36" s="14">
        <v>243856.27</v>
      </c>
      <c r="J36" s="22">
        <f>H36*(1+Assumptions!$B$6+IF(F36="Yes",Assumptions!$C$6,0))</f>
        <v>251171.95809999999</v>
      </c>
      <c r="K36" s="22">
        <f>H36*(1+Assumptions!$B$7+IF(F36="Yes",Assumptions!$C$7,0))</f>
        <v>256049.08350000001</v>
      </c>
      <c r="L36" s="22">
        <f>H36*(1+Assumptions!$B$8+IF(F36="Yes",Assumptions!$C$8,0))</f>
        <v>246294.8327</v>
      </c>
    </row>
    <row r="37" spans="1:12" ht="15">
      <c r="A37" s="21">
        <v>40914</v>
      </c>
      <c r="B37" s="21">
        <v>40909</v>
      </c>
      <c r="C37" s="17">
        <v>34</v>
      </c>
      <c r="D37" s="17" t="s">
        <v>90</v>
      </c>
      <c r="E37" s="18">
        <v>158114</v>
      </c>
      <c r="F37" s="17" t="s">
        <v>91</v>
      </c>
      <c r="G37" s="14">
        <v>953844.85</v>
      </c>
      <c r="H37" s="14">
        <v>898050.94000000006</v>
      </c>
      <c r="I37" s="14">
        <v>898050.94000000006</v>
      </c>
      <c r="J37" s="22">
        <f>H37*(1+Assumptions!$B$6+IF(F37="Yes",Assumptions!$C$6,0))</f>
        <v>924992.46820000012</v>
      </c>
      <c r="K37" s="22">
        <f>H37*(1+Assumptions!$B$7+IF(F37="Yes",Assumptions!$C$7,0))</f>
        <v>942953.48700000008</v>
      </c>
      <c r="L37" s="22">
        <f>H37*(1+Assumptions!$B$8+IF(F37="Yes",Assumptions!$C$8,0))</f>
        <v>907031.44940000004</v>
      </c>
    </row>
    <row r="38" spans="1:12" ht="15">
      <c r="A38" s="21">
        <v>40914</v>
      </c>
      <c r="B38" s="21">
        <v>40909</v>
      </c>
      <c r="C38" s="17">
        <v>35</v>
      </c>
      <c r="D38" s="17" t="s">
        <v>92</v>
      </c>
      <c r="E38" s="18">
        <v>103681</v>
      </c>
      <c r="F38" s="17" t="s">
        <v>91</v>
      </c>
      <c r="G38" s="14">
        <v>671678.80999999994</v>
      </c>
      <c r="H38" s="14">
        <v>649281.91</v>
      </c>
      <c r="I38" s="14">
        <v>649281.91</v>
      </c>
      <c r="J38" s="22">
        <f>H38*(1+Assumptions!$B$6+IF(F38="Yes",Assumptions!$C$6,0))</f>
        <v>668760.36730000004</v>
      </c>
      <c r="K38" s="22">
        <f>H38*(1+Assumptions!$B$7+IF(F38="Yes",Assumptions!$C$7,0))</f>
        <v>681746.00550000009</v>
      </c>
      <c r="L38" s="22">
        <f>H38*(1+Assumptions!$B$8+IF(F38="Yes",Assumptions!$C$8,0))</f>
        <v>655774.7291</v>
      </c>
    </row>
    <row r="39" spans="1:12" ht="15">
      <c r="A39" s="21">
        <v>40914</v>
      </c>
      <c r="B39" s="21">
        <v>40909</v>
      </c>
      <c r="C39" s="17">
        <v>36</v>
      </c>
      <c r="D39" s="17" t="s">
        <v>90</v>
      </c>
      <c r="E39" s="18">
        <v>39910</v>
      </c>
      <c r="F39" s="17" t="s">
        <v>91</v>
      </c>
      <c r="G39" s="14">
        <v>329418.44</v>
      </c>
      <c r="H39" s="14">
        <v>384659.85</v>
      </c>
      <c r="I39" s="14">
        <v>384659.85</v>
      </c>
      <c r="J39" s="22">
        <f>H39*(1+Assumptions!$B$6+IF(F39="Yes",Assumptions!$C$6,0))</f>
        <v>396199.64549999998</v>
      </c>
      <c r="K39" s="22">
        <f>H39*(1+Assumptions!$B$7+IF(F39="Yes",Assumptions!$C$7,0))</f>
        <v>403892.84249999997</v>
      </c>
      <c r="L39" s="22">
        <f>H39*(1+Assumptions!$B$8+IF(F39="Yes",Assumptions!$C$8,0))</f>
        <v>388506.4485</v>
      </c>
    </row>
    <row r="40" spans="1:12" ht="15">
      <c r="A40" s="21">
        <v>40914</v>
      </c>
      <c r="B40" s="21">
        <v>40909</v>
      </c>
      <c r="C40" s="17">
        <v>37</v>
      </c>
      <c r="D40" s="17" t="s">
        <v>93</v>
      </c>
      <c r="E40" s="18">
        <v>39910</v>
      </c>
      <c r="F40" s="17" t="s">
        <v>91</v>
      </c>
      <c r="G40" s="14">
        <v>557871.17000000004</v>
      </c>
      <c r="H40" s="14">
        <v>542464.02</v>
      </c>
      <c r="I40" s="14">
        <v>542464.02</v>
      </c>
      <c r="J40" s="22">
        <f>H40*(1+Assumptions!$B$6+IF(F40="Yes",Assumptions!$C$6,0))</f>
        <v>558737.94060000009</v>
      </c>
      <c r="K40" s="22">
        <f>H40*(1+Assumptions!$B$7+IF(F40="Yes",Assumptions!$C$7,0))</f>
        <v>569587.22100000002</v>
      </c>
      <c r="L40" s="22">
        <f>H40*(1+Assumptions!$B$8+IF(F40="Yes",Assumptions!$C$8,0))</f>
        <v>547888.66020000004</v>
      </c>
    </row>
    <row r="41" spans="1:12" ht="15">
      <c r="A41" s="21">
        <v>40914</v>
      </c>
      <c r="B41" s="21">
        <v>40909</v>
      </c>
      <c r="C41" s="17">
        <v>38</v>
      </c>
      <c r="D41" s="17" t="s">
        <v>93</v>
      </c>
      <c r="E41" s="18">
        <v>39690</v>
      </c>
      <c r="F41" s="17" t="s">
        <v>91</v>
      </c>
      <c r="G41" s="14">
        <v>478411.39999999997</v>
      </c>
      <c r="H41" s="14">
        <v>386276.73</v>
      </c>
      <c r="I41" s="14">
        <v>386276.73</v>
      </c>
      <c r="J41" s="22">
        <f>H41*(1+Assumptions!$B$6+IF(F41="Yes",Assumptions!$C$6,0))</f>
        <v>397865.0319</v>
      </c>
      <c r="K41" s="22">
        <f>H41*(1+Assumptions!$B$7+IF(F41="Yes",Assumptions!$C$7,0))</f>
        <v>405590.56650000002</v>
      </c>
      <c r="L41" s="22">
        <f>H41*(1+Assumptions!$B$8+IF(F41="Yes",Assumptions!$C$8,0))</f>
        <v>390139.49729999999</v>
      </c>
    </row>
    <row r="42" spans="1:12" ht="15">
      <c r="A42" s="21">
        <v>40914</v>
      </c>
      <c r="B42" s="21">
        <v>40909</v>
      </c>
      <c r="C42" s="17">
        <v>39</v>
      </c>
      <c r="D42" s="17" t="s">
        <v>90</v>
      </c>
      <c r="E42" s="18">
        <v>184109</v>
      </c>
      <c r="F42" s="17" t="s">
        <v>91</v>
      </c>
      <c r="G42" s="14">
        <v>1477913.1300000001</v>
      </c>
      <c r="H42" s="14">
        <v>1224466.83</v>
      </c>
      <c r="I42" s="14">
        <v>1224466.83</v>
      </c>
      <c r="J42" s="22">
        <f>H42*(1+Assumptions!$B$6+IF(F42="Yes",Assumptions!$C$6,0))</f>
        <v>1261200.8349000001</v>
      </c>
      <c r="K42" s="22">
        <f>H42*(1+Assumptions!$B$7+IF(F42="Yes",Assumptions!$C$7,0))</f>
        <v>1285690.1715000002</v>
      </c>
      <c r="L42" s="22">
        <f>H42*(1+Assumptions!$B$8+IF(F42="Yes",Assumptions!$C$8,0))</f>
        <v>1236711.4983000001</v>
      </c>
    </row>
    <row r="43" spans="1:12" ht="15">
      <c r="A43" s="21">
        <v>40914</v>
      </c>
      <c r="B43" s="21">
        <v>40909</v>
      </c>
      <c r="C43" s="17">
        <v>40</v>
      </c>
      <c r="D43" s="17" t="s">
        <v>90</v>
      </c>
      <c r="E43" s="18">
        <v>155083</v>
      </c>
      <c r="F43" s="17" t="s">
        <v>91</v>
      </c>
      <c r="G43" s="14">
        <v>954550.13</v>
      </c>
      <c r="H43" s="14">
        <v>894274.25</v>
      </c>
      <c r="I43" s="14">
        <v>894274.25</v>
      </c>
      <c r="J43" s="22">
        <f>H43*(1+Assumptions!$B$6+IF(F43="Yes",Assumptions!$C$6,0))</f>
        <v>921102.47750000004</v>
      </c>
      <c r="K43" s="22">
        <f>H43*(1+Assumptions!$B$7+IF(F43="Yes",Assumptions!$C$7,0))</f>
        <v>938987.96250000002</v>
      </c>
      <c r="L43" s="22">
        <f>H43*(1+Assumptions!$B$8+IF(F43="Yes",Assumptions!$C$8,0))</f>
        <v>903216.99250000005</v>
      </c>
    </row>
    <row r="44" spans="1:12" ht="15">
      <c r="A44" s="21">
        <v>40914</v>
      </c>
      <c r="B44" s="21">
        <v>40909</v>
      </c>
      <c r="C44" s="17">
        <v>41</v>
      </c>
      <c r="D44" s="17" t="s">
        <v>90</v>
      </c>
      <c r="E44" s="18">
        <v>196321</v>
      </c>
      <c r="F44" s="17" t="s">
        <v>91</v>
      </c>
      <c r="G44" s="14">
        <v>1206380.53</v>
      </c>
      <c r="H44" s="14">
        <v>1153575.71</v>
      </c>
      <c r="I44" s="14">
        <v>1153575.71</v>
      </c>
      <c r="J44" s="22">
        <f>H44*(1+Assumptions!$B$6+IF(F44="Yes",Assumptions!$C$6,0))</f>
        <v>1188182.9813000001</v>
      </c>
      <c r="K44" s="22">
        <f>H44*(1+Assumptions!$B$7+IF(F44="Yes",Assumptions!$C$7,0))</f>
        <v>1211254.4955</v>
      </c>
      <c r="L44" s="22">
        <f>H44*(1+Assumptions!$B$8+IF(F44="Yes",Assumptions!$C$8,0))</f>
        <v>1165111.4671</v>
      </c>
    </row>
    <row r="45" spans="1:12" ht="15">
      <c r="A45" s="21">
        <v>40914</v>
      </c>
      <c r="B45" s="21">
        <v>40909</v>
      </c>
      <c r="C45" s="17">
        <v>42</v>
      </c>
      <c r="D45" s="17" t="s">
        <v>93</v>
      </c>
      <c r="E45" s="18">
        <v>39690</v>
      </c>
      <c r="F45" s="17" t="s">
        <v>91</v>
      </c>
      <c r="G45" s="14">
        <v>636076.87</v>
      </c>
      <c r="H45" s="14">
        <v>592951.75</v>
      </c>
      <c r="I45" s="14">
        <v>592951.75</v>
      </c>
      <c r="J45" s="22">
        <f>H45*(1+Assumptions!$B$6+IF(F45="Yes",Assumptions!$C$6,0))</f>
        <v>610740.30249999999</v>
      </c>
      <c r="K45" s="22">
        <f>H45*(1+Assumptions!$B$7+IF(F45="Yes",Assumptions!$C$7,0))</f>
        <v>622599.33750000002</v>
      </c>
      <c r="L45" s="22">
        <f>H45*(1+Assumptions!$B$8+IF(F45="Yes",Assumptions!$C$8,0))</f>
        <v>598881.26749999996</v>
      </c>
    </row>
    <row r="46" spans="1:12" ht="15">
      <c r="A46" s="21">
        <v>40914</v>
      </c>
      <c r="B46" s="21">
        <v>40909</v>
      </c>
      <c r="C46" s="17">
        <v>43</v>
      </c>
      <c r="D46" s="17" t="s">
        <v>93</v>
      </c>
      <c r="E46" s="18">
        <v>41062</v>
      </c>
      <c r="F46" s="17" t="s">
        <v>91</v>
      </c>
      <c r="G46" s="14">
        <v>669299.80000000005</v>
      </c>
      <c r="H46" s="14">
        <v>611688.49</v>
      </c>
      <c r="I46" s="14">
        <v>611688.49</v>
      </c>
      <c r="J46" s="22">
        <f>H46*(1+Assumptions!$B$6+IF(F46="Yes",Assumptions!$C$6,0))</f>
        <v>630039.14470000006</v>
      </c>
      <c r="K46" s="22">
        <f>H46*(1+Assumptions!$B$7+IF(F46="Yes",Assumptions!$C$7,0))</f>
        <v>642272.91450000007</v>
      </c>
      <c r="L46" s="22">
        <f>H46*(1+Assumptions!$B$8+IF(F46="Yes",Assumptions!$C$8,0))</f>
        <v>617805.37490000005</v>
      </c>
    </row>
    <row r="47" spans="1:12" ht="15">
      <c r="A47" s="21">
        <v>40914</v>
      </c>
      <c r="B47" s="21">
        <v>40909</v>
      </c>
      <c r="C47" s="17">
        <v>44</v>
      </c>
      <c r="D47" s="17" t="s">
        <v>93</v>
      </c>
      <c r="E47" s="18">
        <v>39910</v>
      </c>
      <c r="F47" s="17" t="s">
        <v>91</v>
      </c>
      <c r="G47" s="14">
        <v>325210.49</v>
      </c>
      <c r="H47" s="14">
        <v>288303.5</v>
      </c>
      <c r="I47" s="14">
        <v>288303.5</v>
      </c>
      <c r="J47" s="22">
        <f>H47*(1+Assumptions!$B$6+IF(F47="Yes",Assumptions!$C$6,0))</f>
        <v>296952.60499999998</v>
      </c>
      <c r="K47" s="22">
        <f>H47*(1+Assumptions!$B$7+IF(F47="Yes",Assumptions!$C$7,0))</f>
        <v>302718.67499999999</v>
      </c>
      <c r="L47" s="22">
        <f>H47*(1+Assumptions!$B$8+IF(F47="Yes",Assumptions!$C$8,0))</f>
        <v>291186.53499999997</v>
      </c>
    </row>
    <row r="48" spans="1:12" ht="15">
      <c r="A48" s="21">
        <v>40914</v>
      </c>
      <c r="B48" s="21">
        <v>40909</v>
      </c>
      <c r="C48" s="17">
        <v>45</v>
      </c>
      <c r="D48" s="17" t="s">
        <v>92</v>
      </c>
      <c r="E48" s="18">
        <v>118221</v>
      </c>
      <c r="F48" s="17" t="s">
        <v>91</v>
      </c>
      <c r="G48" s="14">
        <v>713248.92999999993</v>
      </c>
      <c r="H48" s="14">
        <v>680254.35</v>
      </c>
      <c r="I48" s="14">
        <v>680254.35</v>
      </c>
      <c r="J48" s="22">
        <f>H48*(1+Assumptions!$B$6+IF(F48="Yes",Assumptions!$C$6,0))</f>
        <v>700661.98049999995</v>
      </c>
      <c r="K48" s="22">
        <f>H48*(1+Assumptions!$B$7+IF(F48="Yes",Assumptions!$C$7,0))</f>
        <v>714267.0675</v>
      </c>
      <c r="L48" s="22">
        <f>H48*(1+Assumptions!$B$8+IF(F48="Yes",Assumptions!$C$8,0))</f>
        <v>687056.89350000001</v>
      </c>
    </row>
    <row r="49" spans="1:12" ht="15">
      <c r="A49" s="21">
        <v>40921</v>
      </c>
      <c r="B49" s="21">
        <v>40909</v>
      </c>
      <c r="C49" s="17">
        <v>1</v>
      </c>
      <c r="D49" s="17" t="s">
        <v>90</v>
      </c>
      <c r="E49" s="18">
        <v>151315</v>
      </c>
      <c r="F49" s="17" t="s">
        <v>91</v>
      </c>
      <c r="G49" s="14">
        <v>1459586.17</v>
      </c>
      <c r="H49" s="14">
        <v>1390617.96</v>
      </c>
      <c r="I49" s="14">
        <v>1390617.96</v>
      </c>
      <c r="J49" s="22">
        <f>H49*(1+Assumptions!$B$6+IF(F49="Yes",Assumptions!$C$6,0))</f>
        <v>1432336.4987999999</v>
      </c>
      <c r="K49" s="22">
        <f>H49*(1+Assumptions!$B$7+IF(F49="Yes",Assumptions!$C$7,0))</f>
        <v>1460148.858</v>
      </c>
      <c r="L49" s="22">
        <f>H49*(1+Assumptions!$B$8+IF(F49="Yes",Assumptions!$C$8,0))</f>
        <v>1404524.1395999999</v>
      </c>
    </row>
    <row r="50" spans="1:12" ht="15">
      <c r="A50" s="21">
        <v>40921</v>
      </c>
      <c r="B50" s="21">
        <v>40909</v>
      </c>
      <c r="C50" s="17">
        <v>2</v>
      </c>
      <c r="D50" s="17" t="s">
        <v>90</v>
      </c>
      <c r="E50" s="18">
        <v>202307</v>
      </c>
      <c r="F50" s="17" t="s">
        <v>91</v>
      </c>
      <c r="G50" s="14">
        <v>1744725.48</v>
      </c>
      <c r="H50" s="14">
        <v>1743197.7</v>
      </c>
      <c r="I50" s="14">
        <v>1743197.7</v>
      </c>
      <c r="J50" s="22">
        <f>H50*(1+Assumptions!$B$6+IF(F50="Yes",Assumptions!$C$6,0))</f>
        <v>1795493.6310000001</v>
      </c>
      <c r="K50" s="22">
        <f>H50*(1+Assumptions!$B$7+IF(F50="Yes",Assumptions!$C$7,0))</f>
        <v>1830357.585</v>
      </c>
      <c r="L50" s="22">
        <f>H50*(1+Assumptions!$B$8+IF(F50="Yes",Assumptions!$C$8,0))</f>
        <v>1760629.6769999999</v>
      </c>
    </row>
    <row r="51" spans="1:12" ht="15">
      <c r="A51" s="21">
        <v>40921</v>
      </c>
      <c r="B51" s="21">
        <v>40909</v>
      </c>
      <c r="C51" s="17">
        <v>3</v>
      </c>
      <c r="D51" s="17" t="s">
        <v>92</v>
      </c>
      <c r="E51" s="18">
        <v>37392</v>
      </c>
      <c r="F51" s="17" t="s">
        <v>91</v>
      </c>
      <c r="G51" s="14">
        <v>367347.87</v>
      </c>
      <c r="H51" s="14">
        <v>381034.34</v>
      </c>
      <c r="I51" s="14">
        <v>381034.34</v>
      </c>
      <c r="J51" s="22">
        <f>H51*(1+Assumptions!$B$6+IF(F51="Yes",Assumptions!$C$6,0))</f>
        <v>392465.37020000006</v>
      </c>
      <c r="K51" s="22">
        <f>H51*(1+Assumptions!$B$7+IF(F51="Yes",Assumptions!$C$7,0))</f>
        <v>400086.05700000003</v>
      </c>
      <c r="L51" s="22">
        <f>H51*(1+Assumptions!$B$8+IF(F51="Yes",Assumptions!$C$8,0))</f>
        <v>384844.68340000004</v>
      </c>
    </row>
    <row r="52" spans="1:12" ht="15">
      <c r="A52" s="21">
        <v>40921</v>
      </c>
      <c r="B52" s="21">
        <v>40909</v>
      </c>
      <c r="C52" s="17">
        <v>4</v>
      </c>
      <c r="D52" s="17" t="s">
        <v>90</v>
      </c>
      <c r="E52" s="18">
        <v>205863</v>
      </c>
      <c r="F52" s="17" t="s">
        <v>91</v>
      </c>
      <c r="G52" s="14">
        <v>1941472.61</v>
      </c>
      <c r="H52" s="14">
        <v>1865502.46</v>
      </c>
      <c r="I52" s="14">
        <v>1865502.46</v>
      </c>
      <c r="J52" s="22">
        <f>H52*(1+Assumptions!$B$6+IF(F52="Yes",Assumptions!$C$6,0))</f>
        <v>1921467.5338000001</v>
      </c>
      <c r="K52" s="22">
        <f>H52*(1+Assumptions!$B$7+IF(F52="Yes",Assumptions!$C$7,0))</f>
        <v>1958777.5830000001</v>
      </c>
      <c r="L52" s="22">
        <f>H52*(1+Assumptions!$B$8+IF(F52="Yes",Assumptions!$C$8,0))</f>
        <v>1884157.4846000001</v>
      </c>
    </row>
    <row r="53" spans="1:12" ht="15">
      <c r="A53" s="21">
        <v>40921</v>
      </c>
      <c r="B53" s="21">
        <v>40909</v>
      </c>
      <c r="C53" s="17">
        <v>5</v>
      </c>
      <c r="D53" s="17" t="s">
        <v>92</v>
      </c>
      <c r="E53" s="18">
        <v>34875</v>
      </c>
      <c r="F53" s="17" t="s">
        <v>91</v>
      </c>
      <c r="G53" s="14">
        <v>291412.94</v>
      </c>
      <c r="H53" s="14">
        <v>260529.53</v>
      </c>
      <c r="I53" s="14">
        <v>260529.53</v>
      </c>
      <c r="J53" s="22">
        <f>H53*(1+Assumptions!$B$6+IF(F53="Yes",Assumptions!$C$6,0))</f>
        <v>268345.41590000002</v>
      </c>
      <c r="K53" s="22">
        <f>H53*(1+Assumptions!$B$7+IF(F53="Yes",Assumptions!$C$7,0))</f>
        <v>273556.00650000002</v>
      </c>
      <c r="L53" s="22">
        <f>H53*(1+Assumptions!$B$8+IF(F53="Yes",Assumptions!$C$8,0))</f>
        <v>263134.82530000003</v>
      </c>
    </row>
    <row r="54" spans="1:12" ht="15">
      <c r="A54" s="21">
        <v>40921</v>
      </c>
      <c r="B54" s="21">
        <v>40909</v>
      </c>
      <c r="C54" s="17">
        <v>6</v>
      </c>
      <c r="D54" s="17" t="s">
        <v>90</v>
      </c>
      <c r="E54" s="18">
        <v>202505</v>
      </c>
      <c r="F54" s="17" t="s">
        <v>91</v>
      </c>
      <c r="G54" s="14">
        <v>1343827.79</v>
      </c>
      <c r="H54" s="14">
        <v>1306183.08</v>
      </c>
      <c r="I54" s="14">
        <v>1306183.08</v>
      </c>
      <c r="J54" s="22">
        <f>H54*(1+Assumptions!$B$6+IF(F54="Yes",Assumptions!$C$6,0))</f>
        <v>1345368.5724000002</v>
      </c>
      <c r="K54" s="22">
        <f>H54*(1+Assumptions!$B$7+IF(F54="Yes",Assumptions!$C$7,0))</f>
        <v>1371492.2340000002</v>
      </c>
      <c r="L54" s="22">
        <f>H54*(1+Assumptions!$B$8+IF(F54="Yes",Assumptions!$C$8,0))</f>
        <v>1319244.9108000002</v>
      </c>
    </row>
    <row r="55" spans="1:12" ht="15">
      <c r="A55" s="21">
        <v>40921</v>
      </c>
      <c r="B55" s="21">
        <v>40909</v>
      </c>
      <c r="C55" s="17">
        <v>7</v>
      </c>
      <c r="D55" s="17" t="s">
        <v>92</v>
      </c>
      <c r="E55" s="18">
        <v>70713</v>
      </c>
      <c r="F55" s="17" t="s">
        <v>91</v>
      </c>
      <c r="G55" s="14">
        <v>593113.13</v>
      </c>
      <c r="H55" s="14">
        <v>547221.73</v>
      </c>
      <c r="I55" s="14">
        <v>547221.73</v>
      </c>
      <c r="J55" s="22">
        <f>H55*(1+Assumptions!$B$6+IF(F55="Yes",Assumptions!$C$6,0))</f>
        <v>563638.38190000004</v>
      </c>
      <c r="K55" s="22">
        <f>H55*(1+Assumptions!$B$7+IF(F55="Yes",Assumptions!$C$7,0))</f>
        <v>574582.81649999996</v>
      </c>
      <c r="L55" s="22">
        <f>H55*(1+Assumptions!$B$8+IF(F55="Yes",Assumptions!$C$8,0))</f>
        <v>552693.9473</v>
      </c>
    </row>
    <row r="56" spans="1:12" ht="15">
      <c r="A56" s="21">
        <v>40921</v>
      </c>
      <c r="B56" s="21">
        <v>40909</v>
      </c>
      <c r="C56" s="17">
        <v>8</v>
      </c>
      <c r="D56" s="17" t="s">
        <v>90</v>
      </c>
      <c r="E56" s="18">
        <v>155078</v>
      </c>
      <c r="F56" s="17" t="s">
        <v>91</v>
      </c>
      <c r="G56" s="14">
        <v>817636.88</v>
      </c>
      <c r="H56" s="14">
        <v>809646.66</v>
      </c>
      <c r="I56" s="14">
        <v>809646.66</v>
      </c>
      <c r="J56" s="22">
        <f>H56*(1+Assumptions!$B$6+IF(F56="Yes",Assumptions!$C$6,0))</f>
        <v>833936.05980000005</v>
      </c>
      <c r="K56" s="22">
        <f>H56*(1+Assumptions!$B$7+IF(F56="Yes",Assumptions!$C$7,0))</f>
        <v>850128.99300000002</v>
      </c>
      <c r="L56" s="22">
        <f>H56*(1+Assumptions!$B$8+IF(F56="Yes",Assumptions!$C$8,0))</f>
        <v>817743.12660000008</v>
      </c>
    </row>
    <row r="57" spans="1:12" ht="15">
      <c r="A57" s="21">
        <v>40921</v>
      </c>
      <c r="B57" s="21">
        <v>40909</v>
      </c>
      <c r="C57" s="17">
        <v>9</v>
      </c>
      <c r="D57" s="17" t="s">
        <v>92</v>
      </c>
      <c r="E57" s="18">
        <v>125833</v>
      </c>
      <c r="F57" s="17" t="s">
        <v>91</v>
      </c>
      <c r="G57" s="14">
        <v>474506.83999999997</v>
      </c>
      <c r="H57" s="14">
        <v>457824.71</v>
      </c>
      <c r="I57" s="14">
        <v>457824.71</v>
      </c>
      <c r="J57" s="22">
        <f>H57*(1+Assumptions!$B$6+IF(F57="Yes",Assumptions!$C$6,0))</f>
        <v>471559.45130000002</v>
      </c>
      <c r="K57" s="22">
        <f>H57*(1+Assumptions!$B$7+IF(F57="Yes",Assumptions!$C$7,0))</f>
        <v>480715.94550000003</v>
      </c>
      <c r="L57" s="22">
        <f>H57*(1+Assumptions!$B$8+IF(F57="Yes",Assumptions!$C$8,0))</f>
        <v>462402.9571</v>
      </c>
    </row>
    <row r="58" spans="1:12" ht="15">
      <c r="A58" s="21">
        <v>40921</v>
      </c>
      <c r="B58" s="21">
        <v>40909</v>
      </c>
      <c r="C58" s="17">
        <v>10</v>
      </c>
      <c r="D58" s="17" t="s">
        <v>92</v>
      </c>
      <c r="E58" s="18">
        <v>126512</v>
      </c>
      <c r="F58" s="17" t="s">
        <v>91</v>
      </c>
      <c r="G58" s="14">
        <v>1711471.97</v>
      </c>
      <c r="H58" s="14">
        <v>1710803.59</v>
      </c>
      <c r="I58" s="14">
        <v>1710803.59</v>
      </c>
      <c r="J58" s="22">
        <f>H58*(1+Assumptions!$B$6+IF(F58="Yes",Assumptions!$C$6,0))</f>
        <v>1762127.6977000001</v>
      </c>
      <c r="K58" s="22">
        <f>H58*(1+Assumptions!$B$7+IF(F58="Yes",Assumptions!$C$7,0))</f>
        <v>1796343.7695000002</v>
      </c>
      <c r="L58" s="22">
        <f>H58*(1+Assumptions!$B$8+IF(F58="Yes",Assumptions!$C$8,0))</f>
        <v>1727911.6259000001</v>
      </c>
    </row>
    <row r="59" spans="1:12" ht="15">
      <c r="A59" s="21">
        <v>40921</v>
      </c>
      <c r="B59" s="21">
        <v>40909</v>
      </c>
      <c r="C59" s="17">
        <v>11</v>
      </c>
      <c r="D59" s="17" t="s">
        <v>90</v>
      </c>
      <c r="E59" s="18">
        <v>207499</v>
      </c>
      <c r="F59" s="17" t="s">
        <v>91</v>
      </c>
      <c r="G59" s="14">
        <v>1262912.69</v>
      </c>
      <c r="H59" s="14">
        <v>1194428.78</v>
      </c>
      <c r="I59" s="14">
        <v>1194428.78</v>
      </c>
      <c r="J59" s="22">
        <f>H59*(1+Assumptions!$B$6+IF(F59="Yes",Assumptions!$C$6,0))</f>
        <v>1230261.6434000002</v>
      </c>
      <c r="K59" s="22">
        <f>H59*(1+Assumptions!$B$7+IF(F59="Yes",Assumptions!$C$7,0))</f>
        <v>1254150.219</v>
      </c>
      <c r="L59" s="22">
        <f>H59*(1+Assumptions!$B$8+IF(F59="Yes",Assumptions!$C$8,0))</f>
        <v>1206373.0678000001</v>
      </c>
    </row>
    <row r="60" spans="1:12" ht="15">
      <c r="A60" s="21">
        <v>40921</v>
      </c>
      <c r="B60" s="21">
        <v>40909</v>
      </c>
      <c r="C60" s="17">
        <v>12</v>
      </c>
      <c r="D60" s="17" t="s">
        <v>92</v>
      </c>
      <c r="E60" s="18">
        <v>112238</v>
      </c>
      <c r="F60" s="17" t="s">
        <v>91</v>
      </c>
      <c r="G60" s="14">
        <v>865217.13</v>
      </c>
      <c r="H60" s="14">
        <v>811972.88</v>
      </c>
      <c r="I60" s="14">
        <v>811972.88</v>
      </c>
      <c r="J60" s="22">
        <f>H60*(1+Assumptions!$B$6+IF(F60="Yes",Assumptions!$C$6,0))</f>
        <v>836332.06640000001</v>
      </c>
      <c r="K60" s="22">
        <f>H60*(1+Assumptions!$B$7+IF(F60="Yes",Assumptions!$C$7,0))</f>
        <v>852571.52400000009</v>
      </c>
      <c r="L60" s="22">
        <f>H60*(1+Assumptions!$B$8+IF(F60="Yes",Assumptions!$C$8,0))</f>
        <v>820092.60880000005</v>
      </c>
    </row>
    <row r="61" spans="1:12" ht="15">
      <c r="A61" s="21">
        <v>40921</v>
      </c>
      <c r="B61" s="21">
        <v>40909</v>
      </c>
      <c r="C61" s="17">
        <v>13</v>
      </c>
      <c r="D61" s="17" t="s">
        <v>90</v>
      </c>
      <c r="E61" s="18">
        <v>219622</v>
      </c>
      <c r="F61" s="17" t="s">
        <v>91</v>
      </c>
      <c r="G61" s="14">
        <v>1794962.64</v>
      </c>
      <c r="H61" s="14">
        <v>1682320.74</v>
      </c>
      <c r="I61" s="14">
        <v>1682320.74</v>
      </c>
      <c r="J61" s="22">
        <f>H61*(1+Assumptions!$B$6+IF(F61="Yes",Assumptions!$C$6,0))</f>
        <v>1732790.3622000001</v>
      </c>
      <c r="K61" s="22">
        <f>H61*(1+Assumptions!$B$7+IF(F61="Yes",Assumptions!$C$7,0))</f>
        <v>1766436.777</v>
      </c>
      <c r="L61" s="22">
        <f>H61*(1+Assumptions!$B$8+IF(F61="Yes",Assumptions!$C$8,0))</f>
        <v>1699143.9473999999</v>
      </c>
    </row>
    <row r="62" spans="1:12" ht="15">
      <c r="A62" s="21">
        <v>40921</v>
      </c>
      <c r="B62" s="21">
        <v>40909</v>
      </c>
      <c r="C62" s="17">
        <v>14</v>
      </c>
      <c r="D62" s="17" t="s">
        <v>90</v>
      </c>
      <c r="E62" s="18">
        <v>200898</v>
      </c>
      <c r="F62" s="17" t="s">
        <v>91</v>
      </c>
      <c r="G62" s="14">
        <v>1696248.27</v>
      </c>
      <c r="H62" s="14">
        <v>1699095.9</v>
      </c>
      <c r="I62" s="14">
        <v>1699095.9</v>
      </c>
      <c r="J62" s="22">
        <f>H62*(1+Assumptions!$B$6+IF(F62="Yes",Assumptions!$C$6,0))</f>
        <v>1750068.777</v>
      </c>
      <c r="K62" s="22">
        <f>H62*(1+Assumptions!$B$7+IF(F62="Yes",Assumptions!$C$7,0))</f>
        <v>1784050.6950000001</v>
      </c>
      <c r="L62" s="22">
        <f>H62*(1+Assumptions!$B$8+IF(F62="Yes",Assumptions!$C$8,0))</f>
        <v>1716086.8589999999</v>
      </c>
    </row>
    <row r="63" spans="1:12" ht="15">
      <c r="A63" s="21">
        <v>40921</v>
      </c>
      <c r="B63" s="21">
        <v>40909</v>
      </c>
      <c r="C63" s="17">
        <v>15</v>
      </c>
      <c r="D63" s="17" t="s">
        <v>92</v>
      </c>
      <c r="E63" s="18">
        <v>123737</v>
      </c>
      <c r="F63" s="17" t="s">
        <v>91</v>
      </c>
      <c r="G63" s="14">
        <v>454143.34</v>
      </c>
      <c r="H63" s="14">
        <v>477906.2</v>
      </c>
      <c r="I63" s="14">
        <v>477906.2</v>
      </c>
      <c r="J63" s="22">
        <f>H63*(1+Assumptions!$B$6+IF(F63="Yes",Assumptions!$C$6,0))</f>
        <v>492243.386</v>
      </c>
      <c r="K63" s="22">
        <f>H63*(1+Assumptions!$B$7+IF(F63="Yes",Assumptions!$C$7,0))</f>
        <v>501801.51</v>
      </c>
      <c r="L63" s="22">
        <f>H63*(1+Assumptions!$B$8+IF(F63="Yes",Assumptions!$C$8,0))</f>
        <v>482685.26199999999</v>
      </c>
    </row>
    <row r="64" spans="1:12" ht="15">
      <c r="A64" s="21">
        <v>40921</v>
      </c>
      <c r="B64" s="21">
        <v>40909</v>
      </c>
      <c r="C64" s="17">
        <v>16</v>
      </c>
      <c r="D64" s="17" t="s">
        <v>92</v>
      </c>
      <c r="E64" s="18">
        <v>57197</v>
      </c>
      <c r="F64" s="17" t="s">
        <v>91</v>
      </c>
      <c r="G64" s="14">
        <v>505599.33</v>
      </c>
      <c r="H64" s="14">
        <v>470339.16000000003</v>
      </c>
      <c r="I64" s="14">
        <v>470339.16000000003</v>
      </c>
      <c r="J64" s="22">
        <f>H64*(1+Assumptions!$B$6+IF(F64="Yes",Assumptions!$C$6,0))</f>
        <v>484449.33480000007</v>
      </c>
      <c r="K64" s="22">
        <f>H64*(1+Assumptions!$B$7+IF(F64="Yes",Assumptions!$C$7,0))</f>
        <v>493856.11800000007</v>
      </c>
      <c r="L64" s="22">
        <f>H64*(1+Assumptions!$B$8+IF(F64="Yes",Assumptions!$C$8,0))</f>
        <v>475042.55160000006</v>
      </c>
    </row>
    <row r="65" spans="1:12" ht="15">
      <c r="A65" s="21">
        <v>40921</v>
      </c>
      <c r="B65" s="21">
        <v>40909</v>
      </c>
      <c r="C65" s="17">
        <v>17</v>
      </c>
      <c r="D65" s="17" t="s">
        <v>92</v>
      </c>
      <c r="E65" s="18">
        <v>93188</v>
      </c>
      <c r="F65" s="17" t="s">
        <v>91</v>
      </c>
      <c r="G65" s="14">
        <v>872961.95</v>
      </c>
      <c r="H65" s="14">
        <v>758510.36</v>
      </c>
      <c r="I65" s="14">
        <v>758510.36</v>
      </c>
      <c r="J65" s="22">
        <f>H65*(1+Assumptions!$B$6+IF(F65="Yes",Assumptions!$C$6,0))</f>
        <v>781265.67079999996</v>
      </c>
      <c r="K65" s="22">
        <f>H65*(1+Assumptions!$B$7+IF(F65="Yes",Assumptions!$C$7,0))</f>
        <v>796435.87800000003</v>
      </c>
      <c r="L65" s="22">
        <f>H65*(1+Assumptions!$B$8+IF(F65="Yes",Assumptions!$C$8,0))</f>
        <v>766095.46360000002</v>
      </c>
    </row>
    <row r="66" spans="1:12" ht="15">
      <c r="A66" s="21">
        <v>40921</v>
      </c>
      <c r="B66" s="21">
        <v>40909</v>
      </c>
      <c r="C66" s="17">
        <v>18</v>
      </c>
      <c r="D66" s="17" t="s">
        <v>92</v>
      </c>
      <c r="E66" s="18">
        <v>120653</v>
      </c>
      <c r="F66" s="17" t="s">
        <v>91</v>
      </c>
      <c r="G66" s="14">
        <v>888445.07</v>
      </c>
      <c r="H66" s="14">
        <v>777175.28</v>
      </c>
      <c r="I66" s="14">
        <v>777175.28</v>
      </c>
      <c r="J66" s="22">
        <f>H66*(1+Assumptions!$B$6+IF(F66="Yes",Assumptions!$C$6,0))</f>
        <v>800490.53840000008</v>
      </c>
      <c r="K66" s="22">
        <f>H66*(1+Assumptions!$B$7+IF(F66="Yes",Assumptions!$C$7,0))</f>
        <v>816034.04400000011</v>
      </c>
      <c r="L66" s="22">
        <f>H66*(1+Assumptions!$B$8+IF(F66="Yes",Assumptions!$C$8,0))</f>
        <v>784947.03280000004</v>
      </c>
    </row>
    <row r="67" spans="1:12" ht="15">
      <c r="A67" s="21">
        <v>40921</v>
      </c>
      <c r="B67" s="21">
        <v>40909</v>
      </c>
      <c r="C67" s="17">
        <v>19</v>
      </c>
      <c r="D67" s="17" t="s">
        <v>90</v>
      </c>
      <c r="E67" s="18">
        <v>203819</v>
      </c>
      <c r="F67" s="17" t="s">
        <v>91</v>
      </c>
      <c r="G67" s="14">
        <v>1182215.7</v>
      </c>
      <c r="H67" s="14">
        <v>1181166.53</v>
      </c>
      <c r="I67" s="14">
        <v>1181166.53</v>
      </c>
      <c r="J67" s="22">
        <f>H67*(1+Assumptions!$B$6+IF(F67="Yes",Assumptions!$C$6,0))</f>
        <v>1216601.5259</v>
      </c>
      <c r="K67" s="22">
        <f>H67*(1+Assumptions!$B$7+IF(F67="Yes",Assumptions!$C$7,0))</f>
        <v>1240224.8565</v>
      </c>
      <c r="L67" s="22">
        <f>H67*(1+Assumptions!$B$8+IF(F67="Yes",Assumptions!$C$8,0))</f>
        <v>1192978.1953</v>
      </c>
    </row>
    <row r="68" spans="1:12" ht="15">
      <c r="A68" s="21">
        <v>40921</v>
      </c>
      <c r="B68" s="21">
        <v>40909</v>
      </c>
      <c r="C68" s="17">
        <v>20</v>
      </c>
      <c r="D68" s="17" t="s">
        <v>90</v>
      </c>
      <c r="E68" s="18">
        <v>203742</v>
      </c>
      <c r="F68" s="17" t="s">
        <v>91</v>
      </c>
      <c r="G68" s="14">
        <v>1911500.64</v>
      </c>
      <c r="H68" s="14">
        <v>1884298.54</v>
      </c>
      <c r="I68" s="14">
        <v>1884298.54</v>
      </c>
      <c r="J68" s="22">
        <f>H68*(1+Assumptions!$B$6+IF(F68="Yes",Assumptions!$C$6,0))</f>
        <v>1940827.4962000002</v>
      </c>
      <c r="K68" s="22">
        <f>H68*(1+Assumptions!$B$7+IF(F68="Yes",Assumptions!$C$7,0))</f>
        <v>1978513.4670000002</v>
      </c>
      <c r="L68" s="22">
        <f>H68*(1+Assumptions!$B$8+IF(F68="Yes",Assumptions!$C$8,0))</f>
        <v>1903141.5254000002</v>
      </c>
    </row>
    <row r="69" spans="1:12" ht="15">
      <c r="A69" s="21">
        <v>40921</v>
      </c>
      <c r="B69" s="21">
        <v>40909</v>
      </c>
      <c r="C69" s="17">
        <v>21</v>
      </c>
      <c r="D69" s="17" t="s">
        <v>92</v>
      </c>
      <c r="E69" s="18">
        <v>140167</v>
      </c>
      <c r="F69" s="17" t="s">
        <v>91</v>
      </c>
      <c r="G69" s="14">
        <v>628348.13</v>
      </c>
      <c r="H69" s="14">
        <v>650789.13</v>
      </c>
      <c r="I69" s="14">
        <v>650789.13</v>
      </c>
      <c r="J69" s="22">
        <f>H69*(1+Assumptions!$B$6+IF(F69="Yes",Assumptions!$C$6,0))</f>
        <v>670312.80390000006</v>
      </c>
      <c r="K69" s="22">
        <f>H69*(1+Assumptions!$B$7+IF(F69="Yes",Assumptions!$C$7,0))</f>
        <v>683328.58649999998</v>
      </c>
      <c r="L69" s="22">
        <f>H69*(1+Assumptions!$B$8+IF(F69="Yes",Assumptions!$C$8,0))</f>
        <v>657297.02130000002</v>
      </c>
    </row>
    <row r="70" spans="1:12" ht="15">
      <c r="A70" s="21">
        <v>40921</v>
      </c>
      <c r="B70" s="21">
        <v>40909</v>
      </c>
      <c r="C70" s="17">
        <v>22</v>
      </c>
      <c r="D70" s="17" t="s">
        <v>92</v>
      </c>
      <c r="E70" s="18">
        <v>119557</v>
      </c>
      <c r="F70" s="17" t="s">
        <v>91</v>
      </c>
      <c r="G70" s="14">
        <v>853752.48</v>
      </c>
      <c r="H70" s="14">
        <v>804895.26</v>
      </c>
      <c r="I70" s="14">
        <v>804895.26</v>
      </c>
      <c r="J70" s="22">
        <f>H70*(1+Assumptions!$B$6+IF(F70="Yes",Assumptions!$C$6,0))</f>
        <v>829042.11780000001</v>
      </c>
      <c r="K70" s="22">
        <f>H70*(1+Assumptions!$B$7+IF(F70="Yes",Assumptions!$C$7,0))</f>
        <v>845140.02300000004</v>
      </c>
      <c r="L70" s="22">
        <f>H70*(1+Assumptions!$B$8+IF(F70="Yes",Assumptions!$C$8,0))</f>
        <v>812944.21259999997</v>
      </c>
    </row>
    <row r="71" spans="1:12" ht="15">
      <c r="A71" s="21">
        <v>40921</v>
      </c>
      <c r="B71" s="21">
        <v>40909</v>
      </c>
      <c r="C71" s="17">
        <v>23</v>
      </c>
      <c r="D71" s="17" t="s">
        <v>92</v>
      </c>
      <c r="E71" s="18">
        <v>114533</v>
      </c>
      <c r="F71" s="17" t="s">
        <v>91</v>
      </c>
      <c r="G71" s="14">
        <v>1031282.15</v>
      </c>
      <c r="H71" s="14">
        <v>1016477.87</v>
      </c>
      <c r="I71" s="14">
        <v>1016477.87</v>
      </c>
      <c r="J71" s="22">
        <f>H71*(1+Assumptions!$B$6+IF(F71="Yes",Assumptions!$C$6,0))</f>
        <v>1046972.2061000001</v>
      </c>
      <c r="K71" s="22">
        <f>H71*(1+Assumptions!$B$7+IF(F71="Yes",Assumptions!$C$7,0))</f>
        <v>1067301.7635000001</v>
      </c>
      <c r="L71" s="22">
        <f>H71*(1+Assumptions!$B$8+IF(F71="Yes",Assumptions!$C$8,0))</f>
        <v>1026642.6487</v>
      </c>
    </row>
    <row r="72" spans="1:12" ht="15">
      <c r="A72" s="21">
        <v>40921</v>
      </c>
      <c r="B72" s="21">
        <v>40909</v>
      </c>
      <c r="C72" s="17">
        <v>24</v>
      </c>
      <c r="D72" s="17" t="s">
        <v>90</v>
      </c>
      <c r="E72" s="18">
        <v>203819</v>
      </c>
      <c r="F72" s="17" t="s">
        <v>91</v>
      </c>
      <c r="G72" s="14">
        <v>1155570.26</v>
      </c>
      <c r="H72" s="14">
        <v>1167735.2</v>
      </c>
      <c r="I72" s="14">
        <v>1167735.2</v>
      </c>
      <c r="J72" s="22">
        <f>H72*(1+Assumptions!$B$6+IF(F72="Yes",Assumptions!$C$6,0))</f>
        <v>1202767.2560000001</v>
      </c>
      <c r="K72" s="22">
        <f>H72*(1+Assumptions!$B$7+IF(F72="Yes",Assumptions!$C$7,0))</f>
        <v>1226121.96</v>
      </c>
      <c r="L72" s="22">
        <f>H72*(1+Assumptions!$B$8+IF(F72="Yes",Assumptions!$C$8,0))</f>
        <v>1179412.5519999999</v>
      </c>
    </row>
    <row r="73" spans="1:12" ht="15">
      <c r="A73" s="21">
        <v>40921</v>
      </c>
      <c r="B73" s="21">
        <v>40909</v>
      </c>
      <c r="C73" s="17">
        <v>25</v>
      </c>
      <c r="D73" s="17" t="s">
        <v>92</v>
      </c>
      <c r="E73" s="18">
        <v>128107</v>
      </c>
      <c r="F73" s="17" t="s">
        <v>91</v>
      </c>
      <c r="G73" s="14">
        <v>611391.67000000004</v>
      </c>
      <c r="H73" s="14">
        <v>572360.82999999996</v>
      </c>
      <c r="I73" s="14">
        <v>572360.82999999996</v>
      </c>
      <c r="J73" s="22">
        <f>H73*(1+Assumptions!$B$6+IF(F73="Yes",Assumptions!$C$6,0))</f>
        <v>589531.65489999996</v>
      </c>
      <c r="K73" s="22">
        <f>H73*(1+Assumptions!$B$7+IF(F73="Yes",Assumptions!$C$7,0))</f>
        <v>600978.87150000001</v>
      </c>
      <c r="L73" s="22">
        <f>H73*(1+Assumptions!$B$8+IF(F73="Yes",Assumptions!$C$8,0))</f>
        <v>578084.43829999992</v>
      </c>
    </row>
    <row r="74" spans="1:12" ht="15">
      <c r="A74" s="21">
        <v>40921</v>
      </c>
      <c r="B74" s="21">
        <v>40909</v>
      </c>
      <c r="C74" s="17">
        <v>26</v>
      </c>
      <c r="D74" s="17" t="s">
        <v>90</v>
      </c>
      <c r="E74" s="18">
        <v>152513</v>
      </c>
      <c r="F74" s="17" t="s">
        <v>91</v>
      </c>
      <c r="G74" s="14">
        <v>836166.6</v>
      </c>
      <c r="H74" s="14">
        <v>812312.33</v>
      </c>
      <c r="I74" s="14">
        <v>812312.33</v>
      </c>
      <c r="J74" s="22">
        <f>H74*(1+Assumptions!$B$6+IF(F74="Yes",Assumptions!$C$6,0))</f>
        <v>836681.69990000001</v>
      </c>
      <c r="K74" s="22">
        <f>H74*(1+Assumptions!$B$7+IF(F74="Yes",Assumptions!$C$7,0))</f>
        <v>852927.94649999996</v>
      </c>
      <c r="L74" s="22">
        <f>H74*(1+Assumptions!$B$8+IF(F74="Yes",Assumptions!$C$8,0))</f>
        <v>820435.45329999994</v>
      </c>
    </row>
    <row r="75" spans="1:12" ht="15">
      <c r="A75" s="21">
        <v>40921</v>
      </c>
      <c r="B75" s="21">
        <v>40909</v>
      </c>
      <c r="C75" s="17">
        <v>27</v>
      </c>
      <c r="D75" s="17" t="s">
        <v>90</v>
      </c>
      <c r="E75" s="18">
        <v>204184</v>
      </c>
      <c r="F75" s="17" t="s">
        <v>91</v>
      </c>
      <c r="G75" s="14">
        <v>1492399.1300000001</v>
      </c>
      <c r="H75" s="14">
        <v>1531805.6199999999</v>
      </c>
      <c r="I75" s="14">
        <v>1531805.6199999999</v>
      </c>
      <c r="J75" s="22">
        <f>H75*(1+Assumptions!$B$6+IF(F75="Yes",Assumptions!$C$6,0))</f>
        <v>1577759.7885999999</v>
      </c>
      <c r="K75" s="22">
        <f>H75*(1+Assumptions!$B$7+IF(F75="Yes",Assumptions!$C$7,0))</f>
        <v>1608395.9009999998</v>
      </c>
      <c r="L75" s="22">
        <f>H75*(1+Assumptions!$B$8+IF(F75="Yes",Assumptions!$C$8,0))</f>
        <v>1547123.6761999999</v>
      </c>
    </row>
    <row r="76" spans="1:12" ht="15">
      <c r="A76" s="21">
        <v>40921</v>
      </c>
      <c r="B76" s="21">
        <v>40909</v>
      </c>
      <c r="C76" s="17">
        <v>28</v>
      </c>
      <c r="D76" s="17" t="s">
        <v>90</v>
      </c>
      <c r="E76" s="18">
        <v>206302</v>
      </c>
      <c r="F76" s="17" t="s">
        <v>91</v>
      </c>
      <c r="G76" s="14">
        <v>1161169.29</v>
      </c>
      <c r="H76" s="14">
        <v>1098286.6100000001</v>
      </c>
      <c r="I76" s="14">
        <v>1098286.6100000001</v>
      </c>
      <c r="J76" s="22">
        <f>H76*(1+Assumptions!$B$6+IF(F76="Yes",Assumptions!$C$6,0))</f>
        <v>1131235.2083000001</v>
      </c>
      <c r="K76" s="22">
        <f>H76*(1+Assumptions!$B$7+IF(F76="Yes",Assumptions!$C$7,0))</f>
        <v>1153200.9405000003</v>
      </c>
      <c r="L76" s="22">
        <f>H76*(1+Assumptions!$B$8+IF(F76="Yes",Assumptions!$C$8,0))</f>
        <v>1109269.4761000001</v>
      </c>
    </row>
    <row r="77" spans="1:12" ht="15">
      <c r="A77" s="21">
        <v>40921</v>
      </c>
      <c r="B77" s="21">
        <v>40909</v>
      </c>
      <c r="C77" s="17">
        <v>29</v>
      </c>
      <c r="D77" s="17" t="s">
        <v>92</v>
      </c>
      <c r="E77" s="18">
        <v>93638</v>
      </c>
      <c r="F77" s="17" t="s">
        <v>91</v>
      </c>
      <c r="G77" s="14">
        <v>444655.71</v>
      </c>
      <c r="H77" s="14">
        <v>426798.29</v>
      </c>
      <c r="I77" s="14">
        <v>426798.29</v>
      </c>
      <c r="J77" s="22">
        <f>H77*(1+Assumptions!$B$6+IF(F77="Yes",Assumptions!$C$6,0))</f>
        <v>439602.23869999999</v>
      </c>
      <c r="K77" s="22">
        <f>H77*(1+Assumptions!$B$7+IF(F77="Yes",Assumptions!$C$7,0))</f>
        <v>448138.20449999999</v>
      </c>
      <c r="L77" s="22">
        <f>H77*(1+Assumptions!$B$8+IF(F77="Yes",Assumptions!$C$8,0))</f>
        <v>431066.27289999998</v>
      </c>
    </row>
    <row r="78" spans="1:12" ht="15">
      <c r="A78" s="21">
        <v>40921</v>
      </c>
      <c r="B78" s="21">
        <v>40909</v>
      </c>
      <c r="C78" s="17">
        <v>30</v>
      </c>
      <c r="D78" s="17" t="s">
        <v>93</v>
      </c>
      <c r="E78" s="18">
        <v>42988</v>
      </c>
      <c r="F78" s="17" t="s">
        <v>91</v>
      </c>
      <c r="G78" s="14">
        <v>446938.23</v>
      </c>
      <c r="H78" s="14">
        <v>465392.22</v>
      </c>
      <c r="I78" s="14">
        <v>465392.22</v>
      </c>
      <c r="J78" s="22">
        <f>H78*(1+Assumptions!$B$6+IF(F78="Yes",Assumptions!$C$6,0))</f>
        <v>479353.9866</v>
      </c>
      <c r="K78" s="22">
        <f>H78*(1+Assumptions!$B$7+IF(F78="Yes",Assumptions!$C$7,0))</f>
        <v>488661.83100000001</v>
      </c>
      <c r="L78" s="22">
        <f>H78*(1+Assumptions!$B$8+IF(F78="Yes",Assumptions!$C$8,0))</f>
        <v>470046.1422</v>
      </c>
    </row>
    <row r="79" spans="1:12" ht="15">
      <c r="A79" s="21">
        <v>40921</v>
      </c>
      <c r="B79" s="21">
        <v>40909</v>
      </c>
      <c r="C79" s="17">
        <v>31</v>
      </c>
      <c r="D79" s="17" t="s">
        <v>90</v>
      </c>
      <c r="E79" s="18">
        <v>203750</v>
      </c>
      <c r="F79" s="17" t="s">
        <v>91</v>
      </c>
      <c r="G79" s="14">
        <v>1377485.12</v>
      </c>
      <c r="H79" s="14">
        <v>1350728.81</v>
      </c>
      <c r="I79" s="14">
        <v>1350728.81</v>
      </c>
      <c r="J79" s="22">
        <f>H79*(1+Assumptions!$B$6+IF(F79="Yes",Assumptions!$C$6,0))</f>
        <v>1391250.6743000001</v>
      </c>
      <c r="K79" s="22">
        <f>H79*(1+Assumptions!$B$7+IF(F79="Yes",Assumptions!$C$7,0))</f>
        <v>1418265.2505000001</v>
      </c>
      <c r="L79" s="22">
        <f>H79*(1+Assumptions!$B$8+IF(F79="Yes",Assumptions!$C$8,0))</f>
        <v>1364236.0981000001</v>
      </c>
    </row>
    <row r="80" spans="1:12" ht="15">
      <c r="A80" s="21">
        <v>40921</v>
      </c>
      <c r="B80" s="21">
        <v>40909</v>
      </c>
      <c r="C80" s="17">
        <v>32</v>
      </c>
      <c r="D80" s="17" t="s">
        <v>90</v>
      </c>
      <c r="E80" s="18">
        <v>203007</v>
      </c>
      <c r="F80" s="17" t="s">
        <v>91</v>
      </c>
      <c r="G80" s="14">
        <v>1071598.3600000001</v>
      </c>
      <c r="H80" s="14">
        <v>1028197.58</v>
      </c>
      <c r="I80" s="14">
        <v>1028197.58</v>
      </c>
      <c r="J80" s="22">
        <f>H80*(1+Assumptions!$B$6+IF(F80="Yes",Assumptions!$C$6,0))</f>
        <v>1059043.5074</v>
      </c>
      <c r="K80" s="22">
        <f>H80*(1+Assumptions!$B$7+IF(F80="Yes",Assumptions!$C$7,0))</f>
        <v>1079607.459</v>
      </c>
      <c r="L80" s="22">
        <f>H80*(1+Assumptions!$B$8+IF(F80="Yes",Assumptions!$C$8,0))</f>
        <v>1038479.5558</v>
      </c>
    </row>
    <row r="81" spans="1:12" ht="15">
      <c r="A81" s="21">
        <v>40921</v>
      </c>
      <c r="B81" s="21">
        <v>40909</v>
      </c>
      <c r="C81" s="17">
        <v>33</v>
      </c>
      <c r="D81" s="17" t="s">
        <v>90</v>
      </c>
      <c r="E81" s="18">
        <v>39690</v>
      </c>
      <c r="F81" s="17" t="s">
        <v>91</v>
      </c>
      <c r="G81" s="14">
        <v>279323.08</v>
      </c>
      <c r="H81" s="14">
        <v>259471.25</v>
      </c>
      <c r="I81" s="14">
        <v>259471.25</v>
      </c>
      <c r="J81" s="22">
        <f>H81*(1+Assumptions!$B$6+IF(F81="Yes",Assumptions!$C$6,0))</f>
        <v>267255.38750000001</v>
      </c>
      <c r="K81" s="22">
        <f>H81*(1+Assumptions!$B$7+IF(F81="Yes",Assumptions!$C$7,0))</f>
        <v>272444.8125</v>
      </c>
      <c r="L81" s="22">
        <f>H81*(1+Assumptions!$B$8+IF(F81="Yes",Assumptions!$C$8,0))</f>
        <v>262065.96249999999</v>
      </c>
    </row>
    <row r="82" spans="1:12" ht="15">
      <c r="A82" s="21">
        <v>40921</v>
      </c>
      <c r="B82" s="21">
        <v>40909</v>
      </c>
      <c r="C82" s="17">
        <v>34</v>
      </c>
      <c r="D82" s="17" t="s">
        <v>90</v>
      </c>
      <c r="E82" s="18">
        <v>158114</v>
      </c>
      <c r="F82" s="17" t="s">
        <v>91</v>
      </c>
      <c r="G82" s="14">
        <v>913743.15</v>
      </c>
      <c r="H82" s="14">
        <v>898327.45</v>
      </c>
      <c r="I82" s="14">
        <v>898327.45</v>
      </c>
      <c r="J82" s="22">
        <f>H82*(1+Assumptions!$B$6+IF(F82="Yes",Assumptions!$C$6,0))</f>
        <v>925277.27350000001</v>
      </c>
      <c r="K82" s="22">
        <f>H82*(1+Assumptions!$B$7+IF(F82="Yes",Assumptions!$C$7,0))</f>
        <v>943243.82250000001</v>
      </c>
      <c r="L82" s="22">
        <f>H82*(1+Assumptions!$B$8+IF(F82="Yes",Assumptions!$C$8,0))</f>
        <v>907310.72450000001</v>
      </c>
    </row>
    <row r="83" spans="1:12" ht="15">
      <c r="A83" s="21">
        <v>40921</v>
      </c>
      <c r="B83" s="21">
        <v>40909</v>
      </c>
      <c r="C83" s="17">
        <v>35</v>
      </c>
      <c r="D83" s="17" t="s">
        <v>92</v>
      </c>
      <c r="E83" s="18">
        <v>103681</v>
      </c>
      <c r="F83" s="17" t="s">
        <v>91</v>
      </c>
      <c r="G83" s="14">
        <v>624898.27</v>
      </c>
      <c r="H83" s="14">
        <v>687670.56</v>
      </c>
      <c r="I83" s="14">
        <v>687670.56</v>
      </c>
      <c r="J83" s="22">
        <f>H83*(1+Assumptions!$B$6+IF(F83="Yes",Assumptions!$C$6,0))</f>
        <v>708300.67680000013</v>
      </c>
      <c r="K83" s="22">
        <f>H83*(1+Assumptions!$B$7+IF(F83="Yes",Assumptions!$C$7,0))</f>
        <v>722054.08800000011</v>
      </c>
      <c r="L83" s="22">
        <f>H83*(1+Assumptions!$B$8+IF(F83="Yes",Assumptions!$C$8,0))</f>
        <v>694547.26560000004</v>
      </c>
    </row>
    <row r="84" spans="1:12" ht="15">
      <c r="A84" s="21">
        <v>40921</v>
      </c>
      <c r="B84" s="21">
        <v>40909</v>
      </c>
      <c r="C84" s="17">
        <v>36</v>
      </c>
      <c r="D84" s="17" t="s">
        <v>90</v>
      </c>
      <c r="E84" s="18">
        <v>39910</v>
      </c>
      <c r="F84" s="17" t="s">
        <v>91</v>
      </c>
      <c r="G84" s="14">
        <v>325954.98</v>
      </c>
      <c r="H84" s="14">
        <v>410480.8</v>
      </c>
      <c r="I84" s="14">
        <v>410480.8</v>
      </c>
      <c r="J84" s="22">
        <f>H84*(1+Assumptions!$B$6+IF(F84="Yes",Assumptions!$C$6,0))</f>
        <v>422795.22399999999</v>
      </c>
      <c r="K84" s="22">
        <f>H84*(1+Assumptions!$B$7+IF(F84="Yes",Assumptions!$C$7,0))</f>
        <v>431004.84</v>
      </c>
      <c r="L84" s="22">
        <f>H84*(1+Assumptions!$B$8+IF(F84="Yes",Assumptions!$C$8,0))</f>
        <v>414585.60800000001</v>
      </c>
    </row>
    <row r="85" spans="1:12" ht="15">
      <c r="A85" s="21">
        <v>40921</v>
      </c>
      <c r="B85" s="21">
        <v>40909</v>
      </c>
      <c r="C85" s="17">
        <v>37</v>
      </c>
      <c r="D85" s="17" t="s">
        <v>93</v>
      </c>
      <c r="E85" s="18">
        <v>39910</v>
      </c>
      <c r="F85" s="17" t="s">
        <v>91</v>
      </c>
      <c r="G85" s="14">
        <v>546021.04</v>
      </c>
      <c r="H85" s="14">
        <v>525616.9</v>
      </c>
      <c r="I85" s="14">
        <v>525616.9</v>
      </c>
      <c r="J85" s="22">
        <f>H85*(1+Assumptions!$B$6+IF(F85="Yes",Assumptions!$C$6,0))</f>
        <v>541385.40700000001</v>
      </c>
      <c r="K85" s="22">
        <f>H85*(1+Assumptions!$B$7+IF(F85="Yes",Assumptions!$C$7,0))</f>
        <v>551897.745</v>
      </c>
      <c r="L85" s="22">
        <f>H85*(1+Assumptions!$B$8+IF(F85="Yes",Assumptions!$C$8,0))</f>
        <v>530873.06900000002</v>
      </c>
    </row>
    <row r="86" spans="1:12" ht="15">
      <c r="A86" s="21">
        <v>40921</v>
      </c>
      <c r="B86" s="21">
        <v>40909</v>
      </c>
      <c r="C86" s="17">
        <v>38</v>
      </c>
      <c r="D86" s="17" t="s">
        <v>93</v>
      </c>
      <c r="E86" s="18">
        <v>39690</v>
      </c>
      <c r="F86" s="17" t="s">
        <v>91</v>
      </c>
      <c r="G86" s="14">
        <v>423065.69</v>
      </c>
      <c r="H86" s="14">
        <v>356103.45</v>
      </c>
      <c r="I86" s="14">
        <v>356103.45</v>
      </c>
      <c r="J86" s="22">
        <f>H86*(1+Assumptions!$B$6+IF(F86="Yes",Assumptions!$C$6,0))</f>
        <v>366786.55350000004</v>
      </c>
      <c r="K86" s="22">
        <f>H86*(1+Assumptions!$B$7+IF(F86="Yes",Assumptions!$C$7,0))</f>
        <v>373908.62250000006</v>
      </c>
      <c r="L86" s="22">
        <f>H86*(1+Assumptions!$B$8+IF(F86="Yes",Assumptions!$C$8,0))</f>
        <v>359664.48450000002</v>
      </c>
    </row>
    <row r="87" spans="1:12" ht="15">
      <c r="A87" s="21">
        <v>40921</v>
      </c>
      <c r="B87" s="21">
        <v>40909</v>
      </c>
      <c r="C87" s="17">
        <v>39</v>
      </c>
      <c r="D87" s="17" t="s">
        <v>90</v>
      </c>
      <c r="E87" s="18">
        <v>184109</v>
      </c>
      <c r="F87" s="17" t="s">
        <v>91</v>
      </c>
      <c r="G87" s="14">
        <v>1368729.37</v>
      </c>
      <c r="H87" s="14">
        <v>1193182.3600000001</v>
      </c>
      <c r="I87" s="14">
        <v>1193182.3600000001</v>
      </c>
      <c r="J87" s="22">
        <f>H87*(1+Assumptions!$B$6+IF(F87="Yes",Assumptions!$C$6,0))</f>
        <v>1228977.8308000001</v>
      </c>
      <c r="K87" s="22">
        <f>H87*(1+Assumptions!$B$7+IF(F87="Yes",Assumptions!$C$7,0))</f>
        <v>1252841.4780000001</v>
      </c>
      <c r="L87" s="22">
        <f>H87*(1+Assumptions!$B$8+IF(F87="Yes",Assumptions!$C$8,0))</f>
        <v>1205114.1836000001</v>
      </c>
    </row>
    <row r="88" spans="1:12" ht="15">
      <c r="A88" s="21">
        <v>40921</v>
      </c>
      <c r="B88" s="21">
        <v>40909</v>
      </c>
      <c r="C88" s="17">
        <v>40</v>
      </c>
      <c r="D88" s="17" t="s">
        <v>90</v>
      </c>
      <c r="E88" s="18">
        <v>155083</v>
      </c>
      <c r="F88" s="17" t="s">
        <v>91</v>
      </c>
      <c r="G88" s="14">
        <v>780592.66999999993</v>
      </c>
      <c r="H88" s="14">
        <v>771134.69</v>
      </c>
      <c r="I88" s="14">
        <v>771134.69</v>
      </c>
      <c r="J88" s="22">
        <f>H88*(1+Assumptions!$B$6+IF(F88="Yes",Assumptions!$C$6,0))</f>
        <v>794268.73069999996</v>
      </c>
      <c r="K88" s="22">
        <f>H88*(1+Assumptions!$B$7+IF(F88="Yes",Assumptions!$C$7,0))</f>
        <v>809691.42449999996</v>
      </c>
      <c r="L88" s="22">
        <f>H88*(1+Assumptions!$B$8+IF(F88="Yes",Assumptions!$C$8,0))</f>
        <v>778846.03689999995</v>
      </c>
    </row>
    <row r="89" spans="1:12" ht="15">
      <c r="A89" s="21">
        <v>40921</v>
      </c>
      <c r="B89" s="21">
        <v>40909</v>
      </c>
      <c r="C89" s="17">
        <v>41</v>
      </c>
      <c r="D89" s="17" t="s">
        <v>90</v>
      </c>
      <c r="E89" s="18">
        <v>196321</v>
      </c>
      <c r="F89" s="17" t="s">
        <v>91</v>
      </c>
      <c r="G89" s="14">
        <v>1132775.19</v>
      </c>
      <c r="H89" s="14">
        <v>1052522.72</v>
      </c>
      <c r="I89" s="14">
        <v>1052522.72</v>
      </c>
      <c r="J89" s="22">
        <f>H89*(1+Assumptions!$B$6+IF(F89="Yes",Assumptions!$C$6,0))</f>
        <v>1084098.4016</v>
      </c>
      <c r="K89" s="22">
        <f>H89*(1+Assumptions!$B$7+IF(F89="Yes",Assumptions!$C$7,0))</f>
        <v>1105148.8559999999</v>
      </c>
      <c r="L89" s="22">
        <f>H89*(1+Assumptions!$B$8+IF(F89="Yes",Assumptions!$C$8,0))</f>
        <v>1063047.9472000001</v>
      </c>
    </row>
    <row r="90" spans="1:12" ht="15">
      <c r="A90" s="21">
        <v>40921</v>
      </c>
      <c r="B90" s="21">
        <v>40909</v>
      </c>
      <c r="C90" s="17">
        <v>42</v>
      </c>
      <c r="D90" s="17" t="s">
        <v>93</v>
      </c>
      <c r="E90" s="18">
        <v>39690</v>
      </c>
      <c r="F90" s="17" t="s">
        <v>91</v>
      </c>
      <c r="G90" s="14">
        <v>664149.71</v>
      </c>
      <c r="H90" s="14">
        <v>613893.24</v>
      </c>
      <c r="I90" s="14">
        <v>613893.24</v>
      </c>
      <c r="J90" s="22">
        <f>H90*(1+Assumptions!$B$6+IF(F90="Yes",Assumptions!$C$6,0))</f>
        <v>632310.03720000002</v>
      </c>
      <c r="K90" s="22">
        <f>H90*(1+Assumptions!$B$7+IF(F90="Yes",Assumptions!$C$7,0))</f>
        <v>644587.902</v>
      </c>
      <c r="L90" s="22">
        <f>H90*(1+Assumptions!$B$8+IF(F90="Yes",Assumptions!$C$8,0))</f>
        <v>620032.17240000004</v>
      </c>
    </row>
    <row r="91" spans="1:12" ht="15">
      <c r="A91" s="21">
        <v>40921</v>
      </c>
      <c r="B91" s="21">
        <v>40909</v>
      </c>
      <c r="C91" s="17">
        <v>43</v>
      </c>
      <c r="D91" s="17" t="s">
        <v>93</v>
      </c>
      <c r="E91" s="18">
        <v>41062</v>
      </c>
      <c r="F91" s="17" t="s">
        <v>91</v>
      </c>
      <c r="G91" s="14">
        <v>662178.9</v>
      </c>
      <c r="H91" s="14">
        <v>614342.27</v>
      </c>
      <c r="I91" s="14">
        <v>614342.27</v>
      </c>
      <c r="J91" s="22">
        <f>H91*(1+Assumptions!$B$6+IF(F91="Yes",Assumptions!$C$6,0))</f>
        <v>632772.53810000001</v>
      </c>
      <c r="K91" s="22">
        <f>H91*(1+Assumptions!$B$7+IF(F91="Yes",Assumptions!$C$7,0))</f>
        <v>645059.3835</v>
      </c>
      <c r="L91" s="22">
        <f>H91*(1+Assumptions!$B$8+IF(F91="Yes",Assumptions!$C$8,0))</f>
        <v>620485.69270000001</v>
      </c>
    </row>
    <row r="92" spans="1:12" ht="15">
      <c r="A92" s="21">
        <v>40921</v>
      </c>
      <c r="B92" s="21">
        <v>40909</v>
      </c>
      <c r="C92" s="17">
        <v>44</v>
      </c>
      <c r="D92" s="17" t="s">
        <v>93</v>
      </c>
      <c r="E92" s="18">
        <v>39910</v>
      </c>
      <c r="F92" s="17" t="s">
        <v>91</v>
      </c>
      <c r="G92" s="14">
        <v>312203.54000000004</v>
      </c>
      <c r="H92" s="14">
        <v>292864.36</v>
      </c>
      <c r="I92" s="14">
        <v>292864.36</v>
      </c>
      <c r="J92" s="22">
        <f>H92*(1+Assumptions!$B$6+IF(F92="Yes",Assumptions!$C$6,0))</f>
        <v>301650.29080000002</v>
      </c>
      <c r="K92" s="22">
        <f>H92*(1+Assumptions!$B$7+IF(F92="Yes",Assumptions!$C$7,0))</f>
        <v>307507.57799999998</v>
      </c>
      <c r="L92" s="22">
        <f>H92*(1+Assumptions!$B$8+IF(F92="Yes",Assumptions!$C$8,0))</f>
        <v>295793.0036</v>
      </c>
    </row>
    <row r="93" spans="1:12" ht="15">
      <c r="A93" s="21">
        <v>40921</v>
      </c>
      <c r="B93" s="21">
        <v>40909</v>
      </c>
      <c r="C93" s="17">
        <v>45</v>
      </c>
      <c r="D93" s="17" t="s">
        <v>92</v>
      </c>
      <c r="E93" s="18">
        <v>118221</v>
      </c>
      <c r="F93" s="17" t="s">
        <v>91</v>
      </c>
      <c r="G93" s="14">
        <v>675660.57</v>
      </c>
      <c r="H93" s="14">
        <v>654013.07000000007</v>
      </c>
      <c r="I93" s="14">
        <v>654013.07000000007</v>
      </c>
      <c r="J93" s="22">
        <f>H93*(1+Assumptions!$B$6+IF(F93="Yes",Assumptions!$C$6,0))</f>
        <v>673633.46210000012</v>
      </c>
      <c r="K93" s="22">
        <f>H93*(1+Assumptions!$B$7+IF(F93="Yes",Assumptions!$C$7,0))</f>
        <v>686713.72350000008</v>
      </c>
      <c r="L93" s="22">
        <f>H93*(1+Assumptions!$B$8+IF(F93="Yes",Assumptions!$C$8,0))</f>
        <v>660553.20070000004</v>
      </c>
    </row>
    <row r="94" spans="1:12" ht="15">
      <c r="A94" s="21">
        <v>40928</v>
      </c>
      <c r="B94" s="21">
        <v>40909</v>
      </c>
      <c r="C94" s="17">
        <v>1</v>
      </c>
      <c r="D94" s="17" t="s">
        <v>90</v>
      </c>
      <c r="E94" s="18">
        <v>151315</v>
      </c>
      <c r="F94" s="17" t="s">
        <v>91</v>
      </c>
      <c r="G94" s="14">
        <v>1393997.84</v>
      </c>
      <c r="H94" s="14">
        <v>1327405.42</v>
      </c>
      <c r="I94" s="14">
        <v>1327405.42</v>
      </c>
      <c r="J94" s="22">
        <f>H94*(1+Assumptions!$B$6+IF(F94="Yes",Assumptions!$C$6,0))</f>
        <v>1367227.5825999998</v>
      </c>
      <c r="K94" s="22">
        <f>H94*(1+Assumptions!$B$7+IF(F94="Yes",Assumptions!$C$7,0))</f>
        <v>1393775.6909999999</v>
      </c>
      <c r="L94" s="22">
        <f>H94*(1+Assumptions!$B$8+IF(F94="Yes",Assumptions!$C$8,0))</f>
        <v>1340679.4741999998</v>
      </c>
    </row>
    <row r="95" spans="1:12" ht="15">
      <c r="A95" s="21">
        <v>40928</v>
      </c>
      <c r="B95" s="21">
        <v>40909</v>
      </c>
      <c r="C95" s="17">
        <v>2</v>
      </c>
      <c r="D95" s="17" t="s">
        <v>90</v>
      </c>
      <c r="E95" s="18">
        <v>202307</v>
      </c>
      <c r="F95" s="17" t="s">
        <v>91</v>
      </c>
      <c r="G95" s="14">
        <v>1711754.11</v>
      </c>
      <c r="H95" s="14">
        <v>1751361.96</v>
      </c>
      <c r="I95" s="14">
        <v>1751361.96</v>
      </c>
      <c r="J95" s="22">
        <f>H95*(1+Assumptions!$B$6+IF(F95="Yes",Assumptions!$C$6,0))</f>
        <v>1803902.8188</v>
      </c>
      <c r="K95" s="22">
        <f>H95*(1+Assumptions!$B$7+IF(F95="Yes",Assumptions!$C$7,0))</f>
        <v>1838930.058</v>
      </c>
      <c r="L95" s="22">
        <f>H95*(1+Assumptions!$B$8+IF(F95="Yes",Assumptions!$C$8,0))</f>
        <v>1768875.5796000001</v>
      </c>
    </row>
    <row r="96" spans="1:12" ht="15">
      <c r="A96" s="21">
        <v>40928</v>
      </c>
      <c r="B96" s="21">
        <v>40909</v>
      </c>
      <c r="C96" s="17">
        <v>3</v>
      </c>
      <c r="D96" s="17" t="s">
        <v>92</v>
      </c>
      <c r="E96" s="18">
        <v>37392</v>
      </c>
      <c r="F96" s="17" t="s">
        <v>91</v>
      </c>
      <c r="G96" s="14">
        <v>365733.3</v>
      </c>
      <c r="H96" s="14">
        <v>350876.66000000003</v>
      </c>
      <c r="I96" s="14">
        <v>350876.66000000003</v>
      </c>
      <c r="J96" s="22">
        <f>H96*(1+Assumptions!$B$6+IF(F96="Yes",Assumptions!$C$6,0))</f>
        <v>361402.95980000007</v>
      </c>
      <c r="K96" s="22">
        <f>H96*(1+Assumptions!$B$7+IF(F96="Yes",Assumptions!$C$7,0))</f>
        <v>368420.49300000007</v>
      </c>
      <c r="L96" s="22">
        <f>H96*(1+Assumptions!$B$8+IF(F96="Yes",Assumptions!$C$8,0))</f>
        <v>354385.42660000006</v>
      </c>
    </row>
    <row r="97" spans="1:12" ht="15">
      <c r="A97" s="21">
        <v>40928</v>
      </c>
      <c r="B97" s="21">
        <v>40909</v>
      </c>
      <c r="C97" s="17">
        <v>4</v>
      </c>
      <c r="D97" s="17" t="s">
        <v>90</v>
      </c>
      <c r="E97" s="18">
        <v>205863</v>
      </c>
      <c r="F97" s="17" t="s">
        <v>91</v>
      </c>
      <c r="G97" s="14">
        <v>2005097.76</v>
      </c>
      <c r="H97" s="14">
        <v>1886391.9400000002</v>
      </c>
      <c r="I97" s="14">
        <v>1886391.9400000002</v>
      </c>
      <c r="J97" s="22">
        <f>H97*(1+Assumptions!$B$6+IF(F97="Yes",Assumptions!$C$6,0))</f>
        <v>1942983.6982000002</v>
      </c>
      <c r="K97" s="22">
        <f>H97*(1+Assumptions!$B$7+IF(F97="Yes",Assumptions!$C$7,0))</f>
        <v>1980711.5370000002</v>
      </c>
      <c r="L97" s="22">
        <f>H97*(1+Assumptions!$B$8+IF(F97="Yes",Assumptions!$C$8,0))</f>
        <v>1905255.8594000002</v>
      </c>
    </row>
    <row r="98" spans="1:12" ht="15">
      <c r="A98" s="21">
        <v>40928</v>
      </c>
      <c r="B98" s="21">
        <v>40909</v>
      </c>
      <c r="C98" s="17">
        <v>5</v>
      </c>
      <c r="D98" s="17" t="s">
        <v>92</v>
      </c>
      <c r="E98" s="18">
        <v>34875</v>
      </c>
      <c r="F98" s="17" t="s">
        <v>91</v>
      </c>
      <c r="G98" s="14">
        <v>287503.19</v>
      </c>
      <c r="H98" s="14">
        <v>275191.3</v>
      </c>
      <c r="I98" s="14">
        <v>275191.3</v>
      </c>
      <c r="J98" s="22">
        <f>H98*(1+Assumptions!$B$6+IF(F98="Yes",Assumptions!$C$6,0))</f>
        <v>283447.03899999999</v>
      </c>
      <c r="K98" s="22">
        <f>H98*(1+Assumptions!$B$7+IF(F98="Yes",Assumptions!$C$7,0))</f>
        <v>288950.86499999999</v>
      </c>
      <c r="L98" s="22">
        <f>H98*(1+Assumptions!$B$8+IF(F98="Yes",Assumptions!$C$8,0))</f>
        <v>277943.21299999999</v>
      </c>
    </row>
    <row r="99" spans="1:12" ht="15">
      <c r="A99" s="21">
        <v>40928</v>
      </c>
      <c r="B99" s="21">
        <v>40909</v>
      </c>
      <c r="C99" s="17">
        <v>6</v>
      </c>
      <c r="D99" s="17" t="s">
        <v>90</v>
      </c>
      <c r="E99" s="18">
        <v>202505</v>
      </c>
      <c r="F99" s="17" t="s">
        <v>91</v>
      </c>
      <c r="G99" s="14">
        <v>1325978.7</v>
      </c>
      <c r="H99" s="14">
        <v>1261241.71</v>
      </c>
      <c r="I99" s="14">
        <v>1261241.71</v>
      </c>
      <c r="J99" s="22">
        <f>H99*(1+Assumptions!$B$6+IF(F99="Yes",Assumptions!$C$6,0))</f>
        <v>1299078.9613000001</v>
      </c>
      <c r="K99" s="22">
        <f>H99*(1+Assumptions!$B$7+IF(F99="Yes",Assumptions!$C$7,0))</f>
        <v>1324303.7955</v>
      </c>
      <c r="L99" s="22">
        <f>H99*(1+Assumptions!$B$8+IF(F99="Yes",Assumptions!$C$8,0))</f>
        <v>1273854.1270999999</v>
      </c>
    </row>
    <row r="100" spans="1:12" ht="15">
      <c r="A100" s="21">
        <v>40928</v>
      </c>
      <c r="B100" s="21">
        <v>40909</v>
      </c>
      <c r="C100" s="17">
        <v>7</v>
      </c>
      <c r="D100" s="17" t="s">
        <v>92</v>
      </c>
      <c r="E100" s="18">
        <v>70713</v>
      </c>
      <c r="F100" s="17" t="s">
        <v>91</v>
      </c>
      <c r="G100" s="14">
        <v>577673.18000000005</v>
      </c>
      <c r="H100" s="14">
        <v>521496.96</v>
      </c>
      <c r="I100" s="14">
        <v>521496.96</v>
      </c>
      <c r="J100" s="22">
        <f>H100*(1+Assumptions!$B$6+IF(F100="Yes",Assumptions!$C$6,0))</f>
        <v>537141.86880000005</v>
      </c>
      <c r="K100" s="22">
        <f>H100*(1+Assumptions!$B$7+IF(F100="Yes",Assumptions!$C$7,0))</f>
        <v>547571.80800000008</v>
      </c>
      <c r="L100" s="22">
        <f>H100*(1+Assumptions!$B$8+IF(F100="Yes",Assumptions!$C$8,0))</f>
        <v>526711.92960000003</v>
      </c>
    </row>
    <row r="101" spans="1:12" ht="15">
      <c r="A101" s="21">
        <v>40928</v>
      </c>
      <c r="B101" s="21">
        <v>40909</v>
      </c>
      <c r="C101" s="17">
        <v>8</v>
      </c>
      <c r="D101" s="17" t="s">
        <v>90</v>
      </c>
      <c r="E101" s="18">
        <v>155078</v>
      </c>
      <c r="F101" s="17" t="s">
        <v>91</v>
      </c>
      <c r="G101" s="14">
        <v>813943.82000000007</v>
      </c>
      <c r="H101" s="14">
        <v>822668.23</v>
      </c>
      <c r="I101" s="14">
        <v>822668.23</v>
      </c>
      <c r="J101" s="22">
        <f>H101*(1+Assumptions!$B$6+IF(F101="Yes",Assumptions!$C$6,0))</f>
        <v>847348.27690000006</v>
      </c>
      <c r="K101" s="22">
        <f>H101*(1+Assumptions!$B$7+IF(F101="Yes",Assumptions!$C$7,0))</f>
        <v>863801.64150000003</v>
      </c>
      <c r="L101" s="22">
        <f>H101*(1+Assumptions!$B$8+IF(F101="Yes",Assumptions!$C$8,0))</f>
        <v>830894.91229999997</v>
      </c>
    </row>
    <row r="102" spans="1:12" ht="15">
      <c r="A102" s="21">
        <v>40928</v>
      </c>
      <c r="B102" s="21">
        <v>40909</v>
      </c>
      <c r="C102" s="17">
        <v>9</v>
      </c>
      <c r="D102" s="17" t="s">
        <v>92</v>
      </c>
      <c r="E102" s="18">
        <v>125833</v>
      </c>
      <c r="F102" s="17" t="s">
        <v>91</v>
      </c>
      <c r="G102" s="14">
        <v>479645.37</v>
      </c>
      <c r="H102" s="14">
        <v>453834.08999999997</v>
      </c>
      <c r="I102" s="14">
        <v>453834.08999999997</v>
      </c>
      <c r="J102" s="22">
        <f>H102*(1+Assumptions!$B$6+IF(F102="Yes",Assumptions!$C$6,0))</f>
        <v>467449.1127</v>
      </c>
      <c r="K102" s="22">
        <f>H102*(1+Assumptions!$B$7+IF(F102="Yes",Assumptions!$C$7,0))</f>
        <v>476525.79449999996</v>
      </c>
      <c r="L102" s="22">
        <f>H102*(1+Assumptions!$B$8+IF(F102="Yes",Assumptions!$C$8,0))</f>
        <v>458372.43089999998</v>
      </c>
    </row>
    <row r="103" spans="1:12" ht="15">
      <c r="A103" s="21">
        <v>40928</v>
      </c>
      <c r="B103" s="21">
        <v>40909</v>
      </c>
      <c r="C103" s="17">
        <v>10</v>
      </c>
      <c r="D103" s="17" t="s">
        <v>92</v>
      </c>
      <c r="E103" s="18">
        <v>126512</v>
      </c>
      <c r="F103" s="17" t="s">
        <v>91</v>
      </c>
      <c r="G103" s="14">
        <v>1675562.94</v>
      </c>
      <c r="H103" s="14">
        <v>1677514.3</v>
      </c>
      <c r="I103" s="14">
        <v>1677514.3</v>
      </c>
      <c r="J103" s="22">
        <f>H103*(1+Assumptions!$B$6+IF(F103="Yes",Assumptions!$C$6,0))</f>
        <v>1727839.7290000001</v>
      </c>
      <c r="K103" s="22">
        <f>H103*(1+Assumptions!$B$7+IF(F103="Yes",Assumptions!$C$7,0))</f>
        <v>1761390.0150000001</v>
      </c>
      <c r="L103" s="22">
        <f>H103*(1+Assumptions!$B$8+IF(F103="Yes",Assumptions!$C$8,0))</f>
        <v>1694289.443</v>
      </c>
    </row>
    <row r="104" spans="1:12" ht="15">
      <c r="A104" s="21">
        <v>40928</v>
      </c>
      <c r="B104" s="21">
        <v>40909</v>
      </c>
      <c r="C104" s="17">
        <v>11</v>
      </c>
      <c r="D104" s="17" t="s">
        <v>90</v>
      </c>
      <c r="E104" s="18">
        <v>207499</v>
      </c>
      <c r="F104" s="17" t="s">
        <v>91</v>
      </c>
      <c r="G104" s="14">
        <v>1207059.69</v>
      </c>
      <c r="H104" s="14">
        <v>1187765.72</v>
      </c>
      <c r="I104" s="14">
        <v>1187765.72</v>
      </c>
      <c r="J104" s="22">
        <f>H104*(1+Assumptions!$B$6+IF(F104="Yes",Assumptions!$C$6,0))</f>
        <v>1223398.6916</v>
      </c>
      <c r="K104" s="22">
        <f>H104*(1+Assumptions!$B$7+IF(F104="Yes",Assumptions!$C$7,0))</f>
        <v>1247154.0060000001</v>
      </c>
      <c r="L104" s="22">
        <f>H104*(1+Assumptions!$B$8+IF(F104="Yes",Assumptions!$C$8,0))</f>
        <v>1199643.3772</v>
      </c>
    </row>
    <row r="105" spans="1:12" ht="15">
      <c r="A105" s="21">
        <v>40928</v>
      </c>
      <c r="B105" s="21">
        <v>40909</v>
      </c>
      <c r="C105" s="17">
        <v>12</v>
      </c>
      <c r="D105" s="17" t="s">
        <v>92</v>
      </c>
      <c r="E105" s="18">
        <v>112238</v>
      </c>
      <c r="F105" s="17" t="s">
        <v>91</v>
      </c>
      <c r="G105" s="14">
        <v>855788.82</v>
      </c>
      <c r="H105" s="14">
        <v>802105.5</v>
      </c>
      <c r="I105" s="14">
        <v>802105.5</v>
      </c>
      <c r="J105" s="22">
        <f>H105*(1+Assumptions!$B$6+IF(F105="Yes",Assumptions!$C$6,0))</f>
        <v>826168.66500000004</v>
      </c>
      <c r="K105" s="22">
        <f>H105*(1+Assumptions!$B$7+IF(F105="Yes",Assumptions!$C$7,0))</f>
        <v>842210.77500000002</v>
      </c>
      <c r="L105" s="22">
        <f>H105*(1+Assumptions!$B$8+IF(F105="Yes",Assumptions!$C$8,0))</f>
        <v>810126.55500000005</v>
      </c>
    </row>
    <row r="106" spans="1:12" ht="15">
      <c r="A106" s="21">
        <v>40928</v>
      </c>
      <c r="B106" s="21">
        <v>40909</v>
      </c>
      <c r="C106" s="17">
        <v>13</v>
      </c>
      <c r="D106" s="17" t="s">
        <v>90</v>
      </c>
      <c r="E106" s="18">
        <v>219622</v>
      </c>
      <c r="F106" s="17" t="s">
        <v>91</v>
      </c>
      <c r="G106" s="14">
        <v>1811606.21</v>
      </c>
      <c r="H106" s="14">
        <v>1770171.4000000001</v>
      </c>
      <c r="I106" s="14">
        <v>1770171.4000000001</v>
      </c>
      <c r="J106" s="22">
        <f>H106*(1+Assumptions!$B$6+IF(F106="Yes",Assumptions!$C$6,0))</f>
        <v>1823276.5420000001</v>
      </c>
      <c r="K106" s="22">
        <f>H106*(1+Assumptions!$B$7+IF(F106="Yes",Assumptions!$C$7,0))</f>
        <v>1858679.9700000002</v>
      </c>
      <c r="L106" s="22">
        <f>H106*(1+Assumptions!$B$8+IF(F106="Yes",Assumptions!$C$8,0))</f>
        <v>1787873.1140000001</v>
      </c>
    </row>
    <row r="107" spans="1:12" ht="15">
      <c r="A107" s="21">
        <v>40928</v>
      </c>
      <c r="B107" s="21">
        <v>40909</v>
      </c>
      <c r="C107" s="17">
        <v>14</v>
      </c>
      <c r="D107" s="17" t="s">
        <v>90</v>
      </c>
      <c r="E107" s="18">
        <v>200898</v>
      </c>
      <c r="F107" s="17" t="s">
        <v>91</v>
      </c>
      <c r="G107" s="14">
        <v>1789094.44</v>
      </c>
      <c r="H107" s="14">
        <v>1743188.8699999999</v>
      </c>
      <c r="I107" s="14">
        <v>1743188.8699999999</v>
      </c>
      <c r="J107" s="22">
        <f>H107*(1+Assumptions!$B$6+IF(F107="Yes",Assumptions!$C$6,0))</f>
        <v>1795484.5360999999</v>
      </c>
      <c r="K107" s="22">
        <f>H107*(1+Assumptions!$B$7+IF(F107="Yes",Assumptions!$C$7,0))</f>
        <v>1830348.3134999999</v>
      </c>
      <c r="L107" s="22">
        <f>H107*(1+Assumptions!$B$8+IF(F107="Yes",Assumptions!$C$8,0))</f>
        <v>1760620.7586999999</v>
      </c>
    </row>
    <row r="108" spans="1:12" ht="15">
      <c r="A108" s="21">
        <v>40928</v>
      </c>
      <c r="B108" s="21">
        <v>40909</v>
      </c>
      <c r="C108" s="17">
        <v>15</v>
      </c>
      <c r="D108" s="17" t="s">
        <v>92</v>
      </c>
      <c r="E108" s="18">
        <v>123737</v>
      </c>
      <c r="F108" s="17" t="s">
        <v>91</v>
      </c>
      <c r="G108" s="14">
        <v>492641.03</v>
      </c>
      <c r="H108" s="14">
        <v>487116.03</v>
      </c>
      <c r="I108" s="14">
        <v>487116.03</v>
      </c>
      <c r="J108" s="22">
        <f>H108*(1+Assumptions!$B$6+IF(F108="Yes",Assumptions!$C$6,0))</f>
        <v>501729.51090000005</v>
      </c>
      <c r="K108" s="22">
        <f>H108*(1+Assumptions!$B$7+IF(F108="Yes",Assumptions!$C$7,0))</f>
        <v>511471.83150000003</v>
      </c>
      <c r="L108" s="22">
        <f>H108*(1+Assumptions!$B$8+IF(F108="Yes",Assumptions!$C$8,0))</f>
        <v>491987.19030000002</v>
      </c>
    </row>
    <row r="109" spans="1:12" ht="15">
      <c r="A109" s="21">
        <v>40928</v>
      </c>
      <c r="B109" s="21">
        <v>40909</v>
      </c>
      <c r="C109" s="17">
        <v>16</v>
      </c>
      <c r="D109" s="17" t="s">
        <v>92</v>
      </c>
      <c r="E109" s="18">
        <v>57197</v>
      </c>
      <c r="F109" s="17" t="s">
        <v>91</v>
      </c>
      <c r="G109" s="14">
        <v>472724.63</v>
      </c>
      <c r="H109" s="14">
        <v>462788.9</v>
      </c>
      <c r="I109" s="14">
        <v>462788.9</v>
      </c>
      <c r="J109" s="22">
        <f>H109*(1+Assumptions!$B$6+IF(F109="Yes",Assumptions!$C$6,0))</f>
        <v>476672.56700000004</v>
      </c>
      <c r="K109" s="22">
        <f>H109*(1+Assumptions!$B$7+IF(F109="Yes",Assumptions!$C$7,0))</f>
        <v>485928.34500000003</v>
      </c>
      <c r="L109" s="22">
        <f>H109*(1+Assumptions!$B$8+IF(F109="Yes",Assumptions!$C$8,0))</f>
        <v>467416.78900000005</v>
      </c>
    </row>
    <row r="110" spans="1:12" ht="15">
      <c r="A110" s="21">
        <v>40928</v>
      </c>
      <c r="B110" s="21">
        <v>40909</v>
      </c>
      <c r="C110" s="17">
        <v>17</v>
      </c>
      <c r="D110" s="17" t="s">
        <v>92</v>
      </c>
      <c r="E110" s="18">
        <v>93188</v>
      </c>
      <c r="F110" s="17" t="s">
        <v>91</v>
      </c>
      <c r="G110" s="14">
        <v>808862.37</v>
      </c>
      <c r="H110" s="14">
        <v>755867.37</v>
      </c>
      <c r="I110" s="14">
        <v>755867.37</v>
      </c>
      <c r="J110" s="22">
        <f>H110*(1+Assumptions!$B$6+IF(F110="Yes",Assumptions!$C$6,0))</f>
        <v>778543.39110000001</v>
      </c>
      <c r="K110" s="22">
        <f>H110*(1+Assumptions!$B$7+IF(F110="Yes",Assumptions!$C$7,0))</f>
        <v>793660.73849999998</v>
      </c>
      <c r="L110" s="22">
        <f>H110*(1+Assumptions!$B$8+IF(F110="Yes",Assumptions!$C$8,0))</f>
        <v>763426.04370000004</v>
      </c>
    </row>
    <row r="111" spans="1:12" ht="15">
      <c r="A111" s="21">
        <v>40928</v>
      </c>
      <c r="B111" s="21">
        <v>40909</v>
      </c>
      <c r="C111" s="17">
        <v>18</v>
      </c>
      <c r="D111" s="17" t="s">
        <v>92</v>
      </c>
      <c r="E111" s="18">
        <v>120653</v>
      </c>
      <c r="F111" s="17" t="s">
        <v>91</v>
      </c>
      <c r="G111" s="14">
        <v>923709.93</v>
      </c>
      <c r="H111" s="14">
        <v>891148.55</v>
      </c>
      <c r="I111" s="14">
        <v>891148.55</v>
      </c>
      <c r="J111" s="22">
        <f>H111*(1+Assumptions!$B$6+IF(F111="Yes",Assumptions!$C$6,0))</f>
        <v>917883.00650000002</v>
      </c>
      <c r="K111" s="22">
        <f>H111*(1+Assumptions!$B$7+IF(F111="Yes",Assumptions!$C$7,0))</f>
        <v>935705.97750000004</v>
      </c>
      <c r="L111" s="22">
        <f>H111*(1+Assumptions!$B$8+IF(F111="Yes",Assumptions!$C$8,0))</f>
        <v>900060.0355</v>
      </c>
    </row>
    <row r="112" spans="1:12" ht="15">
      <c r="A112" s="21">
        <v>40928</v>
      </c>
      <c r="B112" s="21">
        <v>40909</v>
      </c>
      <c r="C112" s="17">
        <v>19</v>
      </c>
      <c r="D112" s="17" t="s">
        <v>90</v>
      </c>
      <c r="E112" s="18">
        <v>203819</v>
      </c>
      <c r="F112" s="17" t="s">
        <v>91</v>
      </c>
      <c r="G112" s="14">
        <v>1236691.73</v>
      </c>
      <c r="H112" s="14">
        <v>1212903.1100000001</v>
      </c>
      <c r="I112" s="14">
        <v>1212903.1100000001</v>
      </c>
      <c r="J112" s="22">
        <f>H112*(1+Assumptions!$B$6+IF(F112="Yes",Assumptions!$C$6,0))</f>
        <v>1249290.2033000002</v>
      </c>
      <c r="K112" s="22">
        <f>H112*(1+Assumptions!$B$7+IF(F112="Yes",Assumptions!$C$7,0))</f>
        <v>1273548.2655000002</v>
      </c>
      <c r="L112" s="22">
        <f>H112*(1+Assumptions!$B$8+IF(F112="Yes",Assumptions!$C$8,0))</f>
        <v>1225032.1411000001</v>
      </c>
    </row>
    <row r="113" spans="1:12" ht="15">
      <c r="A113" s="21">
        <v>40928</v>
      </c>
      <c r="B113" s="21">
        <v>40909</v>
      </c>
      <c r="C113" s="17">
        <v>20</v>
      </c>
      <c r="D113" s="17" t="s">
        <v>90</v>
      </c>
      <c r="E113" s="18">
        <v>203742</v>
      </c>
      <c r="F113" s="17" t="s">
        <v>91</v>
      </c>
      <c r="G113" s="14">
        <v>1891697.94</v>
      </c>
      <c r="H113" s="14">
        <v>1781701.66</v>
      </c>
      <c r="I113" s="14">
        <v>1781701.66</v>
      </c>
      <c r="J113" s="22">
        <f>H113*(1+Assumptions!$B$6+IF(F113="Yes",Assumptions!$C$6,0))</f>
        <v>1835152.7098000001</v>
      </c>
      <c r="K113" s="22">
        <f>H113*(1+Assumptions!$B$7+IF(F113="Yes",Assumptions!$C$7,0))</f>
        <v>1870786.743</v>
      </c>
      <c r="L113" s="22">
        <f>H113*(1+Assumptions!$B$8+IF(F113="Yes",Assumptions!$C$8,0))</f>
        <v>1799518.6765999999</v>
      </c>
    </row>
    <row r="114" spans="1:12" ht="15">
      <c r="A114" s="21">
        <v>40928</v>
      </c>
      <c r="B114" s="21">
        <v>40909</v>
      </c>
      <c r="C114" s="17">
        <v>21</v>
      </c>
      <c r="D114" s="17" t="s">
        <v>92</v>
      </c>
      <c r="E114" s="18">
        <v>140167</v>
      </c>
      <c r="F114" s="17" t="s">
        <v>91</v>
      </c>
      <c r="G114" s="14">
        <v>650959.54</v>
      </c>
      <c r="H114" s="14">
        <v>663863.73</v>
      </c>
      <c r="I114" s="14">
        <v>663863.73</v>
      </c>
      <c r="J114" s="22">
        <f>H114*(1+Assumptions!$B$6+IF(F114="Yes",Assumptions!$C$6,0))</f>
        <v>683779.64190000005</v>
      </c>
      <c r="K114" s="22">
        <f>H114*(1+Assumptions!$B$7+IF(F114="Yes",Assumptions!$C$7,0))</f>
        <v>697056.91650000005</v>
      </c>
      <c r="L114" s="22">
        <f>H114*(1+Assumptions!$B$8+IF(F114="Yes",Assumptions!$C$8,0))</f>
        <v>670502.36730000004</v>
      </c>
    </row>
    <row r="115" spans="1:12" ht="15">
      <c r="A115" s="21">
        <v>40928</v>
      </c>
      <c r="B115" s="21">
        <v>40909</v>
      </c>
      <c r="C115" s="17">
        <v>22</v>
      </c>
      <c r="D115" s="17" t="s">
        <v>92</v>
      </c>
      <c r="E115" s="18">
        <v>119557</v>
      </c>
      <c r="F115" s="17" t="s">
        <v>91</v>
      </c>
      <c r="G115" s="14">
        <v>896042.7</v>
      </c>
      <c r="H115" s="14">
        <v>854996.52</v>
      </c>
      <c r="I115" s="14">
        <v>854996.52</v>
      </c>
      <c r="J115" s="22">
        <f>H115*(1+Assumptions!$B$6+IF(F115="Yes",Assumptions!$C$6,0))</f>
        <v>880646.41560000007</v>
      </c>
      <c r="K115" s="22">
        <f>H115*(1+Assumptions!$B$7+IF(F115="Yes",Assumptions!$C$7,0))</f>
        <v>897746.34600000002</v>
      </c>
      <c r="L115" s="22">
        <f>H115*(1+Assumptions!$B$8+IF(F115="Yes",Assumptions!$C$8,0))</f>
        <v>863546.4852</v>
      </c>
    </row>
    <row r="116" spans="1:12" ht="15">
      <c r="A116" s="21">
        <v>40928</v>
      </c>
      <c r="B116" s="21">
        <v>40909</v>
      </c>
      <c r="C116" s="17">
        <v>23</v>
      </c>
      <c r="D116" s="17" t="s">
        <v>92</v>
      </c>
      <c r="E116" s="18">
        <v>114533</v>
      </c>
      <c r="F116" s="17" t="s">
        <v>91</v>
      </c>
      <c r="G116" s="14">
        <v>1146887.93</v>
      </c>
      <c r="H116" s="14">
        <v>1110454.71</v>
      </c>
      <c r="I116" s="14">
        <v>1110454.71</v>
      </c>
      <c r="J116" s="22">
        <f>H116*(1+Assumptions!$B$6+IF(F116="Yes",Assumptions!$C$6,0))</f>
        <v>1143768.3513</v>
      </c>
      <c r="K116" s="22">
        <f>H116*(1+Assumptions!$B$7+IF(F116="Yes",Assumptions!$C$7,0))</f>
        <v>1165977.4454999999</v>
      </c>
      <c r="L116" s="22">
        <f>H116*(1+Assumptions!$B$8+IF(F116="Yes",Assumptions!$C$8,0))</f>
        <v>1121559.2571</v>
      </c>
    </row>
    <row r="117" spans="1:12" ht="15">
      <c r="A117" s="21">
        <v>40928</v>
      </c>
      <c r="B117" s="21">
        <v>40909</v>
      </c>
      <c r="C117" s="17">
        <v>24</v>
      </c>
      <c r="D117" s="17" t="s">
        <v>90</v>
      </c>
      <c r="E117" s="18">
        <v>203819</v>
      </c>
      <c r="F117" s="17" t="s">
        <v>91</v>
      </c>
      <c r="G117" s="14">
        <v>1151993.8500000001</v>
      </c>
      <c r="H117" s="14">
        <v>1107158.92</v>
      </c>
      <c r="I117" s="14">
        <v>1107158.92</v>
      </c>
      <c r="J117" s="22">
        <f>H117*(1+Assumptions!$B$6+IF(F117="Yes",Assumptions!$C$6,0))</f>
        <v>1140373.6876000001</v>
      </c>
      <c r="K117" s="22">
        <f>H117*(1+Assumptions!$B$7+IF(F117="Yes",Assumptions!$C$7,0))</f>
        <v>1162516.8659999999</v>
      </c>
      <c r="L117" s="22">
        <f>H117*(1+Assumptions!$B$8+IF(F117="Yes",Assumptions!$C$8,0))</f>
        <v>1118230.5092</v>
      </c>
    </row>
    <row r="118" spans="1:12" ht="15">
      <c r="A118" s="21">
        <v>40928</v>
      </c>
      <c r="B118" s="21">
        <v>40909</v>
      </c>
      <c r="C118" s="17">
        <v>25</v>
      </c>
      <c r="D118" s="17" t="s">
        <v>92</v>
      </c>
      <c r="E118" s="18">
        <v>128107</v>
      </c>
      <c r="F118" s="17" t="s">
        <v>91</v>
      </c>
      <c r="G118" s="14">
        <v>590847.21</v>
      </c>
      <c r="H118" s="14">
        <v>567033.56999999995</v>
      </c>
      <c r="I118" s="14">
        <v>567033.56999999995</v>
      </c>
      <c r="J118" s="22">
        <f>H118*(1+Assumptions!$B$6+IF(F118="Yes",Assumptions!$C$6,0))</f>
        <v>584044.57709999999</v>
      </c>
      <c r="K118" s="22">
        <f>H118*(1+Assumptions!$B$7+IF(F118="Yes",Assumptions!$C$7,0))</f>
        <v>595385.24849999999</v>
      </c>
      <c r="L118" s="22">
        <f>H118*(1+Assumptions!$B$8+IF(F118="Yes",Assumptions!$C$8,0))</f>
        <v>572703.9057</v>
      </c>
    </row>
    <row r="119" spans="1:12" ht="15">
      <c r="A119" s="21">
        <v>40928</v>
      </c>
      <c r="B119" s="21">
        <v>40909</v>
      </c>
      <c r="C119" s="17">
        <v>26</v>
      </c>
      <c r="D119" s="17" t="s">
        <v>90</v>
      </c>
      <c r="E119" s="18">
        <v>152513</v>
      </c>
      <c r="F119" s="17" t="s">
        <v>91</v>
      </c>
      <c r="G119" s="14">
        <v>838291.5</v>
      </c>
      <c r="H119" s="14">
        <v>809831.65</v>
      </c>
      <c r="I119" s="14">
        <v>809831.65</v>
      </c>
      <c r="J119" s="22">
        <f>H119*(1+Assumptions!$B$6+IF(F119="Yes",Assumptions!$C$6,0))</f>
        <v>834126.59950000001</v>
      </c>
      <c r="K119" s="22">
        <f>H119*(1+Assumptions!$B$7+IF(F119="Yes",Assumptions!$C$7,0))</f>
        <v>850323.23250000004</v>
      </c>
      <c r="L119" s="22">
        <f>H119*(1+Assumptions!$B$8+IF(F119="Yes",Assumptions!$C$8,0))</f>
        <v>817929.96649999998</v>
      </c>
    </row>
    <row r="120" spans="1:12" ht="15">
      <c r="A120" s="21">
        <v>40928</v>
      </c>
      <c r="B120" s="21">
        <v>40909</v>
      </c>
      <c r="C120" s="17">
        <v>27</v>
      </c>
      <c r="D120" s="17" t="s">
        <v>90</v>
      </c>
      <c r="E120" s="18">
        <v>204184</v>
      </c>
      <c r="F120" s="17" t="s">
        <v>91</v>
      </c>
      <c r="G120" s="14">
        <v>1542131.05</v>
      </c>
      <c r="H120" s="14">
        <v>1515381.9</v>
      </c>
      <c r="I120" s="14">
        <v>1515381.9</v>
      </c>
      <c r="J120" s="22">
        <f>H120*(1+Assumptions!$B$6+IF(F120="Yes",Assumptions!$C$6,0))</f>
        <v>1560843.3569999998</v>
      </c>
      <c r="K120" s="22">
        <f>H120*(1+Assumptions!$B$7+IF(F120="Yes",Assumptions!$C$7,0))</f>
        <v>1591150.9949999999</v>
      </c>
      <c r="L120" s="22">
        <f>H120*(1+Assumptions!$B$8+IF(F120="Yes",Assumptions!$C$8,0))</f>
        <v>1530535.7189999998</v>
      </c>
    </row>
    <row r="121" spans="1:12" ht="15">
      <c r="A121" s="21">
        <v>40928</v>
      </c>
      <c r="B121" s="21">
        <v>40909</v>
      </c>
      <c r="C121" s="17">
        <v>28</v>
      </c>
      <c r="D121" s="17" t="s">
        <v>90</v>
      </c>
      <c r="E121" s="18">
        <v>206302</v>
      </c>
      <c r="F121" s="17" t="s">
        <v>91</v>
      </c>
      <c r="G121" s="14">
        <v>1129540.48</v>
      </c>
      <c r="H121" s="14">
        <v>1079669.1100000001</v>
      </c>
      <c r="I121" s="14">
        <v>1079669.1100000001</v>
      </c>
      <c r="J121" s="22">
        <f>H121*(1+Assumptions!$B$6+IF(F121="Yes",Assumptions!$C$6,0))</f>
        <v>1112059.1833000001</v>
      </c>
      <c r="K121" s="22">
        <f>H121*(1+Assumptions!$B$7+IF(F121="Yes",Assumptions!$C$7,0))</f>
        <v>1133652.5655000003</v>
      </c>
      <c r="L121" s="22">
        <f>H121*(1+Assumptions!$B$8+IF(F121="Yes",Assumptions!$C$8,0))</f>
        <v>1090465.8011</v>
      </c>
    </row>
    <row r="122" spans="1:12" ht="15">
      <c r="A122" s="21">
        <v>40928</v>
      </c>
      <c r="B122" s="21">
        <v>40909</v>
      </c>
      <c r="C122" s="17">
        <v>29</v>
      </c>
      <c r="D122" s="17" t="s">
        <v>92</v>
      </c>
      <c r="E122" s="18">
        <v>93638</v>
      </c>
      <c r="F122" s="17" t="s">
        <v>91</v>
      </c>
      <c r="G122" s="14">
        <v>446765.59</v>
      </c>
      <c r="H122" s="14">
        <v>445134.15</v>
      </c>
      <c r="I122" s="14">
        <v>445134.15</v>
      </c>
      <c r="J122" s="22">
        <f>H122*(1+Assumptions!$B$6+IF(F122="Yes",Assumptions!$C$6,0))</f>
        <v>458488.17450000002</v>
      </c>
      <c r="K122" s="22">
        <f>H122*(1+Assumptions!$B$7+IF(F122="Yes",Assumptions!$C$7,0))</f>
        <v>467390.85750000004</v>
      </c>
      <c r="L122" s="22">
        <f>H122*(1+Assumptions!$B$8+IF(F122="Yes",Assumptions!$C$8,0))</f>
        <v>449585.4915</v>
      </c>
    </row>
    <row r="123" spans="1:12" ht="15">
      <c r="A123" s="21">
        <v>40928</v>
      </c>
      <c r="B123" s="21">
        <v>40909</v>
      </c>
      <c r="C123" s="17">
        <v>30</v>
      </c>
      <c r="D123" s="17" t="s">
        <v>93</v>
      </c>
      <c r="E123" s="18">
        <v>42988</v>
      </c>
      <c r="F123" s="17" t="s">
        <v>91</v>
      </c>
      <c r="G123" s="14">
        <v>438753.39999999997</v>
      </c>
      <c r="H123" s="14">
        <v>439122.62</v>
      </c>
      <c r="I123" s="14">
        <v>439122.62</v>
      </c>
      <c r="J123" s="22">
        <f>H123*(1+Assumptions!$B$6+IF(F123="Yes",Assumptions!$C$6,0))</f>
        <v>452296.29859999998</v>
      </c>
      <c r="K123" s="22">
        <f>H123*(1+Assumptions!$B$7+IF(F123="Yes",Assumptions!$C$7,0))</f>
        <v>461078.75099999999</v>
      </c>
      <c r="L123" s="22">
        <f>H123*(1+Assumptions!$B$8+IF(F123="Yes",Assumptions!$C$8,0))</f>
        <v>443513.84619999997</v>
      </c>
    </row>
    <row r="124" spans="1:12" ht="15">
      <c r="A124" s="21">
        <v>40928</v>
      </c>
      <c r="B124" s="21">
        <v>40909</v>
      </c>
      <c r="C124" s="17">
        <v>31</v>
      </c>
      <c r="D124" s="17" t="s">
        <v>90</v>
      </c>
      <c r="E124" s="18">
        <v>203750</v>
      </c>
      <c r="F124" s="17" t="s">
        <v>91</v>
      </c>
      <c r="G124" s="14">
        <v>1372504.88</v>
      </c>
      <c r="H124" s="14">
        <v>1344167.13</v>
      </c>
      <c r="I124" s="14">
        <v>1344167.13</v>
      </c>
      <c r="J124" s="22">
        <f>H124*(1+Assumptions!$B$6+IF(F124="Yes",Assumptions!$C$6,0))</f>
        <v>1384492.1439</v>
      </c>
      <c r="K124" s="22">
        <f>H124*(1+Assumptions!$B$7+IF(F124="Yes",Assumptions!$C$7,0))</f>
        <v>1411375.4864999999</v>
      </c>
      <c r="L124" s="22">
        <f>H124*(1+Assumptions!$B$8+IF(F124="Yes",Assumptions!$C$8,0))</f>
        <v>1357608.8012999999</v>
      </c>
    </row>
    <row r="125" spans="1:12" ht="15">
      <c r="A125" s="21">
        <v>40928</v>
      </c>
      <c r="B125" s="21">
        <v>40909</v>
      </c>
      <c r="C125" s="17">
        <v>32</v>
      </c>
      <c r="D125" s="17" t="s">
        <v>90</v>
      </c>
      <c r="E125" s="18">
        <v>203007</v>
      </c>
      <c r="F125" s="17" t="s">
        <v>91</v>
      </c>
      <c r="G125" s="14">
        <v>1080012.04</v>
      </c>
      <c r="H125" s="14">
        <v>1078332.47</v>
      </c>
      <c r="I125" s="14">
        <v>1078332.47</v>
      </c>
      <c r="J125" s="22">
        <f>H125*(1+Assumptions!$B$6+IF(F125="Yes",Assumptions!$C$6,0))</f>
        <v>1110682.4441</v>
      </c>
      <c r="K125" s="22">
        <f>H125*(1+Assumptions!$B$7+IF(F125="Yes",Assumptions!$C$7,0))</f>
        <v>1132249.0935</v>
      </c>
      <c r="L125" s="22">
        <f>H125*(1+Assumptions!$B$8+IF(F125="Yes",Assumptions!$C$8,0))</f>
        <v>1089115.7947</v>
      </c>
    </row>
    <row r="126" spans="1:12" ht="15">
      <c r="A126" s="21">
        <v>40928</v>
      </c>
      <c r="B126" s="21">
        <v>40909</v>
      </c>
      <c r="C126" s="17">
        <v>33</v>
      </c>
      <c r="D126" s="17" t="s">
        <v>90</v>
      </c>
      <c r="E126" s="18">
        <v>39690</v>
      </c>
      <c r="F126" s="17" t="s">
        <v>91</v>
      </c>
      <c r="G126" s="14">
        <v>244846.44999999998</v>
      </c>
      <c r="H126" s="14">
        <v>244834.2</v>
      </c>
      <c r="I126" s="14">
        <v>244834.2</v>
      </c>
      <c r="J126" s="22">
        <f>H126*(1+Assumptions!$B$6+IF(F126="Yes",Assumptions!$C$6,0))</f>
        <v>252179.22600000002</v>
      </c>
      <c r="K126" s="22">
        <f>H126*(1+Assumptions!$B$7+IF(F126="Yes",Assumptions!$C$7,0))</f>
        <v>257075.91000000003</v>
      </c>
      <c r="L126" s="22">
        <f>H126*(1+Assumptions!$B$8+IF(F126="Yes",Assumptions!$C$8,0))</f>
        <v>247282.54200000002</v>
      </c>
    </row>
    <row r="127" spans="1:12" ht="15">
      <c r="A127" s="21">
        <v>40928</v>
      </c>
      <c r="B127" s="21">
        <v>40909</v>
      </c>
      <c r="C127" s="17">
        <v>34</v>
      </c>
      <c r="D127" s="17" t="s">
        <v>90</v>
      </c>
      <c r="E127" s="18">
        <v>158114</v>
      </c>
      <c r="F127" s="17" t="s">
        <v>91</v>
      </c>
      <c r="G127" s="14">
        <v>911007.08</v>
      </c>
      <c r="H127" s="14">
        <v>889765.48</v>
      </c>
      <c r="I127" s="14">
        <v>889765.48</v>
      </c>
      <c r="J127" s="22">
        <f>H127*(1+Assumptions!$B$6+IF(F127="Yes",Assumptions!$C$6,0))</f>
        <v>916458.44440000004</v>
      </c>
      <c r="K127" s="22">
        <f>H127*(1+Assumptions!$B$7+IF(F127="Yes",Assumptions!$C$7,0))</f>
        <v>934253.75400000007</v>
      </c>
      <c r="L127" s="22">
        <f>H127*(1+Assumptions!$B$8+IF(F127="Yes",Assumptions!$C$8,0))</f>
        <v>898663.1348</v>
      </c>
    </row>
    <row r="128" spans="1:12" ht="15">
      <c r="A128" s="21">
        <v>40928</v>
      </c>
      <c r="B128" s="21">
        <v>40909</v>
      </c>
      <c r="C128" s="17">
        <v>35</v>
      </c>
      <c r="D128" s="17" t="s">
        <v>92</v>
      </c>
      <c r="E128" s="18">
        <v>103681</v>
      </c>
      <c r="F128" s="17" t="s">
        <v>91</v>
      </c>
      <c r="G128" s="14">
        <v>670067.53</v>
      </c>
      <c r="H128" s="14">
        <v>659899.91</v>
      </c>
      <c r="I128" s="14">
        <v>659899.91</v>
      </c>
      <c r="J128" s="22">
        <f>H128*(1+Assumptions!$B$6+IF(F128="Yes",Assumptions!$C$6,0))</f>
        <v>679696.90730000008</v>
      </c>
      <c r="K128" s="22">
        <f>H128*(1+Assumptions!$B$7+IF(F128="Yes",Assumptions!$C$7,0))</f>
        <v>692894.90550000011</v>
      </c>
      <c r="L128" s="22">
        <f>H128*(1+Assumptions!$B$8+IF(F128="Yes",Assumptions!$C$8,0))</f>
        <v>666498.90910000005</v>
      </c>
    </row>
    <row r="129" spans="1:12" ht="15">
      <c r="A129" s="21">
        <v>40928</v>
      </c>
      <c r="B129" s="21">
        <v>40909</v>
      </c>
      <c r="C129" s="17">
        <v>36</v>
      </c>
      <c r="D129" s="17" t="s">
        <v>90</v>
      </c>
      <c r="E129" s="18">
        <v>39910</v>
      </c>
      <c r="F129" s="17" t="s">
        <v>91</v>
      </c>
      <c r="G129" s="14">
        <v>330875.33</v>
      </c>
      <c r="H129" s="14">
        <v>399179</v>
      </c>
      <c r="I129" s="14">
        <v>399179</v>
      </c>
      <c r="J129" s="22">
        <f>H129*(1+Assumptions!$B$6+IF(F129="Yes",Assumptions!$C$6,0))</f>
        <v>411154.37</v>
      </c>
      <c r="K129" s="22">
        <f>H129*(1+Assumptions!$B$7+IF(F129="Yes",Assumptions!$C$7,0))</f>
        <v>419137.95</v>
      </c>
      <c r="L129" s="22">
        <f>H129*(1+Assumptions!$B$8+IF(F129="Yes",Assumptions!$C$8,0))</f>
        <v>403170.79</v>
      </c>
    </row>
    <row r="130" spans="1:12" ht="15">
      <c r="A130" s="21">
        <v>40928</v>
      </c>
      <c r="B130" s="21">
        <v>40909</v>
      </c>
      <c r="C130" s="17">
        <v>37</v>
      </c>
      <c r="D130" s="17" t="s">
        <v>93</v>
      </c>
      <c r="E130" s="18">
        <v>39910</v>
      </c>
      <c r="F130" s="17" t="s">
        <v>91</v>
      </c>
      <c r="G130" s="14">
        <v>543729.69999999995</v>
      </c>
      <c r="H130" s="14">
        <v>526486.81999999995</v>
      </c>
      <c r="I130" s="14">
        <v>526486.81999999995</v>
      </c>
      <c r="J130" s="22">
        <f>H130*(1+Assumptions!$B$6+IF(F130="Yes",Assumptions!$C$6,0))</f>
        <v>542281.42459999991</v>
      </c>
      <c r="K130" s="22">
        <f>H130*(1+Assumptions!$B$7+IF(F130="Yes",Assumptions!$C$7,0))</f>
        <v>552811.16099999996</v>
      </c>
      <c r="L130" s="22">
        <f>H130*(1+Assumptions!$B$8+IF(F130="Yes",Assumptions!$C$8,0))</f>
        <v>531751.68819999998</v>
      </c>
    </row>
    <row r="131" spans="1:12" ht="15">
      <c r="A131" s="21">
        <v>40928</v>
      </c>
      <c r="B131" s="21">
        <v>40909</v>
      </c>
      <c r="C131" s="17">
        <v>38</v>
      </c>
      <c r="D131" s="17" t="s">
        <v>93</v>
      </c>
      <c r="E131" s="18">
        <v>39690</v>
      </c>
      <c r="F131" s="17" t="s">
        <v>91</v>
      </c>
      <c r="G131" s="14">
        <v>405167.26</v>
      </c>
      <c r="H131" s="14">
        <v>341098.08</v>
      </c>
      <c r="I131" s="14">
        <v>341098.08</v>
      </c>
      <c r="J131" s="22">
        <f>H131*(1+Assumptions!$B$6+IF(F131="Yes",Assumptions!$C$6,0))</f>
        <v>351331.02240000002</v>
      </c>
      <c r="K131" s="22">
        <f>H131*(1+Assumptions!$B$7+IF(F131="Yes",Assumptions!$C$7,0))</f>
        <v>358152.98400000005</v>
      </c>
      <c r="L131" s="22">
        <f>H131*(1+Assumptions!$B$8+IF(F131="Yes",Assumptions!$C$8,0))</f>
        <v>344509.06080000004</v>
      </c>
    </row>
    <row r="132" spans="1:12" ht="15">
      <c r="A132" s="21">
        <v>40928</v>
      </c>
      <c r="B132" s="21">
        <v>40909</v>
      </c>
      <c r="C132" s="17">
        <v>39</v>
      </c>
      <c r="D132" s="17" t="s">
        <v>90</v>
      </c>
      <c r="E132" s="18">
        <v>184109</v>
      </c>
      <c r="F132" s="17" t="s">
        <v>91</v>
      </c>
      <c r="G132" s="14">
        <v>1394417.36</v>
      </c>
      <c r="H132" s="14">
        <v>1243364.27</v>
      </c>
      <c r="I132" s="14">
        <v>1243364.27</v>
      </c>
      <c r="J132" s="22">
        <f>H132*(1+Assumptions!$B$6+IF(F132="Yes",Assumptions!$C$6,0))</f>
        <v>1280665.1981000002</v>
      </c>
      <c r="K132" s="22">
        <f>H132*(1+Assumptions!$B$7+IF(F132="Yes",Assumptions!$C$7,0))</f>
        <v>1305532.4835000001</v>
      </c>
      <c r="L132" s="22">
        <f>H132*(1+Assumptions!$B$8+IF(F132="Yes",Assumptions!$C$8,0))</f>
        <v>1255797.9127</v>
      </c>
    </row>
    <row r="133" spans="1:12" ht="15">
      <c r="A133" s="21">
        <v>40928</v>
      </c>
      <c r="B133" s="21">
        <v>40909</v>
      </c>
      <c r="C133" s="17">
        <v>40</v>
      </c>
      <c r="D133" s="17" t="s">
        <v>90</v>
      </c>
      <c r="E133" s="18">
        <v>155083</v>
      </c>
      <c r="F133" s="17" t="s">
        <v>91</v>
      </c>
      <c r="G133" s="14">
        <v>811353.54</v>
      </c>
      <c r="H133" s="14">
        <v>763919.38</v>
      </c>
      <c r="I133" s="14">
        <v>763919.38</v>
      </c>
      <c r="J133" s="22">
        <f>H133*(1+Assumptions!$B$6+IF(F133="Yes",Assumptions!$C$6,0))</f>
        <v>786836.96140000003</v>
      </c>
      <c r="K133" s="22">
        <f>H133*(1+Assumptions!$B$7+IF(F133="Yes",Assumptions!$C$7,0))</f>
        <v>802115.34900000005</v>
      </c>
      <c r="L133" s="22">
        <f>H133*(1+Assumptions!$B$8+IF(F133="Yes",Assumptions!$C$8,0))</f>
        <v>771558.57380000001</v>
      </c>
    </row>
    <row r="134" spans="1:12" ht="15">
      <c r="A134" s="21">
        <v>40928</v>
      </c>
      <c r="B134" s="21">
        <v>40909</v>
      </c>
      <c r="C134" s="17">
        <v>41</v>
      </c>
      <c r="D134" s="17" t="s">
        <v>90</v>
      </c>
      <c r="E134" s="18">
        <v>196321</v>
      </c>
      <c r="F134" s="17" t="s">
        <v>91</v>
      </c>
      <c r="G134" s="14">
        <v>1113907.05</v>
      </c>
      <c r="H134" s="14">
        <v>1087989.42</v>
      </c>
      <c r="I134" s="14">
        <v>1087989.42</v>
      </c>
      <c r="J134" s="22">
        <f>H134*(1+Assumptions!$B$6+IF(F134="Yes",Assumptions!$C$6,0))</f>
        <v>1120629.1025999999</v>
      </c>
      <c r="K134" s="22">
        <f>H134*(1+Assumptions!$B$7+IF(F134="Yes",Assumptions!$C$7,0))</f>
        <v>1142388.8910000001</v>
      </c>
      <c r="L134" s="22">
        <f>H134*(1+Assumptions!$B$8+IF(F134="Yes",Assumptions!$C$8,0))</f>
        <v>1098869.3141999999</v>
      </c>
    </row>
    <row r="135" spans="1:12" ht="15">
      <c r="A135" s="21">
        <v>40928</v>
      </c>
      <c r="B135" s="21">
        <v>40909</v>
      </c>
      <c r="C135" s="17">
        <v>42</v>
      </c>
      <c r="D135" s="17" t="s">
        <v>93</v>
      </c>
      <c r="E135" s="18">
        <v>39690</v>
      </c>
      <c r="F135" s="17" t="s">
        <v>91</v>
      </c>
      <c r="G135" s="14">
        <v>579364.9</v>
      </c>
      <c r="H135" s="14">
        <v>533395.67999999993</v>
      </c>
      <c r="I135" s="14">
        <v>533395.67999999993</v>
      </c>
      <c r="J135" s="22">
        <f>H135*(1+Assumptions!$B$6+IF(F135="Yes",Assumptions!$C$6,0))</f>
        <v>549397.55039999995</v>
      </c>
      <c r="K135" s="22">
        <f>H135*(1+Assumptions!$B$7+IF(F135="Yes",Assumptions!$C$7,0))</f>
        <v>560065.46399999992</v>
      </c>
      <c r="L135" s="22">
        <f>H135*(1+Assumptions!$B$8+IF(F135="Yes",Assumptions!$C$8,0))</f>
        <v>538729.63679999998</v>
      </c>
    </row>
    <row r="136" spans="1:12" ht="15">
      <c r="A136" s="21">
        <v>40928</v>
      </c>
      <c r="B136" s="21">
        <v>40909</v>
      </c>
      <c r="C136" s="17">
        <v>43</v>
      </c>
      <c r="D136" s="17" t="s">
        <v>93</v>
      </c>
      <c r="E136" s="18">
        <v>41062</v>
      </c>
      <c r="F136" s="17" t="s">
        <v>91</v>
      </c>
      <c r="G136" s="14">
        <v>617789.79</v>
      </c>
      <c r="H136" s="14">
        <v>600435.34</v>
      </c>
      <c r="I136" s="14">
        <v>600435.34</v>
      </c>
      <c r="J136" s="22">
        <f>H136*(1+Assumptions!$B$6+IF(F136="Yes",Assumptions!$C$6,0))</f>
        <v>618448.40020000003</v>
      </c>
      <c r="K136" s="22">
        <f>H136*(1+Assumptions!$B$7+IF(F136="Yes",Assumptions!$C$7,0))</f>
        <v>630457.10699999996</v>
      </c>
      <c r="L136" s="22">
        <f>H136*(1+Assumptions!$B$8+IF(F136="Yes",Assumptions!$C$8,0))</f>
        <v>606439.69339999999</v>
      </c>
    </row>
    <row r="137" spans="1:12" ht="15">
      <c r="A137" s="21">
        <v>40928</v>
      </c>
      <c r="B137" s="21">
        <v>40909</v>
      </c>
      <c r="C137" s="17">
        <v>44</v>
      </c>
      <c r="D137" s="17" t="s">
        <v>93</v>
      </c>
      <c r="E137" s="18">
        <v>39910</v>
      </c>
      <c r="F137" s="17" t="s">
        <v>91</v>
      </c>
      <c r="G137" s="14">
        <v>316900.42</v>
      </c>
      <c r="H137" s="14">
        <v>276120.64</v>
      </c>
      <c r="I137" s="14">
        <v>276120.64</v>
      </c>
      <c r="J137" s="22">
        <f>H137*(1+Assumptions!$B$6+IF(F137="Yes",Assumptions!$C$6,0))</f>
        <v>284404.25920000003</v>
      </c>
      <c r="K137" s="22">
        <f>H137*(1+Assumptions!$B$7+IF(F137="Yes",Assumptions!$C$7,0))</f>
        <v>289926.67200000002</v>
      </c>
      <c r="L137" s="22">
        <f>H137*(1+Assumptions!$B$8+IF(F137="Yes",Assumptions!$C$8,0))</f>
        <v>278881.84640000004</v>
      </c>
    </row>
    <row r="138" spans="1:12" ht="15">
      <c r="A138" s="21">
        <v>40928</v>
      </c>
      <c r="B138" s="21">
        <v>40909</v>
      </c>
      <c r="C138" s="17">
        <v>45</v>
      </c>
      <c r="D138" s="17" t="s">
        <v>92</v>
      </c>
      <c r="E138" s="18">
        <v>118221</v>
      </c>
      <c r="F138" s="17" t="s">
        <v>91</v>
      </c>
      <c r="G138" s="14">
        <v>699720.23</v>
      </c>
      <c r="H138" s="14">
        <v>644285.32999999996</v>
      </c>
      <c r="I138" s="14">
        <v>644285.32999999996</v>
      </c>
      <c r="J138" s="22">
        <f>H138*(1+Assumptions!$B$6+IF(F138="Yes",Assumptions!$C$6,0))</f>
        <v>663613.88989999995</v>
      </c>
      <c r="K138" s="22">
        <f>H138*(1+Assumptions!$B$7+IF(F138="Yes",Assumptions!$C$7,0))</f>
        <v>676499.59649999999</v>
      </c>
      <c r="L138" s="22">
        <f>H138*(1+Assumptions!$B$8+IF(F138="Yes",Assumptions!$C$8,0))</f>
        <v>650728.18329999992</v>
      </c>
    </row>
    <row r="139" spans="1:12" ht="15">
      <c r="A139" s="21">
        <v>40935</v>
      </c>
      <c r="B139" s="21">
        <v>40909</v>
      </c>
      <c r="C139" s="17">
        <v>1</v>
      </c>
      <c r="D139" s="17" t="s">
        <v>90</v>
      </c>
      <c r="E139" s="18">
        <v>151315</v>
      </c>
      <c r="F139" s="17" t="s">
        <v>91</v>
      </c>
      <c r="G139" s="14">
        <v>1319325.5900000001</v>
      </c>
      <c r="H139" s="14">
        <v>1316831.3899999999</v>
      </c>
      <c r="I139" s="14">
        <v>1316831.3899999999</v>
      </c>
      <c r="J139" s="22">
        <f>H139*(1+Assumptions!$B$6+IF(F139="Yes",Assumptions!$C$6,0))</f>
        <v>1356336.3317</v>
      </c>
      <c r="K139" s="22">
        <f>H139*(1+Assumptions!$B$7+IF(F139="Yes",Assumptions!$C$7,0))</f>
        <v>1382672.9594999999</v>
      </c>
      <c r="L139" s="22">
        <f>H139*(1+Assumptions!$B$8+IF(F139="Yes",Assumptions!$C$8,0))</f>
        <v>1329999.7038999998</v>
      </c>
    </row>
    <row r="140" spans="1:12" ht="15">
      <c r="A140" s="21">
        <v>40935</v>
      </c>
      <c r="B140" s="21">
        <v>40909</v>
      </c>
      <c r="C140" s="17">
        <v>2</v>
      </c>
      <c r="D140" s="17" t="s">
        <v>90</v>
      </c>
      <c r="E140" s="18">
        <v>202307</v>
      </c>
      <c r="F140" s="17" t="s">
        <v>91</v>
      </c>
      <c r="G140" s="14">
        <v>1660906.1400000001</v>
      </c>
      <c r="H140" s="14">
        <v>1695371.68</v>
      </c>
      <c r="I140" s="14">
        <v>1695371.68</v>
      </c>
      <c r="J140" s="22">
        <f>H140*(1+Assumptions!$B$6+IF(F140="Yes",Assumptions!$C$6,0))</f>
        <v>1746232.8304000001</v>
      </c>
      <c r="K140" s="22">
        <f>H140*(1+Assumptions!$B$7+IF(F140="Yes",Assumptions!$C$7,0))</f>
        <v>1780140.264</v>
      </c>
      <c r="L140" s="22">
        <f>H140*(1+Assumptions!$B$8+IF(F140="Yes",Assumptions!$C$8,0))</f>
        <v>1712325.3968</v>
      </c>
    </row>
    <row r="141" spans="1:12" ht="15">
      <c r="A141" s="21">
        <v>40935</v>
      </c>
      <c r="B141" s="21">
        <v>40909</v>
      </c>
      <c r="C141" s="17">
        <v>3</v>
      </c>
      <c r="D141" s="17" t="s">
        <v>92</v>
      </c>
      <c r="E141" s="18">
        <v>37392</v>
      </c>
      <c r="F141" s="17" t="s">
        <v>91</v>
      </c>
      <c r="G141" s="14">
        <v>349370.22000000003</v>
      </c>
      <c r="H141" s="14">
        <v>364742.13</v>
      </c>
      <c r="I141" s="14">
        <v>364742.13</v>
      </c>
      <c r="J141" s="22">
        <f>H141*(1+Assumptions!$B$6+IF(F141="Yes",Assumptions!$C$6,0))</f>
        <v>375684.39390000002</v>
      </c>
      <c r="K141" s="22">
        <f>H141*(1+Assumptions!$B$7+IF(F141="Yes",Assumptions!$C$7,0))</f>
        <v>382979.2365</v>
      </c>
      <c r="L141" s="22">
        <f>H141*(1+Assumptions!$B$8+IF(F141="Yes",Assumptions!$C$8,0))</f>
        <v>368389.55129999999</v>
      </c>
    </row>
    <row r="142" spans="1:12" ht="15">
      <c r="A142" s="21">
        <v>40935</v>
      </c>
      <c r="B142" s="21">
        <v>40909</v>
      </c>
      <c r="C142" s="17">
        <v>4</v>
      </c>
      <c r="D142" s="17" t="s">
        <v>90</v>
      </c>
      <c r="E142" s="18">
        <v>205863</v>
      </c>
      <c r="F142" s="17" t="s">
        <v>91</v>
      </c>
      <c r="G142" s="14">
        <v>1928545.51</v>
      </c>
      <c r="H142" s="14">
        <v>1814240.85</v>
      </c>
      <c r="I142" s="14">
        <v>1814240.85</v>
      </c>
      <c r="J142" s="22">
        <f>H142*(1+Assumptions!$B$6+IF(F142="Yes",Assumptions!$C$6,0))</f>
        <v>1868668.0755</v>
      </c>
      <c r="K142" s="22">
        <f>H142*(1+Assumptions!$B$7+IF(F142="Yes",Assumptions!$C$7,0))</f>
        <v>1904952.8925000001</v>
      </c>
      <c r="L142" s="22">
        <f>H142*(1+Assumptions!$B$8+IF(F142="Yes",Assumptions!$C$8,0))</f>
        <v>1832383.2585</v>
      </c>
    </row>
    <row r="143" spans="1:12" ht="15">
      <c r="A143" s="21">
        <v>40935</v>
      </c>
      <c r="B143" s="21">
        <v>40909</v>
      </c>
      <c r="C143" s="17">
        <v>5</v>
      </c>
      <c r="D143" s="17" t="s">
        <v>92</v>
      </c>
      <c r="E143" s="18">
        <v>34875</v>
      </c>
      <c r="F143" s="17" t="s">
        <v>91</v>
      </c>
      <c r="G143" s="14">
        <v>295490.73</v>
      </c>
      <c r="H143" s="14">
        <v>279034.37</v>
      </c>
      <c r="I143" s="14">
        <v>279034.37</v>
      </c>
      <c r="J143" s="22">
        <f>H143*(1+Assumptions!$B$6+IF(F143="Yes",Assumptions!$C$6,0))</f>
        <v>287405.40110000002</v>
      </c>
      <c r="K143" s="22">
        <f>H143*(1+Assumptions!$B$7+IF(F143="Yes",Assumptions!$C$7,0))</f>
        <v>292986.08850000001</v>
      </c>
      <c r="L143" s="22">
        <f>H143*(1+Assumptions!$B$8+IF(F143="Yes",Assumptions!$C$8,0))</f>
        <v>281824.71370000002</v>
      </c>
    </row>
    <row r="144" spans="1:12" ht="15">
      <c r="A144" s="21">
        <v>40935</v>
      </c>
      <c r="B144" s="21">
        <v>40909</v>
      </c>
      <c r="C144" s="17">
        <v>6</v>
      </c>
      <c r="D144" s="17" t="s">
        <v>90</v>
      </c>
      <c r="E144" s="18">
        <v>202505</v>
      </c>
      <c r="F144" s="17" t="s">
        <v>91</v>
      </c>
      <c r="G144" s="14">
        <v>1315139.8599999999</v>
      </c>
      <c r="H144" s="14">
        <v>1287023.23</v>
      </c>
      <c r="I144" s="14">
        <v>1287023.23</v>
      </c>
      <c r="J144" s="22">
        <f>H144*(1+Assumptions!$B$6+IF(F144="Yes",Assumptions!$C$6,0))</f>
        <v>1325633.9269000001</v>
      </c>
      <c r="K144" s="22">
        <f>H144*(1+Assumptions!$B$7+IF(F144="Yes",Assumptions!$C$7,0))</f>
        <v>1351374.3915000001</v>
      </c>
      <c r="L144" s="22">
        <f>H144*(1+Assumptions!$B$8+IF(F144="Yes",Assumptions!$C$8,0))</f>
        <v>1299893.4623</v>
      </c>
    </row>
    <row r="145" spans="1:12" ht="15">
      <c r="A145" s="21">
        <v>40935</v>
      </c>
      <c r="B145" s="21">
        <v>40909</v>
      </c>
      <c r="C145" s="17">
        <v>7</v>
      </c>
      <c r="D145" s="17" t="s">
        <v>92</v>
      </c>
      <c r="E145" s="18">
        <v>70713</v>
      </c>
      <c r="F145" s="17" t="s">
        <v>91</v>
      </c>
      <c r="G145" s="14">
        <v>539620.64</v>
      </c>
      <c r="H145" s="14">
        <v>513337.16</v>
      </c>
      <c r="I145" s="14">
        <v>513337.16</v>
      </c>
      <c r="J145" s="22">
        <f>H145*(1+Assumptions!$B$6+IF(F145="Yes",Assumptions!$C$6,0))</f>
        <v>528737.27480000001</v>
      </c>
      <c r="K145" s="22">
        <f>H145*(1+Assumptions!$B$7+IF(F145="Yes",Assumptions!$C$7,0))</f>
        <v>539004.01800000004</v>
      </c>
      <c r="L145" s="22">
        <f>H145*(1+Assumptions!$B$8+IF(F145="Yes",Assumptions!$C$8,0))</f>
        <v>518470.53159999999</v>
      </c>
    </row>
    <row r="146" spans="1:12" ht="15">
      <c r="A146" s="21">
        <v>40935</v>
      </c>
      <c r="B146" s="21">
        <v>40909</v>
      </c>
      <c r="C146" s="17">
        <v>8</v>
      </c>
      <c r="D146" s="17" t="s">
        <v>90</v>
      </c>
      <c r="E146" s="18">
        <v>155078</v>
      </c>
      <c r="F146" s="17" t="s">
        <v>91</v>
      </c>
      <c r="G146" s="14">
        <v>778178.53</v>
      </c>
      <c r="H146" s="14">
        <v>782202.74</v>
      </c>
      <c r="I146" s="14">
        <v>782202.74</v>
      </c>
      <c r="J146" s="22">
        <f>H146*(1+Assumptions!$B$6+IF(F146="Yes",Assumptions!$C$6,0))</f>
        <v>805668.82220000005</v>
      </c>
      <c r="K146" s="22">
        <f>H146*(1+Assumptions!$B$7+IF(F146="Yes",Assumptions!$C$7,0))</f>
        <v>821312.87699999998</v>
      </c>
      <c r="L146" s="22">
        <f>H146*(1+Assumptions!$B$8+IF(F146="Yes",Assumptions!$C$8,0))</f>
        <v>790024.76740000001</v>
      </c>
    </row>
    <row r="147" spans="1:12" ht="15">
      <c r="A147" s="21">
        <v>40935</v>
      </c>
      <c r="B147" s="21">
        <v>40909</v>
      </c>
      <c r="C147" s="17">
        <v>9</v>
      </c>
      <c r="D147" s="17" t="s">
        <v>92</v>
      </c>
      <c r="E147" s="18">
        <v>125833</v>
      </c>
      <c r="F147" s="17" t="s">
        <v>91</v>
      </c>
      <c r="G147" s="14">
        <v>482158.77999999997</v>
      </c>
      <c r="H147" s="14">
        <v>462698.27</v>
      </c>
      <c r="I147" s="14">
        <v>462698.27</v>
      </c>
      <c r="J147" s="22">
        <f>H147*(1+Assumptions!$B$6+IF(F147="Yes",Assumptions!$C$6,0))</f>
        <v>476579.21810000006</v>
      </c>
      <c r="K147" s="22">
        <f>H147*(1+Assumptions!$B$7+IF(F147="Yes",Assumptions!$C$7,0))</f>
        <v>485833.18350000004</v>
      </c>
      <c r="L147" s="22">
        <f>H147*(1+Assumptions!$B$8+IF(F147="Yes",Assumptions!$C$8,0))</f>
        <v>467325.25270000001</v>
      </c>
    </row>
    <row r="148" spans="1:12" ht="15">
      <c r="A148" s="21">
        <v>40935</v>
      </c>
      <c r="B148" s="21">
        <v>40909</v>
      </c>
      <c r="C148" s="17">
        <v>10</v>
      </c>
      <c r="D148" s="17" t="s">
        <v>92</v>
      </c>
      <c r="E148" s="18">
        <v>126512</v>
      </c>
      <c r="F148" s="17" t="s">
        <v>91</v>
      </c>
      <c r="G148" s="14">
        <v>1632391</v>
      </c>
      <c r="H148" s="14">
        <v>1715769.05</v>
      </c>
      <c r="I148" s="14">
        <v>1715769.05</v>
      </c>
      <c r="J148" s="22">
        <f>H148*(1+Assumptions!$B$6+IF(F148="Yes",Assumptions!$C$6,0))</f>
        <v>1767242.1215000001</v>
      </c>
      <c r="K148" s="22">
        <f>H148*(1+Assumptions!$B$7+IF(F148="Yes",Assumptions!$C$7,0))</f>
        <v>1801557.5025000002</v>
      </c>
      <c r="L148" s="22">
        <f>H148*(1+Assumptions!$B$8+IF(F148="Yes",Assumptions!$C$8,0))</f>
        <v>1732926.7405000001</v>
      </c>
    </row>
    <row r="149" spans="1:12" ht="15">
      <c r="A149" s="21">
        <v>40935</v>
      </c>
      <c r="B149" s="21">
        <v>40909</v>
      </c>
      <c r="C149" s="17">
        <v>11</v>
      </c>
      <c r="D149" s="17" t="s">
        <v>90</v>
      </c>
      <c r="E149" s="18">
        <v>207499</v>
      </c>
      <c r="F149" s="17" t="s">
        <v>91</v>
      </c>
      <c r="G149" s="14">
        <v>1162273.8500000001</v>
      </c>
      <c r="H149" s="14">
        <v>1100418.69</v>
      </c>
      <c r="I149" s="14">
        <v>1100418.69</v>
      </c>
      <c r="J149" s="22">
        <f>H149*(1+Assumptions!$B$6+IF(F149="Yes",Assumptions!$C$6,0))</f>
        <v>1133431.2507</v>
      </c>
      <c r="K149" s="22">
        <f>H149*(1+Assumptions!$B$7+IF(F149="Yes",Assumptions!$C$7,0))</f>
        <v>1155439.6244999999</v>
      </c>
      <c r="L149" s="22">
        <f>H149*(1+Assumptions!$B$8+IF(F149="Yes",Assumptions!$C$8,0))</f>
        <v>1111422.8769</v>
      </c>
    </row>
    <row r="150" spans="1:12" ht="15">
      <c r="A150" s="21">
        <v>40935</v>
      </c>
      <c r="B150" s="21">
        <v>40909</v>
      </c>
      <c r="C150" s="17">
        <v>12</v>
      </c>
      <c r="D150" s="17" t="s">
        <v>92</v>
      </c>
      <c r="E150" s="18">
        <v>112238</v>
      </c>
      <c r="F150" s="17" t="s">
        <v>91</v>
      </c>
      <c r="G150" s="14">
        <v>888006.23</v>
      </c>
      <c r="H150" s="14">
        <v>873519.06</v>
      </c>
      <c r="I150" s="14">
        <v>873519.06</v>
      </c>
      <c r="J150" s="22">
        <f>H150*(1+Assumptions!$B$6+IF(F150="Yes",Assumptions!$C$6,0))</f>
        <v>899724.63180000009</v>
      </c>
      <c r="K150" s="22">
        <f>H150*(1+Assumptions!$B$7+IF(F150="Yes",Assumptions!$C$7,0))</f>
        <v>917195.01300000015</v>
      </c>
      <c r="L150" s="22">
        <f>H150*(1+Assumptions!$B$8+IF(F150="Yes",Assumptions!$C$8,0))</f>
        <v>882254.25060000003</v>
      </c>
    </row>
    <row r="151" spans="1:12" ht="15">
      <c r="A151" s="21">
        <v>40935</v>
      </c>
      <c r="B151" s="21">
        <v>40909</v>
      </c>
      <c r="C151" s="17">
        <v>13</v>
      </c>
      <c r="D151" s="17" t="s">
        <v>90</v>
      </c>
      <c r="E151" s="18">
        <v>219622</v>
      </c>
      <c r="F151" s="17" t="s">
        <v>91</v>
      </c>
      <c r="G151" s="14">
        <v>1733983.09</v>
      </c>
      <c r="H151" s="14">
        <v>1633663.12</v>
      </c>
      <c r="I151" s="14">
        <v>1633663.12</v>
      </c>
      <c r="J151" s="22">
        <f>H151*(1+Assumptions!$B$6+IF(F151="Yes",Assumptions!$C$6,0))</f>
        <v>1682673.0136000002</v>
      </c>
      <c r="K151" s="22">
        <f>H151*(1+Assumptions!$B$7+IF(F151="Yes",Assumptions!$C$7,0))</f>
        <v>1715346.2760000003</v>
      </c>
      <c r="L151" s="22">
        <f>H151*(1+Assumptions!$B$8+IF(F151="Yes",Assumptions!$C$8,0))</f>
        <v>1649999.7512000001</v>
      </c>
    </row>
    <row r="152" spans="1:12" ht="15">
      <c r="A152" s="21">
        <v>40935</v>
      </c>
      <c r="B152" s="21">
        <v>40909</v>
      </c>
      <c r="C152" s="17">
        <v>14</v>
      </c>
      <c r="D152" s="17" t="s">
        <v>90</v>
      </c>
      <c r="E152" s="18">
        <v>200898</v>
      </c>
      <c r="F152" s="17" t="s">
        <v>91</v>
      </c>
      <c r="G152" s="14">
        <v>1595322.55</v>
      </c>
      <c r="H152" s="14">
        <v>1613718.3800000001</v>
      </c>
      <c r="I152" s="14">
        <v>1613718.3800000001</v>
      </c>
      <c r="J152" s="22">
        <f>H152*(1+Assumptions!$B$6+IF(F152="Yes",Assumptions!$C$6,0))</f>
        <v>1662129.9314000001</v>
      </c>
      <c r="K152" s="22">
        <f>H152*(1+Assumptions!$B$7+IF(F152="Yes",Assumptions!$C$7,0))</f>
        <v>1694404.2990000001</v>
      </c>
      <c r="L152" s="22">
        <f>H152*(1+Assumptions!$B$8+IF(F152="Yes",Assumptions!$C$8,0))</f>
        <v>1629855.5638000001</v>
      </c>
    </row>
    <row r="153" spans="1:12" ht="15">
      <c r="A153" s="21">
        <v>40935</v>
      </c>
      <c r="B153" s="21">
        <v>40909</v>
      </c>
      <c r="C153" s="17">
        <v>15</v>
      </c>
      <c r="D153" s="17" t="s">
        <v>92</v>
      </c>
      <c r="E153" s="18">
        <v>123737</v>
      </c>
      <c r="F153" s="17" t="s">
        <v>91</v>
      </c>
      <c r="G153" s="14">
        <v>465983.77</v>
      </c>
      <c r="H153" s="14">
        <v>481104.6</v>
      </c>
      <c r="I153" s="14">
        <v>481104.6</v>
      </c>
      <c r="J153" s="22">
        <f>H153*(1+Assumptions!$B$6+IF(F153="Yes",Assumptions!$C$6,0))</f>
        <v>495537.73800000001</v>
      </c>
      <c r="K153" s="22">
        <f>H153*(1+Assumptions!$B$7+IF(F153="Yes",Assumptions!$C$7,0))</f>
        <v>505159.83</v>
      </c>
      <c r="L153" s="22">
        <f>H153*(1+Assumptions!$B$8+IF(F153="Yes",Assumptions!$C$8,0))</f>
        <v>485915.64600000001</v>
      </c>
    </row>
    <row r="154" spans="1:12" ht="15">
      <c r="A154" s="21">
        <v>40935</v>
      </c>
      <c r="B154" s="21">
        <v>40909</v>
      </c>
      <c r="C154" s="17">
        <v>16</v>
      </c>
      <c r="D154" s="17" t="s">
        <v>92</v>
      </c>
      <c r="E154" s="18">
        <v>57197</v>
      </c>
      <c r="F154" s="17" t="s">
        <v>91</v>
      </c>
      <c r="G154" s="14">
        <v>451129.05</v>
      </c>
      <c r="H154" s="14">
        <v>448256.54</v>
      </c>
      <c r="I154" s="14">
        <v>448256.54</v>
      </c>
      <c r="J154" s="22">
        <f>H154*(1+Assumptions!$B$6+IF(F154="Yes",Assumptions!$C$6,0))</f>
        <v>461704.23619999998</v>
      </c>
      <c r="K154" s="22">
        <f>H154*(1+Assumptions!$B$7+IF(F154="Yes",Assumptions!$C$7,0))</f>
        <v>470669.36699999997</v>
      </c>
      <c r="L154" s="22">
        <f>H154*(1+Assumptions!$B$8+IF(F154="Yes",Assumptions!$C$8,0))</f>
        <v>452739.1054</v>
      </c>
    </row>
    <row r="155" spans="1:12" ht="15">
      <c r="A155" s="21">
        <v>40935</v>
      </c>
      <c r="B155" s="21">
        <v>40909</v>
      </c>
      <c r="C155" s="17">
        <v>17</v>
      </c>
      <c r="D155" s="17" t="s">
        <v>92</v>
      </c>
      <c r="E155" s="18">
        <v>93188</v>
      </c>
      <c r="F155" s="17" t="s">
        <v>91</v>
      </c>
      <c r="G155" s="14">
        <v>769129.05</v>
      </c>
      <c r="H155" s="14">
        <v>736337.69000000006</v>
      </c>
      <c r="I155" s="14">
        <v>736337.69000000006</v>
      </c>
      <c r="J155" s="22">
        <f>H155*(1+Assumptions!$B$6+IF(F155="Yes",Assumptions!$C$6,0))</f>
        <v>758427.82070000004</v>
      </c>
      <c r="K155" s="22">
        <f>H155*(1+Assumptions!$B$7+IF(F155="Yes",Assumptions!$C$7,0))</f>
        <v>773154.5745000001</v>
      </c>
      <c r="L155" s="22">
        <f>H155*(1+Assumptions!$B$8+IF(F155="Yes",Assumptions!$C$8,0))</f>
        <v>743701.06690000009</v>
      </c>
    </row>
    <row r="156" spans="1:12" ht="15">
      <c r="A156" s="21">
        <v>40935</v>
      </c>
      <c r="B156" s="21">
        <v>40909</v>
      </c>
      <c r="C156" s="17">
        <v>18</v>
      </c>
      <c r="D156" s="17" t="s">
        <v>92</v>
      </c>
      <c r="E156" s="18">
        <v>120653</v>
      </c>
      <c r="F156" s="17" t="s">
        <v>91</v>
      </c>
      <c r="G156" s="14">
        <v>825548.16</v>
      </c>
      <c r="H156" s="14">
        <v>849540.85</v>
      </c>
      <c r="I156" s="14">
        <v>849540.85</v>
      </c>
      <c r="J156" s="22">
        <f>H156*(1+Assumptions!$B$6+IF(F156="Yes",Assumptions!$C$6,0))</f>
        <v>875027.07550000004</v>
      </c>
      <c r="K156" s="22">
        <f>H156*(1+Assumptions!$B$7+IF(F156="Yes",Assumptions!$C$7,0))</f>
        <v>892017.89249999996</v>
      </c>
      <c r="L156" s="22">
        <f>H156*(1+Assumptions!$B$8+IF(F156="Yes",Assumptions!$C$8,0))</f>
        <v>858036.2585</v>
      </c>
    </row>
    <row r="157" spans="1:12" ht="15">
      <c r="A157" s="21">
        <v>40935</v>
      </c>
      <c r="B157" s="21">
        <v>40909</v>
      </c>
      <c r="C157" s="17">
        <v>19</v>
      </c>
      <c r="D157" s="17" t="s">
        <v>90</v>
      </c>
      <c r="E157" s="18">
        <v>203819</v>
      </c>
      <c r="F157" s="17" t="s">
        <v>91</v>
      </c>
      <c r="G157" s="14">
        <v>1279623.26</v>
      </c>
      <c r="H157" s="14">
        <v>1284174.77</v>
      </c>
      <c r="I157" s="14">
        <v>1284174.77</v>
      </c>
      <c r="J157" s="22">
        <f>H157*(1+Assumptions!$B$6+IF(F157="Yes",Assumptions!$C$6,0))</f>
        <v>1322700.0131000001</v>
      </c>
      <c r="K157" s="22">
        <f>H157*(1+Assumptions!$B$7+IF(F157="Yes",Assumptions!$C$7,0))</f>
        <v>1348383.5085</v>
      </c>
      <c r="L157" s="22">
        <f>H157*(1+Assumptions!$B$8+IF(F157="Yes",Assumptions!$C$8,0))</f>
        <v>1297016.5177</v>
      </c>
    </row>
    <row r="158" spans="1:12" ht="15">
      <c r="A158" s="21">
        <v>40935</v>
      </c>
      <c r="B158" s="21">
        <v>40909</v>
      </c>
      <c r="C158" s="17">
        <v>20</v>
      </c>
      <c r="D158" s="17" t="s">
        <v>90</v>
      </c>
      <c r="E158" s="18">
        <v>203742</v>
      </c>
      <c r="F158" s="17" t="s">
        <v>91</v>
      </c>
      <c r="G158" s="14">
        <v>1761016.51</v>
      </c>
      <c r="H158" s="14">
        <v>1752382.68</v>
      </c>
      <c r="I158" s="14">
        <v>1752382.68</v>
      </c>
      <c r="J158" s="22">
        <f>H158*(1+Assumptions!$B$6+IF(F158="Yes",Assumptions!$C$6,0))</f>
        <v>1804954.1603999999</v>
      </c>
      <c r="K158" s="22">
        <f>H158*(1+Assumptions!$B$7+IF(F158="Yes",Assumptions!$C$7,0))</f>
        <v>1840001.814</v>
      </c>
      <c r="L158" s="22">
        <f>H158*(1+Assumptions!$B$8+IF(F158="Yes",Assumptions!$C$8,0))</f>
        <v>1769906.5067999999</v>
      </c>
    </row>
    <row r="159" spans="1:12" ht="15">
      <c r="A159" s="21">
        <v>40935</v>
      </c>
      <c r="B159" s="21">
        <v>40909</v>
      </c>
      <c r="C159" s="17">
        <v>21</v>
      </c>
      <c r="D159" s="17" t="s">
        <v>92</v>
      </c>
      <c r="E159" s="18">
        <v>140167</v>
      </c>
      <c r="F159" s="17" t="s">
        <v>91</v>
      </c>
      <c r="G159" s="14">
        <v>611258.71</v>
      </c>
      <c r="H159" s="14">
        <v>649413.29</v>
      </c>
      <c r="I159" s="14">
        <v>649413.29</v>
      </c>
      <c r="J159" s="22">
        <f>H159*(1+Assumptions!$B$6+IF(F159="Yes",Assumptions!$C$6,0))</f>
        <v>668895.68870000006</v>
      </c>
      <c r="K159" s="22">
        <f>H159*(1+Assumptions!$B$7+IF(F159="Yes",Assumptions!$C$7,0))</f>
        <v>681883.95450000011</v>
      </c>
      <c r="L159" s="22">
        <f>H159*(1+Assumptions!$B$8+IF(F159="Yes",Assumptions!$C$8,0))</f>
        <v>655907.42290000001</v>
      </c>
    </row>
    <row r="160" spans="1:12" ht="15">
      <c r="A160" s="21">
        <v>40935</v>
      </c>
      <c r="B160" s="21">
        <v>40909</v>
      </c>
      <c r="C160" s="17">
        <v>22</v>
      </c>
      <c r="D160" s="17" t="s">
        <v>92</v>
      </c>
      <c r="E160" s="18">
        <v>119557</v>
      </c>
      <c r="F160" s="17" t="s">
        <v>91</v>
      </c>
      <c r="G160" s="14">
        <v>786459.23</v>
      </c>
      <c r="H160" s="14">
        <v>799369.15</v>
      </c>
      <c r="I160" s="14">
        <v>799369.15</v>
      </c>
      <c r="J160" s="22">
        <f>H160*(1+Assumptions!$B$6+IF(F160="Yes",Assumptions!$C$6,0))</f>
        <v>823350.22450000001</v>
      </c>
      <c r="K160" s="22">
        <f>H160*(1+Assumptions!$B$7+IF(F160="Yes",Assumptions!$C$7,0))</f>
        <v>839337.60750000004</v>
      </c>
      <c r="L160" s="22">
        <f>H160*(1+Assumptions!$B$8+IF(F160="Yes",Assumptions!$C$8,0))</f>
        <v>807362.84149999998</v>
      </c>
    </row>
    <row r="161" spans="1:12" ht="15">
      <c r="A161" s="21">
        <v>40935</v>
      </c>
      <c r="B161" s="21">
        <v>40909</v>
      </c>
      <c r="C161" s="17">
        <v>23</v>
      </c>
      <c r="D161" s="17" t="s">
        <v>92</v>
      </c>
      <c r="E161" s="18">
        <v>114533</v>
      </c>
      <c r="F161" s="17" t="s">
        <v>91</v>
      </c>
      <c r="G161" s="14">
        <v>1035526.9</v>
      </c>
      <c r="H161" s="14">
        <v>1083636.67</v>
      </c>
      <c r="I161" s="14">
        <v>1083636.67</v>
      </c>
      <c r="J161" s="22">
        <f>H161*(1+Assumptions!$B$6+IF(F161="Yes",Assumptions!$C$6,0))</f>
        <v>1116145.7700999998</v>
      </c>
      <c r="K161" s="22">
        <f>H161*(1+Assumptions!$B$7+IF(F161="Yes",Assumptions!$C$7,0))</f>
        <v>1137818.5034999999</v>
      </c>
      <c r="L161" s="22">
        <f>H161*(1+Assumptions!$B$8+IF(F161="Yes",Assumptions!$C$8,0))</f>
        <v>1094473.0366999998</v>
      </c>
    </row>
    <row r="162" spans="1:12" ht="15">
      <c r="A162" s="21">
        <v>40935</v>
      </c>
      <c r="B162" s="21">
        <v>40909</v>
      </c>
      <c r="C162" s="17">
        <v>24</v>
      </c>
      <c r="D162" s="17" t="s">
        <v>90</v>
      </c>
      <c r="E162" s="18">
        <v>203819</v>
      </c>
      <c r="F162" s="17" t="s">
        <v>91</v>
      </c>
      <c r="G162" s="14">
        <v>1057290.4099999999</v>
      </c>
      <c r="H162" s="14">
        <v>1126852.01</v>
      </c>
      <c r="I162" s="14">
        <v>1126852.01</v>
      </c>
      <c r="J162" s="22">
        <f>H162*(1+Assumptions!$B$6+IF(F162="Yes",Assumptions!$C$6,0))</f>
        <v>1160657.5703</v>
      </c>
      <c r="K162" s="22">
        <f>H162*(1+Assumptions!$B$7+IF(F162="Yes",Assumptions!$C$7,0))</f>
        <v>1183194.6105</v>
      </c>
      <c r="L162" s="22">
        <f>H162*(1+Assumptions!$B$8+IF(F162="Yes",Assumptions!$C$8,0))</f>
        <v>1138120.5301000001</v>
      </c>
    </row>
    <row r="163" spans="1:12" ht="15">
      <c r="A163" s="21">
        <v>40935</v>
      </c>
      <c r="B163" s="21">
        <v>40909</v>
      </c>
      <c r="C163" s="17">
        <v>25</v>
      </c>
      <c r="D163" s="17" t="s">
        <v>92</v>
      </c>
      <c r="E163" s="18">
        <v>128107</v>
      </c>
      <c r="F163" s="17" t="s">
        <v>91</v>
      </c>
      <c r="G163" s="14">
        <v>589363.72</v>
      </c>
      <c r="H163" s="14">
        <v>599440.69000000006</v>
      </c>
      <c r="I163" s="14">
        <v>599440.69000000006</v>
      </c>
      <c r="J163" s="22">
        <f>H163*(1+Assumptions!$B$6+IF(F163="Yes",Assumptions!$C$6,0))</f>
        <v>617423.91070000012</v>
      </c>
      <c r="K163" s="22">
        <f>H163*(1+Assumptions!$B$7+IF(F163="Yes",Assumptions!$C$7,0))</f>
        <v>629412.72450000013</v>
      </c>
      <c r="L163" s="22">
        <f>H163*(1+Assumptions!$B$8+IF(F163="Yes",Assumptions!$C$8,0))</f>
        <v>605435.09690000012</v>
      </c>
    </row>
    <row r="164" spans="1:12" ht="15">
      <c r="A164" s="21">
        <v>40935</v>
      </c>
      <c r="B164" s="21">
        <v>40909</v>
      </c>
      <c r="C164" s="17">
        <v>26</v>
      </c>
      <c r="D164" s="17" t="s">
        <v>90</v>
      </c>
      <c r="E164" s="18">
        <v>152513</v>
      </c>
      <c r="F164" s="17" t="s">
        <v>91</v>
      </c>
      <c r="G164" s="14">
        <v>819573.09</v>
      </c>
      <c r="H164" s="14">
        <v>817470.64</v>
      </c>
      <c r="I164" s="14">
        <v>817470.64</v>
      </c>
      <c r="J164" s="22">
        <f>H164*(1+Assumptions!$B$6+IF(F164="Yes",Assumptions!$C$6,0))</f>
        <v>841994.75920000009</v>
      </c>
      <c r="K164" s="22">
        <f>H164*(1+Assumptions!$B$7+IF(F164="Yes",Assumptions!$C$7,0))</f>
        <v>858344.17200000002</v>
      </c>
      <c r="L164" s="22">
        <f>H164*(1+Assumptions!$B$8+IF(F164="Yes",Assumptions!$C$8,0))</f>
        <v>825645.34640000004</v>
      </c>
    </row>
    <row r="165" spans="1:12" ht="15">
      <c r="A165" s="21">
        <v>40935</v>
      </c>
      <c r="B165" s="21">
        <v>40909</v>
      </c>
      <c r="C165" s="17">
        <v>27</v>
      </c>
      <c r="D165" s="17" t="s">
        <v>90</v>
      </c>
      <c r="E165" s="18">
        <v>204184</v>
      </c>
      <c r="F165" s="17" t="s">
        <v>91</v>
      </c>
      <c r="G165" s="14">
        <v>1263534.8600000001</v>
      </c>
      <c r="H165" s="14">
        <v>1420296.55</v>
      </c>
      <c r="I165" s="14">
        <v>1420296.55</v>
      </c>
      <c r="J165" s="22">
        <f>H165*(1+Assumptions!$B$6+IF(F165="Yes",Assumptions!$C$6,0))</f>
        <v>1462905.4465000001</v>
      </c>
      <c r="K165" s="22">
        <f>H165*(1+Assumptions!$B$7+IF(F165="Yes",Assumptions!$C$7,0))</f>
        <v>1491311.3775000002</v>
      </c>
      <c r="L165" s="22">
        <f>H165*(1+Assumptions!$B$8+IF(F165="Yes",Assumptions!$C$8,0))</f>
        <v>1434499.5155</v>
      </c>
    </row>
    <row r="166" spans="1:12" ht="15">
      <c r="A166" s="21">
        <v>40935</v>
      </c>
      <c r="B166" s="21">
        <v>40909</v>
      </c>
      <c r="C166" s="17">
        <v>28</v>
      </c>
      <c r="D166" s="17" t="s">
        <v>90</v>
      </c>
      <c r="E166" s="18">
        <v>206302</v>
      </c>
      <c r="F166" s="17" t="s">
        <v>91</v>
      </c>
      <c r="G166" s="14">
        <v>1132885.04</v>
      </c>
      <c r="H166" s="14">
        <v>1127859.69</v>
      </c>
      <c r="I166" s="14">
        <v>1127859.69</v>
      </c>
      <c r="J166" s="22">
        <f>H166*(1+Assumptions!$B$6+IF(F166="Yes",Assumptions!$C$6,0))</f>
        <v>1161695.4807</v>
      </c>
      <c r="K166" s="22">
        <f>H166*(1+Assumptions!$B$7+IF(F166="Yes",Assumptions!$C$7,0))</f>
        <v>1184252.6745</v>
      </c>
      <c r="L166" s="22">
        <f>H166*(1+Assumptions!$B$8+IF(F166="Yes",Assumptions!$C$8,0))</f>
        <v>1139138.2868999999</v>
      </c>
    </row>
    <row r="167" spans="1:12" ht="15">
      <c r="A167" s="21">
        <v>40935</v>
      </c>
      <c r="B167" s="21">
        <v>40909</v>
      </c>
      <c r="C167" s="17">
        <v>29</v>
      </c>
      <c r="D167" s="17" t="s">
        <v>92</v>
      </c>
      <c r="E167" s="18">
        <v>93638</v>
      </c>
      <c r="F167" s="17" t="s">
        <v>91</v>
      </c>
      <c r="G167" s="14">
        <v>395702.69</v>
      </c>
      <c r="H167" s="14">
        <v>410413</v>
      </c>
      <c r="I167" s="14">
        <v>410413</v>
      </c>
      <c r="J167" s="22">
        <f>H167*(1+Assumptions!$B$6+IF(F167="Yes",Assumptions!$C$6,0))</f>
        <v>422725.39</v>
      </c>
      <c r="K167" s="22">
        <f>H167*(1+Assumptions!$B$7+IF(F167="Yes",Assumptions!$C$7,0))</f>
        <v>430933.65</v>
      </c>
      <c r="L167" s="22">
        <f>H167*(1+Assumptions!$B$8+IF(F167="Yes",Assumptions!$C$8,0))</f>
        <v>414517.13</v>
      </c>
    </row>
    <row r="168" spans="1:12" ht="15">
      <c r="A168" s="21">
        <v>40935</v>
      </c>
      <c r="B168" s="21">
        <v>40909</v>
      </c>
      <c r="C168" s="17">
        <v>30</v>
      </c>
      <c r="D168" s="17" t="s">
        <v>93</v>
      </c>
      <c r="E168" s="18">
        <v>42988</v>
      </c>
      <c r="F168" s="17" t="s">
        <v>91</v>
      </c>
      <c r="G168" s="14">
        <v>432930.98</v>
      </c>
      <c r="H168" s="14">
        <v>425986.54</v>
      </c>
      <c r="I168" s="14">
        <v>425986.54</v>
      </c>
      <c r="J168" s="22">
        <f>H168*(1+Assumptions!$B$6+IF(F168="Yes",Assumptions!$C$6,0))</f>
        <v>438766.13620000001</v>
      </c>
      <c r="K168" s="22">
        <f>H168*(1+Assumptions!$B$7+IF(F168="Yes",Assumptions!$C$7,0))</f>
        <v>447285.86699999997</v>
      </c>
      <c r="L168" s="22">
        <f>H168*(1+Assumptions!$B$8+IF(F168="Yes",Assumptions!$C$8,0))</f>
        <v>430246.40539999999</v>
      </c>
    </row>
    <row r="169" spans="1:12" ht="15">
      <c r="A169" s="21">
        <v>40935</v>
      </c>
      <c r="B169" s="21">
        <v>40909</v>
      </c>
      <c r="C169" s="17">
        <v>31</v>
      </c>
      <c r="D169" s="17" t="s">
        <v>90</v>
      </c>
      <c r="E169" s="18">
        <v>203750</v>
      </c>
      <c r="F169" s="17" t="s">
        <v>91</v>
      </c>
      <c r="G169" s="14">
        <v>1259738.48</v>
      </c>
      <c r="H169" s="14">
        <v>1254955.68</v>
      </c>
      <c r="I169" s="14">
        <v>1254955.68</v>
      </c>
      <c r="J169" s="22">
        <f>H169*(1+Assumptions!$B$6+IF(F169="Yes",Assumptions!$C$6,0))</f>
        <v>1292604.3503999999</v>
      </c>
      <c r="K169" s="22">
        <f>H169*(1+Assumptions!$B$7+IF(F169="Yes",Assumptions!$C$7,0))</f>
        <v>1317703.4639999999</v>
      </c>
      <c r="L169" s="22">
        <f>H169*(1+Assumptions!$B$8+IF(F169="Yes",Assumptions!$C$8,0))</f>
        <v>1267505.2367999998</v>
      </c>
    </row>
    <row r="170" spans="1:12" ht="15">
      <c r="A170" s="21">
        <v>40935</v>
      </c>
      <c r="B170" s="21">
        <v>40909</v>
      </c>
      <c r="C170" s="17">
        <v>32</v>
      </c>
      <c r="D170" s="17" t="s">
        <v>90</v>
      </c>
      <c r="E170" s="18">
        <v>203007</v>
      </c>
      <c r="F170" s="17" t="s">
        <v>91</v>
      </c>
      <c r="G170" s="14">
        <v>1051864.6000000001</v>
      </c>
      <c r="H170" s="14">
        <v>1006814.85</v>
      </c>
      <c r="I170" s="14">
        <v>1006814.85</v>
      </c>
      <c r="J170" s="22">
        <f>H170*(1+Assumptions!$B$6+IF(F170="Yes",Assumptions!$C$6,0))</f>
        <v>1037019.2955</v>
      </c>
      <c r="K170" s="22">
        <f>H170*(1+Assumptions!$B$7+IF(F170="Yes",Assumptions!$C$7,0))</f>
        <v>1057155.5925</v>
      </c>
      <c r="L170" s="22">
        <f>H170*(1+Assumptions!$B$8+IF(F170="Yes",Assumptions!$C$8,0))</f>
        <v>1016882.9985</v>
      </c>
    </row>
    <row r="171" spans="1:12" ht="15">
      <c r="A171" s="21">
        <v>40935</v>
      </c>
      <c r="B171" s="21">
        <v>40909</v>
      </c>
      <c r="C171" s="17">
        <v>33</v>
      </c>
      <c r="D171" s="17" t="s">
        <v>90</v>
      </c>
      <c r="E171" s="18">
        <v>39690</v>
      </c>
      <c r="F171" s="17" t="s">
        <v>91</v>
      </c>
      <c r="G171" s="14">
        <v>236851.41</v>
      </c>
      <c r="H171" s="14">
        <v>231132.72999999998</v>
      </c>
      <c r="I171" s="14">
        <v>231132.72999999998</v>
      </c>
      <c r="J171" s="22">
        <f>H171*(1+Assumptions!$B$6+IF(F171="Yes",Assumptions!$C$6,0))</f>
        <v>238066.71189999999</v>
      </c>
      <c r="K171" s="22">
        <f>H171*(1+Assumptions!$B$7+IF(F171="Yes",Assumptions!$C$7,0))</f>
        <v>242689.3665</v>
      </c>
      <c r="L171" s="22">
        <f>H171*(1+Assumptions!$B$8+IF(F171="Yes",Assumptions!$C$8,0))</f>
        <v>233444.05729999999</v>
      </c>
    </row>
    <row r="172" spans="1:12" ht="15">
      <c r="A172" s="21">
        <v>40935</v>
      </c>
      <c r="B172" s="21">
        <v>40909</v>
      </c>
      <c r="C172" s="17">
        <v>34</v>
      </c>
      <c r="D172" s="17" t="s">
        <v>90</v>
      </c>
      <c r="E172" s="18">
        <v>158114</v>
      </c>
      <c r="F172" s="17" t="s">
        <v>91</v>
      </c>
      <c r="G172" s="14">
        <v>872450.37</v>
      </c>
      <c r="H172" s="14">
        <v>836306.37</v>
      </c>
      <c r="I172" s="14">
        <v>836306.37</v>
      </c>
      <c r="J172" s="22">
        <f>H172*(1+Assumptions!$B$6+IF(F172="Yes",Assumptions!$C$6,0))</f>
        <v>861395.56110000005</v>
      </c>
      <c r="K172" s="22">
        <f>H172*(1+Assumptions!$B$7+IF(F172="Yes",Assumptions!$C$7,0))</f>
        <v>878121.68850000005</v>
      </c>
      <c r="L172" s="22">
        <f>H172*(1+Assumptions!$B$8+IF(F172="Yes",Assumptions!$C$8,0))</f>
        <v>844669.43370000005</v>
      </c>
    </row>
    <row r="173" spans="1:12" ht="15">
      <c r="A173" s="21">
        <v>40935</v>
      </c>
      <c r="B173" s="21">
        <v>40909</v>
      </c>
      <c r="C173" s="17">
        <v>35</v>
      </c>
      <c r="D173" s="17" t="s">
        <v>92</v>
      </c>
      <c r="E173" s="18">
        <v>103681</v>
      </c>
      <c r="F173" s="17" t="s">
        <v>91</v>
      </c>
      <c r="G173" s="14">
        <v>588727.47</v>
      </c>
      <c r="H173" s="14">
        <v>633289.78</v>
      </c>
      <c r="I173" s="14">
        <v>633289.78</v>
      </c>
      <c r="J173" s="22">
        <f>H173*(1+Assumptions!$B$6+IF(F173="Yes",Assumptions!$C$6,0))</f>
        <v>652288.47340000002</v>
      </c>
      <c r="K173" s="22">
        <f>H173*(1+Assumptions!$B$7+IF(F173="Yes",Assumptions!$C$7,0))</f>
        <v>664954.26900000009</v>
      </c>
      <c r="L173" s="22">
        <f>H173*(1+Assumptions!$B$8+IF(F173="Yes",Assumptions!$C$8,0))</f>
        <v>639622.67780000006</v>
      </c>
    </row>
    <row r="174" spans="1:12" ht="15">
      <c r="A174" s="21">
        <v>40935</v>
      </c>
      <c r="B174" s="21">
        <v>40909</v>
      </c>
      <c r="C174" s="17">
        <v>36</v>
      </c>
      <c r="D174" s="17" t="s">
        <v>90</v>
      </c>
      <c r="E174" s="18">
        <v>39910</v>
      </c>
      <c r="F174" s="17" t="s">
        <v>91</v>
      </c>
      <c r="G174" s="14">
        <v>301387.94</v>
      </c>
      <c r="H174" s="14">
        <v>372170.15</v>
      </c>
      <c r="I174" s="14">
        <v>372170.15</v>
      </c>
      <c r="J174" s="22">
        <f>H174*(1+Assumptions!$B$6+IF(F174="Yes",Assumptions!$C$6,0))</f>
        <v>383335.25450000004</v>
      </c>
      <c r="K174" s="22">
        <f>H174*(1+Assumptions!$B$7+IF(F174="Yes",Assumptions!$C$7,0))</f>
        <v>390778.65750000003</v>
      </c>
      <c r="L174" s="22">
        <f>H174*(1+Assumptions!$B$8+IF(F174="Yes",Assumptions!$C$8,0))</f>
        <v>375891.85150000005</v>
      </c>
    </row>
    <row r="175" spans="1:12" ht="15">
      <c r="A175" s="21">
        <v>40935</v>
      </c>
      <c r="B175" s="21">
        <v>40909</v>
      </c>
      <c r="C175" s="17">
        <v>37</v>
      </c>
      <c r="D175" s="17" t="s">
        <v>93</v>
      </c>
      <c r="E175" s="18">
        <v>39910</v>
      </c>
      <c r="F175" s="17" t="s">
        <v>91</v>
      </c>
      <c r="G175" s="14">
        <v>514015.92</v>
      </c>
      <c r="H175" s="14">
        <v>513649</v>
      </c>
      <c r="I175" s="14">
        <v>513649</v>
      </c>
      <c r="J175" s="22">
        <f>H175*(1+Assumptions!$B$6+IF(F175="Yes",Assumptions!$C$6,0))</f>
        <v>529058.47</v>
      </c>
      <c r="K175" s="22">
        <f>H175*(1+Assumptions!$B$7+IF(F175="Yes",Assumptions!$C$7,0))</f>
        <v>539331.45000000007</v>
      </c>
      <c r="L175" s="22">
        <f>H175*(1+Assumptions!$B$8+IF(F175="Yes",Assumptions!$C$8,0))</f>
        <v>518785.49</v>
      </c>
    </row>
    <row r="176" spans="1:12" ht="15">
      <c r="A176" s="21">
        <v>40935</v>
      </c>
      <c r="B176" s="21">
        <v>40909</v>
      </c>
      <c r="C176" s="17">
        <v>38</v>
      </c>
      <c r="D176" s="17" t="s">
        <v>93</v>
      </c>
      <c r="E176" s="18">
        <v>39690</v>
      </c>
      <c r="F176" s="17" t="s">
        <v>91</v>
      </c>
      <c r="G176" s="14">
        <v>412853.53</v>
      </c>
      <c r="H176" s="14">
        <v>357547.27999999997</v>
      </c>
      <c r="I176" s="14">
        <v>357547.27999999997</v>
      </c>
      <c r="J176" s="22">
        <f>H176*(1+Assumptions!$B$6+IF(F176="Yes",Assumptions!$C$6,0))</f>
        <v>368273.69839999999</v>
      </c>
      <c r="K176" s="22">
        <f>H176*(1+Assumptions!$B$7+IF(F176="Yes",Assumptions!$C$7,0))</f>
        <v>375424.64399999997</v>
      </c>
      <c r="L176" s="22">
        <f>H176*(1+Assumptions!$B$8+IF(F176="Yes",Assumptions!$C$8,0))</f>
        <v>361122.75279999996</v>
      </c>
    </row>
    <row r="177" spans="1:12" ht="15">
      <c r="A177" s="21">
        <v>40935</v>
      </c>
      <c r="B177" s="21">
        <v>40909</v>
      </c>
      <c r="C177" s="17">
        <v>39</v>
      </c>
      <c r="D177" s="17" t="s">
        <v>90</v>
      </c>
      <c r="E177" s="18">
        <v>184109</v>
      </c>
      <c r="F177" s="17" t="s">
        <v>91</v>
      </c>
      <c r="G177" s="14">
        <v>1319937.21</v>
      </c>
      <c r="H177" s="14">
        <v>1158691.92</v>
      </c>
      <c r="I177" s="14">
        <v>1158691.92</v>
      </c>
      <c r="J177" s="22">
        <f>H177*(1+Assumptions!$B$6+IF(F177="Yes",Assumptions!$C$6,0))</f>
        <v>1193452.6776000001</v>
      </c>
      <c r="K177" s="22">
        <f>H177*(1+Assumptions!$B$7+IF(F177="Yes",Assumptions!$C$7,0))</f>
        <v>1216626.5160000001</v>
      </c>
      <c r="L177" s="22">
        <f>H177*(1+Assumptions!$B$8+IF(F177="Yes",Assumptions!$C$8,0))</f>
        <v>1170278.8392</v>
      </c>
    </row>
    <row r="178" spans="1:12" ht="15">
      <c r="A178" s="21">
        <v>40935</v>
      </c>
      <c r="B178" s="21">
        <v>40909</v>
      </c>
      <c r="C178" s="17">
        <v>40</v>
      </c>
      <c r="D178" s="17" t="s">
        <v>90</v>
      </c>
      <c r="E178" s="18">
        <v>155083</v>
      </c>
      <c r="F178" s="17" t="s">
        <v>91</v>
      </c>
      <c r="G178" s="14">
        <v>770097.53</v>
      </c>
      <c r="H178" s="14">
        <v>775788.67</v>
      </c>
      <c r="I178" s="14">
        <v>775788.67</v>
      </c>
      <c r="J178" s="22">
        <f>H178*(1+Assumptions!$B$6+IF(F178="Yes",Assumptions!$C$6,0))</f>
        <v>799062.33010000002</v>
      </c>
      <c r="K178" s="22">
        <f>H178*(1+Assumptions!$B$7+IF(F178="Yes",Assumptions!$C$7,0))</f>
        <v>814578.10350000008</v>
      </c>
      <c r="L178" s="22">
        <f>H178*(1+Assumptions!$B$8+IF(F178="Yes",Assumptions!$C$8,0))</f>
        <v>783546.55670000007</v>
      </c>
    </row>
    <row r="179" spans="1:12" ht="15">
      <c r="A179" s="21">
        <v>40935</v>
      </c>
      <c r="B179" s="21">
        <v>40909</v>
      </c>
      <c r="C179" s="17">
        <v>41</v>
      </c>
      <c r="D179" s="17" t="s">
        <v>90</v>
      </c>
      <c r="E179" s="18">
        <v>196321</v>
      </c>
      <c r="F179" s="17" t="s">
        <v>91</v>
      </c>
      <c r="G179" s="14">
        <v>1076934.43</v>
      </c>
      <c r="H179" s="14">
        <v>1026414.59</v>
      </c>
      <c r="I179" s="14">
        <v>1026414.59</v>
      </c>
      <c r="J179" s="22">
        <f>H179*(1+Assumptions!$B$6+IF(F179="Yes",Assumptions!$C$6,0))</f>
        <v>1057207.0277</v>
      </c>
      <c r="K179" s="22">
        <f>H179*(1+Assumptions!$B$7+IF(F179="Yes",Assumptions!$C$7,0))</f>
        <v>1077735.3195</v>
      </c>
      <c r="L179" s="22">
        <f>H179*(1+Assumptions!$B$8+IF(F179="Yes",Assumptions!$C$8,0))</f>
        <v>1036678.7359</v>
      </c>
    </row>
    <row r="180" spans="1:12" ht="15">
      <c r="A180" s="21">
        <v>40935</v>
      </c>
      <c r="B180" s="21">
        <v>40909</v>
      </c>
      <c r="C180" s="17">
        <v>42</v>
      </c>
      <c r="D180" s="17" t="s">
        <v>93</v>
      </c>
      <c r="E180" s="18">
        <v>39690</v>
      </c>
      <c r="F180" s="17" t="s">
        <v>91</v>
      </c>
      <c r="G180" s="14">
        <v>538898.05000000005</v>
      </c>
      <c r="H180" s="14">
        <v>499079.82</v>
      </c>
      <c r="I180" s="14">
        <v>499079.82</v>
      </c>
      <c r="J180" s="22">
        <f>H180*(1+Assumptions!$B$6+IF(F180="Yes",Assumptions!$C$6,0))</f>
        <v>514052.21460000001</v>
      </c>
      <c r="K180" s="22">
        <f>H180*(1+Assumptions!$B$7+IF(F180="Yes",Assumptions!$C$7,0))</f>
        <v>524033.81100000005</v>
      </c>
      <c r="L180" s="22">
        <f>H180*(1+Assumptions!$B$8+IF(F180="Yes",Assumptions!$C$8,0))</f>
        <v>504070.61820000003</v>
      </c>
    </row>
    <row r="181" spans="1:12" ht="15">
      <c r="A181" s="21">
        <v>40935</v>
      </c>
      <c r="B181" s="21">
        <v>40909</v>
      </c>
      <c r="C181" s="17">
        <v>43</v>
      </c>
      <c r="D181" s="17" t="s">
        <v>93</v>
      </c>
      <c r="E181" s="18">
        <v>41062</v>
      </c>
      <c r="F181" s="17" t="s">
        <v>91</v>
      </c>
      <c r="G181" s="14">
        <v>586592.14</v>
      </c>
      <c r="H181" s="14">
        <v>561885.73</v>
      </c>
      <c r="I181" s="14">
        <v>561885.73</v>
      </c>
      <c r="J181" s="22">
        <f>H181*(1+Assumptions!$B$6+IF(F181="Yes",Assumptions!$C$6,0))</f>
        <v>578742.30189999996</v>
      </c>
      <c r="K181" s="22">
        <f>H181*(1+Assumptions!$B$7+IF(F181="Yes",Assumptions!$C$7,0))</f>
        <v>589980.01650000003</v>
      </c>
      <c r="L181" s="22">
        <f>H181*(1+Assumptions!$B$8+IF(F181="Yes",Assumptions!$C$8,0))</f>
        <v>567504.58730000001</v>
      </c>
    </row>
    <row r="182" spans="1:12" ht="15">
      <c r="A182" s="21">
        <v>40935</v>
      </c>
      <c r="B182" s="21">
        <v>40909</v>
      </c>
      <c r="C182" s="17">
        <v>44</v>
      </c>
      <c r="D182" s="17" t="s">
        <v>93</v>
      </c>
      <c r="E182" s="18">
        <v>39910</v>
      </c>
      <c r="F182" s="17" t="s">
        <v>91</v>
      </c>
      <c r="G182" s="14">
        <v>308241.38</v>
      </c>
      <c r="H182" s="14">
        <v>276011.40000000002</v>
      </c>
      <c r="I182" s="14">
        <v>276011.40000000002</v>
      </c>
      <c r="J182" s="22">
        <f>H182*(1+Assumptions!$B$6+IF(F182="Yes",Assumptions!$C$6,0))</f>
        <v>284291.74200000003</v>
      </c>
      <c r="K182" s="22">
        <f>H182*(1+Assumptions!$B$7+IF(F182="Yes",Assumptions!$C$7,0))</f>
        <v>289811.97000000003</v>
      </c>
      <c r="L182" s="22">
        <f>H182*(1+Assumptions!$B$8+IF(F182="Yes",Assumptions!$C$8,0))</f>
        <v>278771.51400000002</v>
      </c>
    </row>
    <row r="183" spans="1:12" ht="15">
      <c r="A183" s="21">
        <v>40935</v>
      </c>
      <c r="B183" s="21">
        <v>40909</v>
      </c>
      <c r="C183" s="17">
        <v>45</v>
      </c>
      <c r="D183" s="17" t="s">
        <v>92</v>
      </c>
      <c r="E183" s="18">
        <v>118221</v>
      </c>
      <c r="F183" s="17" t="s">
        <v>91</v>
      </c>
      <c r="G183" s="14">
        <v>623283.63</v>
      </c>
      <c r="H183" s="14">
        <v>617201.69999999995</v>
      </c>
      <c r="I183" s="14">
        <v>617201.69999999995</v>
      </c>
      <c r="J183" s="22">
        <f>H183*(1+Assumptions!$B$6+IF(F183="Yes",Assumptions!$C$6,0))</f>
        <v>635717.75099999993</v>
      </c>
      <c r="K183" s="22">
        <f>H183*(1+Assumptions!$B$7+IF(F183="Yes",Assumptions!$C$7,0))</f>
        <v>648061.78500000003</v>
      </c>
      <c r="L183" s="22">
        <f>H183*(1+Assumptions!$B$8+IF(F183="Yes",Assumptions!$C$8,0))</f>
        <v>623373.71699999995</v>
      </c>
    </row>
    <row r="184" spans="1:12" ht="15">
      <c r="A184" s="21">
        <v>40942</v>
      </c>
      <c r="B184" s="21">
        <v>40940</v>
      </c>
      <c r="C184" s="17">
        <v>1</v>
      </c>
      <c r="D184" s="17" t="s">
        <v>90</v>
      </c>
      <c r="E184" s="18">
        <v>151315</v>
      </c>
      <c r="F184" s="17" t="s">
        <v>91</v>
      </c>
      <c r="G184" s="14">
        <v>1636009.65</v>
      </c>
      <c r="H184" s="14">
        <v>1606629.58</v>
      </c>
      <c r="I184" s="14">
        <v>1606629.58</v>
      </c>
      <c r="J184" s="22">
        <f>H184*(1+Assumptions!$B$6+IF(F184="Yes",Assumptions!$C$6,0))</f>
        <v>1654828.4674000002</v>
      </c>
      <c r="K184" s="22">
        <f>H184*(1+Assumptions!$B$7+IF(F184="Yes",Assumptions!$C$7,0))</f>
        <v>1686961.0590000001</v>
      </c>
      <c r="L184" s="22">
        <f>H184*(1+Assumptions!$B$8+IF(F184="Yes",Assumptions!$C$8,0))</f>
        <v>1622695.8758</v>
      </c>
    </row>
    <row r="185" spans="1:12" ht="15">
      <c r="A185" s="21">
        <v>40942</v>
      </c>
      <c r="B185" s="21">
        <v>40940</v>
      </c>
      <c r="C185" s="17">
        <v>2</v>
      </c>
      <c r="D185" s="17" t="s">
        <v>90</v>
      </c>
      <c r="E185" s="18">
        <v>202307</v>
      </c>
      <c r="F185" s="17" t="s">
        <v>91</v>
      </c>
      <c r="G185" s="14">
        <v>1934922.06</v>
      </c>
      <c r="H185" s="14">
        <v>1929565.23</v>
      </c>
      <c r="I185" s="14">
        <v>1929565.23</v>
      </c>
      <c r="J185" s="22">
        <f>H185*(1+Assumptions!$B$6+IF(F185="Yes",Assumptions!$C$6,0))</f>
        <v>1987452.1869000001</v>
      </c>
      <c r="K185" s="22">
        <f>H185*(1+Assumptions!$B$7+IF(F185="Yes",Assumptions!$C$7,0))</f>
        <v>2026043.4915</v>
      </c>
      <c r="L185" s="22">
        <f>H185*(1+Assumptions!$B$8+IF(F185="Yes",Assumptions!$C$8,0))</f>
        <v>1948860.8822999999</v>
      </c>
    </row>
    <row r="186" spans="1:12" ht="15">
      <c r="A186" s="21">
        <v>40942</v>
      </c>
      <c r="B186" s="21">
        <v>40940</v>
      </c>
      <c r="C186" s="17">
        <v>3</v>
      </c>
      <c r="D186" s="17" t="s">
        <v>92</v>
      </c>
      <c r="E186" s="18">
        <v>37392</v>
      </c>
      <c r="F186" s="17" t="s">
        <v>91</v>
      </c>
      <c r="G186" s="14">
        <v>424607.75</v>
      </c>
      <c r="H186" s="14">
        <v>438474.01</v>
      </c>
      <c r="I186" s="14">
        <v>438474.01</v>
      </c>
      <c r="J186" s="22">
        <f>H186*(1+Assumptions!$B$6+IF(F186="Yes",Assumptions!$C$6,0))</f>
        <v>451628.2303</v>
      </c>
      <c r="K186" s="22">
        <f>H186*(1+Assumptions!$B$7+IF(F186="Yes",Assumptions!$C$7,0))</f>
        <v>460397.71050000004</v>
      </c>
      <c r="L186" s="22">
        <f>H186*(1+Assumptions!$B$8+IF(F186="Yes",Assumptions!$C$8,0))</f>
        <v>442858.7501</v>
      </c>
    </row>
    <row r="187" spans="1:12" ht="15">
      <c r="A187" s="21">
        <v>40942</v>
      </c>
      <c r="B187" s="21">
        <v>40940</v>
      </c>
      <c r="C187" s="17">
        <v>4</v>
      </c>
      <c r="D187" s="17" t="s">
        <v>90</v>
      </c>
      <c r="E187" s="18">
        <v>205863</v>
      </c>
      <c r="F187" s="17" t="s">
        <v>91</v>
      </c>
      <c r="G187" s="14">
        <v>2173173.91</v>
      </c>
      <c r="H187" s="14">
        <v>2119075.5699999998</v>
      </c>
      <c r="I187" s="14">
        <v>2119075.5699999998</v>
      </c>
      <c r="J187" s="22">
        <f>H187*(1+Assumptions!$B$6+IF(F187="Yes",Assumptions!$C$6,0))</f>
        <v>2182647.8370999997</v>
      </c>
      <c r="K187" s="22">
        <f>H187*(1+Assumptions!$B$7+IF(F187="Yes",Assumptions!$C$7,0))</f>
        <v>2225029.3484999998</v>
      </c>
      <c r="L187" s="22">
        <f>H187*(1+Assumptions!$B$8+IF(F187="Yes",Assumptions!$C$8,0))</f>
        <v>2140266.3256999999</v>
      </c>
    </row>
    <row r="188" spans="1:12" ht="15">
      <c r="A188" s="21">
        <v>40942</v>
      </c>
      <c r="B188" s="21">
        <v>40940</v>
      </c>
      <c r="C188" s="17">
        <v>5</v>
      </c>
      <c r="D188" s="17" t="s">
        <v>92</v>
      </c>
      <c r="E188" s="18">
        <v>34875</v>
      </c>
      <c r="F188" s="17" t="s">
        <v>91</v>
      </c>
      <c r="G188" s="14">
        <v>333918.18</v>
      </c>
      <c r="H188" s="14">
        <v>329460.33999999997</v>
      </c>
      <c r="I188" s="14">
        <v>329460.33999999997</v>
      </c>
      <c r="J188" s="22">
        <f>H188*(1+Assumptions!$B$6+IF(F188="Yes",Assumptions!$C$6,0))</f>
        <v>339344.15019999997</v>
      </c>
      <c r="K188" s="22">
        <f>H188*(1+Assumptions!$B$7+IF(F188="Yes",Assumptions!$C$7,0))</f>
        <v>345933.35699999996</v>
      </c>
      <c r="L188" s="22">
        <f>H188*(1+Assumptions!$B$8+IF(F188="Yes",Assumptions!$C$8,0))</f>
        <v>332754.94339999999</v>
      </c>
    </row>
    <row r="189" spans="1:12" ht="15">
      <c r="A189" s="21">
        <v>40942</v>
      </c>
      <c r="B189" s="21">
        <v>40940</v>
      </c>
      <c r="C189" s="17">
        <v>6</v>
      </c>
      <c r="D189" s="17" t="s">
        <v>90</v>
      </c>
      <c r="E189" s="18">
        <v>202505</v>
      </c>
      <c r="F189" s="17" t="s">
        <v>91</v>
      </c>
      <c r="G189" s="14">
        <v>1495493.78</v>
      </c>
      <c r="H189" s="14">
        <v>1514976.23</v>
      </c>
      <c r="I189" s="14">
        <v>1514976.23</v>
      </c>
      <c r="J189" s="22">
        <f>H189*(1+Assumptions!$B$6+IF(F189="Yes",Assumptions!$C$6,0))</f>
        <v>1560425.5168999999</v>
      </c>
      <c r="K189" s="22">
        <f>H189*(1+Assumptions!$B$7+IF(F189="Yes",Assumptions!$C$7,0))</f>
        <v>1590725.0415000001</v>
      </c>
      <c r="L189" s="22">
        <f>H189*(1+Assumptions!$B$8+IF(F189="Yes",Assumptions!$C$8,0))</f>
        <v>1530125.9923</v>
      </c>
    </row>
    <row r="190" spans="1:12" ht="15">
      <c r="A190" s="21">
        <v>40942</v>
      </c>
      <c r="B190" s="21">
        <v>40940</v>
      </c>
      <c r="C190" s="17">
        <v>7</v>
      </c>
      <c r="D190" s="17" t="s">
        <v>92</v>
      </c>
      <c r="E190" s="18">
        <v>70713</v>
      </c>
      <c r="F190" s="17" t="s">
        <v>91</v>
      </c>
      <c r="G190" s="14">
        <v>579746.88</v>
      </c>
      <c r="H190" s="14">
        <v>557939.77</v>
      </c>
      <c r="I190" s="14">
        <v>557939.77</v>
      </c>
      <c r="J190" s="22">
        <f>H190*(1+Assumptions!$B$6+IF(F190="Yes",Assumptions!$C$6,0))</f>
        <v>574677.96310000005</v>
      </c>
      <c r="K190" s="22">
        <f>H190*(1+Assumptions!$B$7+IF(F190="Yes",Assumptions!$C$7,0))</f>
        <v>585836.7585</v>
      </c>
      <c r="L190" s="22">
        <f>H190*(1+Assumptions!$B$8+IF(F190="Yes",Assumptions!$C$8,0))</f>
        <v>563519.16769999999</v>
      </c>
    </row>
    <row r="191" spans="1:12" ht="15">
      <c r="A191" s="21">
        <v>40942</v>
      </c>
      <c r="B191" s="21">
        <v>40940</v>
      </c>
      <c r="C191" s="17">
        <v>8</v>
      </c>
      <c r="D191" s="17" t="s">
        <v>90</v>
      </c>
      <c r="E191" s="18">
        <v>155078</v>
      </c>
      <c r="F191" s="17" t="s">
        <v>91</v>
      </c>
      <c r="G191" s="14">
        <v>927300.69</v>
      </c>
      <c r="H191" s="14">
        <v>944574.78</v>
      </c>
      <c r="I191" s="14">
        <v>944574.78</v>
      </c>
      <c r="J191" s="22">
        <f>H191*(1+Assumptions!$B$6+IF(F191="Yes",Assumptions!$C$6,0))</f>
        <v>972912.02340000006</v>
      </c>
      <c r="K191" s="22">
        <f>H191*(1+Assumptions!$B$7+IF(F191="Yes",Assumptions!$C$7,0))</f>
        <v>991803.51900000009</v>
      </c>
      <c r="L191" s="22">
        <f>H191*(1+Assumptions!$B$8+IF(F191="Yes",Assumptions!$C$8,0))</f>
        <v>954020.52780000004</v>
      </c>
    </row>
    <row r="192" spans="1:12" ht="15">
      <c r="A192" s="21">
        <v>40942</v>
      </c>
      <c r="B192" s="21">
        <v>40940</v>
      </c>
      <c r="C192" s="17">
        <v>9</v>
      </c>
      <c r="D192" s="17" t="s">
        <v>92</v>
      </c>
      <c r="E192" s="18">
        <v>125833</v>
      </c>
      <c r="F192" s="17" t="s">
        <v>91</v>
      </c>
      <c r="G192" s="14">
        <v>549200.55000000005</v>
      </c>
      <c r="H192" s="14">
        <v>544437.5</v>
      </c>
      <c r="I192" s="14">
        <v>544437.5</v>
      </c>
      <c r="J192" s="22">
        <f>H192*(1+Assumptions!$B$6+IF(F192="Yes",Assumptions!$C$6,0))</f>
        <v>560770.625</v>
      </c>
      <c r="K192" s="22">
        <f>H192*(1+Assumptions!$B$7+IF(F192="Yes",Assumptions!$C$7,0))</f>
        <v>571659.375</v>
      </c>
      <c r="L192" s="22">
        <f>H192*(1+Assumptions!$B$8+IF(F192="Yes",Assumptions!$C$8,0))</f>
        <v>549881.875</v>
      </c>
    </row>
    <row r="193" spans="1:12" ht="15">
      <c r="A193" s="21">
        <v>40942</v>
      </c>
      <c r="B193" s="21">
        <v>40940</v>
      </c>
      <c r="C193" s="17">
        <v>10</v>
      </c>
      <c r="D193" s="17" t="s">
        <v>92</v>
      </c>
      <c r="E193" s="18">
        <v>126512</v>
      </c>
      <c r="F193" s="17" t="s">
        <v>91</v>
      </c>
      <c r="G193" s="14">
        <v>1867092.89</v>
      </c>
      <c r="H193" s="14">
        <v>1968004.03</v>
      </c>
      <c r="I193" s="14">
        <v>1968004.03</v>
      </c>
      <c r="J193" s="22">
        <f>H193*(1+Assumptions!$B$6+IF(F193="Yes",Assumptions!$C$6,0))</f>
        <v>2027044.1509</v>
      </c>
      <c r="K193" s="22">
        <f>H193*(1+Assumptions!$B$7+IF(F193="Yes",Assumptions!$C$7,0))</f>
        <v>2066404.2315000002</v>
      </c>
      <c r="L193" s="22">
        <f>H193*(1+Assumptions!$B$8+IF(F193="Yes",Assumptions!$C$8,0))</f>
        <v>1987684.0703</v>
      </c>
    </row>
    <row r="194" spans="1:12" ht="15">
      <c r="A194" s="21">
        <v>40942</v>
      </c>
      <c r="B194" s="21">
        <v>40940</v>
      </c>
      <c r="C194" s="17">
        <v>11</v>
      </c>
      <c r="D194" s="17" t="s">
        <v>90</v>
      </c>
      <c r="E194" s="18">
        <v>207499</v>
      </c>
      <c r="F194" s="17" t="s">
        <v>91</v>
      </c>
      <c r="G194" s="14">
        <v>1374477.96</v>
      </c>
      <c r="H194" s="14">
        <v>1422531.58</v>
      </c>
      <c r="I194" s="14">
        <v>1422531.58</v>
      </c>
      <c r="J194" s="22">
        <f>H194*(1+Assumptions!$B$6+IF(F194="Yes",Assumptions!$C$6,0))</f>
        <v>1465207.5274</v>
      </c>
      <c r="K194" s="22">
        <f>H194*(1+Assumptions!$B$7+IF(F194="Yes",Assumptions!$C$7,0))</f>
        <v>1493658.1590000002</v>
      </c>
      <c r="L194" s="22">
        <f>H194*(1+Assumptions!$B$8+IF(F194="Yes",Assumptions!$C$8,0))</f>
        <v>1436756.8958000001</v>
      </c>
    </row>
    <row r="195" spans="1:12" ht="15">
      <c r="A195" s="21">
        <v>40942</v>
      </c>
      <c r="B195" s="21">
        <v>40940</v>
      </c>
      <c r="C195" s="17">
        <v>12</v>
      </c>
      <c r="D195" s="17" t="s">
        <v>92</v>
      </c>
      <c r="E195" s="18">
        <v>112238</v>
      </c>
      <c r="F195" s="17" t="s">
        <v>91</v>
      </c>
      <c r="G195" s="14">
        <v>1058062.92</v>
      </c>
      <c r="H195" s="14">
        <v>1046068.17</v>
      </c>
      <c r="I195" s="14">
        <v>1046068.17</v>
      </c>
      <c r="J195" s="22">
        <f>H195*(1+Assumptions!$B$6+IF(F195="Yes",Assumptions!$C$6,0))</f>
        <v>1077450.2151000001</v>
      </c>
      <c r="K195" s="22">
        <f>H195*(1+Assumptions!$B$7+IF(F195="Yes",Assumptions!$C$7,0))</f>
        <v>1098371.5785000001</v>
      </c>
      <c r="L195" s="22">
        <f>H195*(1+Assumptions!$B$8+IF(F195="Yes",Assumptions!$C$8,0))</f>
        <v>1056528.8517</v>
      </c>
    </row>
    <row r="196" spans="1:12" ht="15">
      <c r="A196" s="21">
        <v>40942</v>
      </c>
      <c r="B196" s="21">
        <v>40940</v>
      </c>
      <c r="C196" s="17">
        <v>13</v>
      </c>
      <c r="D196" s="17" t="s">
        <v>90</v>
      </c>
      <c r="E196" s="18">
        <v>219622</v>
      </c>
      <c r="F196" s="17" t="s">
        <v>91</v>
      </c>
      <c r="G196" s="14">
        <v>1927340.74</v>
      </c>
      <c r="H196" s="14">
        <v>1848186.58</v>
      </c>
      <c r="I196" s="14">
        <v>1848186.58</v>
      </c>
      <c r="J196" s="22">
        <f>H196*(1+Assumptions!$B$6+IF(F196="Yes",Assumptions!$C$6,0))</f>
        <v>1903632.1774000002</v>
      </c>
      <c r="K196" s="22">
        <f>H196*(1+Assumptions!$B$7+IF(F196="Yes",Assumptions!$C$7,0))</f>
        <v>1940595.9090000002</v>
      </c>
      <c r="L196" s="22">
        <f>H196*(1+Assumptions!$B$8+IF(F196="Yes",Assumptions!$C$8,0))</f>
        <v>1866668.4458000001</v>
      </c>
    </row>
    <row r="197" spans="1:12" ht="15">
      <c r="A197" s="21">
        <v>40942</v>
      </c>
      <c r="B197" s="21">
        <v>40940</v>
      </c>
      <c r="C197" s="17">
        <v>14</v>
      </c>
      <c r="D197" s="17" t="s">
        <v>90</v>
      </c>
      <c r="E197" s="18">
        <v>200898</v>
      </c>
      <c r="F197" s="17" t="s">
        <v>91</v>
      </c>
      <c r="G197" s="14">
        <v>1877065.36</v>
      </c>
      <c r="H197" s="14">
        <v>1995891.8699999999</v>
      </c>
      <c r="I197" s="14">
        <v>1995891.8699999999</v>
      </c>
      <c r="J197" s="22">
        <f>H197*(1+Assumptions!$B$6+IF(F197="Yes",Assumptions!$C$6,0))</f>
        <v>2055768.6261</v>
      </c>
      <c r="K197" s="22">
        <f>H197*(1+Assumptions!$B$7+IF(F197="Yes",Assumptions!$C$7,0))</f>
        <v>2095686.4635000001</v>
      </c>
      <c r="L197" s="22">
        <f>H197*(1+Assumptions!$B$8+IF(F197="Yes",Assumptions!$C$8,0))</f>
        <v>2015850.7886999999</v>
      </c>
    </row>
    <row r="198" spans="1:12" ht="15">
      <c r="A198" s="21">
        <v>40942</v>
      </c>
      <c r="B198" s="21">
        <v>40940</v>
      </c>
      <c r="C198" s="17">
        <v>15</v>
      </c>
      <c r="D198" s="17" t="s">
        <v>92</v>
      </c>
      <c r="E198" s="18">
        <v>123737</v>
      </c>
      <c r="F198" s="17" t="s">
        <v>91</v>
      </c>
      <c r="G198" s="14">
        <v>523711.24</v>
      </c>
      <c r="H198" s="14">
        <v>556550.85</v>
      </c>
      <c r="I198" s="14">
        <v>556550.85</v>
      </c>
      <c r="J198" s="22">
        <f>H198*(1+Assumptions!$B$6+IF(F198="Yes",Assumptions!$C$6,0))</f>
        <v>573247.37549999997</v>
      </c>
      <c r="K198" s="22">
        <f>H198*(1+Assumptions!$B$7+IF(F198="Yes",Assumptions!$C$7,0))</f>
        <v>584378.39249999996</v>
      </c>
      <c r="L198" s="22">
        <f>H198*(1+Assumptions!$B$8+IF(F198="Yes",Assumptions!$C$8,0))</f>
        <v>562116.35849999997</v>
      </c>
    </row>
    <row r="199" spans="1:12" ht="15">
      <c r="A199" s="21">
        <v>40942</v>
      </c>
      <c r="B199" s="21">
        <v>40940</v>
      </c>
      <c r="C199" s="17">
        <v>16</v>
      </c>
      <c r="D199" s="17" t="s">
        <v>92</v>
      </c>
      <c r="E199" s="18">
        <v>57197</v>
      </c>
      <c r="F199" s="17" t="s">
        <v>91</v>
      </c>
      <c r="G199" s="14">
        <v>472909.34</v>
      </c>
      <c r="H199" s="14">
        <v>479090.44</v>
      </c>
      <c r="I199" s="14">
        <v>479090.44</v>
      </c>
      <c r="J199" s="22">
        <f>H199*(1+Assumptions!$B$6+IF(F199="Yes",Assumptions!$C$6,0))</f>
        <v>493463.1532</v>
      </c>
      <c r="K199" s="22">
        <f>H199*(1+Assumptions!$B$7+IF(F199="Yes",Assumptions!$C$7,0))</f>
        <v>503044.962</v>
      </c>
      <c r="L199" s="22">
        <f>H199*(1+Assumptions!$B$8+IF(F199="Yes",Assumptions!$C$8,0))</f>
        <v>483881.3444</v>
      </c>
    </row>
    <row r="200" spans="1:12" ht="15">
      <c r="A200" s="21">
        <v>40942</v>
      </c>
      <c r="B200" s="21">
        <v>40940</v>
      </c>
      <c r="C200" s="17">
        <v>17</v>
      </c>
      <c r="D200" s="17" t="s">
        <v>92</v>
      </c>
      <c r="E200" s="18">
        <v>93188</v>
      </c>
      <c r="F200" s="17" t="s">
        <v>91</v>
      </c>
      <c r="G200" s="14">
        <v>864321.19</v>
      </c>
      <c r="H200" s="14">
        <v>816603.05</v>
      </c>
      <c r="I200" s="14">
        <v>816603.05</v>
      </c>
      <c r="J200" s="22">
        <f>H200*(1+Assumptions!$B$6+IF(F200="Yes",Assumptions!$C$6,0))</f>
        <v>841101.14150000003</v>
      </c>
      <c r="K200" s="22">
        <f>H200*(1+Assumptions!$B$7+IF(F200="Yes",Assumptions!$C$7,0))</f>
        <v>857433.20250000013</v>
      </c>
      <c r="L200" s="22">
        <f>H200*(1+Assumptions!$B$8+IF(F200="Yes",Assumptions!$C$8,0))</f>
        <v>824769.08050000004</v>
      </c>
    </row>
    <row r="201" spans="1:12" ht="15">
      <c r="A201" s="21">
        <v>40942</v>
      </c>
      <c r="B201" s="21">
        <v>40940</v>
      </c>
      <c r="C201" s="17">
        <v>18</v>
      </c>
      <c r="D201" s="17" t="s">
        <v>92</v>
      </c>
      <c r="E201" s="18">
        <v>120653</v>
      </c>
      <c r="F201" s="17" t="s">
        <v>91</v>
      </c>
      <c r="G201" s="14">
        <v>1049768.96</v>
      </c>
      <c r="H201" s="14">
        <v>1055841.24</v>
      </c>
      <c r="I201" s="14">
        <v>1055841.24</v>
      </c>
      <c r="J201" s="22">
        <f>H201*(1+Assumptions!$B$6+IF(F201="Yes",Assumptions!$C$6,0))</f>
        <v>1087516.4772000001</v>
      </c>
      <c r="K201" s="22">
        <f>H201*(1+Assumptions!$B$7+IF(F201="Yes",Assumptions!$C$7,0))</f>
        <v>1108633.3020000001</v>
      </c>
      <c r="L201" s="22">
        <f>H201*(1+Assumptions!$B$8+IF(F201="Yes",Assumptions!$C$8,0))</f>
        <v>1066399.6524</v>
      </c>
    </row>
    <row r="202" spans="1:12" ht="15">
      <c r="A202" s="21">
        <v>40942</v>
      </c>
      <c r="B202" s="21">
        <v>40940</v>
      </c>
      <c r="C202" s="17">
        <v>19</v>
      </c>
      <c r="D202" s="17" t="s">
        <v>90</v>
      </c>
      <c r="E202" s="18">
        <v>203819</v>
      </c>
      <c r="F202" s="17" t="s">
        <v>91</v>
      </c>
      <c r="G202" s="14">
        <v>1344864.53</v>
      </c>
      <c r="H202" s="14">
        <v>1370562.1099999999</v>
      </c>
      <c r="I202" s="14">
        <v>1370562.1099999999</v>
      </c>
      <c r="J202" s="22">
        <f>H202*(1+Assumptions!$B$6+IF(F202="Yes",Assumptions!$C$6,0))</f>
        <v>1411678.9733</v>
      </c>
      <c r="K202" s="22">
        <f>H202*(1+Assumptions!$B$7+IF(F202="Yes",Assumptions!$C$7,0))</f>
        <v>1439090.2154999999</v>
      </c>
      <c r="L202" s="22">
        <f>H202*(1+Assumptions!$B$8+IF(F202="Yes",Assumptions!$C$8,0))</f>
        <v>1384267.7311</v>
      </c>
    </row>
    <row r="203" spans="1:12" ht="15">
      <c r="A203" s="21">
        <v>40942</v>
      </c>
      <c r="B203" s="21">
        <v>40940</v>
      </c>
      <c r="C203" s="17">
        <v>20</v>
      </c>
      <c r="D203" s="17" t="s">
        <v>90</v>
      </c>
      <c r="E203" s="18">
        <v>203742</v>
      </c>
      <c r="F203" s="17" t="s">
        <v>91</v>
      </c>
      <c r="G203" s="14">
        <v>2203024.42</v>
      </c>
      <c r="H203" s="14">
        <v>2351020.13</v>
      </c>
      <c r="I203" s="14">
        <v>2351020.13</v>
      </c>
      <c r="J203" s="22">
        <f>H203*(1+Assumptions!$B$6+IF(F203="Yes",Assumptions!$C$6,0))</f>
        <v>2421550.7338999999</v>
      </c>
      <c r="K203" s="22">
        <f>H203*(1+Assumptions!$B$7+IF(F203="Yes",Assumptions!$C$7,0))</f>
        <v>2468571.1365</v>
      </c>
      <c r="L203" s="22">
        <f>H203*(1+Assumptions!$B$8+IF(F203="Yes",Assumptions!$C$8,0))</f>
        <v>2374530.3312999997</v>
      </c>
    </row>
    <row r="204" spans="1:12" ht="15">
      <c r="A204" s="21">
        <v>40942</v>
      </c>
      <c r="B204" s="21">
        <v>40940</v>
      </c>
      <c r="C204" s="17">
        <v>21</v>
      </c>
      <c r="D204" s="17" t="s">
        <v>92</v>
      </c>
      <c r="E204" s="18">
        <v>140167</v>
      </c>
      <c r="F204" s="17" t="s">
        <v>91</v>
      </c>
      <c r="G204" s="14">
        <v>679331.95</v>
      </c>
      <c r="H204" s="14">
        <v>596137.74</v>
      </c>
      <c r="I204" s="14">
        <v>596137.74</v>
      </c>
      <c r="J204" s="22">
        <f>H204*(1+Assumptions!$B$6+IF(F204="Yes",Assumptions!$C$6,0))</f>
        <v>614021.87219999998</v>
      </c>
      <c r="K204" s="22">
        <f>H204*(1+Assumptions!$B$7+IF(F204="Yes",Assumptions!$C$7,0))</f>
        <v>625944.62699999998</v>
      </c>
      <c r="L204" s="22">
        <f>H204*(1+Assumptions!$B$8+IF(F204="Yes",Assumptions!$C$8,0))</f>
        <v>602099.11739999999</v>
      </c>
    </row>
    <row r="205" spans="1:12" ht="15">
      <c r="A205" s="21">
        <v>40942</v>
      </c>
      <c r="B205" s="21">
        <v>40940</v>
      </c>
      <c r="C205" s="17">
        <v>22</v>
      </c>
      <c r="D205" s="17" t="s">
        <v>92</v>
      </c>
      <c r="E205" s="18">
        <v>119557</v>
      </c>
      <c r="F205" s="17" t="s">
        <v>91</v>
      </c>
      <c r="G205" s="14">
        <v>958487.75</v>
      </c>
      <c r="H205" s="14">
        <v>946060.98</v>
      </c>
      <c r="I205" s="14">
        <v>946060.98</v>
      </c>
      <c r="J205" s="22">
        <f>H205*(1+Assumptions!$B$6+IF(F205="Yes",Assumptions!$C$6,0))</f>
        <v>974442.80940000003</v>
      </c>
      <c r="K205" s="22">
        <f>H205*(1+Assumptions!$B$7+IF(F205="Yes",Assumptions!$C$7,0))</f>
        <v>993364.02899999998</v>
      </c>
      <c r="L205" s="22">
        <f>H205*(1+Assumptions!$B$8+IF(F205="Yes",Assumptions!$C$8,0))</f>
        <v>955521.58979999996</v>
      </c>
    </row>
    <row r="206" spans="1:12" ht="15">
      <c r="A206" s="21">
        <v>40942</v>
      </c>
      <c r="B206" s="21">
        <v>40940</v>
      </c>
      <c r="C206" s="17">
        <v>23</v>
      </c>
      <c r="D206" s="17" t="s">
        <v>92</v>
      </c>
      <c r="E206" s="18">
        <v>114533</v>
      </c>
      <c r="F206" s="17" t="s">
        <v>91</v>
      </c>
      <c r="G206" s="14">
        <v>1261872.67</v>
      </c>
      <c r="H206" s="14">
        <v>1159434.05</v>
      </c>
      <c r="I206" s="14">
        <v>1159434.05</v>
      </c>
      <c r="J206" s="22">
        <f>H206*(1+Assumptions!$B$6+IF(F206="Yes",Assumptions!$C$6,0))</f>
        <v>1194217.0715000001</v>
      </c>
      <c r="K206" s="22">
        <f>H206*(1+Assumptions!$B$7+IF(F206="Yes",Assumptions!$C$7,0))</f>
        <v>1217405.7525000002</v>
      </c>
      <c r="L206" s="22">
        <f>H206*(1+Assumptions!$B$8+IF(F206="Yes",Assumptions!$C$8,0))</f>
        <v>1171028.3905</v>
      </c>
    </row>
    <row r="207" spans="1:12" ht="15">
      <c r="A207" s="21">
        <v>40942</v>
      </c>
      <c r="B207" s="21">
        <v>40940</v>
      </c>
      <c r="C207" s="17">
        <v>24</v>
      </c>
      <c r="D207" s="17" t="s">
        <v>90</v>
      </c>
      <c r="E207" s="18">
        <v>203819</v>
      </c>
      <c r="F207" s="17" t="s">
        <v>91</v>
      </c>
      <c r="G207" s="14">
        <v>1249431.97</v>
      </c>
      <c r="H207" s="14">
        <v>1225182.04</v>
      </c>
      <c r="I207" s="14">
        <v>1225182.04</v>
      </c>
      <c r="J207" s="22">
        <f>H207*(1+Assumptions!$B$6+IF(F207="Yes",Assumptions!$C$6,0))</f>
        <v>1261937.5012000001</v>
      </c>
      <c r="K207" s="22">
        <f>H207*(1+Assumptions!$B$7+IF(F207="Yes",Assumptions!$C$7,0))</f>
        <v>1286441.142</v>
      </c>
      <c r="L207" s="22">
        <f>H207*(1+Assumptions!$B$8+IF(F207="Yes",Assumptions!$C$8,0))</f>
        <v>1237433.8604000001</v>
      </c>
    </row>
    <row r="208" spans="1:12" ht="15">
      <c r="A208" s="21">
        <v>40942</v>
      </c>
      <c r="B208" s="21">
        <v>40940</v>
      </c>
      <c r="C208" s="17">
        <v>25</v>
      </c>
      <c r="D208" s="17" t="s">
        <v>92</v>
      </c>
      <c r="E208" s="18">
        <v>128107</v>
      </c>
      <c r="F208" s="17" t="s">
        <v>91</v>
      </c>
      <c r="G208" s="14">
        <v>642776.4</v>
      </c>
      <c r="H208" s="14">
        <v>639830.44999999995</v>
      </c>
      <c r="I208" s="14">
        <v>639830.44999999995</v>
      </c>
      <c r="J208" s="22">
        <f>H208*(1+Assumptions!$B$6+IF(F208="Yes",Assumptions!$C$6,0))</f>
        <v>659025.36349999998</v>
      </c>
      <c r="K208" s="22">
        <f>H208*(1+Assumptions!$B$7+IF(F208="Yes",Assumptions!$C$7,0))</f>
        <v>671821.97250000003</v>
      </c>
      <c r="L208" s="22">
        <f>H208*(1+Assumptions!$B$8+IF(F208="Yes",Assumptions!$C$8,0))</f>
        <v>646228.75449999992</v>
      </c>
    </row>
    <row r="209" spans="1:12" ht="15">
      <c r="A209" s="21">
        <v>40942</v>
      </c>
      <c r="B209" s="21">
        <v>40940</v>
      </c>
      <c r="C209" s="17">
        <v>26</v>
      </c>
      <c r="D209" s="17" t="s">
        <v>90</v>
      </c>
      <c r="E209" s="18">
        <v>152513</v>
      </c>
      <c r="F209" s="17" t="s">
        <v>91</v>
      </c>
      <c r="G209" s="14">
        <v>938797.25</v>
      </c>
      <c r="H209" s="14">
        <v>911807.02</v>
      </c>
      <c r="I209" s="14">
        <v>911807.02</v>
      </c>
      <c r="J209" s="22">
        <f>H209*(1+Assumptions!$B$6+IF(F209="Yes",Assumptions!$C$6,0))</f>
        <v>939161.23060000001</v>
      </c>
      <c r="K209" s="22">
        <f>H209*(1+Assumptions!$B$7+IF(F209="Yes",Assumptions!$C$7,0))</f>
        <v>957397.37100000004</v>
      </c>
      <c r="L209" s="22">
        <f>H209*(1+Assumptions!$B$8+IF(F209="Yes",Assumptions!$C$8,0))</f>
        <v>920925.09019999998</v>
      </c>
    </row>
    <row r="210" spans="1:12" ht="15">
      <c r="A210" s="21">
        <v>40942</v>
      </c>
      <c r="B210" s="21">
        <v>40940</v>
      </c>
      <c r="C210" s="17">
        <v>27</v>
      </c>
      <c r="D210" s="17" t="s">
        <v>90</v>
      </c>
      <c r="E210" s="18">
        <v>204184</v>
      </c>
      <c r="F210" s="17" t="s">
        <v>91</v>
      </c>
      <c r="G210" s="14">
        <v>1564007.0799999998</v>
      </c>
      <c r="H210" s="14">
        <v>1626974.79</v>
      </c>
      <c r="I210" s="14">
        <v>1626974.79</v>
      </c>
      <c r="J210" s="22">
        <f>H210*(1+Assumptions!$B$6+IF(F210="Yes",Assumptions!$C$6,0))</f>
        <v>1675784.0337</v>
      </c>
      <c r="K210" s="22">
        <f>H210*(1+Assumptions!$B$7+IF(F210="Yes",Assumptions!$C$7,0))</f>
        <v>1708323.5295000002</v>
      </c>
      <c r="L210" s="22">
        <f>H210*(1+Assumptions!$B$8+IF(F210="Yes",Assumptions!$C$8,0))</f>
        <v>1643244.5379000001</v>
      </c>
    </row>
    <row r="211" spans="1:12" ht="15">
      <c r="A211" s="21">
        <v>40942</v>
      </c>
      <c r="B211" s="21">
        <v>40940</v>
      </c>
      <c r="C211" s="17">
        <v>28</v>
      </c>
      <c r="D211" s="17" t="s">
        <v>90</v>
      </c>
      <c r="E211" s="18">
        <v>206302</v>
      </c>
      <c r="F211" s="17" t="s">
        <v>91</v>
      </c>
      <c r="G211" s="14">
        <v>1531426.56</v>
      </c>
      <c r="H211" s="14">
        <v>1564860.44</v>
      </c>
      <c r="I211" s="14">
        <v>1564860.44</v>
      </c>
      <c r="J211" s="22">
        <f>H211*(1+Assumptions!$B$6+IF(F211="Yes",Assumptions!$C$6,0))</f>
        <v>1611806.2531999999</v>
      </c>
      <c r="K211" s="22">
        <f>H211*(1+Assumptions!$B$7+IF(F211="Yes",Assumptions!$C$7,0))</f>
        <v>1643103.4620000001</v>
      </c>
      <c r="L211" s="22">
        <f>H211*(1+Assumptions!$B$8+IF(F211="Yes",Assumptions!$C$8,0))</f>
        <v>1580509.0444</v>
      </c>
    </row>
    <row r="212" spans="1:12" ht="15">
      <c r="A212" s="21">
        <v>40942</v>
      </c>
      <c r="B212" s="21">
        <v>40940</v>
      </c>
      <c r="C212" s="17">
        <v>29</v>
      </c>
      <c r="D212" s="17" t="s">
        <v>92</v>
      </c>
      <c r="E212" s="18">
        <v>93638</v>
      </c>
      <c r="F212" s="17" t="s">
        <v>91</v>
      </c>
      <c r="G212" s="14">
        <v>493099.95</v>
      </c>
      <c r="H212" s="14">
        <v>503645.05</v>
      </c>
      <c r="I212" s="14">
        <v>503645.05</v>
      </c>
      <c r="J212" s="22">
        <f>H212*(1+Assumptions!$B$6+IF(F212="Yes",Assumptions!$C$6,0))</f>
        <v>518754.40149999998</v>
      </c>
      <c r="K212" s="22">
        <f>H212*(1+Assumptions!$B$7+IF(F212="Yes",Assumptions!$C$7,0))</f>
        <v>528827.30249999999</v>
      </c>
      <c r="L212" s="22">
        <f>H212*(1+Assumptions!$B$8+IF(F212="Yes",Assumptions!$C$8,0))</f>
        <v>508681.50049999997</v>
      </c>
    </row>
    <row r="213" spans="1:12" ht="15">
      <c r="A213" s="21">
        <v>40942</v>
      </c>
      <c r="B213" s="21">
        <v>40940</v>
      </c>
      <c r="C213" s="17">
        <v>30</v>
      </c>
      <c r="D213" s="17" t="s">
        <v>93</v>
      </c>
      <c r="E213" s="18">
        <v>42988</v>
      </c>
      <c r="F213" s="17" t="s">
        <v>91</v>
      </c>
      <c r="G213" s="14">
        <v>433971.20000000001</v>
      </c>
      <c r="H213" s="14">
        <v>490970.95</v>
      </c>
      <c r="I213" s="14">
        <v>490970.95</v>
      </c>
      <c r="J213" s="22">
        <f>H213*(1+Assumptions!$B$6+IF(F213="Yes",Assumptions!$C$6,0))</f>
        <v>505700.0785</v>
      </c>
      <c r="K213" s="22">
        <f>H213*(1+Assumptions!$B$7+IF(F213="Yes",Assumptions!$C$7,0))</f>
        <v>515519.49750000006</v>
      </c>
      <c r="L213" s="22">
        <f>H213*(1+Assumptions!$B$8+IF(F213="Yes",Assumptions!$C$8,0))</f>
        <v>495880.65950000001</v>
      </c>
    </row>
    <row r="214" spans="1:12" ht="15">
      <c r="A214" s="21">
        <v>40942</v>
      </c>
      <c r="B214" s="21">
        <v>40940</v>
      </c>
      <c r="C214" s="17">
        <v>31</v>
      </c>
      <c r="D214" s="17" t="s">
        <v>90</v>
      </c>
      <c r="E214" s="18">
        <v>203750</v>
      </c>
      <c r="F214" s="17" t="s">
        <v>91</v>
      </c>
      <c r="G214" s="14">
        <v>1391289.79</v>
      </c>
      <c r="H214" s="14">
        <v>1443206.46</v>
      </c>
      <c r="I214" s="14">
        <v>1443206.46</v>
      </c>
      <c r="J214" s="22">
        <f>H214*(1+Assumptions!$B$6+IF(F214="Yes",Assumptions!$C$6,0))</f>
        <v>1486502.6538</v>
      </c>
      <c r="K214" s="22">
        <f>H214*(1+Assumptions!$B$7+IF(F214="Yes",Assumptions!$C$7,0))</f>
        <v>1515366.7830000001</v>
      </c>
      <c r="L214" s="22">
        <f>H214*(1+Assumptions!$B$8+IF(F214="Yes",Assumptions!$C$8,0))</f>
        <v>1457638.5245999999</v>
      </c>
    </row>
    <row r="215" spans="1:12" ht="15">
      <c r="A215" s="21">
        <v>40942</v>
      </c>
      <c r="B215" s="21">
        <v>40940</v>
      </c>
      <c r="C215" s="17">
        <v>32</v>
      </c>
      <c r="D215" s="17" t="s">
        <v>90</v>
      </c>
      <c r="E215" s="18">
        <v>203007</v>
      </c>
      <c r="F215" s="17" t="s">
        <v>91</v>
      </c>
      <c r="G215" s="14">
        <v>1156640.3400000001</v>
      </c>
      <c r="H215" s="14">
        <v>1070455.8</v>
      </c>
      <c r="I215" s="14">
        <v>1070455.8</v>
      </c>
      <c r="J215" s="22">
        <f>H215*(1+Assumptions!$B$6+IF(F215="Yes",Assumptions!$C$6,0))</f>
        <v>1102569.4740000002</v>
      </c>
      <c r="K215" s="22">
        <f>H215*(1+Assumptions!$B$7+IF(F215="Yes",Assumptions!$C$7,0))</f>
        <v>1123978.5900000001</v>
      </c>
      <c r="L215" s="22">
        <f>H215*(1+Assumptions!$B$8+IF(F215="Yes",Assumptions!$C$8,0))</f>
        <v>1081160.358</v>
      </c>
    </row>
    <row r="216" spans="1:12" ht="15">
      <c r="A216" s="21">
        <v>40942</v>
      </c>
      <c r="B216" s="21">
        <v>40940</v>
      </c>
      <c r="C216" s="17">
        <v>33</v>
      </c>
      <c r="D216" s="17" t="s">
        <v>90</v>
      </c>
      <c r="E216" s="18">
        <v>39690</v>
      </c>
      <c r="F216" s="17" t="s">
        <v>91</v>
      </c>
      <c r="G216" s="14">
        <v>256031.5</v>
      </c>
      <c r="H216" s="14">
        <v>234134.62</v>
      </c>
      <c r="I216" s="14">
        <v>234134.62</v>
      </c>
      <c r="J216" s="22">
        <f>H216*(1+Assumptions!$B$6+IF(F216="Yes",Assumptions!$C$6,0))</f>
        <v>241158.6586</v>
      </c>
      <c r="K216" s="22">
        <f>H216*(1+Assumptions!$B$7+IF(F216="Yes",Assumptions!$C$7,0))</f>
        <v>245841.351</v>
      </c>
      <c r="L216" s="22">
        <f>H216*(1+Assumptions!$B$8+IF(F216="Yes",Assumptions!$C$8,0))</f>
        <v>236475.9662</v>
      </c>
    </row>
    <row r="217" spans="1:12" ht="15">
      <c r="A217" s="21">
        <v>40942</v>
      </c>
      <c r="B217" s="21">
        <v>40940</v>
      </c>
      <c r="C217" s="17">
        <v>34</v>
      </c>
      <c r="D217" s="17" t="s">
        <v>90</v>
      </c>
      <c r="E217" s="18">
        <v>158114</v>
      </c>
      <c r="F217" s="17" t="s">
        <v>91</v>
      </c>
      <c r="G217" s="14">
        <v>939122.14</v>
      </c>
      <c r="H217" s="14">
        <v>970506.95</v>
      </c>
      <c r="I217" s="14">
        <v>970506.95</v>
      </c>
      <c r="J217" s="22">
        <f>H217*(1+Assumptions!$B$6+IF(F217="Yes",Assumptions!$C$6,0))</f>
        <v>999622.15850000002</v>
      </c>
      <c r="K217" s="22">
        <f>H217*(1+Assumptions!$B$7+IF(F217="Yes",Assumptions!$C$7,0))</f>
        <v>1019032.2975</v>
      </c>
      <c r="L217" s="22">
        <f>H217*(1+Assumptions!$B$8+IF(F217="Yes",Assumptions!$C$8,0))</f>
        <v>980212.01949999994</v>
      </c>
    </row>
    <row r="218" spans="1:12" ht="15">
      <c r="A218" s="21">
        <v>40942</v>
      </c>
      <c r="B218" s="21">
        <v>40940</v>
      </c>
      <c r="C218" s="17">
        <v>35</v>
      </c>
      <c r="D218" s="17" t="s">
        <v>92</v>
      </c>
      <c r="E218" s="18">
        <v>103681</v>
      </c>
      <c r="F218" s="17" t="s">
        <v>91</v>
      </c>
      <c r="G218" s="14">
        <v>746881.20000000007</v>
      </c>
      <c r="H218" s="14">
        <v>746672.54999999993</v>
      </c>
      <c r="I218" s="14">
        <v>746672.54999999993</v>
      </c>
      <c r="J218" s="22">
        <f>H218*(1+Assumptions!$B$6+IF(F218="Yes",Assumptions!$C$6,0))</f>
        <v>769072.72649999999</v>
      </c>
      <c r="K218" s="22">
        <f>H218*(1+Assumptions!$B$7+IF(F218="Yes",Assumptions!$C$7,0))</f>
        <v>784006.17749999999</v>
      </c>
      <c r="L218" s="22">
        <f>H218*(1+Assumptions!$B$8+IF(F218="Yes",Assumptions!$C$8,0))</f>
        <v>754139.27549999999</v>
      </c>
    </row>
    <row r="219" spans="1:12" ht="15">
      <c r="A219" s="21">
        <v>40942</v>
      </c>
      <c r="B219" s="21">
        <v>40940</v>
      </c>
      <c r="C219" s="17">
        <v>36</v>
      </c>
      <c r="D219" s="17" t="s">
        <v>90</v>
      </c>
      <c r="E219" s="18">
        <v>39910</v>
      </c>
      <c r="F219" s="17" t="s">
        <v>91</v>
      </c>
      <c r="G219" s="14">
        <v>310901.87</v>
      </c>
      <c r="H219" s="14">
        <v>417521.7</v>
      </c>
      <c r="I219" s="14">
        <v>417521.7</v>
      </c>
      <c r="J219" s="22">
        <f>H219*(1+Assumptions!$B$6+IF(F219="Yes",Assumptions!$C$6,0))</f>
        <v>430047.35100000002</v>
      </c>
      <c r="K219" s="22">
        <f>H219*(1+Assumptions!$B$7+IF(F219="Yes",Assumptions!$C$7,0))</f>
        <v>438397.78500000003</v>
      </c>
      <c r="L219" s="22">
        <f>H219*(1+Assumptions!$B$8+IF(F219="Yes",Assumptions!$C$8,0))</f>
        <v>421696.91700000002</v>
      </c>
    </row>
    <row r="220" spans="1:12" ht="15">
      <c r="A220" s="21">
        <v>40942</v>
      </c>
      <c r="B220" s="21">
        <v>40940</v>
      </c>
      <c r="C220" s="17">
        <v>37</v>
      </c>
      <c r="D220" s="17" t="s">
        <v>93</v>
      </c>
      <c r="E220" s="18">
        <v>39910</v>
      </c>
      <c r="F220" s="17" t="s">
        <v>91</v>
      </c>
      <c r="G220" s="14">
        <v>555237.06999999995</v>
      </c>
      <c r="H220" s="14">
        <v>583835.17999999993</v>
      </c>
      <c r="I220" s="14">
        <v>583835.17999999993</v>
      </c>
      <c r="J220" s="22">
        <f>H220*(1+Assumptions!$B$6+IF(F220="Yes",Assumptions!$C$6,0))</f>
        <v>601350.23540000001</v>
      </c>
      <c r="K220" s="22">
        <f>H220*(1+Assumptions!$B$7+IF(F220="Yes",Assumptions!$C$7,0))</f>
        <v>613026.93900000001</v>
      </c>
      <c r="L220" s="22">
        <f>H220*(1+Assumptions!$B$8+IF(F220="Yes",Assumptions!$C$8,0))</f>
        <v>589673.5318</v>
      </c>
    </row>
    <row r="221" spans="1:12" ht="15">
      <c r="A221" s="21">
        <v>40942</v>
      </c>
      <c r="B221" s="21">
        <v>40940</v>
      </c>
      <c r="C221" s="17">
        <v>38</v>
      </c>
      <c r="D221" s="17" t="s">
        <v>93</v>
      </c>
      <c r="E221" s="18">
        <v>39690</v>
      </c>
      <c r="F221" s="17" t="s">
        <v>91</v>
      </c>
      <c r="G221" s="14">
        <v>457593</v>
      </c>
      <c r="H221" s="14">
        <v>402329.76</v>
      </c>
      <c r="I221" s="14">
        <v>402329.76</v>
      </c>
      <c r="J221" s="22">
        <f>H221*(1+Assumptions!$B$6+IF(F221="Yes",Assumptions!$C$6,0))</f>
        <v>414399.65280000004</v>
      </c>
      <c r="K221" s="22">
        <f>H221*(1+Assumptions!$B$7+IF(F221="Yes",Assumptions!$C$7,0))</f>
        <v>422446.24800000002</v>
      </c>
      <c r="L221" s="22">
        <f>H221*(1+Assumptions!$B$8+IF(F221="Yes",Assumptions!$C$8,0))</f>
        <v>406353.0576</v>
      </c>
    </row>
    <row r="222" spans="1:12" ht="15">
      <c r="A222" s="21">
        <v>40942</v>
      </c>
      <c r="B222" s="21">
        <v>40940</v>
      </c>
      <c r="C222" s="17">
        <v>39</v>
      </c>
      <c r="D222" s="17" t="s">
        <v>90</v>
      </c>
      <c r="E222" s="18">
        <v>184109</v>
      </c>
      <c r="F222" s="17" t="s">
        <v>91</v>
      </c>
      <c r="G222" s="14">
        <v>1395368.15</v>
      </c>
      <c r="H222" s="14">
        <v>1343735.94</v>
      </c>
      <c r="I222" s="14">
        <v>1343735.94</v>
      </c>
      <c r="J222" s="22">
        <f>H222*(1+Assumptions!$B$6+IF(F222="Yes",Assumptions!$C$6,0))</f>
        <v>1384048.0182</v>
      </c>
      <c r="K222" s="22">
        <f>H222*(1+Assumptions!$B$7+IF(F222="Yes",Assumptions!$C$7,0))</f>
        <v>1410922.737</v>
      </c>
      <c r="L222" s="22">
        <f>H222*(1+Assumptions!$B$8+IF(F222="Yes",Assumptions!$C$8,0))</f>
        <v>1357173.2993999999</v>
      </c>
    </row>
    <row r="223" spans="1:12" ht="15">
      <c r="A223" s="21">
        <v>40942</v>
      </c>
      <c r="B223" s="21">
        <v>40940</v>
      </c>
      <c r="C223" s="17">
        <v>40</v>
      </c>
      <c r="D223" s="17" t="s">
        <v>90</v>
      </c>
      <c r="E223" s="18">
        <v>155083</v>
      </c>
      <c r="F223" s="17" t="s">
        <v>91</v>
      </c>
      <c r="G223" s="14">
        <v>979389.67</v>
      </c>
      <c r="H223" s="14">
        <v>904252.03</v>
      </c>
      <c r="I223" s="14">
        <v>904252.03</v>
      </c>
      <c r="J223" s="22">
        <f>H223*(1+Assumptions!$B$6+IF(F223="Yes",Assumptions!$C$6,0))</f>
        <v>931379.59090000007</v>
      </c>
      <c r="K223" s="22">
        <f>H223*(1+Assumptions!$B$7+IF(F223="Yes",Assumptions!$C$7,0))</f>
        <v>949464.63150000002</v>
      </c>
      <c r="L223" s="22">
        <f>H223*(1+Assumptions!$B$8+IF(F223="Yes",Assumptions!$C$8,0))</f>
        <v>913294.5503</v>
      </c>
    </row>
    <row r="224" spans="1:12" ht="15">
      <c r="A224" s="21">
        <v>40942</v>
      </c>
      <c r="B224" s="21">
        <v>40940</v>
      </c>
      <c r="C224" s="17">
        <v>41</v>
      </c>
      <c r="D224" s="17" t="s">
        <v>90</v>
      </c>
      <c r="E224" s="18">
        <v>196321</v>
      </c>
      <c r="F224" s="17" t="s">
        <v>91</v>
      </c>
      <c r="G224" s="14">
        <v>1208470.6000000001</v>
      </c>
      <c r="H224" s="14">
        <v>1179410.5</v>
      </c>
      <c r="I224" s="14">
        <v>1179410.5</v>
      </c>
      <c r="J224" s="22">
        <f>H224*(1+Assumptions!$B$6+IF(F224="Yes",Assumptions!$C$6,0))</f>
        <v>1214792.8149999999</v>
      </c>
      <c r="K224" s="22">
        <f>H224*(1+Assumptions!$B$7+IF(F224="Yes",Assumptions!$C$7,0))</f>
        <v>1238381.0250000001</v>
      </c>
      <c r="L224" s="22">
        <f>H224*(1+Assumptions!$B$8+IF(F224="Yes",Assumptions!$C$8,0))</f>
        <v>1191204.605</v>
      </c>
    </row>
    <row r="225" spans="1:12" ht="15">
      <c r="A225" s="21">
        <v>40942</v>
      </c>
      <c r="B225" s="21">
        <v>40940</v>
      </c>
      <c r="C225" s="17">
        <v>42</v>
      </c>
      <c r="D225" s="17" t="s">
        <v>93</v>
      </c>
      <c r="E225" s="18">
        <v>39690</v>
      </c>
      <c r="F225" s="17" t="s">
        <v>91</v>
      </c>
      <c r="G225" s="14">
        <v>588373.34</v>
      </c>
      <c r="H225" s="14">
        <v>586882.22</v>
      </c>
      <c r="I225" s="14">
        <v>586882.22</v>
      </c>
      <c r="J225" s="22">
        <f>H225*(1+Assumptions!$B$6+IF(F225="Yes",Assumptions!$C$6,0))</f>
        <v>604488.68660000002</v>
      </c>
      <c r="K225" s="22">
        <f>H225*(1+Assumptions!$B$7+IF(F225="Yes",Assumptions!$C$7,0))</f>
        <v>616226.33100000001</v>
      </c>
      <c r="L225" s="22">
        <f>H225*(1+Assumptions!$B$8+IF(F225="Yes",Assumptions!$C$8,0))</f>
        <v>592751.04220000003</v>
      </c>
    </row>
    <row r="226" spans="1:12" ht="15">
      <c r="A226" s="21">
        <v>40942</v>
      </c>
      <c r="B226" s="21">
        <v>40940</v>
      </c>
      <c r="C226" s="17">
        <v>43</v>
      </c>
      <c r="D226" s="17" t="s">
        <v>93</v>
      </c>
      <c r="E226" s="18">
        <v>41062</v>
      </c>
      <c r="F226" s="17" t="s">
        <v>91</v>
      </c>
      <c r="G226" s="14">
        <v>627855.52</v>
      </c>
      <c r="H226" s="14">
        <v>650632.06000000006</v>
      </c>
      <c r="I226" s="14">
        <v>650632.06000000006</v>
      </c>
      <c r="J226" s="22">
        <f>H226*(1+Assumptions!$B$6+IF(F226="Yes",Assumptions!$C$6,0))</f>
        <v>670151.0218000001</v>
      </c>
      <c r="K226" s="22">
        <f>H226*(1+Assumptions!$B$7+IF(F226="Yes",Assumptions!$C$7,0))</f>
        <v>683163.66300000006</v>
      </c>
      <c r="L226" s="22">
        <f>H226*(1+Assumptions!$B$8+IF(F226="Yes",Assumptions!$C$8,0))</f>
        <v>657138.38060000003</v>
      </c>
    </row>
    <row r="227" spans="1:12" ht="15">
      <c r="A227" s="21">
        <v>40942</v>
      </c>
      <c r="B227" s="21">
        <v>40940</v>
      </c>
      <c r="C227" s="17">
        <v>44</v>
      </c>
      <c r="D227" s="17" t="s">
        <v>93</v>
      </c>
      <c r="E227" s="18">
        <v>39910</v>
      </c>
      <c r="F227" s="17" t="s">
        <v>91</v>
      </c>
      <c r="G227" s="14">
        <v>325927.03999999998</v>
      </c>
      <c r="H227" s="14">
        <v>293935.2</v>
      </c>
      <c r="I227" s="14">
        <v>293935.2</v>
      </c>
      <c r="J227" s="22">
        <f>H227*(1+Assumptions!$B$6+IF(F227="Yes",Assumptions!$C$6,0))</f>
        <v>302753.25599999999</v>
      </c>
      <c r="K227" s="22">
        <f>H227*(1+Assumptions!$B$7+IF(F227="Yes",Assumptions!$C$7,0))</f>
        <v>308631.96000000002</v>
      </c>
      <c r="L227" s="22">
        <f>H227*(1+Assumptions!$B$8+IF(F227="Yes",Assumptions!$C$8,0))</f>
        <v>296874.55200000003</v>
      </c>
    </row>
    <row r="228" spans="1:12" ht="15">
      <c r="A228" s="21">
        <v>40942</v>
      </c>
      <c r="B228" s="21">
        <v>40940</v>
      </c>
      <c r="C228" s="17">
        <v>45</v>
      </c>
      <c r="D228" s="17" t="s">
        <v>92</v>
      </c>
      <c r="E228" s="18">
        <v>118221</v>
      </c>
      <c r="F228" s="17" t="s">
        <v>91</v>
      </c>
      <c r="G228" s="14">
        <v>756413.03</v>
      </c>
      <c r="H228" s="14">
        <v>759442.33</v>
      </c>
      <c r="I228" s="14">
        <v>759442.33</v>
      </c>
      <c r="J228" s="22">
        <f>H228*(1+Assumptions!$B$6+IF(F228="Yes",Assumptions!$C$6,0))</f>
        <v>782225.59990000003</v>
      </c>
      <c r="K228" s="22">
        <f>H228*(1+Assumptions!$B$7+IF(F228="Yes",Assumptions!$C$7,0))</f>
        <v>797414.44649999996</v>
      </c>
      <c r="L228" s="22">
        <f>H228*(1+Assumptions!$B$8+IF(F228="Yes",Assumptions!$C$8,0))</f>
        <v>767036.75329999998</v>
      </c>
    </row>
    <row r="229" spans="1:12" ht="15">
      <c r="A229" s="21">
        <v>40949</v>
      </c>
      <c r="B229" s="21">
        <v>40940</v>
      </c>
      <c r="C229" s="17">
        <v>1</v>
      </c>
      <c r="D229" s="17" t="s">
        <v>90</v>
      </c>
      <c r="E229" s="18">
        <v>151315</v>
      </c>
      <c r="F229" s="17" t="s">
        <v>94</v>
      </c>
      <c r="G229" s="14">
        <v>1801407.43</v>
      </c>
      <c r="H229" s="14">
        <v>1649614.93</v>
      </c>
      <c r="I229" s="14">
        <v>1649614.93</v>
      </c>
      <c r="J229" s="22">
        <f>H229*(1+Assumptions!$B$6+IF(F229="Yes",Assumptions!$C$6,0))</f>
        <v>1699103.3779</v>
      </c>
      <c r="K229" s="22">
        <f>H229*(1+Assumptions!$B$7+IF(F229="Yes",Assumptions!$C$7,0))</f>
        <v>1748591.8258</v>
      </c>
      <c r="L229" s="22">
        <f>H229*(1+Assumptions!$B$8+IF(F229="Yes",Assumptions!$C$8,0))</f>
        <v>1649614.93</v>
      </c>
    </row>
    <row r="230" spans="1:12" ht="15">
      <c r="A230" s="21">
        <v>40949</v>
      </c>
      <c r="B230" s="21">
        <v>40940</v>
      </c>
      <c r="C230" s="17">
        <v>2</v>
      </c>
      <c r="D230" s="17" t="s">
        <v>90</v>
      </c>
      <c r="E230" s="18">
        <v>202307</v>
      </c>
      <c r="F230" s="17" t="s">
        <v>94</v>
      </c>
      <c r="G230" s="14">
        <v>2102081.92</v>
      </c>
      <c r="H230" s="14">
        <v>2167996.73</v>
      </c>
      <c r="I230" s="14">
        <v>2167996.73</v>
      </c>
      <c r="J230" s="22">
        <f>H230*(1+Assumptions!$B$6+IF(F230="Yes",Assumptions!$C$6,0))</f>
        <v>2233036.6318999999</v>
      </c>
      <c r="K230" s="22">
        <f>H230*(1+Assumptions!$B$7+IF(F230="Yes",Assumptions!$C$7,0))</f>
        <v>2298076.5338000003</v>
      </c>
      <c r="L230" s="22">
        <f>H230*(1+Assumptions!$B$8+IF(F230="Yes",Assumptions!$C$8,0))</f>
        <v>2167996.73</v>
      </c>
    </row>
    <row r="231" spans="1:12" ht="15">
      <c r="A231" s="21">
        <v>40949</v>
      </c>
      <c r="B231" s="21">
        <v>40940</v>
      </c>
      <c r="C231" s="17">
        <v>3</v>
      </c>
      <c r="D231" s="17" t="s">
        <v>92</v>
      </c>
      <c r="E231" s="18">
        <v>37392</v>
      </c>
      <c r="F231" s="17" t="s">
        <v>94</v>
      </c>
      <c r="G231" s="14">
        <v>472776.25</v>
      </c>
      <c r="H231" s="14">
        <v>430452.29</v>
      </c>
      <c r="I231" s="14">
        <v>430452.29</v>
      </c>
      <c r="J231" s="22">
        <f>H231*(1+Assumptions!$B$6+IF(F231="Yes",Assumptions!$C$6,0))</f>
        <v>443365.85869999998</v>
      </c>
      <c r="K231" s="22">
        <f>H231*(1+Assumptions!$B$7+IF(F231="Yes",Assumptions!$C$7,0))</f>
        <v>456279.42739999999</v>
      </c>
      <c r="L231" s="22">
        <f>H231*(1+Assumptions!$B$8+IF(F231="Yes",Assumptions!$C$8,0))</f>
        <v>430452.29</v>
      </c>
    </row>
    <row r="232" spans="1:12" ht="15">
      <c r="A232" s="21">
        <v>40949</v>
      </c>
      <c r="B232" s="21">
        <v>40940</v>
      </c>
      <c r="C232" s="17">
        <v>4</v>
      </c>
      <c r="D232" s="17" t="s">
        <v>90</v>
      </c>
      <c r="E232" s="18">
        <v>205863</v>
      </c>
      <c r="F232" s="17" t="s">
        <v>94</v>
      </c>
      <c r="G232" s="14">
        <v>2372925.64</v>
      </c>
      <c r="H232" s="14">
        <v>2187836.8199999998</v>
      </c>
      <c r="I232" s="14">
        <v>2187836.8199999998</v>
      </c>
      <c r="J232" s="22">
        <f>H232*(1+Assumptions!$B$6+IF(F232="Yes",Assumptions!$C$6,0))</f>
        <v>2253471.9246</v>
      </c>
      <c r="K232" s="22">
        <f>H232*(1+Assumptions!$B$7+IF(F232="Yes",Assumptions!$C$7,0))</f>
        <v>2319107.0291999998</v>
      </c>
      <c r="L232" s="22">
        <f>H232*(1+Assumptions!$B$8+IF(F232="Yes",Assumptions!$C$8,0))</f>
        <v>2187836.8199999998</v>
      </c>
    </row>
    <row r="233" spans="1:12" ht="15">
      <c r="A233" s="21">
        <v>40949</v>
      </c>
      <c r="B233" s="21">
        <v>40940</v>
      </c>
      <c r="C233" s="17">
        <v>5</v>
      </c>
      <c r="D233" s="17" t="s">
        <v>92</v>
      </c>
      <c r="E233" s="18">
        <v>34875</v>
      </c>
      <c r="F233" s="17" t="s">
        <v>94</v>
      </c>
      <c r="G233" s="14">
        <v>349171.45</v>
      </c>
      <c r="H233" s="14">
        <v>311575.53999999998</v>
      </c>
      <c r="I233" s="14">
        <v>311575.53999999998</v>
      </c>
      <c r="J233" s="22">
        <f>H233*(1+Assumptions!$B$6+IF(F233="Yes",Assumptions!$C$6,0))</f>
        <v>320922.80619999999</v>
      </c>
      <c r="K233" s="22">
        <f>H233*(1+Assumptions!$B$7+IF(F233="Yes",Assumptions!$C$7,0))</f>
        <v>330270.0724</v>
      </c>
      <c r="L233" s="22">
        <f>H233*(1+Assumptions!$B$8+IF(F233="Yes",Assumptions!$C$8,0))</f>
        <v>311575.53999999998</v>
      </c>
    </row>
    <row r="234" spans="1:12" ht="15">
      <c r="A234" s="21">
        <v>40949</v>
      </c>
      <c r="B234" s="21">
        <v>40940</v>
      </c>
      <c r="C234" s="17">
        <v>6</v>
      </c>
      <c r="D234" s="17" t="s">
        <v>90</v>
      </c>
      <c r="E234" s="18">
        <v>202505</v>
      </c>
      <c r="F234" s="17" t="s">
        <v>94</v>
      </c>
      <c r="G234" s="14">
        <v>1619081.92</v>
      </c>
      <c r="H234" s="14">
        <v>1486897.23</v>
      </c>
      <c r="I234" s="14">
        <v>1486897.23</v>
      </c>
      <c r="J234" s="22">
        <f>H234*(1+Assumptions!$B$6+IF(F234="Yes",Assumptions!$C$6,0))</f>
        <v>1531504.1469000001</v>
      </c>
      <c r="K234" s="22">
        <f>H234*(1+Assumptions!$B$7+IF(F234="Yes",Assumptions!$C$7,0))</f>
        <v>1576111.0638000001</v>
      </c>
      <c r="L234" s="22">
        <f>H234*(1+Assumptions!$B$8+IF(F234="Yes",Assumptions!$C$8,0))</f>
        <v>1486897.23</v>
      </c>
    </row>
    <row r="235" spans="1:12" ht="15">
      <c r="A235" s="21">
        <v>40949</v>
      </c>
      <c r="B235" s="21">
        <v>40940</v>
      </c>
      <c r="C235" s="17">
        <v>7</v>
      </c>
      <c r="D235" s="17" t="s">
        <v>92</v>
      </c>
      <c r="E235" s="18">
        <v>70713</v>
      </c>
      <c r="F235" s="17" t="s">
        <v>94</v>
      </c>
      <c r="G235" s="14">
        <v>562565.28</v>
      </c>
      <c r="H235" s="14">
        <v>559720.62</v>
      </c>
      <c r="I235" s="14">
        <v>559720.62</v>
      </c>
      <c r="J235" s="22">
        <f>H235*(1+Assumptions!$B$6+IF(F235="Yes",Assumptions!$C$6,0))</f>
        <v>576512.23860000004</v>
      </c>
      <c r="K235" s="22">
        <f>H235*(1+Assumptions!$B$7+IF(F235="Yes",Assumptions!$C$7,0))</f>
        <v>593303.85719999997</v>
      </c>
      <c r="L235" s="22">
        <f>H235*(1+Assumptions!$B$8+IF(F235="Yes",Assumptions!$C$8,0))</f>
        <v>559720.62</v>
      </c>
    </row>
    <row r="236" spans="1:12" ht="15">
      <c r="A236" s="21">
        <v>40949</v>
      </c>
      <c r="B236" s="21">
        <v>40940</v>
      </c>
      <c r="C236" s="17">
        <v>8</v>
      </c>
      <c r="D236" s="17" t="s">
        <v>90</v>
      </c>
      <c r="E236" s="18">
        <v>155078</v>
      </c>
      <c r="F236" s="17" t="s">
        <v>94</v>
      </c>
      <c r="G236" s="14">
        <v>1020982.42</v>
      </c>
      <c r="H236" s="14">
        <v>996147.39</v>
      </c>
      <c r="I236" s="14">
        <v>996147.39</v>
      </c>
      <c r="J236" s="22">
        <f>H236*(1+Assumptions!$B$6+IF(F236="Yes",Assumptions!$C$6,0))</f>
        <v>1026031.8117000001</v>
      </c>
      <c r="K236" s="22">
        <f>H236*(1+Assumptions!$B$7+IF(F236="Yes",Assumptions!$C$7,0))</f>
        <v>1055916.2334</v>
      </c>
      <c r="L236" s="22">
        <f>H236*(1+Assumptions!$B$8+IF(F236="Yes",Assumptions!$C$8,0))</f>
        <v>996147.39</v>
      </c>
    </row>
    <row r="237" spans="1:12" ht="15">
      <c r="A237" s="21">
        <v>40949</v>
      </c>
      <c r="B237" s="21">
        <v>40940</v>
      </c>
      <c r="C237" s="17">
        <v>9</v>
      </c>
      <c r="D237" s="17" t="s">
        <v>92</v>
      </c>
      <c r="E237" s="18">
        <v>125833</v>
      </c>
      <c r="F237" s="17" t="s">
        <v>94</v>
      </c>
      <c r="G237" s="14">
        <v>608539.19999999995</v>
      </c>
      <c r="H237" s="14">
        <v>554137.31000000006</v>
      </c>
      <c r="I237" s="14">
        <v>554137.31000000006</v>
      </c>
      <c r="J237" s="22">
        <f>H237*(1+Assumptions!$B$6+IF(F237="Yes",Assumptions!$C$6,0))</f>
        <v>570761.42930000008</v>
      </c>
      <c r="K237" s="22">
        <f>H237*(1+Assumptions!$B$7+IF(F237="Yes",Assumptions!$C$7,0))</f>
        <v>587385.5486000001</v>
      </c>
      <c r="L237" s="22">
        <f>H237*(1+Assumptions!$B$8+IF(F237="Yes",Assumptions!$C$8,0))</f>
        <v>554137.31000000006</v>
      </c>
    </row>
    <row r="238" spans="1:12" ht="15">
      <c r="A238" s="21">
        <v>40949</v>
      </c>
      <c r="B238" s="21">
        <v>40940</v>
      </c>
      <c r="C238" s="17">
        <v>10</v>
      </c>
      <c r="D238" s="17" t="s">
        <v>92</v>
      </c>
      <c r="E238" s="18">
        <v>126512</v>
      </c>
      <c r="F238" s="17" t="s">
        <v>94</v>
      </c>
      <c r="G238" s="14">
        <v>2219093.8000000003</v>
      </c>
      <c r="H238" s="14">
        <v>2115408.31</v>
      </c>
      <c r="I238" s="14">
        <v>2115408.31</v>
      </c>
      <c r="J238" s="22">
        <f>H238*(1+Assumptions!$B$6+IF(F238="Yes",Assumptions!$C$6,0))</f>
        <v>2178870.5593000003</v>
      </c>
      <c r="K238" s="22">
        <f>H238*(1+Assumptions!$B$7+IF(F238="Yes",Assumptions!$C$7,0))</f>
        <v>2242332.8086000001</v>
      </c>
      <c r="L238" s="22">
        <f>H238*(1+Assumptions!$B$8+IF(F238="Yes",Assumptions!$C$8,0))</f>
        <v>2115408.31</v>
      </c>
    </row>
    <row r="239" spans="1:12" ht="15">
      <c r="A239" s="21">
        <v>40949</v>
      </c>
      <c r="B239" s="21">
        <v>40940</v>
      </c>
      <c r="C239" s="17">
        <v>11</v>
      </c>
      <c r="D239" s="17" t="s">
        <v>90</v>
      </c>
      <c r="E239" s="18">
        <v>207499</v>
      </c>
      <c r="F239" s="17" t="s">
        <v>94</v>
      </c>
      <c r="G239" s="14">
        <v>1570111.73</v>
      </c>
      <c r="H239" s="14">
        <v>1419226.43</v>
      </c>
      <c r="I239" s="14">
        <v>1419226.43</v>
      </c>
      <c r="J239" s="22">
        <f>H239*(1+Assumptions!$B$6+IF(F239="Yes",Assumptions!$C$6,0))</f>
        <v>1461803.2228999999</v>
      </c>
      <c r="K239" s="22">
        <f>H239*(1+Assumptions!$B$7+IF(F239="Yes",Assumptions!$C$7,0))</f>
        <v>1504380.0157999999</v>
      </c>
      <c r="L239" s="22">
        <f>H239*(1+Assumptions!$B$8+IF(F239="Yes",Assumptions!$C$8,0))</f>
        <v>1419226.43</v>
      </c>
    </row>
    <row r="240" spans="1:12" ht="15">
      <c r="A240" s="21">
        <v>40949</v>
      </c>
      <c r="B240" s="21">
        <v>40940</v>
      </c>
      <c r="C240" s="17">
        <v>12</v>
      </c>
      <c r="D240" s="17" t="s">
        <v>92</v>
      </c>
      <c r="E240" s="18">
        <v>112238</v>
      </c>
      <c r="F240" s="17" t="s">
        <v>94</v>
      </c>
      <c r="G240" s="14">
        <v>1199121.42</v>
      </c>
      <c r="H240" s="14">
        <v>1086411.1000000001</v>
      </c>
      <c r="I240" s="14">
        <v>1086411.1000000001</v>
      </c>
      <c r="J240" s="22">
        <f>H240*(1+Assumptions!$B$6+IF(F240="Yes",Assumptions!$C$6,0))</f>
        <v>1119003.4330000002</v>
      </c>
      <c r="K240" s="22">
        <f>H240*(1+Assumptions!$B$7+IF(F240="Yes",Assumptions!$C$7,0))</f>
        <v>1151595.7660000001</v>
      </c>
      <c r="L240" s="22">
        <f>H240*(1+Assumptions!$B$8+IF(F240="Yes",Assumptions!$C$8,0))</f>
        <v>1086411.1000000001</v>
      </c>
    </row>
    <row r="241" spans="1:12" ht="15">
      <c r="A241" s="21">
        <v>40949</v>
      </c>
      <c r="B241" s="21">
        <v>40940</v>
      </c>
      <c r="C241" s="17">
        <v>13</v>
      </c>
      <c r="D241" s="17" t="s">
        <v>90</v>
      </c>
      <c r="E241" s="18">
        <v>219622</v>
      </c>
      <c r="F241" s="17" t="s">
        <v>94</v>
      </c>
      <c r="G241" s="14">
        <v>2064546.57</v>
      </c>
      <c r="H241" s="14">
        <v>1944431.9</v>
      </c>
      <c r="I241" s="14">
        <v>1944431.9</v>
      </c>
      <c r="J241" s="22">
        <f>H241*(1+Assumptions!$B$6+IF(F241="Yes",Assumptions!$C$6,0))</f>
        <v>2002764.8569999998</v>
      </c>
      <c r="K241" s="22">
        <f>H241*(1+Assumptions!$B$7+IF(F241="Yes",Assumptions!$C$7,0))</f>
        <v>2061097.814</v>
      </c>
      <c r="L241" s="22">
        <f>H241*(1+Assumptions!$B$8+IF(F241="Yes",Assumptions!$C$8,0))</f>
        <v>1944431.9</v>
      </c>
    </row>
    <row r="242" spans="1:12" ht="15">
      <c r="A242" s="21">
        <v>40949</v>
      </c>
      <c r="B242" s="21">
        <v>40940</v>
      </c>
      <c r="C242" s="17">
        <v>14</v>
      </c>
      <c r="D242" s="17" t="s">
        <v>90</v>
      </c>
      <c r="E242" s="18">
        <v>200898</v>
      </c>
      <c r="F242" s="17" t="s">
        <v>94</v>
      </c>
      <c r="G242" s="14">
        <v>2074516.24</v>
      </c>
      <c r="H242" s="14">
        <v>1980405.03</v>
      </c>
      <c r="I242" s="14">
        <v>1980405.03</v>
      </c>
      <c r="J242" s="22">
        <f>H242*(1+Assumptions!$B$6+IF(F242="Yes",Assumptions!$C$6,0))</f>
        <v>2039817.1809</v>
      </c>
      <c r="K242" s="22">
        <f>H242*(1+Assumptions!$B$7+IF(F242="Yes",Assumptions!$C$7,0))</f>
        <v>2099229.3318000003</v>
      </c>
      <c r="L242" s="22">
        <f>H242*(1+Assumptions!$B$8+IF(F242="Yes",Assumptions!$C$8,0))</f>
        <v>1980405.03</v>
      </c>
    </row>
    <row r="243" spans="1:12" ht="15">
      <c r="A243" s="21">
        <v>40949</v>
      </c>
      <c r="B243" s="21">
        <v>40940</v>
      </c>
      <c r="C243" s="17">
        <v>15</v>
      </c>
      <c r="D243" s="17" t="s">
        <v>92</v>
      </c>
      <c r="E243" s="18">
        <v>123737</v>
      </c>
      <c r="F243" s="17" t="s">
        <v>94</v>
      </c>
      <c r="G243" s="14">
        <v>628014.22</v>
      </c>
      <c r="H243" s="14">
        <v>582849.35</v>
      </c>
      <c r="I243" s="14">
        <v>582849.35</v>
      </c>
      <c r="J243" s="22">
        <f>H243*(1+Assumptions!$B$6+IF(F243="Yes",Assumptions!$C$6,0))</f>
        <v>600334.83050000004</v>
      </c>
      <c r="K243" s="22">
        <f>H243*(1+Assumptions!$B$7+IF(F243="Yes",Assumptions!$C$7,0))</f>
        <v>617820.31099999999</v>
      </c>
      <c r="L243" s="22">
        <f>H243*(1+Assumptions!$B$8+IF(F243="Yes",Assumptions!$C$8,0))</f>
        <v>582849.35</v>
      </c>
    </row>
    <row r="244" spans="1:12" ht="15">
      <c r="A244" s="21">
        <v>40949</v>
      </c>
      <c r="B244" s="21">
        <v>40940</v>
      </c>
      <c r="C244" s="17">
        <v>16</v>
      </c>
      <c r="D244" s="17" t="s">
        <v>92</v>
      </c>
      <c r="E244" s="18">
        <v>57197</v>
      </c>
      <c r="F244" s="17" t="s">
        <v>94</v>
      </c>
      <c r="G244" s="14">
        <v>471879.02</v>
      </c>
      <c r="H244" s="14">
        <v>467294.26</v>
      </c>
      <c r="I244" s="14">
        <v>467294.26</v>
      </c>
      <c r="J244" s="22">
        <f>H244*(1+Assumptions!$B$6+IF(F244="Yes",Assumptions!$C$6,0))</f>
        <v>481313.08780000004</v>
      </c>
      <c r="K244" s="22">
        <f>H244*(1+Assumptions!$B$7+IF(F244="Yes",Assumptions!$C$7,0))</f>
        <v>495331.91560000001</v>
      </c>
      <c r="L244" s="22">
        <f>H244*(1+Assumptions!$B$8+IF(F244="Yes",Assumptions!$C$8,0))</f>
        <v>467294.26</v>
      </c>
    </row>
    <row r="245" spans="1:12" ht="15">
      <c r="A245" s="21">
        <v>40949</v>
      </c>
      <c r="B245" s="21">
        <v>40940</v>
      </c>
      <c r="C245" s="17">
        <v>17</v>
      </c>
      <c r="D245" s="17" t="s">
        <v>92</v>
      </c>
      <c r="E245" s="18">
        <v>93188</v>
      </c>
      <c r="F245" s="17" t="s">
        <v>94</v>
      </c>
      <c r="G245" s="14">
        <v>879585.65</v>
      </c>
      <c r="H245" s="14">
        <v>813201.46</v>
      </c>
      <c r="I245" s="14">
        <v>813201.46</v>
      </c>
      <c r="J245" s="22">
        <f>H245*(1+Assumptions!$B$6+IF(F245="Yes",Assumptions!$C$6,0))</f>
        <v>837597.50379999995</v>
      </c>
      <c r="K245" s="22">
        <f>H245*(1+Assumptions!$B$7+IF(F245="Yes",Assumptions!$C$7,0))</f>
        <v>861993.54760000005</v>
      </c>
      <c r="L245" s="22">
        <f>H245*(1+Assumptions!$B$8+IF(F245="Yes",Assumptions!$C$8,0))</f>
        <v>813201.46</v>
      </c>
    </row>
    <row r="246" spans="1:12" ht="15">
      <c r="A246" s="21">
        <v>40949</v>
      </c>
      <c r="B246" s="21">
        <v>40940</v>
      </c>
      <c r="C246" s="17">
        <v>18</v>
      </c>
      <c r="D246" s="17" t="s">
        <v>92</v>
      </c>
      <c r="E246" s="18">
        <v>120653</v>
      </c>
      <c r="F246" s="17" t="s">
        <v>94</v>
      </c>
      <c r="G246" s="14">
        <v>1161874.51</v>
      </c>
      <c r="H246" s="14">
        <v>1122053.58</v>
      </c>
      <c r="I246" s="14">
        <v>1122053.58</v>
      </c>
      <c r="J246" s="22">
        <f>H246*(1+Assumptions!$B$6+IF(F246="Yes",Assumptions!$C$6,0))</f>
        <v>1155715.1874000002</v>
      </c>
      <c r="K246" s="22">
        <f>H246*(1+Assumptions!$B$7+IF(F246="Yes",Assumptions!$C$7,0))</f>
        <v>1189376.7948</v>
      </c>
      <c r="L246" s="22">
        <f>H246*(1+Assumptions!$B$8+IF(F246="Yes",Assumptions!$C$8,0))</f>
        <v>1122053.58</v>
      </c>
    </row>
    <row r="247" spans="1:12" ht="15">
      <c r="A247" s="21">
        <v>40949</v>
      </c>
      <c r="B247" s="21">
        <v>40940</v>
      </c>
      <c r="C247" s="17">
        <v>19</v>
      </c>
      <c r="D247" s="17" t="s">
        <v>90</v>
      </c>
      <c r="E247" s="18">
        <v>203819</v>
      </c>
      <c r="F247" s="17" t="s">
        <v>94</v>
      </c>
      <c r="G247" s="14">
        <v>1497081.67</v>
      </c>
      <c r="H247" s="14">
        <v>1430840.3900000001</v>
      </c>
      <c r="I247" s="14">
        <v>1430840.3900000001</v>
      </c>
      <c r="J247" s="22">
        <f>H247*(1+Assumptions!$B$6+IF(F247="Yes",Assumptions!$C$6,0))</f>
        <v>1473765.6017000002</v>
      </c>
      <c r="K247" s="22">
        <f>H247*(1+Assumptions!$B$7+IF(F247="Yes",Assumptions!$C$7,0))</f>
        <v>1516690.8134000001</v>
      </c>
      <c r="L247" s="22">
        <f>H247*(1+Assumptions!$B$8+IF(F247="Yes",Assumptions!$C$8,0))</f>
        <v>1430840.3900000001</v>
      </c>
    </row>
    <row r="248" spans="1:12" ht="15">
      <c r="A248" s="21">
        <v>40949</v>
      </c>
      <c r="B248" s="21">
        <v>40940</v>
      </c>
      <c r="C248" s="17">
        <v>20</v>
      </c>
      <c r="D248" s="17" t="s">
        <v>90</v>
      </c>
      <c r="E248" s="18">
        <v>203742</v>
      </c>
      <c r="F248" s="17" t="s">
        <v>94</v>
      </c>
      <c r="G248" s="14">
        <v>2459643.2800000003</v>
      </c>
      <c r="H248" s="14">
        <v>2211388.14</v>
      </c>
      <c r="I248" s="14">
        <v>2211388.14</v>
      </c>
      <c r="J248" s="22">
        <f>H248*(1+Assumptions!$B$6+IF(F248="Yes",Assumptions!$C$6,0))</f>
        <v>2277729.7842000001</v>
      </c>
      <c r="K248" s="22">
        <f>H248*(1+Assumptions!$B$7+IF(F248="Yes",Assumptions!$C$7,0))</f>
        <v>2344071.4284000001</v>
      </c>
      <c r="L248" s="22">
        <f>H248*(1+Assumptions!$B$8+IF(F248="Yes",Assumptions!$C$8,0))</f>
        <v>2211388.14</v>
      </c>
    </row>
    <row r="249" spans="1:12" ht="15">
      <c r="A249" s="21">
        <v>40949</v>
      </c>
      <c r="B249" s="21">
        <v>40940</v>
      </c>
      <c r="C249" s="17">
        <v>21</v>
      </c>
      <c r="D249" s="17" t="s">
        <v>92</v>
      </c>
      <c r="E249" s="18">
        <v>140167</v>
      </c>
      <c r="F249" s="17" t="s">
        <v>94</v>
      </c>
      <c r="G249" s="14">
        <v>770607.37</v>
      </c>
      <c r="H249" s="14">
        <v>771901.04</v>
      </c>
      <c r="I249" s="14">
        <v>771901.04</v>
      </c>
      <c r="J249" s="22">
        <f>H249*(1+Assumptions!$B$6+IF(F249="Yes",Assumptions!$C$6,0))</f>
        <v>795058.07120000001</v>
      </c>
      <c r="K249" s="22">
        <f>H249*(1+Assumptions!$B$7+IF(F249="Yes",Assumptions!$C$7,0))</f>
        <v>818215.10240000009</v>
      </c>
      <c r="L249" s="22">
        <f>H249*(1+Assumptions!$B$8+IF(F249="Yes",Assumptions!$C$8,0))</f>
        <v>771901.04</v>
      </c>
    </row>
    <row r="250" spans="1:12" ht="15">
      <c r="A250" s="21">
        <v>40949</v>
      </c>
      <c r="B250" s="21">
        <v>40940</v>
      </c>
      <c r="C250" s="17">
        <v>22</v>
      </c>
      <c r="D250" s="17" t="s">
        <v>92</v>
      </c>
      <c r="E250" s="18">
        <v>119557</v>
      </c>
      <c r="F250" s="17" t="s">
        <v>94</v>
      </c>
      <c r="G250" s="14">
        <v>1033349</v>
      </c>
      <c r="H250" s="14">
        <v>1009206.33</v>
      </c>
      <c r="I250" s="14">
        <v>1009206.33</v>
      </c>
      <c r="J250" s="22">
        <f>H250*(1+Assumptions!$B$6+IF(F250="Yes",Assumptions!$C$6,0))</f>
        <v>1039482.5199</v>
      </c>
      <c r="K250" s="22">
        <f>H250*(1+Assumptions!$B$7+IF(F250="Yes",Assumptions!$C$7,0))</f>
        <v>1069758.7098000001</v>
      </c>
      <c r="L250" s="22">
        <f>H250*(1+Assumptions!$B$8+IF(F250="Yes",Assumptions!$C$8,0))</f>
        <v>1009206.33</v>
      </c>
    </row>
    <row r="251" spans="1:12" ht="15">
      <c r="A251" s="21">
        <v>40949</v>
      </c>
      <c r="B251" s="21">
        <v>40940</v>
      </c>
      <c r="C251" s="17">
        <v>23</v>
      </c>
      <c r="D251" s="17" t="s">
        <v>92</v>
      </c>
      <c r="E251" s="18">
        <v>114533</v>
      </c>
      <c r="F251" s="17" t="s">
        <v>94</v>
      </c>
      <c r="G251" s="14">
        <v>1358246.07</v>
      </c>
      <c r="H251" s="14">
        <v>1249090.48</v>
      </c>
      <c r="I251" s="14">
        <v>1249090.48</v>
      </c>
      <c r="J251" s="22">
        <f>H251*(1+Assumptions!$B$6+IF(F251="Yes",Assumptions!$C$6,0))</f>
        <v>1286563.1943999999</v>
      </c>
      <c r="K251" s="22">
        <f>H251*(1+Assumptions!$B$7+IF(F251="Yes",Assumptions!$C$7,0))</f>
        <v>1324035.9088000001</v>
      </c>
      <c r="L251" s="22">
        <f>H251*(1+Assumptions!$B$8+IF(F251="Yes",Assumptions!$C$8,0))</f>
        <v>1249090.48</v>
      </c>
    </row>
    <row r="252" spans="1:12" ht="15">
      <c r="A252" s="21">
        <v>40949</v>
      </c>
      <c r="B252" s="21">
        <v>40940</v>
      </c>
      <c r="C252" s="17">
        <v>24</v>
      </c>
      <c r="D252" s="17" t="s">
        <v>90</v>
      </c>
      <c r="E252" s="18">
        <v>203819</v>
      </c>
      <c r="F252" s="17" t="s">
        <v>94</v>
      </c>
      <c r="G252" s="14">
        <v>1402360.87</v>
      </c>
      <c r="H252" s="14">
        <v>1341240.6199999999</v>
      </c>
      <c r="I252" s="14">
        <v>1341240.6199999999</v>
      </c>
      <c r="J252" s="22">
        <f>H252*(1+Assumptions!$B$6+IF(F252="Yes",Assumptions!$C$6,0))</f>
        <v>1381477.8385999999</v>
      </c>
      <c r="K252" s="22">
        <f>H252*(1+Assumptions!$B$7+IF(F252="Yes",Assumptions!$C$7,0))</f>
        <v>1421715.0571999999</v>
      </c>
      <c r="L252" s="22">
        <f>H252*(1+Assumptions!$B$8+IF(F252="Yes",Assumptions!$C$8,0))</f>
        <v>1341240.6199999999</v>
      </c>
    </row>
    <row r="253" spans="1:12" ht="15">
      <c r="A253" s="21">
        <v>40949</v>
      </c>
      <c r="B253" s="21">
        <v>40940</v>
      </c>
      <c r="C253" s="17">
        <v>25</v>
      </c>
      <c r="D253" s="17" t="s">
        <v>92</v>
      </c>
      <c r="E253" s="18">
        <v>128107</v>
      </c>
      <c r="F253" s="17" t="s">
        <v>94</v>
      </c>
      <c r="G253" s="14">
        <v>658971.5</v>
      </c>
      <c r="H253" s="14">
        <v>615010.78</v>
      </c>
      <c r="I253" s="14">
        <v>615010.78</v>
      </c>
      <c r="J253" s="22">
        <f>H253*(1+Assumptions!$B$6+IF(F253="Yes",Assumptions!$C$6,0))</f>
        <v>633461.10340000002</v>
      </c>
      <c r="K253" s="22">
        <f>H253*(1+Assumptions!$B$7+IF(F253="Yes",Assumptions!$C$7,0))</f>
        <v>651911.42680000002</v>
      </c>
      <c r="L253" s="22">
        <f>H253*(1+Assumptions!$B$8+IF(F253="Yes",Assumptions!$C$8,0))</f>
        <v>615010.78</v>
      </c>
    </row>
    <row r="254" spans="1:12" ht="15">
      <c r="A254" s="21">
        <v>40949</v>
      </c>
      <c r="B254" s="21">
        <v>40940</v>
      </c>
      <c r="C254" s="17">
        <v>26</v>
      </c>
      <c r="D254" s="17" t="s">
        <v>90</v>
      </c>
      <c r="E254" s="18">
        <v>152513</v>
      </c>
      <c r="F254" s="17" t="s">
        <v>94</v>
      </c>
      <c r="G254" s="14">
        <v>1079163.6400000001</v>
      </c>
      <c r="H254" s="14">
        <v>1010711.08</v>
      </c>
      <c r="I254" s="14">
        <v>1010711.08</v>
      </c>
      <c r="J254" s="22">
        <f>H254*(1+Assumptions!$B$6+IF(F254="Yes",Assumptions!$C$6,0))</f>
        <v>1041032.4124</v>
      </c>
      <c r="K254" s="22">
        <f>H254*(1+Assumptions!$B$7+IF(F254="Yes",Assumptions!$C$7,0))</f>
        <v>1071353.7448</v>
      </c>
      <c r="L254" s="22">
        <f>H254*(1+Assumptions!$B$8+IF(F254="Yes",Assumptions!$C$8,0))</f>
        <v>1010711.08</v>
      </c>
    </row>
    <row r="255" spans="1:12" ht="15">
      <c r="A255" s="21">
        <v>40949</v>
      </c>
      <c r="B255" s="21">
        <v>40940</v>
      </c>
      <c r="C255" s="17">
        <v>27</v>
      </c>
      <c r="D255" s="17" t="s">
        <v>90</v>
      </c>
      <c r="E255" s="18">
        <v>204184</v>
      </c>
      <c r="F255" s="17" t="s">
        <v>94</v>
      </c>
      <c r="G255" s="14">
        <v>1649123.3800000001</v>
      </c>
      <c r="H255" s="14">
        <v>1635994.77</v>
      </c>
      <c r="I255" s="14">
        <v>1635994.77</v>
      </c>
      <c r="J255" s="22">
        <f>H255*(1+Assumptions!$B$6+IF(F255="Yes",Assumptions!$C$6,0))</f>
        <v>1685074.6131</v>
      </c>
      <c r="K255" s="22">
        <f>H255*(1+Assumptions!$B$7+IF(F255="Yes",Assumptions!$C$7,0))</f>
        <v>1734154.4562000001</v>
      </c>
      <c r="L255" s="22">
        <f>H255*(1+Assumptions!$B$8+IF(F255="Yes",Assumptions!$C$8,0))</f>
        <v>1635994.77</v>
      </c>
    </row>
    <row r="256" spans="1:12" ht="15">
      <c r="A256" s="21">
        <v>40949</v>
      </c>
      <c r="B256" s="21">
        <v>40940</v>
      </c>
      <c r="C256" s="17">
        <v>28</v>
      </c>
      <c r="D256" s="17" t="s">
        <v>90</v>
      </c>
      <c r="E256" s="18">
        <v>206302</v>
      </c>
      <c r="F256" s="17" t="s">
        <v>94</v>
      </c>
      <c r="G256" s="14">
        <v>1571682.15</v>
      </c>
      <c r="H256" s="14">
        <v>1397301.3800000001</v>
      </c>
      <c r="I256" s="14">
        <v>1397301.3800000001</v>
      </c>
      <c r="J256" s="22">
        <f>H256*(1+Assumptions!$B$6+IF(F256="Yes",Assumptions!$C$6,0))</f>
        <v>1439220.4214000001</v>
      </c>
      <c r="K256" s="22">
        <f>H256*(1+Assumptions!$B$7+IF(F256="Yes",Assumptions!$C$7,0))</f>
        <v>1481139.4628000001</v>
      </c>
      <c r="L256" s="22">
        <f>H256*(1+Assumptions!$B$8+IF(F256="Yes",Assumptions!$C$8,0))</f>
        <v>1397301.3800000001</v>
      </c>
    </row>
    <row r="257" spans="1:12" ht="15">
      <c r="A257" s="21">
        <v>40949</v>
      </c>
      <c r="B257" s="21">
        <v>40940</v>
      </c>
      <c r="C257" s="17">
        <v>29</v>
      </c>
      <c r="D257" s="17" t="s">
        <v>92</v>
      </c>
      <c r="E257" s="18">
        <v>93638</v>
      </c>
      <c r="F257" s="17" t="s">
        <v>94</v>
      </c>
      <c r="G257" s="14">
        <v>545774.62</v>
      </c>
      <c r="H257" s="14">
        <v>550180.78</v>
      </c>
      <c r="I257" s="14">
        <v>550180.78</v>
      </c>
      <c r="J257" s="22">
        <f>H257*(1+Assumptions!$B$6+IF(F257="Yes",Assumptions!$C$6,0))</f>
        <v>566686.2034</v>
      </c>
      <c r="K257" s="22">
        <f>H257*(1+Assumptions!$B$7+IF(F257="Yes",Assumptions!$C$7,0))</f>
        <v>583191.62680000009</v>
      </c>
      <c r="L257" s="22">
        <f>H257*(1+Assumptions!$B$8+IF(F257="Yes",Assumptions!$C$8,0))</f>
        <v>550180.78</v>
      </c>
    </row>
    <row r="258" spans="1:12" ht="15">
      <c r="A258" s="21">
        <v>40949</v>
      </c>
      <c r="B258" s="21">
        <v>40940</v>
      </c>
      <c r="C258" s="17">
        <v>30</v>
      </c>
      <c r="D258" s="17" t="s">
        <v>93</v>
      </c>
      <c r="E258" s="18">
        <v>42988</v>
      </c>
      <c r="F258" s="17" t="s">
        <v>94</v>
      </c>
      <c r="G258" s="14">
        <v>450961.15</v>
      </c>
      <c r="H258" s="14">
        <v>470911.41</v>
      </c>
      <c r="I258" s="14">
        <v>470911.41</v>
      </c>
      <c r="J258" s="22">
        <f>H258*(1+Assumptions!$B$6+IF(F258="Yes",Assumptions!$C$6,0))</f>
        <v>485038.75229999999</v>
      </c>
      <c r="K258" s="22">
        <f>H258*(1+Assumptions!$B$7+IF(F258="Yes",Assumptions!$C$7,0))</f>
        <v>499166.09460000001</v>
      </c>
      <c r="L258" s="22">
        <f>H258*(1+Assumptions!$B$8+IF(F258="Yes",Assumptions!$C$8,0))</f>
        <v>470911.41</v>
      </c>
    </row>
    <row r="259" spans="1:12" ht="15">
      <c r="A259" s="21">
        <v>40949</v>
      </c>
      <c r="B259" s="21">
        <v>40940</v>
      </c>
      <c r="C259" s="17">
        <v>31</v>
      </c>
      <c r="D259" s="17" t="s">
        <v>90</v>
      </c>
      <c r="E259" s="18">
        <v>203750</v>
      </c>
      <c r="F259" s="17" t="s">
        <v>94</v>
      </c>
      <c r="G259" s="14">
        <v>1526131.64</v>
      </c>
      <c r="H259" s="14">
        <v>1539229.57</v>
      </c>
      <c r="I259" s="14">
        <v>1539229.57</v>
      </c>
      <c r="J259" s="22">
        <f>H259*(1+Assumptions!$B$6+IF(F259="Yes",Assumptions!$C$6,0))</f>
        <v>1585406.4571</v>
      </c>
      <c r="K259" s="22">
        <f>H259*(1+Assumptions!$B$7+IF(F259="Yes",Assumptions!$C$7,0))</f>
        <v>1631583.3442000002</v>
      </c>
      <c r="L259" s="22">
        <f>H259*(1+Assumptions!$B$8+IF(F259="Yes",Assumptions!$C$8,0))</f>
        <v>1539229.57</v>
      </c>
    </row>
    <row r="260" spans="1:12" ht="15">
      <c r="A260" s="21">
        <v>40949</v>
      </c>
      <c r="B260" s="21">
        <v>40940</v>
      </c>
      <c r="C260" s="17">
        <v>32</v>
      </c>
      <c r="D260" s="17" t="s">
        <v>90</v>
      </c>
      <c r="E260" s="18">
        <v>203007</v>
      </c>
      <c r="F260" s="17" t="s">
        <v>94</v>
      </c>
      <c r="G260" s="14">
        <v>1127887.8600000001</v>
      </c>
      <c r="H260" s="14">
        <v>1124357.2</v>
      </c>
      <c r="I260" s="14">
        <v>1124357.2</v>
      </c>
      <c r="J260" s="22">
        <f>H260*(1+Assumptions!$B$6+IF(F260="Yes",Assumptions!$C$6,0))</f>
        <v>1158087.916</v>
      </c>
      <c r="K260" s="22">
        <f>H260*(1+Assumptions!$B$7+IF(F260="Yes",Assumptions!$C$7,0))</f>
        <v>1191818.632</v>
      </c>
      <c r="L260" s="22">
        <f>H260*(1+Assumptions!$B$8+IF(F260="Yes",Assumptions!$C$8,0))</f>
        <v>1124357.2</v>
      </c>
    </row>
    <row r="261" spans="1:12" ht="15">
      <c r="A261" s="21">
        <v>40949</v>
      </c>
      <c r="B261" s="21">
        <v>40940</v>
      </c>
      <c r="C261" s="17">
        <v>33</v>
      </c>
      <c r="D261" s="17" t="s">
        <v>90</v>
      </c>
      <c r="E261" s="18">
        <v>39690</v>
      </c>
      <c r="F261" s="17" t="s">
        <v>94</v>
      </c>
      <c r="G261" s="14">
        <v>282518.05</v>
      </c>
      <c r="H261" s="14">
        <v>276137.52</v>
      </c>
      <c r="I261" s="14">
        <v>276137.52</v>
      </c>
      <c r="J261" s="22">
        <f>H261*(1+Assumptions!$B$6+IF(F261="Yes",Assumptions!$C$6,0))</f>
        <v>284421.64560000005</v>
      </c>
      <c r="K261" s="22">
        <f>H261*(1+Assumptions!$B$7+IF(F261="Yes",Assumptions!$C$7,0))</f>
        <v>292705.77120000002</v>
      </c>
      <c r="L261" s="22">
        <f>H261*(1+Assumptions!$B$8+IF(F261="Yes",Assumptions!$C$8,0))</f>
        <v>276137.52</v>
      </c>
    </row>
    <row r="262" spans="1:12" ht="15">
      <c r="A262" s="21">
        <v>40949</v>
      </c>
      <c r="B262" s="21">
        <v>40940</v>
      </c>
      <c r="C262" s="17">
        <v>34</v>
      </c>
      <c r="D262" s="17" t="s">
        <v>90</v>
      </c>
      <c r="E262" s="18">
        <v>158114</v>
      </c>
      <c r="F262" s="17" t="s">
        <v>94</v>
      </c>
      <c r="G262" s="14">
        <v>1047132.2100000001</v>
      </c>
      <c r="H262" s="14">
        <v>1012351.63</v>
      </c>
      <c r="I262" s="14">
        <v>1012351.63</v>
      </c>
      <c r="J262" s="22">
        <f>H262*(1+Assumptions!$B$6+IF(F262="Yes",Assumptions!$C$6,0))</f>
        <v>1042722.1789000001</v>
      </c>
      <c r="K262" s="22">
        <f>H262*(1+Assumptions!$B$7+IF(F262="Yes",Assumptions!$C$7,0))</f>
        <v>1073092.7278</v>
      </c>
      <c r="L262" s="22">
        <f>H262*(1+Assumptions!$B$8+IF(F262="Yes",Assumptions!$C$8,0))</f>
        <v>1012351.63</v>
      </c>
    </row>
    <row r="263" spans="1:12" ht="15">
      <c r="A263" s="21">
        <v>40949</v>
      </c>
      <c r="B263" s="21">
        <v>40940</v>
      </c>
      <c r="C263" s="17">
        <v>35</v>
      </c>
      <c r="D263" s="17" t="s">
        <v>92</v>
      </c>
      <c r="E263" s="18">
        <v>103681</v>
      </c>
      <c r="F263" s="17" t="s">
        <v>94</v>
      </c>
      <c r="G263" s="14">
        <v>849749.44000000006</v>
      </c>
      <c r="H263" s="14">
        <v>859074.49</v>
      </c>
      <c r="I263" s="14">
        <v>859074.49</v>
      </c>
      <c r="J263" s="22">
        <f>H263*(1+Assumptions!$B$6+IF(F263="Yes",Assumptions!$C$6,0))</f>
        <v>884846.72470000002</v>
      </c>
      <c r="K263" s="22">
        <f>H263*(1+Assumptions!$B$7+IF(F263="Yes",Assumptions!$C$7,0))</f>
        <v>910618.95940000005</v>
      </c>
      <c r="L263" s="22">
        <f>H263*(1+Assumptions!$B$8+IF(F263="Yes",Assumptions!$C$8,0))</f>
        <v>859074.49</v>
      </c>
    </row>
    <row r="264" spans="1:12" ht="15">
      <c r="A264" s="21">
        <v>40949</v>
      </c>
      <c r="B264" s="21">
        <v>40940</v>
      </c>
      <c r="C264" s="17">
        <v>36</v>
      </c>
      <c r="D264" s="17" t="s">
        <v>90</v>
      </c>
      <c r="E264" s="18">
        <v>39910</v>
      </c>
      <c r="F264" s="17" t="s">
        <v>94</v>
      </c>
      <c r="G264" s="14">
        <v>335689.06</v>
      </c>
      <c r="H264" s="14">
        <v>401401.17000000004</v>
      </c>
      <c r="I264" s="14">
        <v>401401.17000000004</v>
      </c>
      <c r="J264" s="22">
        <f>H264*(1+Assumptions!$B$6+IF(F264="Yes",Assumptions!$C$6,0))</f>
        <v>413443.20510000008</v>
      </c>
      <c r="K264" s="22">
        <f>H264*(1+Assumptions!$B$7+IF(F264="Yes",Assumptions!$C$7,0))</f>
        <v>425485.24020000006</v>
      </c>
      <c r="L264" s="22">
        <f>H264*(1+Assumptions!$B$8+IF(F264="Yes",Assumptions!$C$8,0))</f>
        <v>401401.17000000004</v>
      </c>
    </row>
    <row r="265" spans="1:12" ht="15">
      <c r="A265" s="21">
        <v>40949</v>
      </c>
      <c r="B265" s="21">
        <v>40940</v>
      </c>
      <c r="C265" s="17">
        <v>37</v>
      </c>
      <c r="D265" s="17" t="s">
        <v>93</v>
      </c>
      <c r="E265" s="18">
        <v>39910</v>
      </c>
      <c r="F265" s="17" t="s">
        <v>94</v>
      </c>
      <c r="G265" s="14">
        <v>526778.32999999996</v>
      </c>
      <c r="H265" s="14">
        <v>522454.32</v>
      </c>
      <c r="I265" s="14">
        <v>522454.32</v>
      </c>
      <c r="J265" s="22">
        <f>H265*(1+Assumptions!$B$6+IF(F265="Yes",Assumptions!$C$6,0))</f>
        <v>538127.94960000005</v>
      </c>
      <c r="K265" s="22">
        <f>H265*(1+Assumptions!$B$7+IF(F265="Yes",Assumptions!$C$7,0))</f>
        <v>553801.57920000004</v>
      </c>
      <c r="L265" s="22">
        <f>H265*(1+Assumptions!$B$8+IF(F265="Yes",Assumptions!$C$8,0))</f>
        <v>522454.32</v>
      </c>
    </row>
    <row r="266" spans="1:12" ht="15">
      <c r="A266" s="21">
        <v>40949</v>
      </c>
      <c r="B266" s="21">
        <v>40940</v>
      </c>
      <c r="C266" s="17">
        <v>38</v>
      </c>
      <c r="D266" s="17" t="s">
        <v>93</v>
      </c>
      <c r="E266" s="18">
        <v>39690</v>
      </c>
      <c r="F266" s="17" t="s">
        <v>94</v>
      </c>
      <c r="G266" s="14">
        <v>469590.49</v>
      </c>
      <c r="H266" s="14">
        <v>377672.46</v>
      </c>
      <c r="I266" s="14">
        <v>377672.46</v>
      </c>
      <c r="J266" s="22">
        <f>H266*(1+Assumptions!$B$6+IF(F266="Yes",Assumptions!$C$6,0))</f>
        <v>389002.63380000001</v>
      </c>
      <c r="K266" s="22">
        <f>H266*(1+Assumptions!$B$7+IF(F266="Yes",Assumptions!$C$7,0))</f>
        <v>400332.80760000006</v>
      </c>
      <c r="L266" s="22">
        <f>H266*(1+Assumptions!$B$8+IF(F266="Yes",Assumptions!$C$8,0))</f>
        <v>377672.46</v>
      </c>
    </row>
    <row r="267" spans="1:12" ht="15">
      <c r="A267" s="21">
        <v>40949</v>
      </c>
      <c r="B267" s="21">
        <v>40940</v>
      </c>
      <c r="C267" s="17">
        <v>39</v>
      </c>
      <c r="D267" s="17" t="s">
        <v>90</v>
      </c>
      <c r="E267" s="18">
        <v>184109</v>
      </c>
      <c r="F267" s="17" t="s">
        <v>94</v>
      </c>
      <c r="G267" s="14">
        <v>1441134.44</v>
      </c>
      <c r="H267" s="14">
        <v>1227861.73</v>
      </c>
      <c r="I267" s="14">
        <v>1227861.73</v>
      </c>
      <c r="J267" s="22">
        <f>H267*(1+Assumptions!$B$6+IF(F267="Yes",Assumptions!$C$6,0))</f>
        <v>1264697.5819000001</v>
      </c>
      <c r="K267" s="22">
        <f>H267*(1+Assumptions!$B$7+IF(F267="Yes",Assumptions!$C$7,0))</f>
        <v>1301533.4338</v>
      </c>
      <c r="L267" s="22">
        <f>H267*(1+Assumptions!$B$8+IF(F267="Yes",Assumptions!$C$8,0))</f>
        <v>1227861.73</v>
      </c>
    </row>
    <row r="268" spans="1:12" ht="15">
      <c r="A268" s="21">
        <v>40949</v>
      </c>
      <c r="B268" s="21">
        <v>40940</v>
      </c>
      <c r="C268" s="17">
        <v>40</v>
      </c>
      <c r="D268" s="17" t="s">
        <v>90</v>
      </c>
      <c r="E268" s="18">
        <v>155083</v>
      </c>
      <c r="F268" s="17" t="s">
        <v>94</v>
      </c>
      <c r="G268" s="14">
        <v>999175.19</v>
      </c>
      <c r="H268" s="14">
        <v>931929.05</v>
      </c>
      <c r="I268" s="14">
        <v>931929.05</v>
      </c>
      <c r="J268" s="22">
        <f>H268*(1+Assumptions!$B$6+IF(F268="Yes",Assumptions!$C$6,0))</f>
        <v>959886.92150000005</v>
      </c>
      <c r="K268" s="22">
        <f>H268*(1+Assumptions!$B$7+IF(F268="Yes",Assumptions!$C$7,0))</f>
        <v>987844.79300000006</v>
      </c>
      <c r="L268" s="22">
        <f>H268*(1+Assumptions!$B$8+IF(F268="Yes",Assumptions!$C$8,0))</f>
        <v>931929.05</v>
      </c>
    </row>
    <row r="269" spans="1:12" ht="15">
      <c r="A269" s="21">
        <v>40949</v>
      </c>
      <c r="B269" s="21">
        <v>40940</v>
      </c>
      <c r="C269" s="17">
        <v>41</v>
      </c>
      <c r="D269" s="17" t="s">
        <v>90</v>
      </c>
      <c r="E269" s="18">
        <v>196321</v>
      </c>
      <c r="F269" s="17" t="s">
        <v>94</v>
      </c>
      <c r="G269" s="14">
        <v>1235023.81</v>
      </c>
      <c r="H269" s="14">
        <v>1150000</v>
      </c>
      <c r="I269" s="14">
        <v>1150000</v>
      </c>
      <c r="J269" s="22">
        <f>H269*(1+Assumptions!$B$6+IF(F269="Yes",Assumptions!$C$6,0))</f>
        <v>1184500</v>
      </c>
      <c r="K269" s="22">
        <f>H269*(1+Assumptions!$B$7+IF(F269="Yes",Assumptions!$C$7,0))</f>
        <v>1219000</v>
      </c>
      <c r="L269" s="22">
        <f>H269*(1+Assumptions!$B$8+IF(F269="Yes",Assumptions!$C$8,0))</f>
        <v>1150000</v>
      </c>
    </row>
    <row r="270" spans="1:12" ht="15">
      <c r="A270" s="21">
        <v>40949</v>
      </c>
      <c r="B270" s="21">
        <v>40940</v>
      </c>
      <c r="C270" s="17">
        <v>42</v>
      </c>
      <c r="D270" s="17" t="s">
        <v>93</v>
      </c>
      <c r="E270" s="18">
        <v>39690</v>
      </c>
      <c r="F270" s="17" t="s">
        <v>94</v>
      </c>
      <c r="G270" s="14">
        <v>674403.79</v>
      </c>
      <c r="H270" s="14">
        <v>628063.88</v>
      </c>
      <c r="I270" s="14">
        <v>628063.88</v>
      </c>
      <c r="J270" s="22">
        <f>H270*(1+Assumptions!$B$6+IF(F270="Yes",Assumptions!$C$6,0))</f>
        <v>646905.79639999999</v>
      </c>
      <c r="K270" s="22">
        <f>H270*(1+Assumptions!$B$7+IF(F270="Yes",Assumptions!$C$7,0))</f>
        <v>665747.7128000001</v>
      </c>
      <c r="L270" s="22">
        <f>H270*(1+Assumptions!$B$8+IF(F270="Yes",Assumptions!$C$8,0))</f>
        <v>628063.88</v>
      </c>
    </row>
    <row r="271" spans="1:12" ht="15">
      <c r="A271" s="21">
        <v>40949</v>
      </c>
      <c r="B271" s="21">
        <v>40940</v>
      </c>
      <c r="C271" s="17">
        <v>43</v>
      </c>
      <c r="D271" s="17" t="s">
        <v>93</v>
      </c>
      <c r="E271" s="18">
        <v>41062</v>
      </c>
      <c r="F271" s="17" t="s">
        <v>94</v>
      </c>
      <c r="G271" s="14">
        <v>660850.06000000006</v>
      </c>
      <c r="H271" s="14">
        <v>634968.46</v>
      </c>
      <c r="I271" s="14">
        <v>634968.46</v>
      </c>
      <c r="J271" s="22">
        <f>H271*(1+Assumptions!$B$6+IF(F271="Yes",Assumptions!$C$6,0))</f>
        <v>654017.51379999996</v>
      </c>
      <c r="K271" s="22">
        <f>H271*(1+Assumptions!$B$7+IF(F271="Yes",Assumptions!$C$7,0))</f>
        <v>673066.56759999995</v>
      </c>
      <c r="L271" s="22">
        <f>H271*(1+Assumptions!$B$8+IF(F271="Yes",Assumptions!$C$8,0))</f>
        <v>634968.46</v>
      </c>
    </row>
    <row r="272" spans="1:12" ht="15">
      <c r="A272" s="21">
        <v>40949</v>
      </c>
      <c r="B272" s="21">
        <v>40940</v>
      </c>
      <c r="C272" s="17">
        <v>44</v>
      </c>
      <c r="D272" s="17" t="s">
        <v>93</v>
      </c>
      <c r="E272" s="18">
        <v>39910</v>
      </c>
      <c r="F272" s="17" t="s">
        <v>94</v>
      </c>
      <c r="G272" s="14">
        <v>325208.47000000003</v>
      </c>
      <c r="H272" s="14">
        <v>307470.73</v>
      </c>
      <c r="I272" s="14">
        <v>307470.73</v>
      </c>
      <c r="J272" s="22">
        <f>H272*(1+Assumptions!$B$6+IF(F272="Yes",Assumptions!$C$6,0))</f>
        <v>316694.85190000001</v>
      </c>
      <c r="K272" s="22">
        <f>H272*(1+Assumptions!$B$7+IF(F272="Yes",Assumptions!$C$7,0))</f>
        <v>325918.97379999998</v>
      </c>
      <c r="L272" s="22">
        <f>H272*(1+Assumptions!$B$8+IF(F272="Yes",Assumptions!$C$8,0))</f>
        <v>307470.73</v>
      </c>
    </row>
    <row r="273" spans="1:12" ht="15">
      <c r="A273" s="21">
        <v>40949</v>
      </c>
      <c r="B273" s="21">
        <v>40940</v>
      </c>
      <c r="C273" s="17">
        <v>45</v>
      </c>
      <c r="D273" s="17" t="s">
        <v>92</v>
      </c>
      <c r="E273" s="18">
        <v>118221</v>
      </c>
      <c r="F273" s="17" t="s">
        <v>94</v>
      </c>
      <c r="G273" s="14">
        <v>803482.12</v>
      </c>
      <c r="H273" s="14">
        <v>766451</v>
      </c>
      <c r="I273" s="14">
        <v>766451</v>
      </c>
      <c r="J273" s="22">
        <f>H273*(1+Assumptions!$B$6+IF(F273="Yes",Assumptions!$C$6,0))</f>
        <v>789444.53</v>
      </c>
      <c r="K273" s="22">
        <f>H273*(1+Assumptions!$B$7+IF(F273="Yes",Assumptions!$C$7,0))</f>
        <v>812438.06</v>
      </c>
      <c r="L273" s="22">
        <f>H273*(1+Assumptions!$B$8+IF(F273="Yes",Assumptions!$C$8,0))</f>
        <v>766451</v>
      </c>
    </row>
    <row r="274" spans="1:12" ht="15">
      <c r="A274" s="21">
        <v>40956</v>
      </c>
      <c r="B274" s="21">
        <v>40940</v>
      </c>
      <c r="C274" s="17">
        <v>1</v>
      </c>
      <c r="D274" s="17" t="s">
        <v>90</v>
      </c>
      <c r="E274" s="18">
        <v>151315</v>
      </c>
      <c r="F274" s="17" t="s">
        <v>91</v>
      </c>
      <c r="G274" s="14">
        <v>1819468</v>
      </c>
      <c r="H274" s="14">
        <v>1686831.31</v>
      </c>
      <c r="I274" s="14">
        <v>1686831.31</v>
      </c>
      <c r="J274" s="22">
        <f>H274*(1+Assumptions!$B$6+IF(F274="Yes",Assumptions!$C$6,0))</f>
        <v>1737436.2493</v>
      </c>
      <c r="K274" s="22">
        <f>H274*(1+Assumptions!$B$7+IF(F274="Yes",Assumptions!$C$7,0))</f>
        <v>1771172.8755000001</v>
      </c>
      <c r="L274" s="22">
        <f>H274*(1+Assumptions!$B$8+IF(F274="Yes",Assumptions!$C$8,0))</f>
        <v>1703699.6231</v>
      </c>
    </row>
    <row r="275" spans="1:12" ht="15">
      <c r="A275" s="21">
        <v>40956</v>
      </c>
      <c r="B275" s="21">
        <v>40940</v>
      </c>
      <c r="C275" s="17">
        <v>2</v>
      </c>
      <c r="D275" s="17" t="s">
        <v>90</v>
      </c>
      <c r="E275" s="18">
        <v>202307</v>
      </c>
      <c r="F275" s="17" t="s">
        <v>91</v>
      </c>
      <c r="G275" s="14">
        <v>2195131.46</v>
      </c>
      <c r="H275" s="14">
        <v>2080608.47</v>
      </c>
      <c r="I275" s="14">
        <v>2080608.47</v>
      </c>
      <c r="J275" s="22">
        <f>H275*(1+Assumptions!$B$6+IF(F275="Yes",Assumptions!$C$6,0))</f>
        <v>2143026.7241000002</v>
      </c>
      <c r="K275" s="22">
        <f>H275*(1+Assumptions!$B$7+IF(F275="Yes",Assumptions!$C$7,0))</f>
        <v>2184638.8935000002</v>
      </c>
      <c r="L275" s="22">
        <f>H275*(1+Assumptions!$B$8+IF(F275="Yes",Assumptions!$C$8,0))</f>
        <v>2101414.5547000002</v>
      </c>
    </row>
    <row r="276" spans="1:12" ht="15">
      <c r="A276" s="21">
        <v>40956</v>
      </c>
      <c r="B276" s="21">
        <v>40940</v>
      </c>
      <c r="C276" s="17">
        <v>3</v>
      </c>
      <c r="D276" s="17" t="s">
        <v>92</v>
      </c>
      <c r="E276" s="18">
        <v>37392</v>
      </c>
      <c r="F276" s="17" t="s">
        <v>91</v>
      </c>
      <c r="G276" s="14">
        <v>475140.5</v>
      </c>
      <c r="H276" s="14">
        <v>432781.14</v>
      </c>
      <c r="I276" s="14">
        <v>432781.14</v>
      </c>
      <c r="J276" s="22">
        <f>H276*(1+Assumptions!$B$6+IF(F276="Yes",Assumptions!$C$6,0))</f>
        <v>445764.57420000003</v>
      </c>
      <c r="K276" s="22">
        <f>H276*(1+Assumptions!$B$7+IF(F276="Yes",Assumptions!$C$7,0))</f>
        <v>454420.19700000004</v>
      </c>
      <c r="L276" s="22">
        <f>H276*(1+Assumptions!$B$8+IF(F276="Yes",Assumptions!$C$8,0))</f>
        <v>437108.95140000002</v>
      </c>
    </row>
    <row r="277" spans="1:12" ht="15">
      <c r="A277" s="21">
        <v>40956</v>
      </c>
      <c r="B277" s="21">
        <v>40940</v>
      </c>
      <c r="C277" s="17">
        <v>4</v>
      </c>
      <c r="D277" s="17" t="s">
        <v>90</v>
      </c>
      <c r="E277" s="18">
        <v>205863</v>
      </c>
      <c r="F277" s="17" t="s">
        <v>91</v>
      </c>
      <c r="G277" s="14">
        <v>2425545.64</v>
      </c>
      <c r="H277" s="14">
        <v>2316495.56</v>
      </c>
      <c r="I277" s="14">
        <v>2316495.56</v>
      </c>
      <c r="J277" s="22">
        <f>H277*(1+Assumptions!$B$6+IF(F277="Yes",Assumptions!$C$6,0))</f>
        <v>2385990.4268</v>
      </c>
      <c r="K277" s="22">
        <f>H277*(1+Assumptions!$B$7+IF(F277="Yes",Assumptions!$C$7,0))</f>
        <v>2432320.338</v>
      </c>
      <c r="L277" s="22">
        <f>H277*(1+Assumptions!$B$8+IF(F277="Yes",Assumptions!$C$8,0))</f>
        <v>2339660.5156</v>
      </c>
    </row>
    <row r="278" spans="1:12" ht="15">
      <c r="A278" s="21">
        <v>40956</v>
      </c>
      <c r="B278" s="21">
        <v>40940</v>
      </c>
      <c r="C278" s="17">
        <v>5</v>
      </c>
      <c r="D278" s="17" t="s">
        <v>92</v>
      </c>
      <c r="E278" s="18">
        <v>34875</v>
      </c>
      <c r="F278" s="17" t="s">
        <v>91</v>
      </c>
      <c r="G278" s="14">
        <v>356110.08000000002</v>
      </c>
      <c r="H278" s="14">
        <v>356548.98</v>
      </c>
      <c r="I278" s="14">
        <v>356548.98</v>
      </c>
      <c r="J278" s="22">
        <f>H278*(1+Assumptions!$B$6+IF(F278="Yes",Assumptions!$C$6,0))</f>
        <v>367245.44939999998</v>
      </c>
      <c r="K278" s="22">
        <f>H278*(1+Assumptions!$B$7+IF(F278="Yes",Assumptions!$C$7,0))</f>
        <v>374376.429</v>
      </c>
      <c r="L278" s="22">
        <f>H278*(1+Assumptions!$B$8+IF(F278="Yes",Assumptions!$C$8,0))</f>
        <v>360114.46979999996</v>
      </c>
    </row>
    <row r="279" spans="1:12" ht="15">
      <c r="A279" s="21">
        <v>40956</v>
      </c>
      <c r="B279" s="21">
        <v>40940</v>
      </c>
      <c r="C279" s="17">
        <v>6</v>
      </c>
      <c r="D279" s="17" t="s">
        <v>90</v>
      </c>
      <c r="E279" s="18">
        <v>202505</v>
      </c>
      <c r="F279" s="17" t="s">
        <v>91</v>
      </c>
      <c r="G279" s="14">
        <v>1631397.09</v>
      </c>
      <c r="H279" s="14">
        <v>1572094.6</v>
      </c>
      <c r="I279" s="14">
        <v>1572094.6</v>
      </c>
      <c r="J279" s="22">
        <f>H279*(1+Assumptions!$B$6+IF(F279="Yes",Assumptions!$C$6,0))</f>
        <v>1619257.4380000001</v>
      </c>
      <c r="K279" s="22">
        <f>H279*(1+Assumptions!$B$7+IF(F279="Yes",Assumptions!$C$7,0))</f>
        <v>1650699.33</v>
      </c>
      <c r="L279" s="22">
        <f>H279*(1+Assumptions!$B$8+IF(F279="Yes",Assumptions!$C$8,0))</f>
        <v>1587815.5460000001</v>
      </c>
    </row>
    <row r="280" spans="1:12" ht="15">
      <c r="A280" s="21">
        <v>40956</v>
      </c>
      <c r="B280" s="21">
        <v>40940</v>
      </c>
      <c r="C280" s="17">
        <v>7</v>
      </c>
      <c r="D280" s="17" t="s">
        <v>92</v>
      </c>
      <c r="E280" s="18">
        <v>70713</v>
      </c>
      <c r="F280" s="17" t="s">
        <v>91</v>
      </c>
      <c r="G280" s="14">
        <v>620299.14</v>
      </c>
      <c r="H280" s="14">
        <v>572334.47</v>
      </c>
      <c r="I280" s="14">
        <v>572334.47</v>
      </c>
      <c r="J280" s="22">
        <f>H280*(1+Assumptions!$B$6+IF(F280="Yes",Assumptions!$C$6,0))</f>
        <v>589504.50410000002</v>
      </c>
      <c r="K280" s="22">
        <f>H280*(1+Assumptions!$B$7+IF(F280="Yes",Assumptions!$C$7,0))</f>
        <v>600951.19350000005</v>
      </c>
      <c r="L280" s="22">
        <f>H280*(1+Assumptions!$B$8+IF(F280="Yes",Assumptions!$C$8,0))</f>
        <v>578057.81469999999</v>
      </c>
    </row>
    <row r="281" spans="1:12" ht="15">
      <c r="A281" s="21">
        <v>40956</v>
      </c>
      <c r="B281" s="21">
        <v>40940</v>
      </c>
      <c r="C281" s="17">
        <v>8</v>
      </c>
      <c r="D281" s="17" t="s">
        <v>90</v>
      </c>
      <c r="E281" s="18">
        <v>155078</v>
      </c>
      <c r="F281" s="17" t="s">
        <v>91</v>
      </c>
      <c r="G281" s="14">
        <v>1095646.93</v>
      </c>
      <c r="H281" s="14">
        <v>1065108.6399999999</v>
      </c>
      <c r="I281" s="14">
        <v>1065108.6399999999</v>
      </c>
      <c r="J281" s="22">
        <f>H281*(1+Assumptions!$B$6+IF(F281="Yes",Assumptions!$C$6,0))</f>
        <v>1097061.8991999999</v>
      </c>
      <c r="K281" s="22">
        <f>H281*(1+Assumptions!$B$7+IF(F281="Yes",Assumptions!$C$7,0))</f>
        <v>1118364.0719999999</v>
      </c>
      <c r="L281" s="22">
        <f>H281*(1+Assumptions!$B$8+IF(F281="Yes",Assumptions!$C$8,0))</f>
        <v>1075759.7263999998</v>
      </c>
    </row>
    <row r="282" spans="1:12" ht="15">
      <c r="A282" s="21">
        <v>40956</v>
      </c>
      <c r="B282" s="21">
        <v>40940</v>
      </c>
      <c r="C282" s="17">
        <v>9</v>
      </c>
      <c r="D282" s="17" t="s">
        <v>92</v>
      </c>
      <c r="E282" s="18">
        <v>125833</v>
      </c>
      <c r="F282" s="17" t="s">
        <v>91</v>
      </c>
      <c r="G282" s="14">
        <v>658537.25</v>
      </c>
      <c r="H282" s="14">
        <v>610517.56000000006</v>
      </c>
      <c r="I282" s="14">
        <v>610517.56000000006</v>
      </c>
      <c r="J282" s="22">
        <f>H282*(1+Assumptions!$B$6+IF(F282="Yes",Assumptions!$C$6,0))</f>
        <v>628833.08680000005</v>
      </c>
      <c r="K282" s="22">
        <f>H282*(1+Assumptions!$B$7+IF(F282="Yes",Assumptions!$C$7,0))</f>
        <v>641043.43800000008</v>
      </c>
      <c r="L282" s="22">
        <f>H282*(1+Assumptions!$B$8+IF(F282="Yes",Assumptions!$C$8,0))</f>
        <v>616622.73560000001</v>
      </c>
    </row>
    <row r="283" spans="1:12" ht="15">
      <c r="A283" s="21">
        <v>40956</v>
      </c>
      <c r="B283" s="21">
        <v>40940</v>
      </c>
      <c r="C283" s="17">
        <v>10</v>
      </c>
      <c r="D283" s="17" t="s">
        <v>92</v>
      </c>
      <c r="E283" s="18">
        <v>126512</v>
      </c>
      <c r="F283" s="17" t="s">
        <v>91</v>
      </c>
      <c r="G283" s="14">
        <v>2168709.7599999998</v>
      </c>
      <c r="H283" s="14">
        <v>2106934.5499999998</v>
      </c>
      <c r="I283" s="14">
        <v>2106934.5499999998</v>
      </c>
      <c r="J283" s="22">
        <f>H283*(1+Assumptions!$B$6+IF(F283="Yes",Assumptions!$C$6,0))</f>
        <v>2170142.5864999997</v>
      </c>
      <c r="K283" s="22">
        <f>H283*(1+Assumptions!$B$7+IF(F283="Yes",Assumptions!$C$7,0))</f>
        <v>2212281.2774999999</v>
      </c>
      <c r="L283" s="22">
        <f>H283*(1+Assumptions!$B$8+IF(F283="Yes",Assumptions!$C$8,0))</f>
        <v>2128003.8954999996</v>
      </c>
    </row>
    <row r="284" spans="1:12" ht="15">
      <c r="A284" s="21">
        <v>40956</v>
      </c>
      <c r="B284" s="21">
        <v>40940</v>
      </c>
      <c r="C284" s="17">
        <v>11</v>
      </c>
      <c r="D284" s="17" t="s">
        <v>90</v>
      </c>
      <c r="E284" s="18">
        <v>207499</v>
      </c>
      <c r="F284" s="17" t="s">
        <v>91</v>
      </c>
      <c r="G284" s="14">
        <v>1567051.7</v>
      </c>
      <c r="H284" s="14">
        <v>1554736.68</v>
      </c>
      <c r="I284" s="14">
        <v>1554736.68</v>
      </c>
      <c r="J284" s="22">
        <f>H284*(1+Assumptions!$B$6+IF(F284="Yes",Assumptions!$C$6,0))</f>
        <v>1601378.7804</v>
      </c>
      <c r="K284" s="22">
        <f>H284*(1+Assumptions!$B$7+IF(F284="Yes",Assumptions!$C$7,0))</f>
        <v>1632473.514</v>
      </c>
      <c r="L284" s="22">
        <f>H284*(1+Assumptions!$B$8+IF(F284="Yes",Assumptions!$C$8,0))</f>
        <v>1570284.0467999999</v>
      </c>
    </row>
    <row r="285" spans="1:12" ht="15">
      <c r="A285" s="21">
        <v>40956</v>
      </c>
      <c r="B285" s="21">
        <v>40940</v>
      </c>
      <c r="C285" s="17">
        <v>12</v>
      </c>
      <c r="D285" s="17" t="s">
        <v>92</v>
      </c>
      <c r="E285" s="18">
        <v>112238</v>
      </c>
      <c r="F285" s="17" t="s">
        <v>91</v>
      </c>
      <c r="G285" s="14">
        <v>1239863.18</v>
      </c>
      <c r="H285" s="14">
        <v>1128485.1000000001</v>
      </c>
      <c r="I285" s="14">
        <v>1128485.1000000001</v>
      </c>
      <c r="J285" s="22">
        <f>H285*(1+Assumptions!$B$6+IF(F285="Yes",Assumptions!$C$6,0))</f>
        <v>1162339.6530000002</v>
      </c>
      <c r="K285" s="22">
        <f>H285*(1+Assumptions!$B$7+IF(F285="Yes",Assumptions!$C$7,0))</f>
        <v>1184909.3550000002</v>
      </c>
      <c r="L285" s="22">
        <f>H285*(1+Assumptions!$B$8+IF(F285="Yes",Assumptions!$C$8,0))</f>
        <v>1139769.9510000001</v>
      </c>
    </row>
    <row r="286" spans="1:12" ht="15">
      <c r="A286" s="21">
        <v>40956</v>
      </c>
      <c r="B286" s="21">
        <v>40940</v>
      </c>
      <c r="C286" s="17">
        <v>13</v>
      </c>
      <c r="D286" s="17" t="s">
        <v>90</v>
      </c>
      <c r="E286" s="18">
        <v>219622</v>
      </c>
      <c r="F286" s="17" t="s">
        <v>91</v>
      </c>
      <c r="G286" s="14">
        <v>2213927.06</v>
      </c>
      <c r="H286" s="14">
        <v>2003480.59</v>
      </c>
      <c r="I286" s="14">
        <v>2003480.59</v>
      </c>
      <c r="J286" s="22">
        <f>H286*(1+Assumptions!$B$6+IF(F286="Yes",Assumptions!$C$6,0))</f>
        <v>2063585.0077000002</v>
      </c>
      <c r="K286" s="22">
        <f>H286*(1+Assumptions!$B$7+IF(F286="Yes",Assumptions!$C$7,0))</f>
        <v>2103654.6195</v>
      </c>
      <c r="L286" s="22">
        <f>H286*(1+Assumptions!$B$8+IF(F286="Yes",Assumptions!$C$8,0))</f>
        <v>2023515.3959000001</v>
      </c>
    </row>
    <row r="287" spans="1:12" ht="15">
      <c r="A287" s="21">
        <v>40956</v>
      </c>
      <c r="B287" s="21">
        <v>40940</v>
      </c>
      <c r="C287" s="17">
        <v>14</v>
      </c>
      <c r="D287" s="17" t="s">
        <v>90</v>
      </c>
      <c r="E287" s="18">
        <v>200898</v>
      </c>
      <c r="F287" s="17" t="s">
        <v>91</v>
      </c>
      <c r="G287" s="14">
        <v>2019639.24</v>
      </c>
      <c r="H287" s="14">
        <v>2019028.71</v>
      </c>
      <c r="I287" s="14">
        <v>2019028.71</v>
      </c>
      <c r="J287" s="22">
        <f>H287*(1+Assumptions!$B$6+IF(F287="Yes",Assumptions!$C$6,0))</f>
        <v>2079599.5713</v>
      </c>
      <c r="K287" s="22">
        <f>H287*(1+Assumptions!$B$7+IF(F287="Yes",Assumptions!$C$7,0))</f>
        <v>2119980.1455000001</v>
      </c>
      <c r="L287" s="22">
        <f>H287*(1+Assumptions!$B$8+IF(F287="Yes",Assumptions!$C$8,0))</f>
        <v>2039218.9971</v>
      </c>
    </row>
    <row r="288" spans="1:12" ht="15">
      <c r="A288" s="21">
        <v>40956</v>
      </c>
      <c r="B288" s="21">
        <v>40940</v>
      </c>
      <c r="C288" s="17">
        <v>15</v>
      </c>
      <c r="D288" s="17" t="s">
        <v>92</v>
      </c>
      <c r="E288" s="18">
        <v>123737</v>
      </c>
      <c r="F288" s="17" t="s">
        <v>91</v>
      </c>
      <c r="G288" s="14">
        <v>598502.82999999996</v>
      </c>
      <c r="H288" s="14">
        <v>649993.5</v>
      </c>
      <c r="I288" s="14">
        <v>649993.5</v>
      </c>
      <c r="J288" s="22">
        <f>H288*(1+Assumptions!$B$6+IF(F288="Yes",Assumptions!$C$6,0))</f>
        <v>669493.30500000005</v>
      </c>
      <c r="K288" s="22">
        <f>H288*(1+Assumptions!$B$7+IF(F288="Yes",Assumptions!$C$7,0))</f>
        <v>682493.17500000005</v>
      </c>
      <c r="L288" s="22">
        <f>H288*(1+Assumptions!$B$8+IF(F288="Yes",Assumptions!$C$8,0))</f>
        <v>656493.43500000006</v>
      </c>
    </row>
    <row r="289" spans="1:12" ht="15">
      <c r="A289" s="21">
        <v>40956</v>
      </c>
      <c r="B289" s="21">
        <v>40940</v>
      </c>
      <c r="C289" s="17">
        <v>16</v>
      </c>
      <c r="D289" s="17" t="s">
        <v>92</v>
      </c>
      <c r="E289" s="18">
        <v>57197</v>
      </c>
      <c r="F289" s="17" t="s">
        <v>91</v>
      </c>
      <c r="G289" s="14">
        <v>492942.96</v>
      </c>
      <c r="H289" s="14">
        <v>491105.11</v>
      </c>
      <c r="I289" s="14">
        <v>491105.11</v>
      </c>
      <c r="J289" s="22">
        <f>H289*(1+Assumptions!$B$6+IF(F289="Yes",Assumptions!$C$6,0))</f>
        <v>505838.26329999999</v>
      </c>
      <c r="K289" s="22">
        <f>H289*(1+Assumptions!$B$7+IF(F289="Yes",Assumptions!$C$7,0))</f>
        <v>515660.36550000001</v>
      </c>
      <c r="L289" s="22">
        <f>H289*(1+Assumptions!$B$8+IF(F289="Yes",Assumptions!$C$8,0))</f>
        <v>496016.16109999997</v>
      </c>
    </row>
    <row r="290" spans="1:12" ht="15">
      <c r="A290" s="21">
        <v>40956</v>
      </c>
      <c r="B290" s="21">
        <v>40940</v>
      </c>
      <c r="C290" s="17">
        <v>17</v>
      </c>
      <c r="D290" s="17" t="s">
        <v>92</v>
      </c>
      <c r="E290" s="18">
        <v>93188</v>
      </c>
      <c r="F290" s="17" t="s">
        <v>91</v>
      </c>
      <c r="G290" s="14">
        <v>926304.64</v>
      </c>
      <c r="H290" s="14">
        <v>860962.91</v>
      </c>
      <c r="I290" s="14">
        <v>860962.91</v>
      </c>
      <c r="J290" s="22">
        <f>H290*(1+Assumptions!$B$6+IF(F290="Yes",Assumptions!$C$6,0))</f>
        <v>886791.79730000009</v>
      </c>
      <c r="K290" s="22">
        <f>H290*(1+Assumptions!$B$7+IF(F290="Yes",Assumptions!$C$7,0))</f>
        <v>904011.05550000002</v>
      </c>
      <c r="L290" s="22">
        <f>H290*(1+Assumptions!$B$8+IF(F290="Yes",Assumptions!$C$8,0))</f>
        <v>869572.53910000005</v>
      </c>
    </row>
    <row r="291" spans="1:12" ht="15">
      <c r="A291" s="21">
        <v>40956</v>
      </c>
      <c r="B291" s="21">
        <v>40940</v>
      </c>
      <c r="C291" s="17">
        <v>18</v>
      </c>
      <c r="D291" s="17" t="s">
        <v>92</v>
      </c>
      <c r="E291" s="18">
        <v>120653</v>
      </c>
      <c r="F291" s="17" t="s">
        <v>91</v>
      </c>
      <c r="G291" s="14">
        <v>1115985.81</v>
      </c>
      <c r="H291" s="14">
        <v>1095058.57</v>
      </c>
      <c r="I291" s="14">
        <v>1095058.57</v>
      </c>
      <c r="J291" s="22">
        <f>H291*(1+Assumptions!$B$6+IF(F291="Yes",Assumptions!$C$6,0))</f>
        <v>1127910.3271000001</v>
      </c>
      <c r="K291" s="22">
        <f>H291*(1+Assumptions!$B$7+IF(F291="Yes",Assumptions!$C$7,0))</f>
        <v>1149811.4985000002</v>
      </c>
      <c r="L291" s="22">
        <f>H291*(1+Assumptions!$B$8+IF(F291="Yes",Assumptions!$C$8,0))</f>
        <v>1106009.1557</v>
      </c>
    </row>
    <row r="292" spans="1:12" ht="15">
      <c r="A292" s="21">
        <v>40956</v>
      </c>
      <c r="B292" s="21">
        <v>40940</v>
      </c>
      <c r="C292" s="17">
        <v>19</v>
      </c>
      <c r="D292" s="17" t="s">
        <v>90</v>
      </c>
      <c r="E292" s="18">
        <v>203819</v>
      </c>
      <c r="F292" s="17" t="s">
        <v>91</v>
      </c>
      <c r="G292" s="14">
        <v>1423445.27</v>
      </c>
      <c r="H292" s="14">
        <v>1457270.16</v>
      </c>
      <c r="I292" s="14">
        <v>1457270.16</v>
      </c>
      <c r="J292" s="22">
        <f>H292*(1+Assumptions!$B$6+IF(F292="Yes",Assumptions!$C$6,0))</f>
        <v>1500988.2648</v>
      </c>
      <c r="K292" s="22">
        <f>H292*(1+Assumptions!$B$7+IF(F292="Yes",Assumptions!$C$7,0))</f>
        <v>1530133.6680000001</v>
      </c>
      <c r="L292" s="22">
        <f>H292*(1+Assumptions!$B$8+IF(F292="Yes",Assumptions!$C$8,0))</f>
        <v>1471842.8615999999</v>
      </c>
    </row>
    <row r="293" spans="1:12" ht="15">
      <c r="A293" s="21">
        <v>40956</v>
      </c>
      <c r="B293" s="21">
        <v>40940</v>
      </c>
      <c r="C293" s="17">
        <v>20</v>
      </c>
      <c r="D293" s="17" t="s">
        <v>90</v>
      </c>
      <c r="E293" s="18">
        <v>203742</v>
      </c>
      <c r="F293" s="17" t="s">
        <v>91</v>
      </c>
      <c r="G293" s="14">
        <v>2306916.41</v>
      </c>
      <c r="H293" s="14">
        <v>2258541.2400000002</v>
      </c>
      <c r="I293" s="14">
        <v>2258541.2400000002</v>
      </c>
      <c r="J293" s="22">
        <f>H293*(1+Assumptions!$B$6+IF(F293="Yes",Assumptions!$C$6,0))</f>
        <v>2326297.4772000001</v>
      </c>
      <c r="K293" s="22">
        <f>H293*(1+Assumptions!$B$7+IF(F293="Yes",Assumptions!$C$7,0))</f>
        <v>2371468.3020000001</v>
      </c>
      <c r="L293" s="22">
        <f>H293*(1+Assumptions!$B$8+IF(F293="Yes",Assumptions!$C$8,0))</f>
        <v>2281126.6524</v>
      </c>
    </row>
    <row r="294" spans="1:12" ht="15">
      <c r="A294" s="21">
        <v>40956</v>
      </c>
      <c r="B294" s="21">
        <v>40940</v>
      </c>
      <c r="C294" s="17">
        <v>21</v>
      </c>
      <c r="D294" s="17" t="s">
        <v>92</v>
      </c>
      <c r="E294" s="18">
        <v>140167</v>
      </c>
      <c r="F294" s="17" t="s">
        <v>91</v>
      </c>
      <c r="G294" s="14">
        <v>834571.09</v>
      </c>
      <c r="H294" s="14">
        <v>884701.92</v>
      </c>
      <c r="I294" s="14">
        <v>884701.92</v>
      </c>
      <c r="J294" s="22">
        <f>H294*(1+Assumptions!$B$6+IF(F294="Yes",Assumptions!$C$6,0))</f>
        <v>911242.9776000001</v>
      </c>
      <c r="K294" s="22">
        <f>H294*(1+Assumptions!$B$7+IF(F294="Yes",Assumptions!$C$7,0))</f>
        <v>928937.01600000006</v>
      </c>
      <c r="L294" s="22">
        <f>H294*(1+Assumptions!$B$8+IF(F294="Yes",Assumptions!$C$8,0))</f>
        <v>893548.93920000002</v>
      </c>
    </row>
    <row r="295" spans="1:12" ht="15">
      <c r="A295" s="21">
        <v>40956</v>
      </c>
      <c r="B295" s="21">
        <v>40940</v>
      </c>
      <c r="C295" s="17">
        <v>22</v>
      </c>
      <c r="D295" s="17" t="s">
        <v>92</v>
      </c>
      <c r="E295" s="18">
        <v>119557</v>
      </c>
      <c r="F295" s="17" t="s">
        <v>91</v>
      </c>
      <c r="G295" s="14">
        <v>1003510.8</v>
      </c>
      <c r="H295" s="14">
        <v>975964.86</v>
      </c>
      <c r="I295" s="14">
        <v>975964.86</v>
      </c>
      <c r="J295" s="22">
        <f>H295*(1+Assumptions!$B$6+IF(F295="Yes",Assumptions!$C$6,0))</f>
        <v>1005243.8058</v>
      </c>
      <c r="K295" s="22">
        <f>H295*(1+Assumptions!$B$7+IF(F295="Yes",Assumptions!$C$7,0))</f>
        <v>1024763.103</v>
      </c>
      <c r="L295" s="22">
        <f>H295*(1+Assumptions!$B$8+IF(F295="Yes",Assumptions!$C$8,0))</f>
        <v>985724.50859999994</v>
      </c>
    </row>
    <row r="296" spans="1:12" ht="15">
      <c r="A296" s="21">
        <v>40956</v>
      </c>
      <c r="B296" s="21">
        <v>40940</v>
      </c>
      <c r="C296" s="17">
        <v>23</v>
      </c>
      <c r="D296" s="17" t="s">
        <v>92</v>
      </c>
      <c r="E296" s="18">
        <v>114533</v>
      </c>
      <c r="F296" s="17" t="s">
        <v>91</v>
      </c>
      <c r="G296" s="14">
        <v>1365546.69</v>
      </c>
      <c r="H296" s="14">
        <v>1369986.57</v>
      </c>
      <c r="I296" s="14">
        <v>1369986.57</v>
      </c>
      <c r="J296" s="22">
        <f>H296*(1+Assumptions!$B$6+IF(F296="Yes",Assumptions!$C$6,0))</f>
        <v>1411086.1671000002</v>
      </c>
      <c r="K296" s="22">
        <f>H296*(1+Assumptions!$B$7+IF(F296="Yes",Assumptions!$C$7,0))</f>
        <v>1438485.8985000001</v>
      </c>
      <c r="L296" s="22">
        <f>H296*(1+Assumptions!$B$8+IF(F296="Yes",Assumptions!$C$8,0))</f>
        <v>1383686.4357</v>
      </c>
    </row>
    <row r="297" spans="1:12" ht="15">
      <c r="A297" s="21">
        <v>40956</v>
      </c>
      <c r="B297" s="21">
        <v>40940</v>
      </c>
      <c r="C297" s="17">
        <v>24</v>
      </c>
      <c r="D297" s="17" t="s">
        <v>90</v>
      </c>
      <c r="E297" s="18">
        <v>203819</v>
      </c>
      <c r="F297" s="17" t="s">
        <v>91</v>
      </c>
      <c r="G297" s="14">
        <v>1325670.08</v>
      </c>
      <c r="H297" s="14">
        <v>1360150.12</v>
      </c>
      <c r="I297" s="14">
        <v>1360150.12</v>
      </c>
      <c r="J297" s="22">
        <f>H297*(1+Assumptions!$B$6+IF(F297="Yes",Assumptions!$C$6,0))</f>
        <v>1400954.6236</v>
      </c>
      <c r="K297" s="22">
        <f>H297*(1+Assumptions!$B$7+IF(F297="Yes",Assumptions!$C$7,0))</f>
        <v>1428157.6260000002</v>
      </c>
      <c r="L297" s="22">
        <f>H297*(1+Assumptions!$B$8+IF(F297="Yes",Assumptions!$C$8,0))</f>
        <v>1373751.6212000002</v>
      </c>
    </row>
    <row r="298" spans="1:12" ht="15">
      <c r="A298" s="21">
        <v>40956</v>
      </c>
      <c r="B298" s="21">
        <v>40940</v>
      </c>
      <c r="C298" s="17">
        <v>25</v>
      </c>
      <c r="D298" s="17" t="s">
        <v>92</v>
      </c>
      <c r="E298" s="18">
        <v>128107</v>
      </c>
      <c r="F298" s="17" t="s">
        <v>91</v>
      </c>
      <c r="G298" s="14">
        <v>654088.02</v>
      </c>
      <c r="H298" s="14">
        <v>634637.03</v>
      </c>
      <c r="I298" s="14">
        <v>634637.03</v>
      </c>
      <c r="J298" s="22">
        <f>H298*(1+Assumptions!$B$6+IF(F298="Yes",Assumptions!$C$6,0))</f>
        <v>653676.1409</v>
      </c>
      <c r="K298" s="22">
        <f>H298*(1+Assumptions!$B$7+IF(F298="Yes",Assumptions!$C$7,0))</f>
        <v>666368.88150000002</v>
      </c>
      <c r="L298" s="22">
        <f>H298*(1+Assumptions!$B$8+IF(F298="Yes",Assumptions!$C$8,0))</f>
        <v>640983.40029999998</v>
      </c>
    </row>
    <row r="299" spans="1:12" ht="15">
      <c r="A299" s="21">
        <v>40956</v>
      </c>
      <c r="B299" s="21">
        <v>40940</v>
      </c>
      <c r="C299" s="17">
        <v>26</v>
      </c>
      <c r="D299" s="17" t="s">
        <v>90</v>
      </c>
      <c r="E299" s="18">
        <v>152513</v>
      </c>
      <c r="F299" s="17" t="s">
        <v>91</v>
      </c>
      <c r="G299" s="14">
        <v>963595.76</v>
      </c>
      <c r="H299" s="14">
        <v>981922.16</v>
      </c>
      <c r="I299" s="14">
        <v>981922.16</v>
      </c>
      <c r="J299" s="22">
        <f>H299*(1+Assumptions!$B$6+IF(F299="Yes",Assumptions!$C$6,0))</f>
        <v>1011379.8248000001</v>
      </c>
      <c r="K299" s="22">
        <f>H299*(1+Assumptions!$B$7+IF(F299="Yes",Assumptions!$C$7,0))</f>
        <v>1031018.268</v>
      </c>
      <c r="L299" s="22">
        <f>H299*(1+Assumptions!$B$8+IF(F299="Yes",Assumptions!$C$8,0))</f>
        <v>991741.38160000008</v>
      </c>
    </row>
    <row r="300" spans="1:12" ht="15">
      <c r="A300" s="21">
        <v>40956</v>
      </c>
      <c r="B300" s="21">
        <v>40940</v>
      </c>
      <c r="C300" s="17">
        <v>27</v>
      </c>
      <c r="D300" s="17" t="s">
        <v>90</v>
      </c>
      <c r="E300" s="18">
        <v>204184</v>
      </c>
      <c r="F300" s="17" t="s">
        <v>91</v>
      </c>
      <c r="G300" s="14">
        <v>1606059.59</v>
      </c>
      <c r="H300" s="14">
        <v>1709365.19</v>
      </c>
      <c r="I300" s="14">
        <v>1709365.19</v>
      </c>
      <c r="J300" s="22">
        <f>H300*(1+Assumptions!$B$6+IF(F300="Yes",Assumptions!$C$6,0))</f>
        <v>1760646.1457</v>
      </c>
      <c r="K300" s="22">
        <f>H300*(1+Assumptions!$B$7+IF(F300="Yes",Assumptions!$C$7,0))</f>
        <v>1794833.4495000001</v>
      </c>
      <c r="L300" s="22">
        <f>H300*(1+Assumptions!$B$8+IF(F300="Yes",Assumptions!$C$8,0))</f>
        <v>1726458.8418999999</v>
      </c>
    </row>
    <row r="301" spans="1:12" ht="15">
      <c r="A301" s="21">
        <v>40956</v>
      </c>
      <c r="B301" s="21">
        <v>40940</v>
      </c>
      <c r="C301" s="17">
        <v>28</v>
      </c>
      <c r="D301" s="17" t="s">
        <v>90</v>
      </c>
      <c r="E301" s="18">
        <v>206302</v>
      </c>
      <c r="F301" s="17" t="s">
        <v>91</v>
      </c>
      <c r="G301" s="14">
        <v>1500782.68</v>
      </c>
      <c r="H301" s="14">
        <v>1514828.82</v>
      </c>
      <c r="I301" s="14">
        <v>1514828.82</v>
      </c>
      <c r="J301" s="22">
        <f>H301*(1+Assumptions!$B$6+IF(F301="Yes",Assumptions!$C$6,0))</f>
        <v>1560273.6846</v>
      </c>
      <c r="K301" s="22">
        <f>H301*(1+Assumptions!$B$7+IF(F301="Yes",Assumptions!$C$7,0))</f>
        <v>1590570.2610000002</v>
      </c>
      <c r="L301" s="22">
        <f>H301*(1+Assumptions!$B$8+IF(F301="Yes",Assumptions!$C$8,0))</f>
        <v>1529977.1082000001</v>
      </c>
    </row>
    <row r="302" spans="1:12" ht="15">
      <c r="A302" s="21">
        <v>40956</v>
      </c>
      <c r="B302" s="21">
        <v>40940</v>
      </c>
      <c r="C302" s="17">
        <v>29</v>
      </c>
      <c r="D302" s="17" t="s">
        <v>92</v>
      </c>
      <c r="E302" s="18">
        <v>93638</v>
      </c>
      <c r="F302" s="17" t="s">
        <v>91</v>
      </c>
      <c r="G302" s="14">
        <v>559559.05999999994</v>
      </c>
      <c r="H302" s="14">
        <v>542529.21</v>
      </c>
      <c r="I302" s="14">
        <v>542529.21</v>
      </c>
      <c r="J302" s="22">
        <f>H302*(1+Assumptions!$B$6+IF(F302="Yes",Assumptions!$C$6,0))</f>
        <v>558805.08629999997</v>
      </c>
      <c r="K302" s="22">
        <f>H302*(1+Assumptions!$B$7+IF(F302="Yes",Assumptions!$C$7,0))</f>
        <v>569655.67050000001</v>
      </c>
      <c r="L302" s="22">
        <f>H302*(1+Assumptions!$B$8+IF(F302="Yes",Assumptions!$C$8,0))</f>
        <v>547954.50209999993</v>
      </c>
    </row>
    <row r="303" spans="1:12" ht="15">
      <c r="A303" s="21">
        <v>40956</v>
      </c>
      <c r="B303" s="21">
        <v>40940</v>
      </c>
      <c r="C303" s="17">
        <v>30</v>
      </c>
      <c r="D303" s="17" t="s">
        <v>93</v>
      </c>
      <c r="E303" s="18">
        <v>42988</v>
      </c>
      <c r="F303" s="17" t="s">
        <v>91</v>
      </c>
      <c r="G303" s="14">
        <v>434502.62</v>
      </c>
      <c r="H303" s="14">
        <v>416962.79</v>
      </c>
      <c r="I303" s="14">
        <v>416962.79</v>
      </c>
      <c r="J303" s="22">
        <f>H303*(1+Assumptions!$B$6+IF(F303="Yes",Assumptions!$C$6,0))</f>
        <v>429471.67369999998</v>
      </c>
      <c r="K303" s="22">
        <f>H303*(1+Assumptions!$B$7+IF(F303="Yes",Assumptions!$C$7,0))</f>
        <v>437810.92949999997</v>
      </c>
      <c r="L303" s="22">
        <f>H303*(1+Assumptions!$B$8+IF(F303="Yes",Assumptions!$C$8,0))</f>
        <v>421132.4179</v>
      </c>
    </row>
    <row r="304" spans="1:12" ht="15">
      <c r="A304" s="21">
        <v>40956</v>
      </c>
      <c r="B304" s="21">
        <v>40940</v>
      </c>
      <c r="C304" s="17">
        <v>31</v>
      </c>
      <c r="D304" s="17" t="s">
        <v>90</v>
      </c>
      <c r="E304" s="18">
        <v>203750</v>
      </c>
      <c r="F304" s="17" t="s">
        <v>91</v>
      </c>
      <c r="G304" s="14">
        <v>1569903.57</v>
      </c>
      <c r="H304" s="14">
        <v>1539053.44</v>
      </c>
      <c r="I304" s="14">
        <v>1539053.44</v>
      </c>
      <c r="J304" s="22">
        <f>H304*(1+Assumptions!$B$6+IF(F304="Yes",Assumptions!$C$6,0))</f>
        <v>1585225.0432</v>
      </c>
      <c r="K304" s="22">
        <f>H304*(1+Assumptions!$B$7+IF(F304="Yes",Assumptions!$C$7,0))</f>
        <v>1616006.112</v>
      </c>
      <c r="L304" s="22">
        <f>H304*(1+Assumptions!$B$8+IF(F304="Yes",Assumptions!$C$8,0))</f>
        <v>1554443.9743999999</v>
      </c>
    </row>
    <row r="305" spans="1:12" ht="15">
      <c r="A305" s="21">
        <v>40956</v>
      </c>
      <c r="B305" s="21">
        <v>40940</v>
      </c>
      <c r="C305" s="17">
        <v>32</v>
      </c>
      <c r="D305" s="17" t="s">
        <v>90</v>
      </c>
      <c r="E305" s="18">
        <v>203007</v>
      </c>
      <c r="F305" s="17" t="s">
        <v>91</v>
      </c>
      <c r="G305" s="14">
        <v>1243350.6499999999</v>
      </c>
      <c r="H305" s="14">
        <v>1183525.02</v>
      </c>
      <c r="I305" s="14">
        <v>1183525.02</v>
      </c>
      <c r="J305" s="22">
        <f>H305*(1+Assumptions!$B$6+IF(F305="Yes",Assumptions!$C$6,0))</f>
        <v>1219030.7706000002</v>
      </c>
      <c r="K305" s="22">
        <f>H305*(1+Assumptions!$B$7+IF(F305="Yes",Assumptions!$C$7,0))</f>
        <v>1242701.2710000002</v>
      </c>
      <c r="L305" s="22">
        <f>H305*(1+Assumptions!$B$8+IF(F305="Yes",Assumptions!$C$8,0))</f>
        <v>1195360.2702000001</v>
      </c>
    </row>
    <row r="306" spans="1:12" ht="15">
      <c r="A306" s="21">
        <v>40956</v>
      </c>
      <c r="B306" s="21">
        <v>40940</v>
      </c>
      <c r="C306" s="17">
        <v>33</v>
      </c>
      <c r="D306" s="17" t="s">
        <v>90</v>
      </c>
      <c r="E306" s="18">
        <v>39690</v>
      </c>
      <c r="F306" s="17" t="s">
        <v>91</v>
      </c>
      <c r="G306" s="14">
        <v>266247.07</v>
      </c>
      <c r="H306" s="14">
        <v>252327.72</v>
      </c>
      <c r="I306" s="14">
        <v>252327.72</v>
      </c>
      <c r="J306" s="22">
        <f>H306*(1+Assumptions!$B$6+IF(F306="Yes",Assumptions!$C$6,0))</f>
        <v>259897.55160000001</v>
      </c>
      <c r="K306" s="22">
        <f>H306*(1+Assumptions!$B$7+IF(F306="Yes",Assumptions!$C$7,0))</f>
        <v>264944.10600000003</v>
      </c>
      <c r="L306" s="22">
        <f>H306*(1+Assumptions!$B$8+IF(F306="Yes",Assumptions!$C$8,0))</f>
        <v>254850.99720000001</v>
      </c>
    </row>
    <row r="307" spans="1:12" ht="15">
      <c r="A307" s="21">
        <v>40956</v>
      </c>
      <c r="B307" s="21">
        <v>40940</v>
      </c>
      <c r="C307" s="17">
        <v>34</v>
      </c>
      <c r="D307" s="17" t="s">
        <v>90</v>
      </c>
      <c r="E307" s="18">
        <v>158114</v>
      </c>
      <c r="F307" s="17" t="s">
        <v>91</v>
      </c>
      <c r="G307" s="14">
        <v>1122546.51</v>
      </c>
      <c r="H307" s="14">
        <v>1061625.97</v>
      </c>
      <c r="I307" s="14">
        <v>1061625.97</v>
      </c>
      <c r="J307" s="22">
        <f>H307*(1+Assumptions!$B$6+IF(F307="Yes",Assumptions!$C$6,0))</f>
        <v>1093474.7490999999</v>
      </c>
      <c r="K307" s="22">
        <f>H307*(1+Assumptions!$B$7+IF(F307="Yes",Assumptions!$C$7,0))</f>
        <v>1114707.2685</v>
      </c>
      <c r="L307" s="22">
        <f>H307*(1+Assumptions!$B$8+IF(F307="Yes",Assumptions!$C$8,0))</f>
        <v>1072242.2297</v>
      </c>
    </row>
    <row r="308" spans="1:12" ht="15">
      <c r="A308" s="21">
        <v>40956</v>
      </c>
      <c r="B308" s="21">
        <v>40940</v>
      </c>
      <c r="C308" s="17">
        <v>35</v>
      </c>
      <c r="D308" s="17" t="s">
        <v>92</v>
      </c>
      <c r="E308" s="18">
        <v>103681</v>
      </c>
      <c r="F308" s="17" t="s">
        <v>91</v>
      </c>
      <c r="G308" s="14">
        <v>824615.91</v>
      </c>
      <c r="H308" s="14">
        <v>865298.55999999994</v>
      </c>
      <c r="I308" s="14">
        <v>865298.55999999994</v>
      </c>
      <c r="J308" s="22">
        <f>H308*(1+Assumptions!$B$6+IF(F308="Yes",Assumptions!$C$6,0))</f>
        <v>891257.51679999998</v>
      </c>
      <c r="K308" s="22">
        <f>H308*(1+Assumptions!$B$7+IF(F308="Yes",Assumptions!$C$7,0))</f>
        <v>908563.48800000001</v>
      </c>
      <c r="L308" s="22">
        <f>H308*(1+Assumptions!$B$8+IF(F308="Yes",Assumptions!$C$8,0))</f>
        <v>873951.54559999995</v>
      </c>
    </row>
    <row r="309" spans="1:12" ht="15">
      <c r="A309" s="21">
        <v>40956</v>
      </c>
      <c r="B309" s="21">
        <v>40940</v>
      </c>
      <c r="C309" s="17">
        <v>36</v>
      </c>
      <c r="D309" s="17" t="s">
        <v>90</v>
      </c>
      <c r="E309" s="18">
        <v>39910</v>
      </c>
      <c r="F309" s="17" t="s">
        <v>91</v>
      </c>
      <c r="G309" s="14">
        <v>326284.23</v>
      </c>
      <c r="H309" s="14">
        <v>427158.3</v>
      </c>
      <c r="I309" s="14">
        <v>427158.3</v>
      </c>
      <c r="J309" s="22">
        <f>H309*(1+Assumptions!$B$6+IF(F309="Yes",Assumptions!$C$6,0))</f>
        <v>439973.049</v>
      </c>
      <c r="K309" s="22">
        <f>H309*(1+Assumptions!$B$7+IF(F309="Yes",Assumptions!$C$7,0))</f>
        <v>448516.21500000003</v>
      </c>
      <c r="L309" s="22">
        <f>H309*(1+Assumptions!$B$8+IF(F309="Yes",Assumptions!$C$8,0))</f>
        <v>431429.88299999997</v>
      </c>
    </row>
    <row r="310" spans="1:12" ht="15">
      <c r="A310" s="21">
        <v>40956</v>
      </c>
      <c r="B310" s="21">
        <v>40940</v>
      </c>
      <c r="C310" s="17">
        <v>37</v>
      </c>
      <c r="D310" s="17" t="s">
        <v>93</v>
      </c>
      <c r="E310" s="18">
        <v>39910</v>
      </c>
      <c r="F310" s="17" t="s">
        <v>91</v>
      </c>
      <c r="G310" s="14">
        <v>540950.72</v>
      </c>
      <c r="H310" s="14">
        <v>536840.69000000006</v>
      </c>
      <c r="I310" s="14">
        <v>536840.69000000006</v>
      </c>
      <c r="J310" s="22">
        <f>H310*(1+Assumptions!$B$6+IF(F310="Yes",Assumptions!$C$6,0))</f>
        <v>552945.91070000012</v>
      </c>
      <c r="K310" s="22">
        <f>H310*(1+Assumptions!$B$7+IF(F310="Yes",Assumptions!$C$7,0))</f>
        <v>563682.72450000013</v>
      </c>
      <c r="L310" s="22">
        <f>H310*(1+Assumptions!$B$8+IF(F310="Yes",Assumptions!$C$8,0))</f>
        <v>542209.09690000012</v>
      </c>
    </row>
    <row r="311" spans="1:12" ht="15">
      <c r="A311" s="21">
        <v>40956</v>
      </c>
      <c r="B311" s="21">
        <v>40940</v>
      </c>
      <c r="C311" s="17">
        <v>38</v>
      </c>
      <c r="D311" s="17" t="s">
        <v>93</v>
      </c>
      <c r="E311" s="18">
        <v>39690</v>
      </c>
      <c r="F311" s="17" t="s">
        <v>91</v>
      </c>
      <c r="G311" s="14">
        <v>415326.6</v>
      </c>
      <c r="H311" s="14">
        <v>364600.01</v>
      </c>
      <c r="I311" s="14">
        <v>364600.01</v>
      </c>
      <c r="J311" s="22">
        <f>H311*(1+Assumptions!$B$6+IF(F311="Yes",Assumptions!$C$6,0))</f>
        <v>375538.01030000002</v>
      </c>
      <c r="K311" s="22">
        <f>H311*(1+Assumptions!$B$7+IF(F311="Yes",Assumptions!$C$7,0))</f>
        <v>382830.01050000003</v>
      </c>
      <c r="L311" s="22">
        <f>H311*(1+Assumptions!$B$8+IF(F311="Yes",Assumptions!$C$8,0))</f>
        <v>368246.01010000001</v>
      </c>
    </row>
    <row r="312" spans="1:12" ht="15">
      <c r="A312" s="21">
        <v>40956</v>
      </c>
      <c r="B312" s="21">
        <v>40940</v>
      </c>
      <c r="C312" s="17">
        <v>39</v>
      </c>
      <c r="D312" s="17" t="s">
        <v>90</v>
      </c>
      <c r="E312" s="18">
        <v>184109</v>
      </c>
      <c r="F312" s="17" t="s">
        <v>91</v>
      </c>
      <c r="G312" s="14">
        <v>1510358.81</v>
      </c>
      <c r="H312" s="14">
        <v>1335233.74</v>
      </c>
      <c r="I312" s="14">
        <v>1335233.74</v>
      </c>
      <c r="J312" s="22">
        <f>H312*(1+Assumptions!$B$6+IF(F312="Yes",Assumptions!$C$6,0))</f>
        <v>1375290.7522</v>
      </c>
      <c r="K312" s="22">
        <f>H312*(1+Assumptions!$B$7+IF(F312="Yes",Assumptions!$C$7,0))</f>
        <v>1401995.4270000001</v>
      </c>
      <c r="L312" s="22">
        <f>H312*(1+Assumptions!$B$8+IF(F312="Yes",Assumptions!$C$8,0))</f>
        <v>1348586.0774000001</v>
      </c>
    </row>
    <row r="313" spans="1:12" ht="15">
      <c r="A313" s="21">
        <v>40956</v>
      </c>
      <c r="B313" s="21">
        <v>40940</v>
      </c>
      <c r="C313" s="17">
        <v>40</v>
      </c>
      <c r="D313" s="17" t="s">
        <v>90</v>
      </c>
      <c r="E313" s="18">
        <v>155083</v>
      </c>
      <c r="F313" s="17" t="s">
        <v>91</v>
      </c>
      <c r="G313" s="14">
        <v>975268.11</v>
      </c>
      <c r="H313" s="14">
        <v>968677.89</v>
      </c>
      <c r="I313" s="14">
        <v>968677.89</v>
      </c>
      <c r="J313" s="22">
        <f>H313*(1+Assumptions!$B$6+IF(F313="Yes",Assumptions!$C$6,0))</f>
        <v>997738.2267</v>
      </c>
      <c r="K313" s="22">
        <f>H313*(1+Assumptions!$B$7+IF(F313="Yes",Assumptions!$C$7,0))</f>
        <v>1017111.7845000001</v>
      </c>
      <c r="L313" s="22">
        <f>H313*(1+Assumptions!$B$8+IF(F313="Yes",Assumptions!$C$8,0))</f>
        <v>978364.66890000005</v>
      </c>
    </row>
    <row r="314" spans="1:12" ht="15">
      <c r="A314" s="21">
        <v>40956</v>
      </c>
      <c r="B314" s="21">
        <v>40940</v>
      </c>
      <c r="C314" s="17">
        <v>41</v>
      </c>
      <c r="D314" s="17" t="s">
        <v>90</v>
      </c>
      <c r="E314" s="18">
        <v>196321</v>
      </c>
      <c r="F314" s="17" t="s">
        <v>91</v>
      </c>
      <c r="G314" s="14">
        <v>1328262.73</v>
      </c>
      <c r="H314" s="14">
        <v>1203399.6399999999</v>
      </c>
      <c r="I314" s="14">
        <v>1203399.6399999999</v>
      </c>
      <c r="J314" s="22">
        <f>H314*(1+Assumptions!$B$6+IF(F314="Yes",Assumptions!$C$6,0))</f>
        <v>1239501.6291999999</v>
      </c>
      <c r="K314" s="22">
        <f>H314*(1+Assumptions!$B$7+IF(F314="Yes",Assumptions!$C$7,0))</f>
        <v>1263569.622</v>
      </c>
      <c r="L314" s="22">
        <f>H314*(1+Assumptions!$B$8+IF(F314="Yes",Assumptions!$C$8,0))</f>
        <v>1215433.6364</v>
      </c>
    </row>
    <row r="315" spans="1:12" ht="15">
      <c r="A315" s="21">
        <v>40956</v>
      </c>
      <c r="B315" s="21">
        <v>40940</v>
      </c>
      <c r="C315" s="17">
        <v>42</v>
      </c>
      <c r="D315" s="17" t="s">
        <v>93</v>
      </c>
      <c r="E315" s="18">
        <v>39690</v>
      </c>
      <c r="F315" s="17" t="s">
        <v>91</v>
      </c>
      <c r="G315" s="14">
        <v>605973.85</v>
      </c>
      <c r="H315" s="14">
        <v>556478.64</v>
      </c>
      <c r="I315" s="14">
        <v>556478.64</v>
      </c>
      <c r="J315" s="22">
        <f>H315*(1+Assumptions!$B$6+IF(F315="Yes",Assumptions!$C$6,0))</f>
        <v>573172.99920000008</v>
      </c>
      <c r="K315" s="22">
        <f>H315*(1+Assumptions!$B$7+IF(F315="Yes",Assumptions!$C$7,0))</f>
        <v>584302.57200000004</v>
      </c>
      <c r="L315" s="22">
        <f>H315*(1+Assumptions!$B$8+IF(F315="Yes",Assumptions!$C$8,0))</f>
        <v>562043.4264</v>
      </c>
    </row>
    <row r="316" spans="1:12" ht="15">
      <c r="A316" s="21">
        <v>40956</v>
      </c>
      <c r="B316" s="21">
        <v>40940</v>
      </c>
      <c r="C316" s="17">
        <v>43</v>
      </c>
      <c r="D316" s="17" t="s">
        <v>93</v>
      </c>
      <c r="E316" s="18">
        <v>41062</v>
      </c>
      <c r="F316" s="17" t="s">
        <v>91</v>
      </c>
      <c r="G316" s="14">
        <v>659353.85</v>
      </c>
      <c r="H316" s="14">
        <v>625819.35</v>
      </c>
      <c r="I316" s="14">
        <v>625819.35</v>
      </c>
      <c r="J316" s="22">
        <f>H316*(1+Assumptions!$B$6+IF(F316="Yes",Assumptions!$C$6,0))</f>
        <v>644593.93050000002</v>
      </c>
      <c r="K316" s="22">
        <f>H316*(1+Assumptions!$B$7+IF(F316="Yes",Assumptions!$C$7,0))</f>
        <v>657110.3175</v>
      </c>
      <c r="L316" s="22">
        <f>H316*(1+Assumptions!$B$8+IF(F316="Yes",Assumptions!$C$8,0))</f>
        <v>632077.54350000003</v>
      </c>
    </row>
    <row r="317" spans="1:12" ht="15">
      <c r="A317" s="21">
        <v>40956</v>
      </c>
      <c r="B317" s="21">
        <v>40940</v>
      </c>
      <c r="C317" s="17">
        <v>44</v>
      </c>
      <c r="D317" s="17" t="s">
        <v>93</v>
      </c>
      <c r="E317" s="18">
        <v>39910</v>
      </c>
      <c r="F317" s="17" t="s">
        <v>91</v>
      </c>
      <c r="G317" s="14">
        <v>320596.64</v>
      </c>
      <c r="H317" s="14">
        <v>280757.88</v>
      </c>
      <c r="I317" s="14">
        <v>280757.88</v>
      </c>
      <c r="J317" s="22">
        <f>H317*(1+Assumptions!$B$6+IF(F317="Yes",Assumptions!$C$6,0))</f>
        <v>289180.6164</v>
      </c>
      <c r="K317" s="22">
        <f>H317*(1+Assumptions!$B$7+IF(F317="Yes",Assumptions!$C$7,0))</f>
        <v>294795.77400000003</v>
      </c>
      <c r="L317" s="22">
        <f>H317*(1+Assumptions!$B$8+IF(F317="Yes",Assumptions!$C$8,0))</f>
        <v>283565.45880000002</v>
      </c>
    </row>
    <row r="318" spans="1:12" ht="15">
      <c r="A318" s="21">
        <v>40956</v>
      </c>
      <c r="B318" s="21">
        <v>40940</v>
      </c>
      <c r="C318" s="17">
        <v>45</v>
      </c>
      <c r="D318" s="17" t="s">
        <v>92</v>
      </c>
      <c r="E318" s="18">
        <v>118221</v>
      </c>
      <c r="F318" s="17" t="s">
        <v>91</v>
      </c>
      <c r="G318" s="14">
        <v>857465.8</v>
      </c>
      <c r="H318" s="14">
        <v>802165.08</v>
      </c>
      <c r="I318" s="14">
        <v>802165.08</v>
      </c>
      <c r="J318" s="22">
        <f>H318*(1+Assumptions!$B$6+IF(F318="Yes",Assumptions!$C$6,0))</f>
        <v>826230.03240000003</v>
      </c>
      <c r="K318" s="22">
        <f>H318*(1+Assumptions!$B$7+IF(F318="Yes",Assumptions!$C$7,0))</f>
        <v>842273.33400000003</v>
      </c>
      <c r="L318" s="22">
        <f>H318*(1+Assumptions!$B$8+IF(F318="Yes",Assumptions!$C$8,0))</f>
        <v>810186.73080000002</v>
      </c>
    </row>
    <row r="319" spans="1:12" ht="15">
      <c r="A319" s="21">
        <v>40963</v>
      </c>
      <c r="B319" s="21">
        <v>40940</v>
      </c>
      <c r="C319" s="17">
        <v>1</v>
      </c>
      <c r="D319" s="17" t="s">
        <v>90</v>
      </c>
      <c r="E319" s="18">
        <v>151315</v>
      </c>
      <c r="F319" s="17" t="s">
        <v>91</v>
      </c>
      <c r="G319" s="14">
        <v>1539287.83</v>
      </c>
      <c r="H319" s="14">
        <v>1456788.81</v>
      </c>
      <c r="I319" s="14">
        <v>1456788.81</v>
      </c>
      <c r="J319" s="22">
        <f>H319*(1+Assumptions!$B$6+IF(F319="Yes",Assumptions!$C$6,0))</f>
        <v>1500492.4743000001</v>
      </c>
      <c r="K319" s="22">
        <f>H319*(1+Assumptions!$B$7+IF(F319="Yes",Assumptions!$C$7,0))</f>
        <v>1529628.2505000001</v>
      </c>
      <c r="L319" s="22">
        <f>H319*(1+Assumptions!$B$8+IF(F319="Yes",Assumptions!$C$8,0))</f>
        <v>1471356.6981000002</v>
      </c>
    </row>
    <row r="320" spans="1:12" ht="15">
      <c r="A320" s="21">
        <v>40963</v>
      </c>
      <c r="B320" s="21">
        <v>40940</v>
      </c>
      <c r="C320" s="17">
        <v>2</v>
      </c>
      <c r="D320" s="17" t="s">
        <v>90</v>
      </c>
      <c r="E320" s="18">
        <v>202307</v>
      </c>
      <c r="F320" s="17" t="s">
        <v>91</v>
      </c>
      <c r="G320" s="14">
        <v>1861802.7</v>
      </c>
      <c r="H320" s="14">
        <v>1833511.08</v>
      </c>
      <c r="I320" s="14">
        <v>1833511.08</v>
      </c>
      <c r="J320" s="22">
        <f>H320*(1+Assumptions!$B$6+IF(F320="Yes",Assumptions!$C$6,0))</f>
        <v>1888516.4124</v>
      </c>
      <c r="K320" s="22">
        <f>H320*(1+Assumptions!$B$7+IF(F320="Yes",Assumptions!$C$7,0))</f>
        <v>1925186.6340000001</v>
      </c>
      <c r="L320" s="22">
        <f>H320*(1+Assumptions!$B$8+IF(F320="Yes",Assumptions!$C$8,0))</f>
        <v>1851846.1908</v>
      </c>
    </row>
    <row r="321" spans="1:12" ht="15">
      <c r="A321" s="21">
        <v>40963</v>
      </c>
      <c r="B321" s="21">
        <v>40940</v>
      </c>
      <c r="C321" s="17">
        <v>3</v>
      </c>
      <c r="D321" s="17" t="s">
        <v>92</v>
      </c>
      <c r="E321" s="18">
        <v>37392</v>
      </c>
      <c r="F321" s="17" t="s">
        <v>91</v>
      </c>
      <c r="G321" s="14">
        <v>418496.33999999997</v>
      </c>
      <c r="H321" s="14">
        <v>397139.18</v>
      </c>
      <c r="I321" s="14">
        <v>397139.18</v>
      </c>
      <c r="J321" s="22">
        <f>H321*(1+Assumptions!$B$6+IF(F321="Yes",Assumptions!$C$6,0))</f>
        <v>409053.3554</v>
      </c>
      <c r="K321" s="22">
        <f>H321*(1+Assumptions!$B$7+IF(F321="Yes",Assumptions!$C$7,0))</f>
        <v>416996.13900000002</v>
      </c>
      <c r="L321" s="22">
        <f>H321*(1+Assumptions!$B$8+IF(F321="Yes",Assumptions!$C$8,0))</f>
        <v>401110.57179999998</v>
      </c>
    </row>
    <row r="322" spans="1:12" ht="15">
      <c r="A322" s="21">
        <v>40963</v>
      </c>
      <c r="B322" s="21">
        <v>40940</v>
      </c>
      <c r="C322" s="17">
        <v>4</v>
      </c>
      <c r="D322" s="17" t="s">
        <v>90</v>
      </c>
      <c r="E322" s="18">
        <v>205863</v>
      </c>
      <c r="F322" s="17" t="s">
        <v>91</v>
      </c>
      <c r="G322" s="14">
        <v>2226662.17</v>
      </c>
      <c r="H322" s="14">
        <v>2078084.22</v>
      </c>
      <c r="I322" s="14">
        <v>2078084.22</v>
      </c>
      <c r="J322" s="22">
        <f>H322*(1+Assumptions!$B$6+IF(F322="Yes",Assumptions!$C$6,0))</f>
        <v>2140426.7466000002</v>
      </c>
      <c r="K322" s="22">
        <f>H322*(1+Assumptions!$B$7+IF(F322="Yes",Assumptions!$C$7,0))</f>
        <v>2181988.4309999999</v>
      </c>
      <c r="L322" s="22">
        <f>H322*(1+Assumptions!$B$8+IF(F322="Yes",Assumptions!$C$8,0))</f>
        <v>2098865.0622</v>
      </c>
    </row>
    <row r="323" spans="1:12" ht="15">
      <c r="A323" s="21">
        <v>40963</v>
      </c>
      <c r="B323" s="21">
        <v>40940</v>
      </c>
      <c r="C323" s="17">
        <v>5</v>
      </c>
      <c r="D323" s="17" t="s">
        <v>92</v>
      </c>
      <c r="E323" s="18">
        <v>34875</v>
      </c>
      <c r="F323" s="17" t="s">
        <v>91</v>
      </c>
      <c r="G323" s="14">
        <v>312084.15000000002</v>
      </c>
      <c r="H323" s="14">
        <v>294623.86</v>
      </c>
      <c r="I323" s="14">
        <v>294623.86</v>
      </c>
      <c r="J323" s="22">
        <f>H323*(1+Assumptions!$B$6+IF(F323="Yes",Assumptions!$C$6,0))</f>
        <v>303462.57579999999</v>
      </c>
      <c r="K323" s="22">
        <f>H323*(1+Assumptions!$B$7+IF(F323="Yes",Assumptions!$C$7,0))</f>
        <v>309355.05300000001</v>
      </c>
      <c r="L323" s="22">
        <f>H323*(1+Assumptions!$B$8+IF(F323="Yes",Assumptions!$C$8,0))</f>
        <v>297570.09859999997</v>
      </c>
    </row>
    <row r="324" spans="1:12" ht="15">
      <c r="A324" s="21">
        <v>40963</v>
      </c>
      <c r="B324" s="21">
        <v>40940</v>
      </c>
      <c r="C324" s="17">
        <v>6</v>
      </c>
      <c r="D324" s="17" t="s">
        <v>90</v>
      </c>
      <c r="E324" s="18">
        <v>202505</v>
      </c>
      <c r="F324" s="17" t="s">
        <v>91</v>
      </c>
      <c r="G324" s="14">
        <v>1464678.71</v>
      </c>
      <c r="H324" s="14">
        <v>1422588.96</v>
      </c>
      <c r="I324" s="14">
        <v>1422588.96</v>
      </c>
      <c r="J324" s="22">
        <f>H324*(1+Assumptions!$B$6+IF(F324="Yes",Assumptions!$C$6,0))</f>
        <v>1465266.6288000001</v>
      </c>
      <c r="K324" s="22">
        <f>H324*(1+Assumptions!$B$7+IF(F324="Yes",Assumptions!$C$7,0))</f>
        <v>1493718.4080000001</v>
      </c>
      <c r="L324" s="22">
        <f>H324*(1+Assumptions!$B$8+IF(F324="Yes",Assumptions!$C$8,0))</f>
        <v>1436814.8496000001</v>
      </c>
    </row>
    <row r="325" spans="1:12" ht="15">
      <c r="A325" s="21">
        <v>40963</v>
      </c>
      <c r="B325" s="21">
        <v>40940</v>
      </c>
      <c r="C325" s="17">
        <v>7</v>
      </c>
      <c r="D325" s="17" t="s">
        <v>92</v>
      </c>
      <c r="E325" s="18">
        <v>70713</v>
      </c>
      <c r="F325" s="17" t="s">
        <v>91</v>
      </c>
      <c r="G325" s="14">
        <v>601079.06000000006</v>
      </c>
      <c r="H325" s="14">
        <v>546636.21</v>
      </c>
      <c r="I325" s="14">
        <v>546636.21</v>
      </c>
      <c r="J325" s="22">
        <f>H325*(1+Assumptions!$B$6+IF(F325="Yes",Assumptions!$C$6,0))</f>
        <v>563035.29629999993</v>
      </c>
      <c r="K325" s="22">
        <f>H325*(1+Assumptions!$B$7+IF(F325="Yes",Assumptions!$C$7,0))</f>
        <v>573968.02049999998</v>
      </c>
      <c r="L325" s="22">
        <f>H325*(1+Assumptions!$B$8+IF(F325="Yes",Assumptions!$C$8,0))</f>
        <v>552102.57209999999</v>
      </c>
    </row>
    <row r="326" spans="1:12" ht="15">
      <c r="A326" s="21">
        <v>40963</v>
      </c>
      <c r="B326" s="21">
        <v>40940</v>
      </c>
      <c r="C326" s="17">
        <v>8</v>
      </c>
      <c r="D326" s="17" t="s">
        <v>90</v>
      </c>
      <c r="E326" s="18">
        <v>155078</v>
      </c>
      <c r="F326" s="17" t="s">
        <v>91</v>
      </c>
      <c r="G326" s="14">
        <v>928437.54</v>
      </c>
      <c r="H326" s="14">
        <v>917317.15</v>
      </c>
      <c r="I326" s="14">
        <v>917317.15</v>
      </c>
      <c r="J326" s="22">
        <f>H326*(1+Assumptions!$B$6+IF(F326="Yes",Assumptions!$C$6,0))</f>
        <v>944836.66450000007</v>
      </c>
      <c r="K326" s="22">
        <f>H326*(1+Assumptions!$B$7+IF(F326="Yes",Assumptions!$C$7,0))</f>
        <v>963183.00750000007</v>
      </c>
      <c r="L326" s="22">
        <f>H326*(1+Assumptions!$B$8+IF(F326="Yes",Assumptions!$C$8,0))</f>
        <v>926490.32150000008</v>
      </c>
    </row>
    <row r="327" spans="1:12" ht="15">
      <c r="A327" s="21">
        <v>40963</v>
      </c>
      <c r="B327" s="21">
        <v>40940</v>
      </c>
      <c r="C327" s="17">
        <v>9</v>
      </c>
      <c r="D327" s="17" t="s">
        <v>92</v>
      </c>
      <c r="E327" s="18">
        <v>125833</v>
      </c>
      <c r="F327" s="17" t="s">
        <v>91</v>
      </c>
      <c r="G327" s="14">
        <v>562651.36</v>
      </c>
      <c r="H327" s="14">
        <v>512646.85000000003</v>
      </c>
      <c r="I327" s="14">
        <v>512646.85000000003</v>
      </c>
      <c r="J327" s="22">
        <f>H327*(1+Assumptions!$B$6+IF(F327="Yes",Assumptions!$C$6,0))</f>
        <v>528026.25550000009</v>
      </c>
      <c r="K327" s="22">
        <f>H327*(1+Assumptions!$B$7+IF(F327="Yes",Assumptions!$C$7,0))</f>
        <v>538279.1925</v>
      </c>
      <c r="L327" s="22">
        <f>H327*(1+Assumptions!$B$8+IF(F327="Yes",Assumptions!$C$8,0))</f>
        <v>517773.31850000005</v>
      </c>
    </row>
    <row r="328" spans="1:12" ht="15">
      <c r="A328" s="21">
        <v>40963</v>
      </c>
      <c r="B328" s="21">
        <v>40940</v>
      </c>
      <c r="C328" s="17">
        <v>10</v>
      </c>
      <c r="D328" s="17" t="s">
        <v>92</v>
      </c>
      <c r="E328" s="18">
        <v>126512</v>
      </c>
      <c r="F328" s="17" t="s">
        <v>91</v>
      </c>
      <c r="G328" s="14">
        <v>2039415.74</v>
      </c>
      <c r="H328" s="14">
        <v>1967952.98</v>
      </c>
      <c r="I328" s="14">
        <v>1967952.98</v>
      </c>
      <c r="J328" s="22">
        <f>H328*(1+Assumptions!$B$6+IF(F328="Yes",Assumptions!$C$6,0))</f>
        <v>2026991.5693999999</v>
      </c>
      <c r="K328" s="22">
        <f>H328*(1+Assumptions!$B$7+IF(F328="Yes",Assumptions!$C$7,0))</f>
        <v>2066350.629</v>
      </c>
      <c r="L328" s="22">
        <f>H328*(1+Assumptions!$B$8+IF(F328="Yes",Assumptions!$C$8,0))</f>
        <v>1987632.5097999999</v>
      </c>
    </row>
    <row r="329" spans="1:12" ht="15">
      <c r="A329" s="21">
        <v>40963</v>
      </c>
      <c r="B329" s="21">
        <v>40940</v>
      </c>
      <c r="C329" s="17">
        <v>11</v>
      </c>
      <c r="D329" s="17" t="s">
        <v>90</v>
      </c>
      <c r="E329" s="18">
        <v>207499</v>
      </c>
      <c r="F329" s="17" t="s">
        <v>91</v>
      </c>
      <c r="G329" s="14">
        <v>1377307.84</v>
      </c>
      <c r="H329" s="14">
        <v>1323963.48</v>
      </c>
      <c r="I329" s="14">
        <v>1323963.48</v>
      </c>
      <c r="J329" s="22">
        <f>H329*(1+Assumptions!$B$6+IF(F329="Yes",Assumptions!$C$6,0))</f>
        <v>1363682.3844000001</v>
      </c>
      <c r="K329" s="22">
        <f>H329*(1+Assumptions!$B$7+IF(F329="Yes",Assumptions!$C$7,0))</f>
        <v>1390161.6540000001</v>
      </c>
      <c r="L329" s="22">
        <f>H329*(1+Assumptions!$B$8+IF(F329="Yes",Assumptions!$C$8,0))</f>
        <v>1337203.1148000001</v>
      </c>
    </row>
    <row r="330" spans="1:12" ht="15">
      <c r="A330" s="21">
        <v>40963</v>
      </c>
      <c r="B330" s="21">
        <v>40940</v>
      </c>
      <c r="C330" s="17">
        <v>12</v>
      </c>
      <c r="D330" s="17" t="s">
        <v>92</v>
      </c>
      <c r="E330" s="18">
        <v>112238</v>
      </c>
      <c r="F330" s="17" t="s">
        <v>91</v>
      </c>
      <c r="G330" s="14">
        <v>1112058.96</v>
      </c>
      <c r="H330" s="14">
        <v>1044713.72</v>
      </c>
      <c r="I330" s="14">
        <v>1044713.72</v>
      </c>
      <c r="J330" s="22">
        <f>H330*(1+Assumptions!$B$6+IF(F330="Yes",Assumptions!$C$6,0))</f>
        <v>1076055.1316</v>
      </c>
      <c r="K330" s="22">
        <f>H330*(1+Assumptions!$B$7+IF(F330="Yes",Assumptions!$C$7,0))</f>
        <v>1096949.406</v>
      </c>
      <c r="L330" s="22">
        <f>H330*(1+Assumptions!$B$8+IF(F330="Yes",Assumptions!$C$8,0))</f>
        <v>1055160.8572</v>
      </c>
    </row>
    <row r="331" spans="1:12" ht="15">
      <c r="A331" s="21">
        <v>40963</v>
      </c>
      <c r="B331" s="21">
        <v>40940</v>
      </c>
      <c r="C331" s="17">
        <v>13</v>
      </c>
      <c r="D331" s="17" t="s">
        <v>90</v>
      </c>
      <c r="E331" s="18">
        <v>219622</v>
      </c>
      <c r="F331" s="17" t="s">
        <v>91</v>
      </c>
      <c r="G331" s="14">
        <v>1929143.03</v>
      </c>
      <c r="H331" s="14">
        <v>1831933.95</v>
      </c>
      <c r="I331" s="14">
        <v>1831933.95</v>
      </c>
      <c r="J331" s="22">
        <f>H331*(1+Assumptions!$B$6+IF(F331="Yes",Assumptions!$C$6,0))</f>
        <v>1886891.9685</v>
      </c>
      <c r="K331" s="22">
        <f>H331*(1+Assumptions!$B$7+IF(F331="Yes",Assumptions!$C$7,0))</f>
        <v>1923530.6475</v>
      </c>
      <c r="L331" s="22">
        <f>H331*(1+Assumptions!$B$8+IF(F331="Yes",Assumptions!$C$8,0))</f>
        <v>1850253.2895</v>
      </c>
    </row>
    <row r="332" spans="1:12" ht="15">
      <c r="A332" s="21">
        <v>40963</v>
      </c>
      <c r="B332" s="21">
        <v>40940</v>
      </c>
      <c r="C332" s="17">
        <v>14</v>
      </c>
      <c r="D332" s="17" t="s">
        <v>90</v>
      </c>
      <c r="E332" s="18">
        <v>200898</v>
      </c>
      <c r="F332" s="17" t="s">
        <v>91</v>
      </c>
      <c r="G332" s="14">
        <v>1874990.16</v>
      </c>
      <c r="H332" s="14">
        <v>1875708.88</v>
      </c>
      <c r="I332" s="14">
        <v>1875708.88</v>
      </c>
      <c r="J332" s="22">
        <f>H332*(1+Assumptions!$B$6+IF(F332="Yes",Assumptions!$C$6,0))</f>
        <v>1931980.1464</v>
      </c>
      <c r="K332" s="22">
        <f>H332*(1+Assumptions!$B$7+IF(F332="Yes",Assumptions!$C$7,0))</f>
        <v>1969494.324</v>
      </c>
      <c r="L332" s="22">
        <f>H332*(1+Assumptions!$B$8+IF(F332="Yes",Assumptions!$C$8,0))</f>
        <v>1894465.9687999999</v>
      </c>
    </row>
    <row r="333" spans="1:12" ht="15">
      <c r="A333" s="21">
        <v>40963</v>
      </c>
      <c r="B333" s="21">
        <v>40940</v>
      </c>
      <c r="C333" s="17">
        <v>15</v>
      </c>
      <c r="D333" s="17" t="s">
        <v>92</v>
      </c>
      <c r="E333" s="18">
        <v>123737</v>
      </c>
      <c r="F333" s="17" t="s">
        <v>91</v>
      </c>
      <c r="G333" s="14">
        <v>560803.07999999996</v>
      </c>
      <c r="H333" s="14">
        <v>547564.09</v>
      </c>
      <c r="I333" s="14">
        <v>547564.09</v>
      </c>
      <c r="J333" s="22">
        <f>H333*(1+Assumptions!$B$6+IF(F333="Yes",Assumptions!$C$6,0))</f>
        <v>563991.01269999996</v>
      </c>
      <c r="K333" s="22">
        <f>H333*(1+Assumptions!$B$7+IF(F333="Yes",Assumptions!$C$7,0))</f>
        <v>574942.29449999996</v>
      </c>
      <c r="L333" s="22">
        <f>H333*(1+Assumptions!$B$8+IF(F333="Yes",Assumptions!$C$8,0))</f>
        <v>553039.73089999997</v>
      </c>
    </row>
    <row r="334" spans="1:12" ht="15">
      <c r="A334" s="21">
        <v>40963</v>
      </c>
      <c r="B334" s="21">
        <v>40940</v>
      </c>
      <c r="C334" s="17">
        <v>16</v>
      </c>
      <c r="D334" s="17" t="s">
        <v>92</v>
      </c>
      <c r="E334" s="18">
        <v>57197</v>
      </c>
      <c r="F334" s="17" t="s">
        <v>91</v>
      </c>
      <c r="G334" s="14">
        <v>494308.69</v>
      </c>
      <c r="H334" s="14">
        <v>475102.65</v>
      </c>
      <c r="I334" s="14">
        <v>475102.65</v>
      </c>
      <c r="J334" s="22">
        <f>H334*(1+Assumptions!$B$6+IF(F334="Yes",Assumptions!$C$6,0))</f>
        <v>489355.72950000002</v>
      </c>
      <c r="K334" s="22">
        <f>H334*(1+Assumptions!$B$7+IF(F334="Yes",Assumptions!$C$7,0))</f>
        <v>498857.78250000003</v>
      </c>
      <c r="L334" s="22">
        <f>H334*(1+Assumptions!$B$8+IF(F334="Yes",Assumptions!$C$8,0))</f>
        <v>479853.6765</v>
      </c>
    </row>
    <row r="335" spans="1:12" ht="15">
      <c r="A335" s="21">
        <v>40963</v>
      </c>
      <c r="B335" s="21">
        <v>40940</v>
      </c>
      <c r="C335" s="17">
        <v>17</v>
      </c>
      <c r="D335" s="17" t="s">
        <v>92</v>
      </c>
      <c r="E335" s="18">
        <v>93188</v>
      </c>
      <c r="F335" s="17" t="s">
        <v>91</v>
      </c>
      <c r="G335" s="14">
        <v>843326.67999999993</v>
      </c>
      <c r="H335" s="14">
        <v>767255.03</v>
      </c>
      <c r="I335" s="14">
        <v>767255.03</v>
      </c>
      <c r="J335" s="22">
        <f>H335*(1+Assumptions!$B$6+IF(F335="Yes",Assumptions!$C$6,0))</f>
        <v>790272.68090000004</v>
      </c>
      <c r="K335" s="22">
        <f>H335*(1+Assumptions!$B$7+IF(F335="Yes",Assumptions!$C$7,0))</f>
        <v>805617.78150000004</v>
      </c>
      <c r="L335" s="22">
        <f>H335*(1+Assumptions!$B$8+IF(F335="Yes",Assumptions!$C$8,0))</f>
        <v>774927.58030000003</v>
      </c>
    </row>
    <row r="336" spans="1:12" ht="15">
      <c r="A336" s="21">
        <v>40963</v>
      </c>
      <c r="B336" s="21">
        <v>40940</v>
      </c>
      <c r="C336" s="17">
        <v>18</v>
      </c>
      <c r="D336" s="17" t="s">
        <v>92</v>
      </c>
      <c r="E336" s="18">
        <v>120653</v>
      </c>
      <c r="F336" s="17" t="s">
        <v>91</v>
      </c>
      <c r="G336" s="14">
        <v>1037849.07</v>
      </c>
      <c r="H336" s="14">
        <v>1005983.3099999999</v>
      </c>
      <c r="I336" s="14">
        <v>1005983.3099999999</v>
      </c>
      <c r="J336" s="22">
        <f>H336*(1+Assumptions!$B$6+IF(F336="Yes",Assumptions!$C$6,0))</f>
        <v>1036162.8093</v>
      </c>
      <c r="K336" s="22">
        <f>H336*(1+Assumptions!$B$7+IF(F336="Yes",Assumptions!$C$7,0))</f>
        <v>1056282.4754999999</v>
      </c>
      <c r="L336" s="22">
        <f>H336*(1+Assumptions!$B$8+IF(F336="Yes",Assumptions!$C$8,0))</f>
        <v>1016043.1431</v>
      </c>
    </row>
    <row r="337" spans="1:12" ht="15">
      <c r="A337" s="21">
        <v>40963</v>
      </c>
      <c r="B337" s="21">
        <v>40940</v>
      </c>
      <c r="C337" s="17">
        <v>19</v>
      </c>
      <c r="D337" s="17" t="s">
        <v>90</v>
      </c>
      <c r="E337" s="18">
        <v>203819</v>
      </c>
      <c r="F337" s="17" t="s">
        <v>91</v>
      </c>
      <c r="G337" s="14">
        <v>1352420.09</v>
      </c>
      <c r="H337" s="14">
        <v>1296658.47</v>
      </c>
      <c r="I337" s="14">
        <v>1296658.47</v>
      </c>
      <c r="J337" s="22">
        <f>H337*(1+Assumptions!$B$6+IF(F337="Yes",Assumptions!$C$6,0))</f>
        <v>1335558.2241</v>
      </c>
      <c r="K337" s="22">
        <f>H337*(1+Assumptions!$B$7+IF(F337="Yes",Assumptions!$C$7,0))</f>
        <v>1361491.3935</v>
      </c>
      <c r="L337" s="22">
        <f>H337*(1+Assumptions!$B$8+IF(F337="Yes",Assumptions!$C$8,0))</f>
        <v>1309625.0547</v>
      </c>
    </row>
    <row r="338" spans="1:12" ht="15">
      <c r="A338" s="21">
        <v>40963</v>
      </c>
      <c r="B338" s="21">
        <v>40940</v>
      </c>
      <c r="C338" s="17">
        <v>20</v>
      </c>
      <c r="D338" s="17" t="s">
        <v>90</v>
      </c>
      <c r="E338" s="18">
        <v>203742</v>
      </c>
      <c r="F338" s="17" t="s">
        <v>91</v>
      </c>
      <c r="G338" s="14">
        <v>2045837.55</v>
      </c>
      <c r="H338" s="14">
        <v>1938619.02</v>
      </c>
      <c r="I338" s="14">
        <v>1938619.02</v>
      </c>
      <c r="J338" s="22">
        <f>H338*(1+Assumptions!$B$6+IF(F338="Yes",Assumptions!$C$6,0))</f>
        <v>1996777.5906</v>
      </c>
      <c r="K338" s="22">
        <f>H338*(1+Assumptions!$B$7+IF(F338="Yes",Assumptions!$C$7,0))</f>
        <v>2035549.9710000001</v>
      </c>
      <c r="L338" s="22">
        <f>H338*(1+Assumptions!$B$8+IF(F338="Yes",Assumptions!$C$8,0))</f>
        <v>1958005.2102000001</v>
      </c>
    </row>
    <row r="339" spans="1:12" ht="15">
      <c r="A339" s="21">
        <v>40963</v>
      </c>
      <c r="B339" s="21">
        <v>40940</v>
      </c>
      <c r="C339" s="17">
        <v>21</v>
      </c>
      <c r="D339" s="17" t="s">
        <v>92</v>
      </c>
      <c r="E339" s="18">
        <v>140167</v>
      </c>
      <c r="F339" s="17" t="s">
        <v>91</v>
      </c>
      <c r="G339" s="14">
        <v>747044.69000000006</v>
      </c>
      <c r="H339" s="14">
        <v>768313.85</v>
      </c>
      <c r="I339" s="14">
        <v>768313.85</v>
      </c>
      <c r="J339" s="22">
        <f>H339*(1+Assumptions!$B$6+IF(F339="Yes",Assumptions!$C$6,0))</f>
        <v>791363.26549999998</v>
      </c>
      <c r="K339" s="22">
        <f>H339*(1+Assumptions!$B$7+IF(F339="Yes",Assumptions!$C$7,0))</f>
        <v>806729.54249999998</v>
      </c>
      <c r="L339" s="22">
        <f>H339*(1+Assumptions!$B$8+IF(F339="Yes",Assumptions!$C$8,0))</f>
        <v>775996.98849999998</v>
      </c>
    </row>
    <row r="340" spans="1:12" ht="15">
      <c r="A340" s="21">
        <v>40963</v>
      </c>
      <c r="B340" s="21">
        <v>40940</v>
      </c>
      <c r="C340" s="17">
        <v>22</v>
      </c>
      <c r="D340" s="17" t="s">
        <v>92</v>
      </c>
      <c r="E340" s="18">
        <v>119557</v>
      </c>
      <c r="F340" s="17" t="s">
        <v>91</v>
      </c>
      <c r="G340" s="14">
        <v>912958.95</v>
      </c>
      <c r="H340" s="14">
        <v>911245.43</v>
      </c>
      <c r="I340" s="14">
        <v>911245.43</v>
      </c>
      <c r="J340" s="22">
        <f>H340*(1+Assumptions!$B$6+IF(F340="Yes",Assumptions!$C$6,0))</f>
        <v>938582.79290000012</v>
      </c>
      <c r="K340" s="22">
        <f>H340*(1+Assumptions!$B$7+IF(F340="Yes",Assumptions!$C$7,0))</f>
        <v>956807.70150000008</v>
      </c>
      <c r="L340" s="22">
        <f>H340*(1+Assumptions!$B$8+IF(F340="Yes",Assumptions!$C$8,0))</f>
        <v>920357.88430000003</v>
      </c>
    </row>
    <row r="341" spans="1:12" ht="15">
      <c r="A341" s="21">
        <v>40963</v>
      </c>
      <c r="B341" s="21">
        <v>40940</v>
      </c>
      <c r="C341" s="17">
        <v>23</v>
      </c>
      <c r="D341" s="17" t="s">
        <v>92</v>
      </c>
      <c r="E341" s="18">
        <v>114533</v>
      </c>
      <c r="F341" s="17" t="s">
        <v>91</v>
      </c>
      <c r="G341" s="14">
        <v>1272948.27</v>
      </c>
      <c r="H341" s="14">
        <v>1206916.32</v>
      </c>
      <c r="I341" s="14">
        <v>1206916.32</v>
      </c>
      <c r="J341" s="22">
        <f>H341*(1+Assumptions!$B$6+IF(F341="Yes",Assumptions!$C$6,0))</f>
        <v>1243123.8096</v>
      </c>
      <c r="K341" s="22">
        <f>H341*(1+Assumptions!$B$7+IF(F341="Yes",Assumptions!$C$7,0))</f>
        <v>1267262.1360000002</v>
      </c>
      <c r="L341" s="22">
        <f>H341*(1+Assumptions!$B$8+IF(F341="Yes",Assumptions!$C$8,0))</f>
        <v>1218985.4832000001</v>
      </c>
    </row>
    <row r="342" spans="1:12" ht="15">
      <c r="A342" s="21">
        <v>40963</v>
      </c>
      <c r="B342" s="21">
        <v>40940</v>
      </c>
      <c r="C342" s="17">
        <v>24</v>
      </c>
      <c r="D342" s="17" t="s">
        <v>90</v>
      </c>
      <c r="E342" s="18">
        <v>203819</v>
      </c>
      <c r="F342" s="17" t="s">
        <v>91</v>
      </c>
      <c r="G342" s="14">
        <v>1303233.1499999999</v>
      </c>
      <c r="H342" s="14">
        <v>1233669.33</v>
      </c>
      <c r="I342" s="14">
        <v>1233669.33</v>
      </c>
      <c r="J342" s="22">
        <f>H342*(1+Assumptions!$B$6+IF(F342="Yes",Assumptions!$C$6,0))</f>
        <v>1270679.4099000001</v>
      </c>
      <c r="K342" s="22">
        <f>H342*(1+Assumptions!$B$7+IF(F342="Yes",Assumptions!$C$7,0))</f>
        <v>1295352.7965000002</v>
      </c>
      <c r="L342" s="22">
        <f>H342*(1+Assumptions!$B$8+IF(F342="Yes",Assumptions!$C$8,0))</f>
        <v>1246006.0233</v>
      </c>
    </row>
    <row r="343" spans="1:12" ht="15">
      <c r="A343" s="21">
        <v>40963</v>
      </c>
      <c r="B343" s="21">
        <v>40940</v>
      </c>
      <c r="C343" s="17">
        <v>25</v>
      </c>
      <c r="D343" s="17" t="s">
        <v>92</v>
      </c>
      <c r="E343" s="18">
        <v>128107</v>
      </c>
      <c r="F343" s="17" t="s">
        <v>91</v>
      </c>
      <c r="G343" s="14">
        <v>613091.05000000005</v>
      </c>
      <c r="H343" s="14">
        <v>570795.42000000004</v>
      </c>
      <c r="I343" s="14">
        <v>570795.42000000004</v>
      </c>
      <c r="J343" s="22">
        <f>H343*(1+Assumptions!$B$6+IF(F343="Yes",Assumptions!$C$6,0))</f>
        <v>587919.28260000004</v>
      </c>
      <c r="K343" s="22">
        <f>H343*(1+Assumptions!$B$7+IF(F343="Yes",Assumptions!$C$7,0))</f>
        <v>599335.19100000011</v>
      </c>
      <c r="L343" s="22">
        <f>H343*(1+Assumptions!$B$8+IF(F343="Yes",Assumptions!$C$8,0))</f>
        <v>576503.37420000008</v>
      </c>
    </row>
    <row r="344" spans="1:12" ht="15">
      <c r="A344" s="21">
        <v>40963</v>
      </c>
      <c r="B344" s="21">
        <v>40940</v>
      </c>
      <c r="C344" s="17">
        <v>26</v>
      </c>
      <c r="D344" s="17" t="s">
        <v>90</v>
      </c>
      <c r="E344" s="18">
        <v>152513</v>
      </c>
      <c r="F344" s="17" t="s">
        <v>91</v>
      </c>
      <c r="G344" s="14">
        <v>916505.04999999993</v>
      </c>
      <c r="H344" s="14">
        <v>910298.44</v>
      </c>
      <c r="I344" s="14">
        <v>910298.44</v>
      </c>
      <c r="J344" s="22">
        <f>H344*(1+Assumptions!$B$6+IF(F344="Yes",Assumptions!$C$6,0))</f>
        <v>937607.39319999993</v>
      </c>
      <c r="K344" s="22">
        <f>H344*(1+Assumptions!$B$7+IF(F344="Yes",Assumptions!$C$7,0))</f>
        <v>955813.36199999996</v>
      </c>
      <c r="L344" s="22">
        <f>H344*(1+Assumptions!$B$8+IF(F344="Yes",Assumptions!$C$8,0))</f>
        <v>919401.4243999999</v>
      </c>
    </row>
    <row r="345" spans="1:12" ht="15">
      <c r="A345" s="21">
        <v>40963</v>
      </c>
      <c r="B345" s="21">
        <v>40940</v>
      </c>
      <c r="C345" s="17">
        <v>27</v>
      </c>
      <c r="D345" s="17" t="s">
        <v>90</v>
      </c>
      <c r="E345" s="18">
        <v>204184</v>
      </c>
      <c r="F345" s="17" t="s">
        <v>91</v>
      </c>
      <c r="G345" s="14">
        <v>1648538.84</v>
      </c>
      <c r="H345" s="14">
        <v>1688935.71</v>
      </c>
      <c r="I345" s="14">
        <v>1688935.71</v>
      </c>
      <c r="J345" s="22">
        <f>H345*(1+Assumptions!$B$6+IF(F345="Yes",Assumptions!$C$6,0))</f>
        <v>1739603.7812999999</v>
      </c>
      <c r="K345" s="22">
        <f>H345*(1+Assumptions!$B$7+IF(F345="Yes",Assumptions!$C$7,0))</f>
        <v>1773382.4955</v>
      </c>
      <c r="L345" s="22">
        <f>H345*(1+Assumptions!$B$8+IF(F345="Yes",Assumptions!$C$8,0))</f>
        <v>1705825.0670999999</v>
      </c>
    </row>
    <row r="346" spans="1:12" ht="15">
      <c r="A346" s="21">
        <v>40963</v>
      </c>
      <c r="B346" s="21">
        <v>40940</v>
      </c>
      <c r="C346" s="17">
        <v>28</v>
      </c>
      <c r="D346" s="17" t="s">
        <v>90</v>
      </c>
      <c r="E346" s="18">
        <v>206302</v>
      </c>
      <c r="F346" s="17" t="s">
        <v>91</v>
      </c>
      <c r="G346" s="14">
        <v>1323487.9099999999</v>
      </c>
      <c r="H346" s="14">
        <v>1311796.9099999999</v>
      </c>
      <c r="I346" s="14">
        <v>1311796.9099999999</v>
      </c>
      <c r="J346" s="22">
        <f>H346*(1+Assumptions!$B$6+IF(F346="Yes",Assumptions!$C$6,0))</f>
        <v>1351150.8173</v>
      </c>
      <c r="K346" s="22">
        <f>H346*(1+Assumptions!$B$7+IF(F346="Yes",Assumptions!$C$7,0))</f>
        <v>1377386.7555</v>
      </c>
      <c r="L346" s="22">
        <f>H346*(1+Assumptions!$B$8+IF(F346="Yes",Assumptions!$C$8,0))</f>
        <v>1324914.8791</v>
      </c>
    </row>
    <row r="347" spans="1:12" ht="15">
      <c r="A347" s="21">
        <v>40963</v>
      </c>
      <c r="B347" s="21">
        <v>40940</v>
      </c>
      <c r="C347" s="17">
        <v>29</v>
      </c>
      <c r="D347" s="17" t="s">
        <v>92</v>
      </c>
      <c r="E347" s="18">
        <v>93638</v>
      </c>
      <c r="F347" s="17" t="s">
        <v>91</v>
      </c>
      <c r="G347" s="14">
        <v>488746.93</v>
      </c>
      <c r="H347" s="14">
        <v>483660.15</v>
      </c>
      <c r="I347" s="14">
        <v>483660.15</v>
      </c>
      <c r="J347" s="22">
        <f>H347*(1+Assumptions!$B$6+IF(F347="Yes",Assumptions!$C$6,0))</f>
        <v>498169.95450000005</v>
      </c>
      <c r="K347" s="22">
        <f>H347*(1+Assumptions!$B$7+IF(F347="Yes",Assumptions!$C$7,0))</f>
        <v>507843.15750000003</v>
      </c>
      <c r="L347" s="22">
        <f>H347*(1+Assumptions!$B$8+IF(F347="Yes",Assumptions!$C$8,0))</f>
        <v>488496.75150000001</v>
      </c>
    </row>
    <row r="348" spans="1:12" ht="15">
      <c r="A348" s="21">
        <v>40963</v>
      </c>
      <c r="B348" s="21">
        <v>40940</v>
      </c>
      <c r="C348" s="17">
        <v>30</v>
      </c>
      <c r="D348" s="17" t="s">
        <v>93</v>
      </c>
      <c r="E348" s="18">
        <v>42988</v>
      </c>
      <c r="F348" s="17" t="s">
        <v>91</v>
      </c>
      <c r="G348" s="14">
        <v>425109.22000000003</v>
      </c>
      <c r="H348" s="14">
        <v>432602.53</v>
      </c>
      <c r="I348" s="14">
        <v>432602.53</v>
      </c>
      <c r="J348" s="22">
        <f>H348*(1+Assumptions!$B$6+IF(F348="Yes",Assumptions!$C$6,0))</f>
        <v>445580.60590000002</v>
      </c>
      <c r="K348" s="22">
        <f>H348*(1+Assumptions!$B$7+IF(F348="Yes",Assumptions!$C$7,0))</f>
        <v>454232.65650000004</v>
      </c>
      <c r="L348" s="22">
        <f>H348*(1+Assumptions!$B$8+IF(F348="Yes",Assumptions!$C$8,0))</f>
        <v>436928.55530000001</v>
      </c>
    </row>
    <row r="349" spans="1:12" ht="15">
      <c r="A349" s="21">
        <v>40963</v>
      </c>
      <c r="B349" s="21">
        <v>40940</v>
      </c>
      <c r="C349" s="17">
        <v>31</v>
      </c>
      <c r="D349" s="17" t="s">
        <v>90</v>
      </c>
      <c r="E349" s="18">
        <v>203750</v>
      </c>
      <c r="F349" s="17" t="s">
        <v>91</v>
      </c>
      <c r="G349" s="14">
        <v>1392543.36</v>
      </c>
      <c r="H349" s="14">
        <v>1365658.03</v>
      </c>
      <c r="I349" s="14">
        <v>1365658.03</v>
      </c>
      <c r="J349" s="22">
        <f>H349*(1+Assumptions!$B$6+IF(F349="Yes",Assumptions!$C$6,0))</f>
        <v>1406627.7709000001</v>
      </c>
      <c r="K349" s="22">
        <f>H349*(1+Assumptions!$B$7+IF(F349="Yes",Assumptions!$C$7,0))</f>
        <v>1433940.9315000002</v>
      </c>
      <c r="L349" s="22">
        <f>H349*(1+Assumptions!$B$8+IF(F349="Yes",Assumptions!$C$8,0))</f>
        <v>1379314.6103000001</v>
      </c>
    </row>
    <row r="350" spans="1:12" ht="15">
      <c r="A350" s="21">
        <v>40963</v>
      </c>
      <c r="B350" s="21">
        <v>40940</v>
      </c>
      <c r="C350" s="17">
        <v>32</v>
      </c>
      <c r="D350" s="17" t="s">
        <v>90</v>
      </c>
      <c r="E350" s="18">
        <v>203007</v>
      </c>
      <c r="F350" s="17" t="s">
        <v>91</v>
      </c>
      <c r="G350" s="14">
        <v>1091772.72</v>
      </c>
      <c r="H350" s="14">
        <v>1054748.2</v>
      </c>
      <c r="I350" s="14">
        <v>1054748.2</v>
      </c>
      <c r="J350" s="22">
        <f>H350*(1+Assumptions!$B$6+IF(F350="Yes",Assumptions!$C$6,0))</f>
        <v>1086390.6459999999</v>
      </c>
      <c r="K350" s="22">
        <f>H350*(1+Assumptions!$B$7+IF(F350="Yes",Assumptions!$C$7,0))</f>
        <v>1107485.6100000001</v>
      </c>
      <c r="L350" s="22">
        <f>H350*(1+Assumptions!$B$8+IF(F350="Yes",Assumptions!$C$8,0))</f>
        <v>1065295.682</v>
      </c>
    </row>
    <row r="351" spans="1:12" ht="15">
      <c r="A351" s="21">
        <v>40963</v>
      </c>
      <c r="B351" s="21">
        <v>40940</v>
      </c>
      <c r="C351" s="17">
        <v>33</v>
      </c>
      <c r="D351" s="17" t="s">
        <v>90</v>
      </c>
      <c r="E351" s="18">
        <v>39690</v>
      </c>
      <c r="F351" s="17" t="s">
        <v>91</v>
      </c>
      <c r="G351" s="14">
        <v>242454.63999999998</v>
      </c>
      <c r="H351" s="14">
        <v>242793.75</v>
      </c>
      <c r="I351" s="14">
        <v>242793.75</v>
      </c>
      <c r="J351" s="22">
        <f>H351*(1+Assumptions!$B$6+IF(F351="Yes",Assumptions!$C$6,0))</f>
        <v>250077.5625</v>
      </c>
      <c r="K351" s="22">
        <f>H351*(1+Assumptions!$B$7+IF(F351="Yes",Assumptions!$C$7,0))</f>
        <v>254933.4375</v>
      </c>
      <c r="L351" s="22">
        <f>H351*(1+Assumptions!$B$8+IF(F351="Yes",Assumptions!$C$8,0))</f>
        <v>245221.6875</v>
      </c>
    </row>
    <row r="352" spans="1:12" ht="15">
      <c r="A352" s="21">
        <v>40963</v>
      </c>
      <c r="B352" s="21">
        <v>40940</v>
      </c>
      <c r="C352" s="17">
        <v>34</v>
      </c>
      <c r="D352" s="17" t="s">
        <v>90</v>
      </c>
      <c r="E352" s="18">
        <v>158114</v>
      </c>
      <c r="F352" s="17" t="s">
        <v>91</v>
      </c>
      <c r="G352" s="14">
        <v>950154.23999999999</v>
      </c>
      <c r="H352" s="14">
        <v>950830.07999999996</v>
      </c>
      <c r="I352" s="14">
        <v>950830.07999999996</v>
      </c>
      <c r="J352" s="22">
        <f>H352*(1+Assumptions!$B$6+IF(F352="Yes",Assumptions!$C$6,0))</f>
        <v>979354.98239999998</v>
      </c>
      <c r="K352" s="22">
        <f>H352*(1+Assumptions!$B$7+IF(F352="Yes",Assumptions!$C$7,0))</f>
        <v>998371.58400000003</v>
      </c>
      <c r="L352" s="22">
        <f>H352*(1+Assumptions!$B$8+IF(F352="Yes",Assumptions!$C$8,0))</f>
        <v>960338.38079999993</v>
      </c>
    </row>
    <row r="353" spans="1:12" ht="15">
      <c r="A353" s="21">
        <v>40963</v>
      </c>
      <c r="B353" s="21">
        <v>40940</v>
      </c>
      <c r="C353" s="17">
        <v>35</v>
      </c>
      <c r="D353" s="17" t="s">
        <v>92</v>
      </c>
      <c r="E353" s="18">
        <v>103681</v>
      </c>
      <c r="F353" s="17" t="s">
        <v>91</v>
      </c>
      <c r="G353" s="14">
        <v>804996.07000000007</v>
      </c>
      <c r="H353" s="14">
        <v>840851.6</v>
      </c>
      <c r="I353" s="14">
        <v>840851.6</v>
      </c>
      <c r="J353" s="22">
        <f>H353*(1+Assumptions!$B$6+IF(F353="Yes",Assumptions!$C$6,0))</f>
        <v>866077.14800000004</v>
      </c>
      <c r="K353" s="22">
        <f>H353*(1+Assumptions!$B$7+IF(F353="Yes",Assumptions!$C$7,0))</f>
        <v>882894.18</v>
      </c>
      <c r="L353" s="22">
        <f>H353*(1+Assumptions!$B$8+IF(F353="Yes",Assumptions!$C$8,0))</f>
        <v>849260.11600000004</v>
      </c>
    </row>
    <row r="354" spans="1:12" ht="15">
      <c r="A354" s="21">
        <v>40963</v>
      </c>
      <c r="B354" s="21">
        <v>40940</v>
      </c>
      <c r="C354" s="17">
        <v>36</v>
      </c>
      <c r="D354" s="17" t="s">
        <v>90</v>
      </c>
      <c r="E354" s="18">
        <v>39910</v>
      </c>
      <c r="F354" s="17" t="s">
        <v>91</v>
      </c>
      <c r="G354" s="14">
        <v>313269.7</v>
      </c>
      <c r="H354" s="14">
        <v>380259.32</v>
      </c>
      <c r="I354" s="14">
        <v>380259.32</v>
      </c>
      <c r="J354" s="22">
        <f>H354*(1+Assumptions!$B$6+IF(F354="Yes",Assumptions!$C$6,0))</f>
        <v>391667.09960000002</v>
      </c>
      <c r="K354" s="22">
        <f>H354*(1+Assumptions!$B$7+IF(F354="Yes",Assumptions!$C$7,0))</f>
        <v>399272.28600000002</v>
      </c>
      <c r="L354" s="22">
        <f>H354*(1+Assumptions!$B$8+IF(F354="Yes",Assumptions!$C$8,0))</f>
        <v>384061.91320000001</v>
      </c>
    </row>
    <row r="355" spans="1:12" ht="15">
      <c r="A355" s="21">
        <v>40963</v>
      </c>
      <c r="B355" s="21">
        <v>40940</v>
      </c>
      <c r="C355" s="17">
        <v>37</v>
      </c>
      <c r="D355" s="17" t="s">
        <v>93</v>
      </c>
      <c r="E355" s="18">
        <v>39910</v>
      </c>
      <c r="F355" s="17" t="s">
        <v>91</v>
      </c>
      <c r="G355" s="14">
        <v>518601.32</v>
      </c>
      <c r="H355" s="14">
        <v>514610.19</v>
      </c>
      <c r="I355" s="14">
        <v>514610.19</v>
      </c>
      <c r="J355" s="22">
        <f>H355*(1+Assumptions!$B$6+IF(F355="Yes",Assumptions!$C$6,0))</f>
        <v>530048.49569999997</v>
      </c>
      <c r="K355" s="22">
        <f>H355*(1+Assumptions!$B$7+IF(F355="Yes",Assumptions!$C$7,0))</f>
        <v>540340.69949999999</v>
      </c>
      <c r="L355" s="22">
        <f>H355*(1+Assumptions!$B$8+IF(F355="Yes",Assumptions!$C$8,0))</f>
        <v>519756.29190000001</v>
      </c>
    </row>
    <row r="356" spans="1:12" ht="15">
      <c r="A356" s="21">
        <v>40963</v>
      </c>
      <c r="B356" s="21">
        <v>40940</v>
      </c>
      <c r="C356" s="17">
        <v>38</v>
      </c>
      <c r="D356" s="17" t="s">
        <v>93</v>
      </c>
      <c r="E356" s="18">
        <v>39690</v>
      </c>
      <c r="F356" s="17" t="s">
        <v>91</v>
      </c>
      <c r="G356" s="14">
        <v>409268.54000000004</v>
      </c>
      <c r="H356" s="14">
        <v>354227.68</v>
      </c>
      <c r="I356" s="14">
        <v>354227.68</v>
      </c>
      <c r="J356" s="22">
        <f>H356*(1+Assumptions!$B$6+IF(F356="Yes",Assumptions!$C$6,0))</f>
        <v>364854.51040000003</v>
      </c>
      <c r="K356" s="22">
        <f>H356*(1+Assumptions!$B$7+IF(F356="Yes",Assumptions!$C$7,0))</f>
        <v>371939.06400000001</v>
      </c>
      <c r="L356" s="22">
        <f>H356*(1+Assumptions!$B$8+IF(F356="Yes",Assumptions!$C$8,0))</f>
        <v>357769.95679999999</v>
      </c>
    </row>
    <row r="357" spans="1:12" ht="15">
      <c r="A357" s="21">
        <v>40963</v>
      </c>
      <c r="B357" s="21">
        <v>40940</v>
      </c>
      <c r="C357" s="17">
        <v>39</v>
      </c>
      <c r="D357" s="17" t="s">
        <v>90</v>
      </c>
      <c r="E357" s="18">
        <v>184109</v>
      </c>
      <c r="F357" s="17" t="s">
        <v>91</v>
      </c>
      <c r="G357" s="14">
        <v>1411669.04</v>
      </c>
      <c r="H357" s="14">
        <v>1240910.31</v>
      </c>
      <c r="I357" s="14">
        <v>1240910.31</v>
      </c>
      <c r="J357" s="22">
        <f>H357*(1+Assumptions!$B$6+IF(F357="Yes",Assumptions!$C$6,0))</f>
        <v>1278137.6193000001</v>
      </c>
      <c r="K357" s="22">
        <f>H357*(1+Assumptions!$B$7+IF(F357="Yes",Assumptions!$C$7,0))</f>
        <v>1302955.8255</v>
      </c>
      <c r="L357" s="22">
        <f>H357*(1+Assumptions!$B$8+IF(F357="Yes",Assumptions!$C$8,0))</f>
        <v>1253319.4131</v>
      </c>
    </row>
    <row r="358" spans="1:12" ht="15">
      <c r="A358" s="21">
        <v>40963</v>
      </c>
      <c r="B358" s="21">
        <v>40940</v>
      </c>
      <c r="C358" s="17">
        <v>40</v>
      </c>
      <c r="D358" s="17" t="s">
        <v>90</v>
      </c>
      <c r="E358" s="18">
        <v>155083</v>
      </c>
      <c r="F358" s="17" t="s">
        <v>91</v>
      </c>
      <c r="G358" s="14">
        <v>919191.93</v>
      </c>
      <c r="H358" s="14">
        <v>888867.71</v>
      </c>
      <c r="I358" s="14">
        <v>888867.71</v>
      </c>
      <c r="J358" s="22">
        <f>H358*(1+Assumptions!$B$6+IF(F358="Yes",Assumptions!$C$6,0))</f>
        <v>915533.74129999999</v>
      </c>
      <c r="K358" s="22">
        <f>H358*(1+Assumptions!$B$7+IF(F358="Yes",Assumptions!$C$7,0))</f>
        <v>933311.09550000005</v>
      </c>
      <c r="L358" s="22">
        <f>H358*(1+Assumptions!$B$8+IF(F358="Yes",Assumptions!$C$8,0))</f>
        <v>897756.38709999993</v>
      </c>
    </row>
    <row r="359" spans="1:12" ht="15">
      <c r="A359" s="21">
        <v>40963</v>
      </c>
      <c r="B359" s="21">
        <v>40940</v>
      </c>
      <c r="C359" s="17">
        <v>41</v>
      </c>
      <c r="D359" s="17" t="s">
        <v>90</v>
      </c>
      <c r="E359" s="18">
        <v>196321</v>
      </c>
      <c r="F359" s="17" t="s">
        <v>91</v>
      </c>
      <c r="G359" s="14">
        <v>1222880.8600000001</v>
      </c>
      <c r="H359" s="14">
        <v>1099698.43</v>
      </c>
      <c r="I359" s="14">
        <v>1099698.43</v>
      </c>
      <c r="J359" s="22">
        <f>H359*(1+Assumptions!$B$6+IF(F359="Yes",Assumptions!$C$6,0))</f>
        <v>1132689.3828999999</v>
      </c>
      <c r="K359" s="22">
        <f>H359*(1+Assumptions!$B$7+IF(F359="Yes",Assumptions!$C$7,0))</f>
        <v>1154683.3514999999</v>
      </c>
      <c r="L359" s="22">
        <f>H359*(1+Assumptions!$B$8+IF(F359="Yes",Assumptions!$C$8,0))</f>
        <v>1110695.4142999998</v>
      </c>
    </row>
    <row r="360" spans="1:12" ht="15">
      <c r="A360" s="21">
        <v>40963</v>
      </c>
      <c r="B360" s="21">
        <v>40940</v>
      </c>
      <c r="C360" s="17">
        <v>42</v>
      </c>
      <c r="D360" s="17" t="s">
        <v>93</v>
      </c>
      <c r="E360" s="18">
        <v>39690</v>
      </c>
      <c r="F360" s="17" t="s">
        <v>91</v>
      </c>
      <c r="G360" s="14">
        <v>564182.85</v>
      </c>
      <c r="H360" s="14">
        <v>526904.07999999996</v>
      </c>
      <c r="I360" s="14">
        <v>526904.07999999996</v>
      </c>
      <c r="J360" s="22">
        <f>H360*(1+Assumptions!$B$6+IF(F360="Yes",Assumptions!$C$6,0))</f>
        <v>542711.20239999995</v>
      </c>
      <c r="K360" s="22">
        <f>H360*(1+Assumptions!$B$7+IF(F360="Yes",Assumptions!$C$7,0))</f>
        <v>553249.28399999999</v>
      </c>
      <c r="L360" s="22">
        <f>H360*(1+Assumptions!$B$8+IF(F360="Yes",Assumptions!$C$8,0))</f>
        <v>532173.12079999992</v>
      </c>
    </row>
    <row r="361" spans="1:12" ht="15">
      <c r="A361" s="21">
        <v>40963</v>
      </c>
      <c r="B361" s="21">
        <v>40940</v>
      </c>
      <c r="C361" s="17">
        <v>43</v>
      </c>
      <c r="D361" s="17" t="s">
        <v>93</v>
      </c>
      <c r="E361" s="18">
        <v>41062</v>
      </c>
      <c r="F361" s="17" t="s">
        <v>91</v>
      </c>
      <c r="G361" s="14">
        <v>612064.53</v>
      </c>
      <c r="H361" s="14">
        <v>591764.09</v>
      </c>
      <c r="I361" s="14">
        <v>591764.09</v>
      </c>
      <c r="J361" s="22">
        <f>H361*(1+Assumptions!$B$6+IF(F361="Yes",Assumptions!$C$6,0))</f>
        <v>609517.01269999996</v>
      </c>
      <c r="K361" s="22">
        <f>H361*(1+Assumptions!$B$7+IF(F361="Yes",Assumptions!$C$7,0))</f>
        <v>621352.29449999996</v>
      </c>
      <c r="L361" s="22">
        <f>H361*(1+Assumptions!$B$8+IF(F361="Yes",Assumptions!$C$8,0))</f>
        <v>597681.73089999997</v>
      </c>
    </row>
    <row r="362" spans="1:12" ht="15">
      <c r="A362" s="21">
        <v>40963</v>
      </c>
      <c r="B362" s="21">
        <v>40940</v>
      </c>
      <c r="C362" s="17">
        <v>44</v>
      </c>
      <c r="D362" s="17" t="s">
        <v>93</v>
      </c>
      <c r="E362" s="18">
        <v>39910</v>
      </c>
      <c r="F362" s="17" t="s">
        <v>91</v>
      </c>
      <c r="G362" s="14">
        <v>315448.46999999997</v>
      </c>
      <c r="H362" s="14">
        <v>279404.05</v>
      </c>
      <c r="I362" s="14">
        <v>279404.05</v>
      </c>
      <c r="J362" s="22">
        <f>H362*(1+Assumptions!$B$6+IF(F362="Yes",Assumptions!$C$6,0))</f>
        <v>287786.1715</v>
      </c>
      <c r="K362" s="22">
        <f>H362*(1+Assumptions!$B$7+IF(F362="Yes",Assumptions!$C$7,0))</f>
        <v>293374.2525</v>
      </c>
      <c r="L362" s="22">
        <f>H362*(1+Assumptions!$B$8+IF(F362="Yes",Assumptions!$C$8,0))</f>
        <v>282198.09049999999</v>
      </c>
    </row>
    <row r="363" spans="1:12" ht="15">
      <c r="A363" s="21">
        <v>40963</v>
      </c>
      <c r="B363" s="21">
        <v>40940</v>
      </c>
      <c r="C363" s="17">
        <v>45</v>
      </c>
      <c r="D363" s="17" t="s">
        <v>92</v>
      </c>
      <c r="E363" s="18">
        <v>118221</v>
      </c>
      <c r="F363" s="17" t="s">
        <v>91</v>
      </c>
      <c r="G363" s="14">
        <v>752053.34</v>
      </c>
      <c r="H363" s="14">
        <v>733716.78</v>
      </c>
      <c r="I363" s="14">
        <v>733716.78</v>
      </c>
      <c r="J363" s="22">
        <f>H363*(1+Assumptions!$B$6+IF(F363="Yes",Assumptions!$C$6,0))</f>
        <v>755728.28340000007</v>
      </c>
      <c r="K363" s="22">
        <f>H363*(1+Assumptions!$B$7+IF(F363="Yes",Assumptions!$C$7,0))</f>
        <v>770402.61900000006</v>
      </c>
      <c r="L363" s="22">
        <f>H363*(1+Assumptions!$B$8+IF(F363="Yes",Assumptions!$C$8,0))</f>
        <v>741053.94780000008</v>
      </c>
    </row>
    <row r="364" spans="1:12" ht="15">
      <c r="A364" s="21">
        <v>40970</v>
      </c>
      <c r="B364" s="21">
        <v>40969</v>
      </c>
      <c r="C364" s="17">
        <v>1</v>
      </c>
      <c r="D364" s="17" t="s">
        <v>90</v>
      </c>
      <c r="E364" s="18">
        <v>151315</v>
      </c>
      <c r="F364" s="17" t="s">
        <v>91</v>
      </c>
      <c r="G364" s="14">
        <v>1688420.76</v>
      </c>
      <c r="H364" s="14">
        <v>1636240.47</v>
      </c>
      <c r="I364" s="14">
        <v>1636240.47</v>
      </c>
      <c r="J364" s="22">
        <f>H364*(1+Assumptions!$B$6+IF(F364="Yes",Assumptions!$C$6,0))</f>
        <v>1685327.6841</v>
      </c>
      <c r="K364" s="22">
        <f>H364*(1+Assumptions!$B$7+IF(F364="Yes",Assumptions!$C$7,0))</f>
        <v>1718052.4935000001</v>
      </c>
      <c r="L364" s="22">
        <f>H364*(1+Assumptions!$B$8+IF(F364="Yes",Assumptions!$C$8,0))</f>
        <v>1652602.8747</v>
      </c>
    </row>
    <row r="365" spans="1:12" ht="15">
      <c r="A365" s="21">
        <v>40970</v>
      </c>
      <c r="B365" s="21">
        <v>40969</v>
      </c>
      <c r="C365" s="17">
        <v>2</v>
      </c>
      <c r="D365" s="17" t="s">
        <v>90</v>
      </c>
      <c r="E365" s="18">
        <v>202307</v>
      </c>
      <c r="F365" s="17" t="s">
        <v>91</v>
      </c>
      <c r="G365" s="14">
        <v>1952555.66</v>
      </c>
      <c r="H365" s="14">
        <v>1981602.99</v>
      </c>
      <c r="I365" s="14">
        <v>1981602.99</v>
      </c>
      <c r="J365" s="22">
        <f>H365*(1+Assumptions!$B$6+IF(F365="Yes",Assumptions!$C$6,0))</f>
        <v>2041051.0797000001</v>
      </c>
      <c r="K365" s="22">
        <f>H365*(1+Assumptions!$B$7+IF(F365="Yes",Assumptions!$C$7,0))</f>
        <v>2080683.1395</v>
      </c>
      <c r="L365" s="22">
        <f>H365*(1+Assumptions!$B$8+IF(F365="Yes",Assumptions!$C$8,0))</f>
        <v>2001419.0199</v>
      </c>
    </row>
    <row r="366" spans="1:12" ht="15">
      <c r="A366" s="21">
        <v>40970</v>
      </c>
      <c r="B366" s="21">
        <v>40969</v>
      </c>
      <c r="C366" s="17">
        <v>3</v>
      </c>
      <c r="D366" s="17" t="s">
        <v>92</v>
      </c>
      <c r="E366" s="18">
        <v>37392</v>
      </c>
      <c r="F366" s="17" t="s">
        <v>91</v>
      </c>
      <c r="G366" s="14">
        <v>469718.39</v>
      </c>
      <c r="H366" s="14">
        <v>437018.73</v>
      </c>
      <c r="I366" s="14">
        <v>437018.73</v>
      </c>
      <c r="J366" s="22">
        <f>H366*(1+Assumptions!$B$6+IF(F366="Yes",Assumptions!$C$6,0))</f>
        <v>450129.29190000001</v>
      </c>
      <c r="K366" s="22">
        <f>H366*(1+Assumptions!$B$7+IF(F366="Yes",Assumptions!$C$7,0))</f>
        <v>458869.66649999999</v>
      </c>
      <c r="L366" s="22">
        <f>H366*(1+Assumptions!$B$8+IF(F366="Yes",Assumptions!$C$8,0))</f>
        <v>441388.91729999997</v>
      </c>
    </row>
    <row r="367" spans="1:12" ht="15">
      <c r="A367" s="21">
        <v>40970</v>
      </c>
      <c r="B367" s="21">
        <v>40969</v>
      </c>
      <c r="C367" s="17">
        <v>4</v>
      </c>
      <c r="D367" s="17" t="s">
        <v>90</v>
      </c>
      <c r="E367" s="18">
        <v>205863</v>
      </c>
      <c r="F367" s="17" t="s">
        <v>91</v>
      </c>
      <c r="G367" s="14">
        <v>2206144.9</v>
      </c>
      <c r="H367" s="14">
        <v>2103445.2799999998</v>
      </c>
      <c r="I367" s="14">
        <v>2103445.2799999998</v>
      </c>
      <c r="J367" s="22">
        <f>H367*(1+Assumptions!$B$6+IF(F367="Yes",Assumptions!$C$6,0))</f>
        <v>2166548.6384000001</v>
      </c>
      <c r="K367" s="22">
        <f>H367*(1+Assumptions!$B$7+IF(F367="Yes",Assumptions!$C$7,0))</f>
        <v>2208617.5439999998</v>
      </c>
      <c r="L367" s="22">
        <f>H367*(1+Assumptions!$B$8+IF(F367="Yes",Assumptions!$C$8,0))</f>
        <v>2124479.7327999999</v>
      </c>
    </row>
    <row r="368" spans="1:12" ht="15">
      <c r="A368" s="21">
        <v>40970</v>
      </c>
      <c r="B368" s="21">
        <v>40969</v>
      </c>
      <c r="C368" s="17">
        <v>5</v>
      </c>
      <c r="D368" s="17" t="s">
        <v>92</v>
      </c>
      <c r="E368" s="18">
        <v>34875</v>
      </c>
      <c r="F368" s="17" t="s">
        <v>91</v>
      </c>
      <c r="G368" s="14">
        <v>359182.45</v>
      </c>
      <c r="H368" s="14">
        <v>329003.28999999998</v>
      </c>
      <c r="I368" s="14">
        <v>329003.28999999998</v>
      </c>
      <c r="J368" s="22">
        <f>H368*(1+Assumptions!$B$6+IF(F368="Yes",Assumptions!$C$6,0))</f>
        <v>338873.38870000001</v>
      </c>
      <c r="K368" s="22">
        <f>H368*(1+Assumptions!$B$7+IF(F368="Yes",Assumptions!$C$7,0))</f>
        <v>345453.45449999999</v>
      </c>
      <c r="L368" s="22">
        <f>H368*(1+Assumptions!$B$8+IF(F368="Yes",Assumptions!$C$8,0))</f>
        <v>332293.32289999997</v>
      </c>
    </row>
    <row r="369" spans="1:12" ht="15">
      <c r="A369" s="21">
        <v>40970</v>
      </c>
      <c r="B369" s="21">
        <v>40969</v>
      </c>
      <c r="C369" s="17">
        <v>6</v>
      </c>
      <c r="D369" s="17" t="s">
        <v>90</v>
      </c>
      <c r="E369" s="18">
        <v>202505</v>
      </c>
      <c r="F369" s="17" t="s">
        <v>91</v>
      </c>
      <c r="G369" s="14">
        <v>1550178.65</v>
      </c>
      <c r="H369" s="14">
        <v>1502358.15</v>
      </c>
      <c r="I369" s="14">
        <v>1502358.15</v>
      </c>
      <c r="J369" s="22">
        <f>H369*(1+Assumptions!$B$6+IF(F369="Yes",Assumptions!$C$6,0))</f>
        <v>1547428.8944999999</v>
      </c>
      <c r="K369" s="22">
        <f>H369*(1+Assumptions!$B$7+IF(F369="Yes",Assumptions!$C$7,0))</f>
        <v>1577476.0574999999</v>
      </c>
      <c r="L369" s="22">
        <f>H369*(1+Assumptions!$B$8+IF(F369="Yes",Assumptions!$C$8,0))</f>
        <v>1517381.7315</v>
      </c>
    </row>
    <row r="370" spans="1:12" ht="15">
      <c r="A370" s="21">
        <v>40970</v>
      </c>
      <c r="B370" s="21">
        <v>40969</v>
      </c>
      <c r="C370" s="17">
        <v>7</v>
      </c>
      <c r="D370" s="17" t="s">
        <v>92</v>
      </c>
      <c r="E370" s="18">
        <v>70713</v>
      </c>
      <c r="F370" s="17" t="s">
        <v>91</v>
      </c>
      <c r="G370" s="14">
        <v>549703.12</v>
      </c>
      <c r="H370" s="14">
        <v>551239.71</v>
      </c>
      <c r="I370" s="14">
        <v>551239.71</v>
      </c>
      <c r="J370" s="22">
        <f>H370*(1+Assumptions!$B$6+IF(F370="Yes",Assumptions!$C$6,0))</f>
        <v>567776.90130000003</v>
      </c>
      <c r="K370" s="22">
        <f>H370*(1+Assumptions!$B$7+IF(F370="Yes",Assumptions!$C$7,0))</f>
        <v>578801.69550000003</v>
      </c>
      <c r="L370" s="22">
        <f>H370*(1+Assumptions!$B$8+IF(F370="Yes",Assumptions!$C$8,0))</f>
        <v>556752.10710000002</v>
      </c>
    </row>
    <row r="371" spans="1:12" ht="15">
      <c r="A371" s="21">
        <v>40970</v>
      </c>
      <c r="B371" s="21">
        <v>40969</v>
      </c>
      <c r="C371" s="17">
        <v>8</v>
      </c>
      <c r="D371" s="17" t="s">
        <v>90</v>
      </c>
      <c r="E371" s="18">
        <v>155078</v>
      </c>
      <c r="F371" s="17" t="s">
        <v>91</v>
      </c>
      <c r="G371" s="14">
        <v>952264.91</v>
      </c>
      <c r="H371" s="14">
        <v>933036.42999999993</v>
      </c>
      <c r="I371" s="14">
        <v>933036.42999999993</v>
      </c>
      <c r="J371" s="22">
        <f>H371*(1+Assumptions!$B$6+IF(F371="Yes",Assumptions!$C$6,0))</f>
        <v>961027.52289999998</v>
      </c>
      <c r="K371" s="22">
        <f>H371*(1+Assumptions!$B$7+IF(F371="Yes",Assumptions!$C$7,0))</f>
        <v>979688.25150000001</v>
      </c>
      <c r="L371" s="22">
        <f>H371*(1+Assumptions!$B$8+IF(F371="Yes",Assumptions!$C$8,0))</f>
        <v>942366.79429999995</v>
      </c>
    </row>
    <row r="372" spans="1:12" ht="15">
      <c r="A372" s="21">
        <v>40970</v>
      </c>
      <c r="B372" s="21">
        <v>40969</v>
      </c>
      <c r="C372" s="17">
        <v>9</v>
      </c>
      <c r="D372" s="17" t="s">
        <v>92</v>
      </c>
      <c r="E372" s="18">
        <v>125833</v>
      </c>
      <c r="F372" s="17" t="s">
        <v>91</v>
      </c>
      <c r="G372" s="14">
        <v>619441.73</v>
      </c>
      <c r="H372" s="14">
        <v>541529.54</v>
      </c>
      <c r="I372" s="14">
        <v>541529.54</v>
      </c>
      <c r="J372" s="22">
        <f>H372*(1+Assumptions!$B$6+IF(F372="Yes",Assumptions!$C$6,0))</f>
        <v>557775.4262000001</v>
      </c>
      <c r="K372" s="22">
        <f>H372*(1+Assumptions!$B$7+IF(F372="Yes",Assumptions!$C$7,0))</f>
        <v>568606.01700000011</v>
      </c>
      <c r="L372" s="22">
        <f>H372*(1+Assumptions!$B$8+IF(F372="Yes",Assumptions!$C$8,0))</f>
        <v>546944.8354000001</v>
      </c>
    </row>
    <row r="373" spans="1:12" ht="15">
      <c r="A373" s="21">
        <v>40970</v>
      </c>
      <c r="B373" s="21">
        <v>40969</v>
      </c>
      <c r="C373" s="17">
        <v>10</v>
      </c>
      <c r="D373" s="17" t="s">
        <v>92</v>
      </c>
      <c r="E373" s="18">
        <v>126512</v>
      </c>
      <c r="F373" s="17" t="s">
        <v>91</v>
      </c>
      <c r="G373" s="14">
        <v>1989872.05</v>
      </c>
      <c r="H373" s="14">
        <v>1958003.19</v>
      </c>
      <c r="I373" s="14">
        <v>1958003.19</v>
      </c>
      <c r="J373" s="22">
        <f>H373*(1+Assumptions!$B$6+IF(F373="Yes",Assumptions!$C$6,0))</f>
        <v>2016743.2856999999</v>
      </c>
      <c r="K373" s="22">
        <f>H373*(1+Assumptions!$B$7+IF(F373="Yes",Assumptions!$C$7,0))</f>
        <v>2055903.3495</v>
      </c>
      <c r="L373" s="22">
        <f>H373*(1+Assumptions!$B$8+IF(F373="Yes",Assumptions!$C$8,0))</f>
        <v>1977583.2219</v>
      </c>
    </row>
    <row r="374" spans="1:12" ht="15">
      <c r="A374" s="21">
        <v>40970</v>
      </c>
      <c r="B374" s="21">
        <v>40969</v>
      </c>
      <c r="C374" s="17">
        <v>11</v>
      </c>
      <c r="D374" s="17" t="s">
        <v>90</v>
      </c>
      <c r="E374" s="18">
        <v>207499</v>
      </c>
      <c r="F374" s="17" t="s">
        <v>91</v>
      </c>
      <c r="G374" s="14">
        <v>1436166.12</v>
      </c>
      <c r="H374" s="14">
        <v>1399456.99</v>
      </c>
      <c r="I374" s="14">
        <v>1399456.99</v>
      </c>
      <c r="J374" s="22">
        <f>H374*(1+Assumptions!$B$6+IF(F374="Yes",Assumptions!$C$6,0))</f>
        <v>1441440.6997</v>
      </c>
      <c r="K374" s="22">
        <f>H374*(1+Assumptions!$B$7+IF(F374="Yes",Assumptions!$C$7,0))</f>
        <v>1469429.8395</v>
      </c>
      <c r="L374" s="22">
        <f>H374*(1+Assumptions!$B$8+IF(F374="Yes",Assumptions!$C$8,0))</f>
        <v>1413451.5599</v>
      </c>
    </row>
    <row r="375" spans="1:12" ht="15">
      <c r="A375" s="21">
        <v>40970</v>
      </c>
      <c r="B375" s="21">
        <v>40969</v>
      </c>
      <c r="C375" s="17">
        <v>12</v>
      </c>
      <c r="D375" s="17" t="s">
        <v>92</v>
      </c>
      <c r="E375" s="18">
        <v>112238</v>
      </c>
      <c r="F375" s="17" t="s">
        <v>91</v>
      </c>
      <c r="G375" s="14">
        <v>1147577.56</v>
      </c>
      <c r="H375" s="14">
        <v>1085248.21</v>
      </c>
      <c r="I375" s="14">
        <v>1085248.21</v>
      </c>
      <c r="J375" s="22">
        <f>H375*(1+Assumptions!$B$6+IF(F375="Yes",Assumptions!$C$6,0))</f>
        <v>1117805.6562999999</v>
      </c>
      <c r="K375" s="22">
        <f>H375*(1+Assumptions!$B$7+IF(F375="Yes",Assumptions!$C$7,0))</f>
        <v>1139510.6205</v>
      </c>
      <c r="L375" s="22">
        <f>H375*(1+Assumptions!$B$8+IF(F375="Yes",Assumptions!$C$8,0))</f>
        <v>1096100.6920999999</v>
      </c>
    </row>
    <row r="376" spans="1:12" ht="15">
      <c r="A376" s="21">
        <v>40970</v>
      </c>
      <c r="B376" s="21">
        <v>40969</v>
      </c>
      <c r="C376" s="17">
        <v>13</v>
      </c>
      <c r="D376" s="17" t="s">
        <v>90</v>
      </c>
      <c r="E376" s="18">
        <v>219622</v>
      </c>
      <c r="F376" s="17" t="s">
        <v>91</v>
      </c>
      <c r="G376" s="14">
        <v>1969742.76</v>
      </c>
      <c r="H376" s="14">
        <v>1894954.71</v>
      </c>
      <c r="I376" s="14">
        <v>1894954.71</v>
      </c>
      <c r="J376" s="22">
        <f>H376*(1+Assumptions!$B$6+IF(F376="Yes",Assumptions!$C$6,0))</f>
        <v>1951803.3513</v>
      </c>
      <c r="K376" s="22">
        <f>H376*(1+Assumptions!$B$7+IF(F376="Yes",Assumptions!$C$7,0))</f>
        <v>1989702.4455000001</v>
      </c>
      <c r="L376" s="22">
        <f>H376*(1+Assumptions!$B$8+IF(F376="Yes",Assumptions!$C$8,0))</f>
        <v>1913904.2571</v>
      </c>
    </row>
    <row r="377" spans="1:12" ht="15">
      <c r="A377" s="21">
        <v>40970</v>
      </c>
      <c r="B377" s="21">
        <v>40969</v>
      </c>
      <c r="C377" s="17">
        <v>14</v>
      </c>
      <c r="D377" s="17" t="s">
        <v>90</v>
      </c>
      <c r="E377" s="18">
        <v>200898</v>
      </c>
      <c r="F377" s="17" t="s">
        <v>91</v>
      </c>
      <c r="G377" s="14">
        <v>1926004.99</v>
      </c>
      <c r="H377" s="14">
        <v>2041074.69</v>
      </c>
      <c r="I377" s="14">
        <v>2041074.69</v>
      </c>
      <c r="J377" s="22">
        <f>H377*(1+Assumptions!$B$6+IF(F377="Yes",Assumptions!$C$6,0))</f>
        <v>2102306.9306999999</v>
      </c>
      <c r="K377" s="22">
        <f>H377*(1+Assumptions!$B$7+IF(F377="Yes",Assumptions!$C$7,0))</f>
        <v>2143128.4245000002</v>
      </c>
      <c r="L377" s="22">
        <f>H377*(1+Assumptions!$B$8+IF(F377="Yes",Assumptions!$C$8,0))</f>
        <v>2061485.4368999999</v>
      </c>
    </row>
    <row r="378" spans="1:12" ht="15">
      <c r="A378" s="21">
        <v>40970</v>
      </c>
      <c r="B378" s="21">
        <v>40969</v>
      </c>
      <c r="C378" s="17">
        <v>15</v>
      </c>
      <c r="D378" s="17" t="s">
        <v>92</v>
      </c>
      <c r="E378" s="18">
        <v>123737</v>
      </c>
      <c r="F378" s="17" t="s">
        <v>91</v>
      </c>
      <c r="G378" s="14">
        <v>541287.64</v>
      </c>
      <c r="H378" s="14">
        <v>573372.99</v>
      </c>
      <c r="I378" s="14">
        <v>573372.99</v>
      </c>
      <c r="J378" s="22">
        <f>H378*(1+Assumptions!$B$6+IF(F378="Yes",Assumptions!$C$6,0))</f>
        <v>590574.17969999998</v>
      </c>
      <c r="K378" s="22">
        <f>H378*(1+Assumptions!$B$7+IF(F378="Yes",Assumptions!$C$7,0))</f>
        <v>602041.63950000005</v>
      </c>
      <c r="L378" s="22">
        <f>H378*(1+Assumptions!$B$8+IF(F378="Yes",Assumptions!$C$8,0))</f>
        <v>579106.71990000003</v>
      </c>
    </row>
    <row r="379" spans="1:12" ht="15">
      <c r="A379" s="21">
        <v>40970</v>
      </c>
      <c r="B379" s="21">
        <v>40969</v>
      </c>
      <c r="C379" s="17">
        <v>16</v>
      </c>
      <c r="D379" s="17" t="s">
        <v>92</v>
      </c>
      <c r="E379" s="18">
        <v>57197</v>
      </c>
      <c r="F379" s="17" t="s">
        <v>91</v>
      </c>
      <c r="G379" s="14">
        <v>461856.22</v>
      </c>
      <c r="H379" s="14">
        <v>484694.14</v>
      </c>
      <c r="I379" s="14">
        <v>484694.14</v>
      </c>
      <c r="J379" s="22">
        <f>H379*(1+Assumptions!$B$6+IF(F379="Yes",Assumptions!$C$6,0))</f>
        <v>499234.96420000005</v>
      </c>
      <c r="K379" s="22">
        <f>H379*(1+Assumptions!$B$7+IF(F379="Yes",Assumptions!$C$7,0))</f>
        <v>508928.84700000001</v>
      </c>
      <c r="L379" s="22">
        <f>H379*(1+Assumptions!$B$8+IF(F379="Yes",Assumptions!$C$8,0))</f>
        <v>489541.08140000002</v>
      </c>
    </row>
    <row r="380" spans="1:12" ht="15">
      <c r="A380" s="21">
        <v>40970</v>
      </c>
      <c r="B380" s="21">
        <v>40969</v>
      </c>
      <c r="C380" s="17">
        <v>17</v>
      </c>
      <c r="D380" s="17" t="s">
        <v>92</v>
      </c>
      <c r="E380" s="18">
        <v>93188</v>
      </c>
      <c r="F380" s="17" t="s">
        <v>91</v>
      </c>
      <c r="G380" s="14">
        <v>855936.36</v>
      </c>
      <c r="H380" s="14">
        <v>816126.39</v>
      </c>
      <c r="I380" s="14">
        <v>816126.39</v>
      </c>
      <c r="J380" s="22">
        <f>H380*(1+Assumptions!$B$6+IF(F380="Yes",Assumptions!$C$6,0))</f>
        <v>840610.18170000007</v>
      </c>
      <c r="K380" s="22">
        <f>H380*(1+Assumptions!$B$7+IF(F380="Yes",Assumptions!$C$7,0))</f>
        <v>856932.7095</v>
      </c>
      <c r="L380" s="22">
        <f>H380*(1+Assumptions!$B$8+IF(F380="Yes",Assumptions!$C$8,0))</f>
        <v>824287.65390000003</v>
      </c>
    </row>
    <row r="381" spans="1:12" ht="15">
      <c r="A381" s="21">
        <v>40970</v>
      </c>
      <c r="B381" s="21">
        <v>40969</v>
      </c>
      <c r="C381" s="17">
        <v>18</v>
      </c>
      <c r="D381" s="17" t="s">
        <v>92</v>
      </c>
      <c r="E381" s="18">
        <v>120653</v>
      </c>
      <c r="F381" s="17" t="s">
        <v>91</v>
      </c>
      <c r="G381" s="14">
        <v>1047173.71</v>
      </c>
      <c r="H381" s="14">
        <v>1063256.78</v>
      </c>
      <c r="I381" s="14">
        <v>1063256.78</v>
      </c>
      <c r="J381" s="22">
        <f>H381*(1+Assumptions!$B$6+IF(F381="Yes",Assumptions!$C$6,0))</f>
        <v>1095154.4834</v>
      </c>
      <c r="K381" s="22">
        <f>H381*(1+Assumptions!$B$7+IF(F381="Yes",Assumptions!$C$7,0))</f>
        <v>1116419.6190000002</v>
      </c>
      <c r="L381" s="22">
        <f>H381*(1+Assumptions!$B$8+IF(F381="Yes",Assumptions!$C$8,0))</f>
        <v>1073889.3478000001</v>
      </c>
    </row>
    <row r="382" spans="1:12" ht="15">
      <c r="A382" s="21">
        <v>40970</v>
      </c>
      <c r="B382" s="21">
        <v>40969</v>
      </c>
      <c r="C382" s="17">
        <v>19</v>
      </c>
      <c r="D382" s="17" t="s">
        <v>90</v>
      </c>
      <c r="E382" s="18">
        <v>203819</v>
      </c>
      <c r="F382" s="17" t="s">
        <v>91</v>
      </c>
      <c r="G382" s="14">
        <v>1308977.05</v>
      </c>
      <c r="H382" s="14">
        <v>1433569.44</v>
      </c>
      <c r="I382" s="14">
        <v>1433569.44</v>
      </c>
      <c r="J382" s="22">
        <f>H382*(1+Assumptions!$B$6+IF(F382="Yes",Assumptions!$C$6,0))</f>
        <v>1476576.5231999999</v>
      </c>
      <c r="K382" s="22">
        <f>H382*(1+Assumptions!$B$7+IF(F382="Yes",Assumptions!$C$7,0))</f>
        <v>1505247.912</v>
      </c>
      <c r="L382" s="22">
        <f>H382*(1+Assumptions!$B$8+IF(F382="Yes",Assumptions!$C$8,0))</f>
        <v>1447905.1343999999</v>
      </c>
    </row>
    <row r="383" spans="1:12" ht="15">
      <c r="A383" s="21">
        <v>40970</v>
      </c>
      <c r="B383" s="21">
        <v>40969</v>
      </c>
      <c r="C383" s="17">
        <v>20</v>
      </c>
      <c r="D383" s="17" t="s">
        <v>90</v>
      </c>
      <c r="E383" s="18">
        <v>203742</v>
      </c>
      <c r="F383" s="17" t="s">
        <v>91</v>
      </c>
      <c r="G383" s="14">
        <v>2148822.7600000002</v>
      </c>
      <c r="H383" s="14">
        <v>2142782.61</v>
      </c>
      <c r="I383" s="14">
        <v>2142782.61</v>
      </c>
      <c r="J383" s="22">
        <f>H383*(1+Assumptions!$B$6+IF(F383="Yes",Assumptions!$C$6,0))</f>
        <v>2207066.0882999999</v>
      </c>
      <c r="K383" s="22">
        <f>H383*(1+Assumptions!$B$7+IF(F383="Yes",Assumptions!$C$7,0))</f>
        <v>2249921.7404999998</v>
      </c>
      <c r="L383" s="22">
        <f>H383*(1+Assumptions!$B$8+IF(F383="Yes",Assumptions!$C$8,0))</f>
        <v>2164210.4361</v>
      </c>
    </row>
    <row r="384" spans="1:12" ht="15">
      <c r="A384" s="21">
        <v>40970</v>
      </c>
      <c r="B384" s="21">
        <v>40969</v>
      </c>
      <c r="C384" s="17">
        <v>21</v>
      </c>
      <c r="D384" s="17" t="s">
        <v>92</v>
      </c>
      <c r="E384" s="18">
        <v>140167</v>
      </c>
      <c r="F384" s="17" t="s">
        <v>91</v>
      </c>
      <c r="G384" s="14">
        <v>763291.92</v>
      </c>
      <c r="H384" s="14">
        <v>796276.72</v>
      </c>
      <c r="I384" s="14">
        <v>796276.72</v>
      </c>
      <c r="J384" s="22">
        <f>H384*(1+Assumptions!$B$6+IF(F384="Yes",Assumptions!$C$6,0))</f>
        <v>820165.02159999998</v>
      </c>
      <c r="K384" s="22">
        <f>H384*(1+Assumptions!$B$7+IF(F384="Yes",Assumptions!$C$7,0))</f>
        <v>836090.55599999998</v>
      </c>
      <c r="L384" s="22">
        <f>H384*(1+Assumptions!$B$8+IF(F384="Yes",Assumptions!$C$8,0))</f>
        <v>804239.48719999997</v>
      </c>
    </row>
    <row r="385" spans="1:12" ht="15">
      <c r="A385" s="21">
        <v>40970</v>
      </c>
      <c r="B385" s="21">
        <v>40969</v>
      </c>
      <c r="C385" s="17">
        <v>22</v>
      </c>
      <c r="D385" s="17" t="s">
        <v>92</v>
      </c>
      <c r="E385" s="18">
        <v>119557</v>
      </c>
      <c r="F385" s="17" t="s">
        <v>91</v>
      </c>
      <c r="G385" s="14">
        <v>974832.74</v>
      </c>
      <c r="H385" s="14">
        <v>997353.15</v>
      </c>
      <c r="I385" s="14">
        <v>997353.15</v>
      </c>
      <c r="J385" s="22">
        <f>H385*(1+Assumptions!$B$6+IF(F385="Yes",Assumptions!$C$6,0))</f>
        <v>1027273.7445</v>
      </c>
      <c r="K385" s="22">
        <f>H385*(1+Assumptions!$B$7+IF(F385="Yes",Assumptions!$C$7,0))</f>
        <v>1047220.8075000001</v>
      </c>
      <c r="L385" s="22">
        <f>H385*(1+Assumptions!$B$8+IF(F385="Yes",Assumptions!$C$8,0))</f>
        <v>1007326.6815000001</v>
      </c>
    </row>
    <row r="386" spans="1:12" ht="15">
      <c r="A386" s="21">
        <v>40970</v>
      </c>
      <c r="B386" s="21">
        <v>40969</v>
      </c>
      <c r="C386" s="17">
        <v>23</v>
      </c>
      <c r="D386" s="17" t="s">
        <v>92</v>
      </c>
      <c r="E386" s="18">
        <v>114533</v>
      </c>
      <c r="F386" s="17" t="s">
        <v>91</v>
      </c>
      <c r="G386" s="14">
        <v>1322852.2</v>
      </c>
      <c r="H386" s="14">
        <v>1301185.28</v>
      </c>
      <c r="I386" s="14">
        <v>1301185.28</v>
      </c>
      <c r="J386" s="22">
        <f>H386*(1+Assumptions!$B$6+IF(F386="Yes",Assumptions!$C$6,0))</f>
        <v>1340220.8384</v>
      </c>
      <c r="K386" s="22">
        <f>H386*(1+Assumptions!$B$7+IF(F386="Yes",Assumptions!$C$7,0))</f>
        <v>1366244.544</v>
      </c>
      <c r="L386" s="22">
        <f>H386*(1+Assumptions!$B$8+IF(F386="Yes",Assumptions!$C$8,0))</f>
        <v>1314197.1328</v>
      </c>
    </row>
    <row r="387" spans="1:12" ht="15">
      <c r="A387" s="21">
        <v>40970</v>
      </c>
      <c r="B387" s="21">
        <v>40969</v>
      </c>
      <c r="C387" s="17">
        <v>24</v>
      </c>
      <c r="D387" s="17" t="s">
        <v>90</v>
      </c>
      <c r="E387" s="18">
        <v>203819</v>
      </c>
      <c r="F387" s="17" t="s">
        <v>91</v>
      </c>
      <c r="G387" s="14">
        <v>1213994.3899999999</v>
      </c>
      <c r="H387" s="14">
        <v>1346967.83</v>
      </c>
      <c r="I387" s="14">
        <v>1346967.83</v>
      </c>
      <c r="J387" s="22">
        <f>H387*(1+Assumptions!$B$6+IF(F387="Yes",Assumptions!$C$6,0))</f>
        <v>1387376.8649000002</v>
      </c>
      <c r="K387" s="22">
        <f>H387*(1+Assumptions!$B$7+IF(F387="Yes",Assumptions!$C$7,0))</f>
        <v>1414316.2215000002</v>
      </c>
      <c r="L387" s="22">
        <f>H387*(1+Assumptions!$B$8+IF(F387="Yes",Assumptions!$C$8,0))</f>
        <v>1360437.5083000001</v>
      </c>
    </row>
    <row r="388" spans="1:12" ht="15">
      <c r="A388" s="21">
        <v>40970</v>
      </c>
      <c r="B388" s="21">
        <v>40969</v>
      </c>
      <c r="C388" s="17">
        <v>25</v>
      </c>
      <c r="D388" s="17" t="s">
        <v>92</v>
      </c>
      <c r="E388" s="18">
        <v>128107</v>
      </c>
      <c r="F388" s="17" t="s">
        <v>91</v>
      </c>
      <c r="G388" s="14">
        <v>641922.66</v>
      </c>
      <c r="H388" s="14">
        <v>640912.17999999993</v>
      </c>
      <c r="I388" s="14">
        <v>640912.17999999993</v>
      </c>
      <c r="J388" s="22">
        <f>H388*(1+Assumptions!$B$6+IF(F388="Yes",Assumptions!$C$6,0))</f>
        <v>660139.54539999994</v>
      </c>
      <c r="K388" s="22">
        <f>H388*(1+Assumptions!$B$7+IF(F388="Yes",Assumptions!$C$7,0))</f>
        <v>672957.78899999999</v>
      </c>
      <c r="L388" s="22">
        <f>H388*(1+Assumptions!$B$8+IF(F388="Yes",Assumptions!$C$8,0))</f>
        <v>647321.3017999999</v>
      </c>
    </row>
    <row r="389" spans="1:12" ht="15">
      <c r="A389" s="21">
        <v>40970</v>
      </c>
      <c r="B389" s="21">
        <v>40969</v>
      </c>
      <c r="C389" s="17">
        <v>26</v>
      </c>
      <c r="D389" s="17" t="s">
        <v>90</v>
      </c>
      <c r="E389" s="18">
        <v>152513</v>
      </c>
      <c r="F389" s="17" t="s">
        <v>91</v>
      </c>
      <c r="G389" s="14">
        <v>955620.36</v>
      </c>
      <c r="H389" s="14">
        <v>945643.17</v>
      </c>
      <c r="I389" s="14">
        <v>945643.17</v>
      </c>
      <c r="J389" s="22">
        <f>H389*(1+Assumptions!$B$6+IF(F389="Yes",Assumptions!$C$6,0))</f>
        <v>974012.46510000003</v>
      </c>
      <c r="K389" s="22">
        <f>H389*(1+Assumptions!$B$7+IF(F389="Yes",Assumptions!$C$7,0))</f>
        <v>992925.32850000006</v>
      </c>
      <c r="L389" s="22">
        <f>H389*(1+Assumptions!$B$8+IF(F389="Yes",Assumptions!$C$8,0))</f>
        <v>955099.6017</v>
      </c>
    </row>
    <row r="390" spans="1:12" ht="15">
      <c r="A390" s="21">
        <v>40970</v>
      </c>
      <c r="B390" s="21">
        <v>40969</v>
      </c>
      <c r="C390" s="17">
        <v>27</v>
      </c>
      <c r="D390" s="17" t="s">
        <v>90</v>
      </c>
      <c r="E390" s="18">
        <v>204184</v>
      </c>
      <c r="F390" s="17" t="s">
        <v>91</v>
      </c>
      <c r="G390" s="14">
        <v>1508961.1199999999</v>
      </c>
      <c r="H390" s="14">
        <v>1656130.67</v>
      </c>
      <c r="I390" s="14">
        <v>1656130.67</v>
      </c>
      <c r="J390" s="22">
        <f>H390*(1+Assumptions!$B$6+IF(F390="Yes",Assumptions!$C$6,0))</f>
        <v>1705814.5900999999</v>
      </c>
      <c r="K390" s="22">
        <f>H390*(1+Assumptions!$B$7+IF(F390="Yes",Assumptions!$C$7,0))</f>
        <v>1738937.2035000001</v>
      </c>
      <c r="L390" s="22">
        <f>H390*(1+Assumptions!$B$8+IF(F390="Yes",Assumptions!$C$8,0))</f>
        <v>1672691.9767</v>
      </c>
    </row>
    <row r="391" spans="1:12" ht="15">
      <c r="A391" s="21">
        <v>40970</v>
      </c>
      <c r="B391" s="21">
        <v>40969</v>
      </c>
      <c r="C391" s="17">
        <v>28</v>
      </c>
      <c r="D391" s="17" t="s">
        <v>90</v>
      </c>
      <c r="E391" s="18">
        <v>206302</v>
      </c>
      <c r="F391" s="17" t="s">
        <v>91</v>
      </c>
      <c r="G391" s="14">
        <v>1451740.57</v>
      </c>
      <c r="H391" s="14">
        <v>1723720.97</v>
      </c>
      <c r="I391" s="14">
        <v>1723720.97</v>
      </c>
      <c r="J391" s="22">
        <f>H391*(1+Assumptions!$B$6+IF(F391="Yes",Assumptions!$C$6,0))</f>
        <v>1775432.5991</v>
      </c>
      <c r="K391" s="22">
        <f>H391*(1+Assumptions!$B$7+IF(F391="Yes",Assumptions!$C$7,0))</f>
        <v>1809907.0185</v>
      </c>
      <c r="L391" s="22">
        <f>H391*(1+Assumptions!$B$8+IF(F391="Yes",Assumptions!$C$8,0))</f>
        <v>1740958.1797</v>
      </c>
    </row>
    <row r="392" spans="1:12" ht="15">
      <c r="A392" s="21">
        <v>40970</v>
      </c>
      <c r="B392" s="21">
        <v>40969</v>
      </c>
      <c r="C392" s="17">
        <v>29</v>
      </c>
      <c r="D392" s="17" t="s">
        <v>92</v>
      </c>
      <c r="E392" s="18">
        <v>93638</v>
      </c>
      <c r="F392" s="17" t="s">
        <v>91</v>
      </c>
      <c r="G392" s="14">
        <v>500747.76</v>
      </c>
      <c r="H392" s="14">
        <v>535149.67000000004</v>
      </c>
      <c r="I392" s="14">
        <v>535149.67000000004</v>
      </c>
      <c r="J392" s="22">
        <f>H392*(1+Assumptions!$B$6+IF(F392="Yes",Assumptions!$C$6,0))</f>
        <v>551204.1601000001</v>
      </c>
      <c r="K392" s="22">
        <f>H392*(1+Assumptions!$B$7+IF(F392="Yes",Assumptions!$C$7,0))</f>
        <v>561907.15350000001</v>
      </c>
      <c r="L392" s="22">
        <f>H392*(1+Assumptions!$B$8+IF(F392="Yes",Assumptions!$C$8,0))</f>
        <v>540501.16670000006</v>
      </c>
    </row>
    <row r="393" spans="1:12" ht="15">
      <c r="A393" s="21">
        <v>40970</v>
      </c>
      <c r="B393" s="21">
        <v>40969</v>
      </c>
      <c r="C393" s="17">
        <v>30</v>
      </c>
      <c r="D393" s="17" t="s">
        <v>93</v>
      </c>
      <c r="E393" s="18">
        <v>42988</v>
      </c>
      <c r="F393" s="17" t="s">
        <v>91</v>
      </c>
      <c r="G393" s="14">
        <v>438444.71</v>
      </c>
      <c r="H393" s="14">
        <v>443334.71</v>
      </c>
      <c r="I393" s="14">
        <v>443334.71</v>
      </c>
      <c r="J393" s="22">
        <f>H393*(1+Assumptions!$B$6+IF(F393="Yes",Assumptions!$C$6,0))</f>
        <v>456634.75130000006</v>
      </c>
      <c r="K393" s="22">
        <f>H393*(1+Assumptions!$B$7+IF(F393="Yes",Assumptions!$C$7,0))</f>
        <v>465501.44550000003</v>
      </c>
      <c r="L393" s="22">
        <f>H393*(1+Assumptions!$B$8+IF(F393="Yes",Assumptions!$C$8,0))</f>
        <v>447768.05710000003</v>
      </c>
    </row>
    <row r="394" spans="1:12" ht="15">
      <c r="A394" s="21">
        <v>40970</v>
      </c>
      <c r="B394" s="21">
        <v>40969</v>
      </c>
      <c r="C394" s="17">
        <v>31</v>
      </c>
      <c r="D394" s="17" t="s">
        <v>90</v>
      </c>
      <c r="E394" s="18">
        <v>203750</v>
      </c>
      <c r="F394" s="17" t="s">
        <v>91</v>
      </c>
      <c r="G394" s="14">
        <v>1427875.25</v>
      </c>
      <c r="H394" s="14">
        <v>1412721.18</v>
      </c>
      <c r="I394" s="14">
        <v>1412721.18</v>
      </c>
      <c r="J394" s="22">
        <f>H394*(1+Assumptions!$B$6+IF(F394="Yes",Assumptions!$C$6,0))</f>
        <v>1455102.8154</v>
      </c>
      <c r="K394" s="22">
        <f>H394*(1+Assumptions!$B$7+IF(F394="Yes",Assumptions!$C$7,0))</f>
        <v>1483357.2390000001</v>
      </c>
      <c r="L394" s="22">
        <f>H394*(1+Assumptions!$B$8+IF(F394="Yes",Assumptions!$C$8,0))</f>
        <v>1426848.3917999999</v>
      </c>
    </row>
    <row r="395" spans="1:12" ht="15">
      <c r="A395" s="21">
        <v>40970</v>
      </c>
      <c r="B395" s="21">
        <v>40969</v>
      </c>
      <c r="C395" s="17">
        <v>32</v>
      </c>
      <c r="D395" s="17" t="s">
        <v>90</v>
      </c>
      <c r="E395" s="18">
        <v>203007</v>
      </c>
      <c r="F395" s="17" t="s">
        <v>91</v>
      </c>
      <c r="G395" s="14">
        <v>1153314.95</v>
      </c>
      <c r="H395" s="14">
        <v>1106840.08</v>
      </c>
      <c r="I395" s="14">
        <v>1106840.08</v>
      </c>
      <c r="J395" s="22">
        <f>H395*(1+Assumptions!$B$6+IF(F395="Yes",Assumptions!$C$6,0))</f>
        <v>1140045.2824000001</v>
      </c>
      <c r="K395" s="22">
        <f>H395*(1+Assumptions!$B$7+IF(F395="Yes",Assumptions!$C$7,0))</f>
        <v>1162182.084</v>
      </c>
      <c r="L395" s="22">
        <f>H395*(1+Assumptions!$B$8+IF(F395="Yes",Assumptions!$C$8,0))</f>
        <v>1117908.4808</v>
      </c>
    </row>
    <row r="396" spans="1:12" ht="15">
      <c r="A396" s="21">
        <v>40970</v>
      </c>
      <c r="B396" s="21">
        <v>40969</v>
      </c>
      <c r="C396" s="17">
        <v>33</v>
      </c>
      <c r="D396" s="17" t="s">
        <v>90</v>
      </c>
      <c r="E396" s="18">
        <v>39690</v>
      </c>
      <c r="F396" s="17" t="s">
        <v>91</v>
      </c>
      <c r="G396" s="14">
        <v>248007.41</v>
      </c>
      <c r="H396" s="14">
        <v>245421.38</v>
      </c>
      <c r="I396" s="14">
        <v>245421.38</v>
      </c>
      <c r="J396" s="22">
        <f>H396*(1+Assumptions!$B$6+IF(F396="Yes",Assumptions!$C$6,0))</f>
        <v>252784.0214</v>
      </c>
      <c r="K396" s="22">
        <f>H396*(1+Assumptions!$B$7+IF(F396="Yes",Assumptions!$C$7,0))</f>
        <v>257692.44900000002</v>
      </c>
      <c r="L396" s="22">
        <f>H396*(1+Assumptions!$B$8+IF(F396="Yes",Assumptions!$C$8,0))</f>
        <v>247875.5938</v>
      </c>
    </row>
    <row r="397" spans="1:12" ht="15">
      <c r="A397" s="21">
        <v>40970</v>
      </c>
      <c r="B397" s="21">
        <v>40969</v>
      </c>
      <c r="C397" s="17">
        <v>34</v>
      </c>
      <c r="D397" s="17" t="s">
        <v>90</v>
      </c>
      <c r="E397" s="18">
        <v>158114</v>
      </c>
      <c r="F397" s="17" t="s">
        <v>91</v>
      </c>
      <c r="G397" s="14">
        <v>990117.7</v>
      </c>
      <c r="H397" s="14">
        <v>960612.45</v>
      </c>
      <c r="I397" s="14">
        <v>960612.45</v>
      </c>
      <c r="J397" s="22">
        <f>H397*(1+Assumptions!$B$6+IF(F397="Yes",Assumptions!$C$6,0))</f>
        <v>989430.82349999994</v>
      </c>
      <c r="K397" s="22">
        <f>H397*(1+Assumptions!$B$7+IF(F397="Yes",Assumptions!$C$7,0))</f>
        <v>1008643.0725</v>
      </c>
      <c r="L397" s="22">
        <f>H397*(1+Assumptions!$B$8+IF(F397="Yes",Assumptions!$C$8,0))</f>
        <v>970218.57449999999</v>
      </c>
    </row>
    <row r="398" spans="1:12" ht="15">
      <c r="A398" s="21">
        <v>40970</v>
      </c>
      <c r="B398" s="21">
        <v>40969</v>
      </c>
      <c r="C398" s="17">
        <v>35</v>
      </c>
      <c r="D398" s="17" t="s">
        <v>92</v>
      </c>
      <c r="E398" s="18">
        <v>103681</v>
      </c>
      <c r="F398" s="17" t="s">
        <v>91</v>
      </c>
      <c r="G398" s="14">
        <v>766502.05</v>
      </c>
      <c r="H398" s="14">
        <v>850447.96</v>
      </c>
      <c r="I398" s="14">
        <v>850447.96</v>
      </c>
      <c r="J398" s="22">
        <f>H398*(1+Assumptions!$B$6+IF(F398="Yes",Assumptions!$C$6,0))</f>
        <v>875961.39879999997</v>
      </c>
      <c r="K398" s="22">
        <f>H398*(1+Assumptions!$B$7+IF(F398="Yes",Assumptions!$C$7,0))</f>
        <v>892970.35800000001</v>
      </c>
      <c r="L398" s="22">
        <f>H398*(1+Assumptions!$B$8+IF(F398="Yes",Assumptions!$C$8,0))</f>
        <v>858952.43959999993</v>
      </c>
    </row>
    <row r="399" spans="1:12" ht="15">
      <c r="A399" s="21">
        <v>40970</v>
      </c>
      <c r="B399" s="21">
        <v>40969</v>
      </c>
      <c r="C399" s="17">
        <v>36</v>
      </c>
      <c r="D399" s="17" t="s">
        <v>90</v>
      </c>
      <c r="E399" s="18">
        <v>39910</v>
      </c>
      <c r="F399" s="17" t="s">
        <v>91</v>
      </c>
      <c r="G399" s="14">
        <v>315394.14</v>
      </c>
      <c r="H399" s="14">
        <v>402091.27</v>
      </c>
      <c r="I399" s="14">
        <v>402091.27</v>
      </c>
      <c r="J399" s="22">
        <f>H399*(1+Assumptions!$B$6+IF(F399="Yes",Assumptions!$C$6,0))</f>
        <v>414154.00810000004</v>
      </c>
      <c r="K399" s="22">
        <f>H399*(1+Assumptions!$B$7+IF(F399="Yes",Assumptions!$C$7,0))</f>
        <v>422195.83350000007</v>
      </c>
      <c r="L399" s="22">
        <f>H399*(1+Assumptions!$B$8+IF(F399="Yes",Assumptions!$C$8,0))</f>
        <v>406112.1827</v>
      </c>
    </row>
    <row r="400" spans="1:12" ht="15">
      <c r="A400" s="21">
        <v>40970</v>
      </c>
      <c r="B400" s="21">
        <v>40969</v>
      </c>
      <c r="C400" s="17">
        <v>37</v>
      </c>
      <c r="D400" s="17" t="s">
        <v>93</v>
      </c>
      <c r="E400" s="18">
        <v>39910</v>
      </c>
      <c r="F400" s="17" t="s">
        <v>91</v>
      </c>
      <c r="G400" s="14">
        <v>525127.68999999994</v>
      </c>
      <c r="H400" s="14">
        <v>527518.25</v>
      </c>
      <c r="I400" s="14">
        <v>527518.25</v>
      </c>
      <c r="J400" s="22">
        <f>H400*(1+Assumptions!$B$6+IF(F400="Yes",Assumptions!$C$6,0))</f>
        <v>543343.79749999999</v>
      </c>
      <c r="K400" s="22">
        <f>H400*(1+Assumptions!$B$7+IF(F400="Yes",Assumptions!$C$7,0))</f>
        <v>553894.16249999998</v>
      </c>
      <c r="L400" s="22">
        <f>H400*(1+Assumptions!$B$8+IF(F400="Yes",Assumptions!$C$8,0))</f>
        <v>532793.4325</v>
      </c>
    </row>
    <row r="401" spans="1:12" ht="15">
      <c r="A401" s="21">
        <v>40970</v>
      </c>
      <c r="B401" s="21">
        <v>40969</v>
      </c>
      <c r="C401" s="17">
        <v>38</v>
      </c>
      <c r="D401" s="17" t="s">
        <v>93</v>
      </c>
      <c r="E401" s="18">
        <v>39690</v>
      </c>
      <c r="F401" s="17" t="s">
        <v>91</v>
      </c>
      <c r="G401" s="14">
        <v>470975.31</v>
      </c>
      <c r="H401" s="14">
        <v>405318.58</v>
      </c>
      <c r="I401" s="14">
        <v>405318.58</v>
      </c>
      <c r="J401" s="22">
        <f>H401*(1+Assumptions!$B$6+IF(F401="Yes",Assumptions!$C$6,0))</f>
        <v>417478.13740000001</v>
      </c>
      <c r="K401" s="22">
        <f>H401*(1+Assumptions!$B$7+IF(F401="Yes",Assumptions!$C$7,0))</f>
        <v>425584.50900000002</v>
      </c>
      <c r="L401" s="22">
        <f>H401*(1+Assumptions!$B$8+IF(F401="Yes",Assumptions!$C$8,0))</f>
        <v>409371.76579999999</v>
      </c>
    </row>
    <row r="402" spans="1:12" ht="15">
      <c r="A402" s="21">
        <v>40970</v>
      </c>
      <c r="B402" s="21">
        <v>40969</v>
      </c>
      <c r="C402" s="17">
        <v>39</v>
      </c>
      <c r="D402" s="17" t="s">
        <v>90</v>
      </c>
      <c r="E402" s="18">
        <v>184109</v>
      </c>
      <c r="F402" s="17" t="s">
        <v>91</v>
      </c>
      <c r="G402" s="14">
        <v>1452561.02</v>
      </c>
      <c r="H402" s="14">
        <v>1316370.75</v>
      </c>
      <c r="I402" s="14">
        <v>1316370.75</v>
      </c>
      <c r="J402" s="22">
        <f>H402*(1+Assumptions!$B$6+IF(F402="Yes",Assumptions!$C$6,0))</f>
        <v>1355861.8725000001</v>
      </c>
      <c r="K402" s="22">
        <f>H402*(1+Assumptions!$B$7+IF(F402="Yes",Assumptions!$C$7,0))</f>
        <v>1382189.2875000001</v>
      </c>
      <c r="L402" s="22">
        <f>H402*(1+Assumptions!$B$8+IF(F402="Yes",Assumptions!$C$8,0))</f>
        <v>1329534.4575</v>
      </c>
    </row>
    <row r="403" spans="1:12" ht="15">
      <c r="A403" s="21">
        <v>40970</v>
      </c>
      <c r="B403" s="21">
        <v>40969</v>
      </c>
      <c r="C403" s="17">
        <v>40</v>
      </c>
      <c r="D403" s="17" t="s">
        <v>90</v>
      </c>
      <c r="E403" s="18">
        <v>155083</v>
      </c>
      <c r="F403" s="17" t="s">
        <v>91</v>
      </c>
      <c r="G403" s="14">
        <v>927708.26</v>
      </c>
      <c r="H403" s="14">
        <v>977070.62</v>
      </c>
      <c r="I403" s="14">
        <v>977070.62</v>
      </c>
      <c r="J403" s="22">
        <f>H403*(1+Assumptions!$B$6+IF(F403="Yes",Assumptions!$C$6,0))</f>
        <v>1006382.7386</v>
      </c>
      <c r="K403" s="22">
        <f>H403*(1+Assumptions!$B$7+IF(F403="Yes",Assumptions!$C$7,0))</f>
        <v>1025924.1510000001</v>
      </c>
      <c r="L403" s="22">
        <f>H403*(1+Assumptions!$B$8+IF(F403="Yes",Assumptions!$C$8,0))</f>
        <v>986841.32620000001</v>
      </c>
    </row>
    <row r="404" spans="1:12" ht="15">
      <c r="A404" s="21">
        <v>40970</v>
      </c>
      <c r="B404" s="21">
        <v>40969</v>
      </c>
      <c r="C404" s="17">
        <v>41</v>
      </c>
      <c r="D404" s="17" t="s">
        <v>90</v>
      </c>
      <c r="E404" s="18">
        <v>196321</v>
      </c>
      <c r="F404" s="17" t="s">
        <v>91</v>
      </c>
      <c r="G404" s="14">
        <v>1235522.75</v>
      </c>
      <c r="H404" s="14">
        <v>1229245.2</v>
      </c>
      <c r="I404" s="14">
        <v>1229245.2</v>
      </c>
      <c r="J404" s="22">
        <f>H404*(1+Assumptions!$B$6+IF(F404="Yes",Assumptions!$C$6,0))</f>
        <v>1266122.5560000001</v>
      </c>
      <c r="K404" s="22">
        <f>H404*(1+Assumptions!$B$7+IF(F404="Yes",Assumptions!$C$7,0))</f>
        <v>1290707.46</v>
      </c>
      <c r="L404" s="22">
        <f>H404*(1+Assumptions!$B$8+IF(F404="Yes",Assumptions!$C$8,0))</f>
        <v>1241537.652</v>
      </c>
    </row>
    <row r="405" spans="1:12" ht="15">
      <c r="A405" s="21">
        <v>40970</v>
      </c>
      <c r="B405" s="21">
        <v>40969</v>
      </c>
      <c r="C405" s="17">
        <v>42</v>
      </c>
      <c r="D405" s="17" t="s">
        <v>93</v>
      </c>
      <c r="E405" s="18">
        <v>39690</v>
      </c>
      <c r="F405" s="17" t="s">
        <v>91</v>
      </c>
      <c r="G405" s="14">
        <v>585560.17999999993</v>
      </c>
      <c r="H405" s="14">
        <v>570867.07000000007</v>
      </c>
      <c r="I405" s="14">
        <v>570867.07000000007</v>
      </c>
      <c r="J405" s="22">
        <f>H405*(1+Assumptions!$B$6+IF(F405="Yes",Assumptions!$C$6,0))</f>
        <v>587993.08210000012</v>
      </c>
      <c r="K405" s="22">
        <f>H405*(1+Assumptions!$B$7+IF(F405="Yes",Assumptions!$C$7,0))</f>
        <v>599410.42350000015</v>
      </c>
      <c r="L405" s="22">
        <f>H405*(1+Assumptions!$B$8+IF(F405="Yes",Assumptions!$C$8,0))</f>
        <v>576575.74070000008</v>
      </c>
    </row>
    <row r="406" spans="1:12" ht="15">
      <c r="A406" s="21">
        <v>40970</v>
      </c>
      <c r="B406" s="21">
        <v>40969</v>
      </c>
      <c r="C406" s="17">
        <v>43</v>
      </c>
      <c r="D406" s="17" t="s">
        <v>93</v>
      </c>
      <c r="E406" s="18">
        <v>41062</v>
      </c>
      <c r="F406" s="17" t="s">
        <v>91</v>
      </c>
      <c r="G406" s="14">
        <v>692422.55999999994</v>
      </c>
      <c r="H406" s="14">
        <v>616315.13</v>
      </c>
      <c r="I406" s="14">
        <v>616315.13</v>
      </c>
      <c r="J406" s="22">
        <f>H406*(1+Assumptions!$B$6+IF(F406="Yes",Assumptions!$C$6,0))</f>
        <v>634804.58389999997</v>
      </c>
      <c r="K406" s="22">
        <f>H406*(1+Assumptions!$B$7+IF(F406="Yes",Assumptions!$C$7,0))</f>
        <v>647130.88650000002</v>
      </c>
      <c r="L406" s="22">
        <f>H406*(1+Assumptions!$B$8+IF(F406="Yes",Assumptions!$C$8,0))</f>
        <v>622478.28130000003</v>
      </c>
    </row>
    <row r="407" spans="1:12" ht="15">
      <c r="A407" s="21">
        <v>40970</v>
      </c>
      <c r="B407" s="21">
        <v>40969</v>
      </c>
      <c r="C407" s="17">
        <v>44</v>
      </c>
      <c r="D407" s="17" t="s">
        <v>93</v>
      </c>
      <c r="E407" s="18">
        <v>39910</v>
      </c>
      <c r="F407" s="17" t="s">
        <v>91</v>
      </c>
      <c r="G407" s="14">
        <v>316621.45</v>
      </c>
      <c r="H407" s="14">
        <v>294016.53999999998</v>
      </c>
      <c r="I407" s="14">
        <v>294016.53999999998</v>
      </c>
      <c r="J407" s="22">
        <f>H407*(1+Assumptions!$B$6+IF(F407="Yes",Assumptions!$C$6,0))</f>
        <v>302837.03619999997</v>
      </c>
      <c r="K407" s="22">
        <f>H407*(1+Assumptions!$B$7+IF(F407="Yes",Assumptions!$C$7,0))</f>
        <v>308717.36699999997</v>
      </c>
      <c r="L407" s="22">
        <f>H407*(1+Assumptions!$B$8+IF(F407="Yes",Assumptions!$C$8,0))</f>
        <v>296956.70539999998</v>
      </c>
    </row>
    <row r="408" spans="1:12" ht="15">
      <c r="A408" s="21">
        <v>40970</v>
      </c>
      <c r="B408" s="21">
        <v>40969</v>
      </c>
      <c r="C408" s="17">
        <v>45</v>
      </c>
      <c r="D408" s="17" t="s">
        <v>92</v>
      </c>
      <c r="E408" s="18">
        <v>118221</v>
      </c>
      <c r="F408" s="17" t="s">
        <v>91</v>
      </c>
      <c r="G408" s="14">
        <v>781498.58</v>
      </c>
      <c r="H408" s="14">
        <v>761867.01</v>
      </c>
      <c r="I408" s="14">
        <v>761867.01</v>
      </c>
      <c r="J408" s="22">
        <f>H408*(1+Assumptions!$B$6+IF(F408="Yes",Assumptions!$C$6,0))</f>
        <v>784723.02029999997</v>
      </c>
      <c r="K408" s="22">
        <f>H408*(1+Assumptions!$B$7+IF(F408="Yes",Assumptions!$C$7,0))</f>
        <v>799960.36050000007</v>
      </c>
      <c r="L408" s="22">
        <f>H408*(1+Assumptions!$B$8+IF(F408="Yes",Assumptions!$C$8,0))</f>
        <v>769485.6801</v>
      </c>
    </row>
    <row r="409" spans="1:12" ht="15">
      <c r="A409" s="21">
        <v>40977</v>
      </c>
      <c r="B409" s="21">
        <v>40969</v>
      </c>
      <c r="C409" s="17">
        <v>1</v>
      </c>
      <c r="D409" s="17" t="s">
        <v>90</v>
      </c>
      <c r="E409" s="18">
        <v>151315</v>
      </c>
      <c r="F409" s="17" t="s">
        <v>91</v>
      </c>
      <c r="G409" s="14">
        <v>1675431.16</v>
      </c>
      <c r="H409" s="14">
        <v>1553107.22</v>
      </c>
      <c r="I409" s="14">
        <v>1553107.22</v>
      </c>
      <c r="J409" s="22">
        <f>H409*(1+Assumptions!$B$6+IF(F409="Yes",Assumptions!$C$6,0))</f>
        <v>1599700.4365999999</v>
      </c>
      <c r="K409" s="22">
        <f>H409*(1+Assumptions!$B$7+IF(F409="Yes",Assumptions!$C$7,0))</f>
        <v>1630762.581</v>
      </c>
      <c r="L409" s="22">
        <f>H409*(1+Assumptions!$B$8+IF(F409="Yes",Assumptions!$C$8,0))</f>
        <v>1568638.2922</v>
      </c>
    </row>
    <row r="410" spans="1:12" ht="15">
      <c r="A410" s="21">
        <v>40977</v>
      </c>
      <c r="B410" s="21">
        <v>40969</v>
      </c>
      <c r="C410" s="17">
        <v>2</v>
      </c>
      <c r="D410" s="17" t="s">
        <v>90</v>
      </c>
      <c r="E410" s="18">
        <v>202307</v>
      </c>
      <c r="F410" s="17" t="s">
        <v>91</v>
      </c>
      <c r="G410" s="14">
        <v>1937628.26</v>
      </c>
      <c r="H410" s="14">
        <v>1878966.84</v>
      </c>
      <c r="I410" s="14">
        <v>1878966.84</v>
      </c>
      <c r="J410" s="22">
        <f>H410*(1+Assumptions!$B$6+IF(F410="Yes",Assumptions!$C$6,0))</f>
        <v>1935335.8452000001</v>
      </c>
      <c r="K410" s="22">
        <f>H410*(1+Assumptions!$B$7+IF(F410="Yes",Assumptions!$C$7,0))</f>
        <v>1972915.1820000003</v>
      </c>
      <c r="L410" s="22">
        <f>H410*(1+Assumptions!$B$8+IF(F410="Yes",Assumptions!$C$8,0))</f>
        <v>1897756.5084000002</v>
      </c>
    </row>
    <row r="411" spans="1:12" ht="15">
      <c r="A411" s="21">
        <v>40977</v>
      </c>
      <c r="B411" s="21">
        <v>40969</v>
      </c>
      <c r="C411" s="17">
        <v>3</v>
      </c>
      <c r="D411" s="17" t="s">
        <v>92</v>
      </c>
      <c r="E411" s="18">
        <v>37392</v>
      </c>
      <c r="F411" s="17" t="s">
        <v>91</v>
      </c>
      <c r="G411" s="14">
        <v>445152.14</v>
      </c>
      <c r="H411" s="14">
        <v>404751.74</v>
      </c>
      <c r="I411" s="14">
        <v>404751.74</v>
      </c>
      <c r="J411" s="22">
        <f>H411*(1+Assumptions!$B$6+IF(F411="Yes",Assumptions!$C$6,0))</f>
        <v>416894.29220000003</v>
      </c>
      <c r="K411" s="22">
        <f>H411*(1+Assumptions!$B$7+IF(F411="Yes",Assumptions!$C$7,0))</f>
        <v>424989.32699999999</v>
      </c>
      <c r="L411" s="22">
        <f>H411*(1+Assumptions!$B$8+IF(F411="Yes",Assumptions!$C$8,0))</f>
        <v>408799.2574</v>
      </c>
    </row>
    <row r="412" spans="1:12" ht="15">
      <c r="A412" s="21">
        <v>40977</v>
      </c>
      <c r="B412" s="21">
        <v>40969</v>
      </c>
      <c r="C412" s="17">
        <v>4</v>
      </c>
      <c r="D412" s="17" t="s">
        <v>90</v>
      </c>
      <c r="E412" s="18">
        <v>205863</v>
      </c>
      <c r="F412" s="17" t="s">
        <v>91</v>
      </c>
      <c r="G412" s="14">
        <v>2202060.81</v>
      </c>
      <c r="H412" s="14">
        <v>2039807.94</v>
      </c>
      <c r="I412" s="14">
        <v>2039807.94</v>
      </c>
      <c r="J412" s="22">
        <f>H412*(1+Assumptions!$B$6+IF(F412="Yes",Assumptions!$C$6,0))</f>
        <v>2101002.1782</v>
      </c>
      <c r="K412" s="22">
        <f>H412*(1+Assumptions!$B$7+IF(F412="Yes",Assumptions!$C$7,0))</f>
        <v>2141798.3369999998</v>
      </c>
      <c r="L412" s="22">
        <f>H412*(1+Assumptions!$B$8+IF(F412="Yes",Assumptions!$C$8,0))</f>
        <v>2060206.0193999999</v>
      </c>
    </row>
    <row r="413" spans="1:12" ht="15">
      <c r="A413" s="21">
        <v>40977</v>
      </c>
      <c r="B413" s="21">
        <v>40969</v>
      </c>
      <c r="C413" s="17">
        <v>5</v>
      </c>
      <c r="D413" s="17" t="s">
        <v>92</v>
      </c>
      <c r="E413" s="18">
        <v>34875</v>
      </c>
      <c r="F413" s="17" t="s">
        <v>91</v>
      </c>
      <c r="G413" s="14">
        <v>347278.72</v>
      </c>
      <c r="H413" s="14">
        <v>293038.46999999997</v>
      </c>
      <c r="I413" s="14">
        <v>293038.46999999997</v>
      </c>
      <c r="J413" s="22">
        <f>H413*(1+Assumptions!$B$6+IF(F413="Yes",Assumptions!$C$6,0))</f>
        <v>301829.62409999996</v>
      </c>
      <c r="K413" s="22">
        <f>H413*(1+Assumptions!$B$7+IF(F413="Yes",Assumptions!$C$7,0))</f>
        <v>307690.39350000001</v>
      </c>
      <c r="L413" s="22">
        <f>H413*(1+Assumptions!$B$8+IF(F413="Yes",Assumptions!$C$8,0))</f>
        <v>295968.85469999997</v>
      </c>
    </row>
    <row r="414" spans="1:12" ht="15">
      <c r="A414" s="21">
        <v>40977</v>
      </c>
      <c r="B414" s="21">
        <v>40969</v>
      </c>
      <c r="C414" s="17">
        <v>6</v>
      </c>
      <c r="D414" s="17" t="s">
        <v>90</v>
      </c>
      <c r="E414" s="18">
        <v>202505</v>
      </c>
      <c r="F414" s="17" t="s">
        <v>91</v>
      </c>
      <c r="G414" s="14">
        <v>1568944.4</v>
      </c>
      <c r="H414" s="14">
        <v>1494474.45</v>
      </c>
      <c r="I414" s="14">
        <v>1494474.45</v>
      </c>
      <c r="J414" s="22">
        <f>H414*(1+Assumptions!$B$6+IF(F414="Yes",Assumptions!$C$6,0))</f>
        <v>1539308.6835</v>
      </c>
      <c r="K414" s="22">
        <f>H414*(1+Assumptions!$B$7+IF(F414="Yes",Assumptions!$C$7,0))</f>
        <v>1569198.1725000001</v>
      </c>
      <c r="L414" s="22">
        <f>H414*(1+Assumptions!$B$8+IF(F414="Yes",Assumptions!$C$8,0))</f>
        <v>1509419.1945</v>
      </c>
    </row>
    <row r="415" spans="1:12" ht="15">
      <c r="A415" s="21">
        <v>40977</v>
      </c>
      <c r="B415" s="21">
        <v>40969</v>
      </c>
      <c r="C415" s="17">
        <v>7</v>
      </c>
      <c r="D415" s="17" t="s">
        <v>92</v>
      </c>
      <c r="E415" s="18">
        <v>70713</v>
      </c>
      <c r="F415" s="17" t="s">
        <v>91</v>
      </c>
      <c r="G415" s="14">
        <v>577818.57999999996</v>
      </c>
      <c r="H415" s="14">
        <v>558672.87</v>
      </c>
      <c r="I415" s="14">
        <v>558672.87</v>
      </c>
      <c r="J415" s="22">
        <f>H415*(1+Assumptions!$B$6+IF(F415="Yes",Assumptions!$C$6,0))</f>
        <v>575433.05610000005</v>
      </c>
      <c r="K415" s="22">
        <f>H415*(1+Assumptions!$B$7+IF(F415="Yes",Assumptions!$C$7,0))</f>
        <v>586606.5135</v>
      </c>
      <c r="L415" s="22">
        <f>H415*(1+Assumptions!$B$8+IF(F415="Yes",Assumptions!$C$8,0))</f>
        <v>564259.59869999997</v>
      </c>
    </row>
    <row r="416" spans="1:12" ht="15">
      <c r="A416" s="21">
        <v>40977</v>
      </c>
      <c r="B416" s="21">
        <v>40969</v>
      </c>
      <c r="C416" s="17">
        <v>8</v>
      </c>
      <c r="D416" s="17" t="s">
        <v>90</v>
      </c>
      <c r="E416" s="18">
        <v>155078</v>
      </c>
      <c r="F416" s="17" t="s">
        <v>91</v>
      </c>
      <c r="G416" s="14">
        <v>960115.56</v>
      </c>
      <c r="H416" s="14">
        <v>900387.29</v>
      </c>
      <c r="I416" s="14">
        <v>900387.29</v>
      </c>
      <c r="J416" s="22">
        <f>H416*(1+Assumptions!$B$6+IF(F416="Yes",Assumptions!$C$6,0))</f>
        <v>927398.90870000003</v>
      </c>
      <c r="K416" s="22">
        <f>H416*(1+Assumptions!$B$7+IF(F416="Yes",Assumptions!$C$7,0))</f>
        <v>945406.65450000006</v>
      </c>
      <c r="L416" s="22">
        <f>H416*(1+Assumptions!$B$8+IF(F416="Yes",Assumptions!$C$8,0))</f>
        <v>909391.1629</v>
      </c>
    </row>
    <row r="417" spans="1:12" ht="15">
      <c r="A417" s="21">
        <v>40977</v>
      </c>
      <c r="B417" s="21">
        <v>40969</v>
      </c>
      <c r="C417" s="17">
        <v>9</v>
      </c>
      <c r="D417" s="17" t="s">
        <v>92</v>
      </c>
      <c r="E417" s="18">
        <v>125833</v>
      </c>
      <c r="F417" s="17" t="s">
        <v>91</v>
      </c>
      <c r="G417" s="14">
        <v>574802.4</v>
      </c>
      <c r="H417" s="14">
        <v>517360.33</v>
      </c>
      <c r="I417" s="14">
        <v>517360.33</v>
      </c>
      <c r="J417" s="22">
        <f>H417*(1+Assumptions!$B$6+IF(F417="Yes",Assumptions!$C$6,0))</f>
        <v>532881.13990000007</v>
      </c>
      <c r="K417" s="22">
        <f>H417*(1+Assumptions!$B$7+IF(F417="Yes",Assumptions!$C$7,0))</f>
        <v>543228.34649999999</v>
      </c>
      <c r="L417" s="22">
        <f>H417*(1+Assumptions!$B$8+IF(F417="Yes",Assumptions!$C$8,0))</f>
        <v>522533.93330000003</v>
      </c>
    </row>
    <row r="418" spans="1:12" ht="15">
      <c r="A418" s="21">
        <v>40977</v>
      </c>
      <c r="B418" s="21">
        <v>40969</v>
      </c>
      <c r="C418" s="17">
        <v>10</v>
      </c>
      <c r="D418" s="17" t="s">
        <v>92</v>
      </c>
      <c r="E418" s="18">
        <v>126512</v>
      </c>
      <c r="F418" s="17" t="s">
        <v>91</v>
      </c>
      <c r="G418" s="14">
        <v>1917483.1</v>
      </c>
      <c r="H418" s="14">
        <v>1933942.24</v>
      </c>
      <c r="I418" s="14">
        <v>1933942.24</v>
      </c>
      <c r="J418" s="22">
        <f>H418*(1+Assumptions!$B$6+IF(F418="Yes",Assumptions!$C$6,0))</f>
        <v>1991960.5072000001</v>
      </c>
      <c r="K418" s="22">
        <f>H418*(1+Assumptions!$B$7+IF(F418="Yes",Assumptions!$C$7,0))</f>
        <v>2030639.3520000002</v>
      </c>
      <c r="L418" s="22">
        <f>H418*(1+Assumptions!$B$8+IF(F418="Yes",Assumptions!$C$8,0))</f>
        <v>1953281.6624</v>
      </c>
    </row>
    <row r="419" spans="1:12" ht="15">
      <c r="A419" s="21">
        <v>40977</v>
      </c>
      <c r="B419" s="21">
        <v>40969</v>
      </c>
      <c r="C419" s="17">
        <v>11</v>
      </c>
      <c r="D419" s="17" t="s">
        <v>90</v>
      </c>
      <c r="E419" s="18">
        <v>207499</v>
      </c>
      <c r="F419" s="17" t="s">
        <v>91</v>
      </c>
      <c r="G419" s="14">
        <v>1408427.27</v>
      </c>
      <c r="H419" s="14">
        <v>1314557.31</v>
      </c>
      <c r="I419" s="14">
        <v>1314557.31</v>
      </c>
      <c r="J419" s="22">
        <f>H419*(1+Assumptions!$B$6+IF(F419="Yes",Assumptions!$C$6,0))</f>
        <v>1353994.0293000001</v>
      </c>
      <c r="K419" s="22">
        <f>H419*(1+Assumptions!$B$7+IF(F419="Yes",Assumptions!$C$7,0))</f>
        <v>1380285.1755000001</v>
      </c>
      <c r="L419" s="22">
        <f>H419*(1+Assumptions!$B$8+IF(F419="Yes",Assumptions!$C$8,0))</f>
        <v>1327702.8831</v>
      </c>
    </row>
    <row r="420" spans="1:12" ht="15">
      <c r="A420" s="21">
        <v>40977</v>
      </c>
      <c r="B420" s="21">
        <v>40969</v>
      </c>
      <c r="C420" s="17">
        <v>12</v>
      </c>
      <c r="D420" s="17" t="s">
        <v>92</v>
      </c>
      <c r="E420" s="18">
        <v>112238</v>
      </c>
      <c r="F420" s="17" t="s">
        <v>91</v>
      </c>
      <c r="G420" s="14">
        <v>1113208.57</v>
      </c>
      <c r="H420" s="14">
        <v>997672.62</v>
      </c>
      <c r="I420" s="14">
        <v>997672.62</v>
      </c>
      <c r="J420" s="22">
        <f>H420*(1+Assumptions!$B$6+IF(F420="Yes",Assumptions!$C$6,0))</f>
        <v>1027602.7986</v>
      </c>
      <c r="K420" s="22">
        <f>H420*(1+Assumptions!$B$7+IF(F420="Yes",Assumptions!$C$7,0))</f>
        <v>1047556.251</v>
      </c>
      <c r="L420" s="22">
        <f>H420*(1+Assumptions!$B$8+IF(F420="Yes",Assumptions!$C$8,0))</f>
        <v>1007649.3462</v>
      </c>
    </row>
    <row r="421" spans="1:12" ht="15">
      <c r="A421" s="21">
        <v>40977</v>
      </c>
      <c r="B421" s="21">
        <v>40969</v>
      </c>
      <c r="C421" s="17">
        <v>13</v>
      </c>
      <c r="D421" s="17" t="s">
        <v>90</v>
      </c>
      <c r="E421" s="18">
        <v>219622</v>
      </c>
      <c r="F421" s="17" t="s">
        <v>91</v>
      </c>
      <c r="G421" s="14">
        <v>1986438.53</v>
      </c>
      <c r="H421" s="14">
        <v>1852252.61</v>
      </c>
      <c r="I421" s="14">
        <v>1852252.61</v>
      </c>
      <c r="J421" s="22">
        <f>H421*(1+Assumptions!$B$6+IF(F421="Yes",Assumptions!$C$6,0))</f>
        <v>1907820.1883000003</v>
      </c>
      <c r="K421" s="22">
        <f>H421*(1+Assumptions!$B$7+IF(F421="Yes",Assumptions!$C$7,0))</f>
        <v>1944865.2405000003</v>
      </c>
      <c r="L421" s="22">
        <f>H421*(1+Assumptions!$B$8+IF(F421="Yes",Assumptions!$C$8,0))</f>
        <v>1870775.1361000002</v>
      </c>
    </row>
    <row r="422" spans="1:12" ht="15">
      <c r="A422" s="21">
        <v>40977</v>
      </c>
      <c r="B422" s="21">
        <v>40969</v>
      </c>
      <c r="C422" s="17">
        <v>14</v>
      </c>
      <c r="D422" s="17" t="s">
        <v>90</v>
      </c>
      <c r="E422" s="18">
        <v>200898</v>
      </c>
      <c r="F422" s="17" t="s">
        <v>91</v>
      </c>
      <c r="G422" s="14">
        <v>2020832.99</v>
      </c>
      <c r="H422" s="14">
        <v>1930936.67</v>
      </c>
      <c r="I422" s="14">
        <v>1930936.67</v>
      </c>
      <c r="J422" s="22">
        <f>H422*(1+Assumptions!$B$6+IF(F422="Yes",Assumptions!$C$6,0))</f>
        <v>1988864.7701000001</v>
      </c>
      <c r="K422" s="22">
        <f>H422*(1+Assumptions!$B$7+IF(F422="Yes",Assumptions!$C$7,0))</f>
        <v>2027483.5035000001</v>
      </c>
      <c r="L422" s="22">
        <f>H422*(1+Assumptions!$B$8+IF(F422="Yes",Assumptions!$C$8,0))</f>
        <v>1950246.0367000001</v>
      </c>
    </row>
    <row r="423" spans="1:12" ht="15">
      <c r="A423" s="21">
        <v>40977</v>
      </c>
      <c r="B423" s="21">
        <v>40969</v>
      </c>
      <c r="C423" s="17">
        <v>15</v>
      </c>
      <c r="D423" s="17" t="s">
        <v>92</v>
      </c>
      <c r="E423" s="18">
        <v>123737</v>
      </c>
      <c r="F423" s="17" t="s">
        <v>91</v>
      </c>
      <c r="G423" s="14">
        <v>545090.65</v>
      </c>
      <c r="H423" s="14">
        <v>537035.28</v>
      </c>
      <c r="I423" s="14">
        <v>537035.28</v>
      </c>
      <c r="J423" s="22">
        <f>H423*(1+Assumptions!$B$6+IF(F423="Yes",Assumptions!$C$6,0))</f>
        <v>553146.33840000001</v>
      </c>
      <c r="K423" s="22">
        <f>H423*(1+Assumptions!$B$7+IF(F423="Yes",Assumptions!$C$7,0))</f>
        <v>563887.04400000011</v>
      </c>
      <c r="L423" s="22">
        <f>H423*(1+Assumptions!$B$8+IF(F423="Yes",Assumptions!$C$8,0))</f>
        <v>542405.63280000002</v>
      </c>
    </row>
    <row r="424" spans="1:12" ht="15">
      <c r="A424" s="21">
        <v>40977</v>
      </c>
      <c r="B424" s="21">
        <v>40969</v>
      </c>
      <c r="C424" s="17">
        <v>16</v>
      </c>
      <c r="D424" s="17" t="s">
        <v>92</v>
      </c>
      <c r="E424" s="18">
        <v>57197</v>
      </c>
      <c r="F424" s="17" t="s">
        <v>91</v>
      </c>
      <c r="G424" s="14">
        <v>495338.56</v>
      </c>
      <c r="H424" s="14">
        <v>457352.33</v>
      </c>
      <c r="I424" s="14">
        <v>457352.33</v>
      </c>
      <c r="J424" s="22">
        <f>H424*(1+Assumptions!$B$6+IF(F424="Yes",Assumptions!$C$6,0))</f>
        <v>471072.89990000002</v>
      </c>
      <c r="K424" s="22">
        <f>H424*(1+Assumptions!$B$7+IF(F424="Yes",Assumptions!$C$7,0))</f>
        <v>480219.94650000002</v>
      </c>
      <c r="L424" s="22">
        <f>H424*(1+Assumptions!$B$8+IF(F424="Yes",Assumptions!$C$8,0))</f>
        <v>461925.85330000002</v>
      </c>
    </row>
    <row r="425" spans="1:12" ht="15">
      <c r="A425" s="21">
        <v>40977</v>
      </c>
      <c r="B425" s="21">
        <v>40969</v>
      </c>
      <c r="C425" s="17">
        <v>17</v>
      </c>
      <c r="D425" s="17" t="s">
        <v>92</v>
      </c>
      <c r="E425" s="18">
        <v>93188</v>
      </c>
      <c r="F425" s="17" t="s">
        <v>91</v>
      </c>
      <c r="G425" s="14">
        <v>859631.79</v>
      </c>
      <c r="H425" s="14">
        <v>779602.36</v>
      </c>
      <c r="I425" s="14">
        <v>779602.36</v>
      </c>
      <c r="J425" s="22">
        <f>H425*(1+Assumptions!$B$6+IF(F425="Yes",Assumptions!$C$6,0))</f>
        <v>802990.43079999997</v>
      </c>
      <c r="K425" s="22">
        <f>H425*(1+Assumptions!$B$7+IF(F425="Yes",Assumptions!$C$7,0))</f>
        <v>818582.478</v>
      </c>
      <c r="L425" s="22">
        <f>H425*(1+Assumptions!$B$8+IF(F425="Yes",Assumptions!$C$8,0))</f>
        <v>787398.38359999994</v>
      </c>
    </row>
    <row r="426" spans="1:12" ht="15">
      <c r="A426" s="21">
        <v>40977</v>
      </c>
      <c r="B426" s="21">
        <v>40969</v>
      </c>
      <c r="C426" s="17">
        <v>18</v>
      </c>
      <c r="D426" s="17" t="s">
        <v>92</v>
      </c>
      <c r="E426" s="18">
        <v>120653</v>
      </c>
      <c r="F426" s="17" t="s">
        <v>91</v>
      </c>
      <c r="G426" s="14">
        <v>1083426.77</v>
      </c>
      <c r="H426" s="14">
        <v>1002712.25</v>
      </c>
      <c r="I426" s="14">
        <v>1002712.25</v>
      </c>
      <c r="J426" s="22">
        <f>H426*(1+Assumptions!$B$6+IF(F426="Yes",Assumptions!$C$6,0))</f>
        <v>1032793.6175000001</v>
      </c>
      <c r="K426" s="22">
        <f>H426*(1+Assumptions!$B$7+IF(F426="Yes",Assumptions!$C$7,0))</f>
        <v>1052847.8625</v>
      </c>
      <c r="L426" s="22">
        <f>H426*(1+Assumptions!$B$8+IF(F426="Yes",Assumptions!$C$8,0))</f>
        <v>1012739.3725000001</v>
      </c>
    </row>
    <row r="427" spans="1:12" ht="15">
      <c r="A427" s="21">
        <v>40977</v>
      </c>
      <c r="B427" s="21">
        <v>40969</v>
      </c>
      <c r="C427" s="17">
        <v>19</v>
      </c>
      <c r="D427" s="17" t="s">
        <v>90</v>
      </c>
      <c r="E427" s="18">
        <v>203819</v>
      </c>
      <c r="F427" s="17" t="s">
        <v>91</v>
      </c>
      <c r="G427" s="14">
        <v>1358816.46</v>
      </c>
      <c r="H427" s="14">
        <v>1351400.43</v>
      </c>
      <c r="I427" s="14">
        <v>1351400.43</v>
      </c>
      <c r="J427" s="22">
        <f>H427*(1+Assumptions!$B$6+IF(F427="Yes",Assumptions!$C$6,0))</f>
        <v>1391942.4428999999</v>
      </c>
      <c r="K427" s="22">
        <f>H427*(1+Assumptions!$B$7+IF(F427="Yes",Assumptions!$C$7,0))</f>
        <v>1418970.4515</v>
      </c>
      <c r="L427" s="22">
        <f>H427*(1+Assumptions!$B$8+IF(F427="Yes",Assumptions!$C$8,0))</f>
        <v>1364914.4342999998</v>
      </c>
    </row>
    <row r="428" spans="1:12" ht="15">
      <c r="A428" s="21">
        <v>40977</v>
      </c>
      <c r="B428" s="21">
        <v>40969</v>
      </c>
      <c r="C428" s="17">
        <v>20</v>
      </c>
      <c r="D428" s="17" t="s">
        <v>90</v>
      </c>
      <c r="E428" s="18">
        <v>203742</v>
      </c>
      <c r="F428" s="17" t="s">
        <v>91</v>
      </c>
      <c r="G428" s="14">
        <v>2139250.44</v>
      </c>
      <c r="H428" s="14">
        <v>1989988.83</v>
      </c>
      <c r="I428" s="14">
        <v>1989988.83</v>
      </c>
      <c r="J428" s="22">
        <f>H428*(1+Assumptions!$B$6+IF(F428="Yes",Assumptions!$C$6,0))</f>
        <v>2049688.4949</v>
      </c>
      <c r="K428" s="22">
        <f>H428*(1+Assumptions!$B$7+IF(F428="Yes",Assumptions!$C$7,0))</f>
        <v>2089488.2715000003</v>
      </c>
      <c r="L428" s="22">
        <f>H428*(1+Assumptions!$B$8+IF(F428="Yes",Assumptions!$C$8,0))</f>
        <v>2009888.7183000001</v>
      </c>
    </row>
    <row r="429" spans="1:12" ht="15">
      <c r="A429" s="21">
        <v>40977</v>
      </c>
      <c r="B429" s="21">
        <v>40969</v>
      </c>
      <c r="C429" s="17">
        <v>21</v>
      </c>
      <c r="D429" s="17" t="s">
        <v>92</v>
      </c>
      <c r="E429" s="18">
        <v>140167</v>
      </c>
      <c r="F429" s="17" t="s">
        <v>91</v>
      </c>
      <c r="G429" s="14">
        <v>753804.4</v>
      </c>
      <c r="H429" s="14">
        <v>763478.9</v>
      </c>
      <c r="I429" s="14">
        <v>763478.9</v>
      </c>
      <c r="J429" s="22">
        <f>H429*(1+Assumptions!$B$6+IF(F429="Yes",Assumptions!$C$6,0))</f>
        <v>786383.26699999999</v>
      </c>
      <c r="K429" s="22">
        <f>H429*(1+Assumptions!$B$7+IF(F429="Yes",Assumptions!$C$7,0))</f>
        <v>801652.84500000009</v>
      </c>
      <c r="L429" s="22">
        <f>H429*(1+Assumptions!$B$8+IF(F429="Yes",Assumptions!$C$8,0))</f>
        <v>771113.68900000001</v>
      </c>
    </row>
    <row r="430" spans="1:12" ht="15">
      <c r="A430" s="21">
        <v>40977</v>
      </c>
      <c r="B430" s="21">
        <v>40969</v>
      </c>
      <c r="C430" s="17">
        <v>22</v>
      </c>
      <c r="D430" s="17" t="s">
        <v>92</v>
      </c>
      <c r="E430" s="18">
        <v>119557</v>
      </c>
      <c r="F430" s="17" t="s">
        <v>91</v>
      </c>
      <c r="G430" s="14">
        <v>989439</v>
      </c>
      <c r="H430" s="14">
        <v>944587.23</v>
      </c>
      <c r="I430" s="14">
        <v>944587.23</v>
      </c>
      <c r="J430" s="22">
        <f>H430*(1+Assumptions!$B$6+IF(F430="Yes",Assumptions!$C$6,0))</f>
        <v>972924.8469</v>
      </c>
      <c r="K430" s="22">
        <f>H430*(1+Assumptions!$B$7+IF(F430="Yes",Assumptions!$C$7,0))</f>
        <v>991816.59149999998</v>
      </c>
      <c r="L430" s="22">
        <f>H430*(1+Assumptions!$B$8+IF(F430="Yes",Assumptions!$C$8,0))</f>
        <v>954033.10230000003</v>
      </c>
    </row>
    <row r="431" spans="1:12" ht="15">
      <c r="A431" s="21">
        <v>40977</v>
      </c>
      <c r="B431" s="21">
        <v>40969</v>
      </c>
      <c r="C431" s="17">
        <v>23</v>
      </c>
      <c r="D431" s="17" t="s">
        <v>92</v>
      </c>
      <c r="E431" s="18">
        <v>114533</v>
      </c>
      <c r="F431" s="17" t="s">
        <v>91</v>
      </c>
      <c r="G431" s="14">
        <v>1292731.8800000001</v>
      </c>
      <c r="H431" s="14">
        <v>1042043.55</v>
      </c>
      <c r="I431" s="14">
        <v>1042043.55</v>
      </c>
      <c r="J431" s="22">
        <f>H431*(1+Assumptions!$B$6+IF(F431="Yes",Assumptions!$C$6,0))</f>
        <v>1073304.8565</v>
      </c>
      <c r="K431" s="22">
        <f>H431*(1+Assumptions!$B$7+IF(F431="Yes",Assumptions!$C$7,0))</f>
        <v>1094145.7275</v>
      </c>
      <c r="L431" s="22">
        <f>H431*(1+Assumptions!$B$8+IF(F431="Yes",Assumptions!$C$8,0))</f>
        <v>1052463.9855</v>
      </c>
    </row>
    <row r="432" spans="1:12" ht="15">
      <c r="A432" s="21">
        <v>40977</v>
      </c>
      <c r="B432" s="21">
        <v>40969</v>
      </c>
      <c r="C432" s="17">
        <v>24</v>
      </c>
      <c r="D432" s="17" t="s">
        <v>90</v>
      </c>
      <c r="E432" s="18">
        <v>203819</v>
      </c>
      <c r="F432" s="17" t="s">
        <v>91</v>
      </c>
      <c r="G432" s="14">
        <v>1325577.8500000001</v>
      </c>
      <c r="H432" s="14">
        <v>1253218.7</v>
      </c>
      <c r="I432" s="14">
        <v>1253218.7</v>
      </c>
      <c r="J432" s="22">
        <f>H432*(1+Assumptions!$B$6+IF(F432="Yes",Assumptions!$C$6,0))</f>
        <v>1290815.2609999999</v>
      </c>
      <c r="K432" s="22">
        <f>H432*(1+Assumptions!$B$7+IF(F432="Yes",Assumptions!$C$7,0))</f>
        <v>1315879.635</v>
      </c>
      <c r="L432" s="22">
        <f>H432*(1+Assumptions!$B$8+IF(F432="Yes",Assumptions!$C$8,0))</f>
        <v>1265750.8869999999</v>
      </c>
    </row>
    <row r="433" spans="1:12" ht="15">
      <c r="A433" s="21">
        <v>40977</v>
      </c>
      <c r="B433" s="21">
        <v>40969</v>
      </c>
      <c r="C433" s="17">
        <v>25</v>
      </c>
      <c r="D433" s="17" t="s">
        <v>92</v>
      </c>
      <c r="E433" s="18">
        <v>128107</v>
      </c>
      <c r="F433" s="17" t="s">
        <v>91</v>
      </c>
      <c r="G433" s="14">
        <v>639193.1</v>
      </c>
      <c r="H433" s="14">
        <v>599802.47</v>
      </c>
      <c r="I433" s="14">
        <v>599802.47</v>
      </c>
      <c r="J433" s="22">
        <f>H433*(1+Assumptions!$B$6+IF(F433="Yes",Assumptions!$C$6,0))</f>
        <v>617796.54409999994</v>
      </c>
      <c r="K433" s="22">
        <f>H433*(1+Assumptions!$B$7+IF(F433="Yes",Assumptions!$C$7,0))</f>
        <v>629792.59349999996</v>
      </c>
      <c r="L433" s="22">
        <f>H433*(1+Assumptions!$B$8+IF(F433="Yes",Assumptions!$C$8,0))</f>
        <v>605800.49469999992</v>
      </c>
    </row>
    <row r="434" spans="1:12" ht="15">
      <c r="A434" s="21">
        <v>40977</v>
      </c>
      <c r="B434" s="21">
        <v>40969</v>
      </c>
      <c r="C434" s="17">
        <v>26</v>
      </c>
      <c r="D434" s="17" t="s">
        <v>90</v>
      </c>
      <c r="E434" s="18">
        <v>152513</v>
      </c>
      <c r="F434" s="17" t="s">
        <v>91</v>
      </c>
      <c r="G434" s="14">
        <v>1028370.01</v>
      </c>
      <c r="H434" s="14">
        <v>946614.55</v>
      </c>
      <c r="I434" s="14">
        <v>946614.55</v>
      </c>
      <c r="J434" s="22">
        <f>H434*(1+Assumptions!$B$6+IF(F434="Yes",Assumptions!$C$6,0))</f>
        <v>975012.98650000012</v>
      </c>
      <c r="K434" s="22">
        <f>H434*(1+Assumptions!$B$7+IF(F434="Yes",Assumptions!$C$7,0))</f>
        <v>993945.27750000008</v>
      </c>
      <c r="L434" s="22">
        <f>H434*(1+Assumptions!$B$8+IF(F434="Yes",Assumptions!$C$8,0))</f>
        <v>956080.69550000003</v>
      </c>
    </row>
    <row r="435" spans="1:12" ht="15">
      <c r="A435" s="21">
        <v>40977</v>
      </c>
      <c r="B435" s="21">
        <v>40969</v>
      </c>
      <c r="C435" s="17">
        <v>27</v>
      </c>
      <c r="D435" s="17" t="s">
        <v>90</v>
      </c>
      <c r="E435" s="18">
        <v>204184</v>
      </c>
      <c r="F435" s="17" t="s">
        <v>91</v>
      </c>
      <c r="G435" s="14">
        <v>1607343.41</v>
      </c>
      <c r="H435" s="14">
        <v>1612919.77</v>
      </c>
      <c r="I435" s="14">
        <v>1612919.77</v>
      </c>
      <c r="J435" s="22">
        <f>H435*(1+Assumptions!$B$6+IF(F435="Yes",Assumptions!$C$6,0))</f>
        <v>1661307.3631</v>
      </c>
      <c r="K435" s="22">
        <f>H435*(1+Assumptions!$B$7+IF(F435="Yes",Assumptions!$C$7,0))</f>
        <v>1693565.7585</v>
      </c>
      <c r="L435" s="22">
        <f>H435*(1+Assumptions!$B$8+IF(F435="Yes",Assumptions!$C$8,0))</f>
        <v>1629048.9676999999</v>
      </c>
    </row>
    <row r="436" spans="1:12" ht="15">
      <c r="A436" s="21">
        <v>40977</v>
      </c>
      <c r="B436" s="21">
        <v>40969</v>
      </c>
      <c r="C436" s="17">
        <v>28</v>
      </c>
      <c r="D436" s="17" t="s">
        <v>90</v>
      </c>
      <c r="E436" s="18">
        <v>206302</v>
      </c>
      <c r="F436" s="17" t="s">
        <v>91</v>
      </c>
      <c r="G436" s="14">
        <v>1680723.15</v>
      </c>
      <c r="H436" s="14">
        <v>1380836.35</v>
      </c>
      <c r="I436" s="14">
        <v>1380836.35</v>
      </c>
      <c r="J436" s="22">
        <f>H436*(1+Assumptions!$B$6+IF(F436="Yes",Assumptions!$C$6,0))</f>
        <v>1422261.4405</v>
      </c>
      <c r="K436" s="22">
        <f>H436*(1+Assumptions!$B$7+IF(F436="Yes",Assumptions!$C$7,0))</f>
        <v>1449878.1675000002</v>
      </c>
      <c r="L436" s="22">
        <f>H436*(1+Assumptions!$B$8+IF(F436="Yes",Assumptions!$C$8,0))</f>
        <v>1394644.7135000001</v>
      </c>
    </row>
    <row r="437" spans="1:12" ht="15">
      <c r="A437" s="21">
        <v>40977</v>
      </c>
      <c r="B437" s="21">
        <v>40969</v>
      </c>
      <c r="C437" s="17">
        <v>29</v>
      </c>
      <c r="D437" s="17" t="s">
        <v>92</v>
      </c>
      <c r="E437" s="18">
        <v>93638</v>
      </c>
      <c r="F437" s="17" t="s">
        <v>91</v>
      </c>
      <c r="G437" s="14">
        <v>504699.62</v>
      </c>
      <c r="H437" s="14">
        <v>493396.45</v>
      </c>
      <c r="I437" s="14">
        <v>493396.45</v>
      </c>
      <c r="J437" s="22">
        <f>H437*(1+Assumptions!$B$6+IF(F437="Yes",Assumptions!$C$6,0))</f>
        <v>508198.34350000002</v>
      </c>
      <c r="K437" s="22">
        <f>H437*(1+Assumptions!$B$7+IF(F437="Yes",Assumptions!$C$7,0))</f>
        <v>518066.27250000002</v>
      </c>
      <c r="L437" s="22">
        <f>H437*(1+Assumptions!$B$8+IF(F437="Yes",Assumptions!$C$8,0))</f>
        <v>498330.41450000001</v>
      </c>
    </row>
    <row r="438" spans="1:12" ht="15">
      <c r="A438" s="21">
        <v>40977</v>
      </c>
      <c r="B438" s="21">
        <v>40969</v>
      </c>
      <c r="C438" s="17">
        <v>30</v>
      </c>
      <c r="D438" s="17" t="s">
        <v>93</v>
      </c>
      <c r="E438" s="18">
        <v>42988</v>
      </c>
      <c r="F438" s="17" t="s">
        <v>91</v>
      </c>
      <c r="G438" s="14">
        <v>446564.76</v>
      </c>
      <c r="H438" s="14">
        <v>438504.81</v>
      </c>
      <c r="I438" s="14">
        <v>438504.81</v>
      </c>
      <c r="J438" s="22">
        <f>H438*(1+Assumptions!$B$6+IF(F438="Yes",Assumptions!$C$6,0))</f>
        <v>451659.95429999998</v>
      </c>
      <c r="K438" s="22">
        <f>H438*(1+Assumptions!$B$7+IF(F438="Yes",Assumptions!$C$7,0))</f>
        <v>460430.05050000001</v>
      </c>
      <c r="L438" s="22">
        <f>H438*(1+Assumptions!$B$8+IF(F438="Yes",Assumptions!$C$8,0))</f>
        <v>442889.85810000001</v>
      </c>
    </row>
    <row r="439" spans="1:12" ht="15">
      <c r="A439" s="21">
        <v>40977</v>
      </c>
      <c r="B439" s="21">
        <v>40969</v>
      </c>
      <c r="C439" s="17">
        <v>31</v>
      </c>
      <c r="D439" s="17" t="s">
        <v>90</v>
      </c>
      <c r="E439" s="18">
        <v>203750</v>
      </c>
      <c r="F439" s="17" t="s">
        <v>91</v>
      </c>
      <c r="G439" s="14">
        <v>1439034.86</v>
      </c>
      <c r="H439" s="14">
        <v>1405545.05</v>
      </c>
      <c r="I439" s="14">
        <v>1405545.05</v>
      </c>
      <c r="J439" s="22">
        <f>H439*(1+Assumptions!$B$6+IF(F439="Yes",Assumptions!$C$6,0))</f>
        <v>1447711.4015000002</v>
      </c>
      <c r="K439" s="22">
        <f>H439*(1+Assumptions!$B$7+IF(F439="Yes",Assumptions!$C$7,0))</f>
        <v>1475822.3025000002</v>
      </c>
      <c r="L439" s="22">
        <f>H439*(1+Assumptions!$B$8+IF(F439="Yes",Assumptions!$C$8,0))</f>
        <v>1419600.5005000001</v>
      </c>
    </row>
    <row r="440" spans="1:12" ht="15">
      <c r="A440" s="21">
        <v>40977</v>
      </c>
      <c r="B440" s="21">
        <v>40969</v>
      </c>
      <c r="C440" s="17">
        <v>32</v>
      </c>
      <c r="D440" s="17" t="s">
        <v>90</v>
      </c>
      <c r="E440" s="18">
        <v>203007</v>
      </c>
      <c r="F440" s="17" t="s">
        <v>91</v>
      </c>
      <c r="G440" s="14">
        <v>1124620.97</v>
      </c>
      <c r="H440" s="14">
        <v>1101327.21</v>
      </c>
      <c r="I440" s="14">
        <v>1101327.21</v>
      </c>
      <c r="J440" s="22">
        <f>H440*(1+Assumptions!$B$6+IF(F440="Yes",Assumptions!$C$6,0))</f>
        <v>1134367.0263</v>
      </c>
      <c r="K440" s="22">
        <f>H440*(1+Assumptions!$B$7+IF(F440="Yes",Assumptions!$C$7,0))</f>
        <v>1156393.5704999999</v>
      </c>
      <c r="L440" s="22">
        <f>H440*(1+Assumptions!$B$8+IF(F440="Yes",Assumptions!$C$8,0))</f>
        <v>1112340.4820999999</v>
      </c>
    </row>
    <row r="441" spans="1:12" ht="15">
      <c r="A441" s="21">
        <v>40977</v>
      </c>
      <c r="B441" s="21">
        <v>40969</v>
      </c>
      <c r="C441" s="17">
        <v>33</v>
      </c>
      <c r="D441" s="17" t="s">
        <v>90</v>
      </c>
      <c r="E441" s="18">
        <v>39690</v>
      </c>
      <c r="F441" s="17" t="s">
        <v>91</v>
      </c>
      <c r="G441" s="14">
        <v>287208.58</v>
      </c>
      <c r="H441" s="14">
        <v>270901</v>
      </c>
      <c r="I441" s="14">
        <v>270901</v>
      </c>
      <c r="J441" s="22">
        <f>H441*(1+Assumptions!$B$6+IF(F441="Yes",Assumptions!$C$6,0))</f>
        <v>279028.03000000003</v>
      </c>
      <c r="K441" s="22">
        <f>H441*(1+Assumptions!$B$7+IF(F441="Yes",Assumptions!$C$7,0))</f>
        <v>284446.05</v>
      </c>
      <c r="L441" s="22">
        <f>H441*(1+Assumptions!$B$8+IF(F441="Yes",Assumptions!$C$8,0))</f>
        <v>273610.01</v>
      </c>
    </row>
    <row r="442" spans="1:12" ht="15">
      <c r="A442" s="21">
        <v>40977</v>
      </c>
      <c r="B442" s="21">
        <v>40969</v>
      </c>
      <c r="C442" s="17">
        <v>34</v>
      </c>
      <c r="D442" s="17" t="s">
        <v>90</v>
      </c>
      <c r="E442" s="18">
        <v>158114</v>
      </c>
      <c r="F442" s="17" t="s">
        <v>91</v>
      </c>
      <c r="G442" s="14">
        <v>976393.43</v>
      </c>
      <c r="H442" s="14">
        <v>941427.18</v>
      </c>
      <c r="I442" s="14">
        <v>941427.18</v>
      </c>
      <c r="J442" s="22">
        <f>H442*(1+Assumptions!$B$6+IF(F442="Yes",Assumptions!$C$6,0))</f>
        <v>969669.99540000013</v>
      </c>
      <c r="K442" s="22">
        <f>H442*(1+Assumptions!$B$7+IF(F442="Yes",Assumptions!$C$7,0))</f>
        <v>988498.53900000011</v>
      </c>
      <c r="L442" s="22">
        <f>H442*(1+Assumptions!$B$8+IF(F442="Yes",Assumptions!$C$8,0))</f>
        <v>950841.45180000004</v>
      </c>
    </row>
    <row r="443" spans="1:12" ht="15">
      <c r="A443" s="21">
        <v>40977</v>
      </c>
      <c r="B443" s="21">
        <v>40969</v>
      </c>
      <c r="C443" s="17">
        <v>35</v>
      </c>
      <c r="D443" s="17" t="s">
        <v>92</v>
      </c>
      <c r="E443" s="18">
        <v>103681</v>
      </c>
      <c r="F443" s="17" t="s">
        <v>91</v>
      </c>
      <c r="G443" s="14">
        <v>796310.66</v>
      </c>
      <c r="H443" s="14">
        <v>830562.80999999994</v>
      </c>
      <c r="I443" s="14">
        <v>830562.80999999994</v>
      </c>
      <c r="J443" s="22">
        <f>H443*(1+Assumptions!$B$6+IF(F443="Yes",Assumptions!$C$6,0))</f>
        <v>855479.69429999997</v>
      </c>
      <c r="K443" s="22">
        <f>H443*(1+Assumptions!$B$7+IF(F443="Yes",Assumptions!$C$7,0))</f>
        <v>872090.95049999992</v>
      </c>
      <c r="L443" s="22">
        <f>H443*(1+Assumptions!$B$8+IF(F443="Yes",Assumptions!$C$8,0))</f>
        <v>838868.43809999991</v>
      </c>
    </row>
    <row r="444" spans="1:12" ht="15">
      <c r="A444" s="21">
        <v>40977</v>
      </c>
      <c r="B444" s="21">
        <v>40969</v>
      </c>
      <c r="C444" s="17">
        <v>36</v>
      </c>
      <c r="D444" s="17" t="s">
        <v>90</v>
      </c>
      <c r="E444" s="18">
        <v>39910</v>
      </c>
      <c r="F444" s="17" t="s">
        <v>91</v>
      </c>
      <c r="G444" s="14">
        <v>318570.37</v>
      </c>
      <c r="H444" s="14">
        <v>407146.67</v>
      </c>
      <c r="I444" s="14">
        <v>407146.67</v>
      </c>
      <c r="J444" s="22">
        <f>H444*(1+Assumptions!$B$6+IF(F444="Yes",Assumptions!$C$6,0))</f>
        <v>419361.07010000001</v>
      </c>
      <c r="K444" s="22">
        <f>H444*(1+Assumptions!$B$7+IF(F444="Yes",Assumptions!$C$7,0))</f>
        <v>427504.00349999999</v>
      </c>
      <c r="L444" s="22">
        <f>H444*(1+Assumptions!$B$8+IF(F444="Yes",Assumptions!$C$8,0))</f>
        <v>411218.13669999997</v>
      </c>
    </row>
    <row r="445" spans="1:12" ht="15">
      <c r="A445" s="21">
        <v>40977</v>
      </c>
      <c r="B445" s="21">
        <v>40969</v>
      </c>
      <c r="C445" s="17">
        <v>37</v>
      </c>
      <c r="D445" s="17" t="s">
        <v>93</v>
      </c>
      <c r="E445" s="18">
        <v>39910</v>
      </c>
      <c r="F445" s="17" t="s">
        <v>91</v>
      </c>
      <c r="G445" s="14">
        <v>535900.11</v>
      </c>
      <c r="H445" s="14">
        <v>505592.14</v>
      </c>
      <c r="I445" s="14">
        <v>505592.14</v>
      </c>
      <c r="J445" s="22">
        <f>H445*(1+Assumptions!$B$6+IF(F445="Yes",Assumptions!$C$6,0))</f>
        <v>520759.90420000005</v>
      </c>
      <c r="K445" s="22">
        <f>H445*(1+Assumptions!$B$7+IF(F445="Yes",Assumptions!$C$7,0))</f>
        <v>530871.74700000009</v>
      </c>
      <c r="L445" s="22">
        <f>H445*(1+Assumptions!$B$8+IF(F445="Yes",Assumptions!$C$8,0))</f>
        <v>510648.06140000001</v>
      </c>
    </row>
    <row r="446" spans="1:12" ht="15">
      <c r="A446" s="21">
        <v>40977</v>
      </c>
      <c r="B446" s="21">
        <v>40969</v>
      </c>
      <c r="C446" s="17">
        <v>38</v>
      </c>
      <c r="D446" s="17" t="s">
        <v>93</v>
      </c>
      <c r="E446" s="18">
        <v>39690</v>
      </c>
      <c r="F446" s="17" t="s">
        <v>91</v>
      </c>
      <c r="G446" s="14">
        <v>452650.23</v>
      </c>
      <c r="H446" s="14">
        <v>357835.54</v>
      </c>
      <c r="I446" s="14">
        <v>357835.54</v>
      </c>
      <c r="J446" s="22">
        <f>H446*(1+Assumptions!$B$6+IF(F446="Yes",Assumptions!$C$6,0))</f>
        <v>368570.60619999998</v>
      </c>
      <c r="K446" s="22">
        <f>H446*(1+Assumptions!$B$7+IF(F446="Yes",Assumptions!$C$7,0))</f>
        <v>375727.31699999998</v>
      </c>
      <c r="L446" s="22">
        <f>H446*(1+Assumptions!$B$8+IF(F446="Yes",Assumptions!$C$8,0))</f>
        <v>361413.89539999998</v>
      </c>
    </row>
    <row r="447" spans="1:12" ht="15">
      <c r="A447" s="21">
        <v>40977</v>
      </c>
      <c r="B447" s="21">
        <v>40969</v>
      </c>
      <c r="C447" s="17">
        <v>39</v>
      </c>
      <c r="D447" s="17" t="s">
        <v>90</v>
      </c>
      <c r="E447" s="18">
        <v>184109</v>
      </c>
      <c r="F447" s="17" t="s">
        <v>91</v>
      </c>
      <c r="G447" s="14">
        <v>1470764.35</v>
      </c>
      <c r="H447" s="14">
        <v>1283540.21</v>
      </c>
      <c r="I447" s="14">
        <v>1283540.21</v>
      </c>
      <c r="J447" s="22">
        <f>H447*(1+Assumptions!$B$6+IF(F447="Yes",Assumptions!$C$6,0))</f>
        <v>1322046.4162999999</v>
      </c>
      <c r="K447" s="22">
        <f>H447*(1+Assumptions!$B$7+IF(F447="Yes",Assumptions!$C$7,0))</f>
        <v>1347717.2205000001</v>
      </c>
      <c r="L447" s="22">
        <f>H447*(1+Assumptions!$B$8+IF(F447="Yes",Assumptions!$C$8,0))</f>
        <v>1296375.6121</v>
      </c>
    </row>
    <row r="448" spans="1:12" ht="15">
      <c r="A448" s="21">
        <v>40977</v>
      </c>
      <c r="B448" s="21">
        <v>40969</v>
      </c>
      <c r="C448" s="17">
        <v>40</v>
      </c>
      <c r="D448" s="17" t="s">
        <v>90</v>
      </c>
      <c r="E448" s="18">
        <v>155083</v>
      </c>
      <c r="F448" s="17" t="s">
        <v>91</v>
      </c>
      <c r="G448" s="14">
        <v>954198.23</v>
      </c>
      <c r="H448" s="14">
        <v>860170.58</v>
      </c>
      <c r="I448" s="14">
        <v>860170.58</v>
      </c>
      <c r="J448" s="22">
        <f>H448*(1+Assumptions!$B$6+IF(F448="Yes",Assumptions!$C$6,0))</f>
        <v>885975.69739999995</v>
      </c>
      <c r="K448" s="22">
        <f>H448*(1+Assumptions!$B$7+IF(F448="Yes",Assumptions!$C$7,0))</f>
        <v>903179.10899999994</v>
      </c>
      <c r="L448" s="22">
        <f>H448*(1+Assumptions!$B$8+IF(F448="Yes",Assumptions!$C$8,0))</f>
        <v>868772.28579999995</v>
      </c>
    </row>
    <row r="449" spans="1:12" ht="15">
      <c r="A449" s="21">
        <v>40977</v>
      </c>
      <c r="B449" s="21">
        <v>40969</v>
      </c>
      <c r="C449" s="17">
        <v>41</v>
      </c>
      <c r="D449" s="17" t="s">
        <v>90</v>
      </c>
      <c r="E449" s="18">
        <v>196321</v>
      </c>
      <c r="F449" s="17" t="s">
        <v>91</v>
      </c>
      <c r="G449" s="14">
        <v>1243814.77</v>
      </c>
      <c r="H449" s="14">
        <v>1159033.52</v>
      </c>
      <c r="I449" s="14">
        <v>1159033.52</v>
      </c>
      <c r="J449" s="22">
        <f>H449*(1+Assumptions!$B$6+IF(F449="Yes",Assumptions!$C$6,0))</f>
        <v>1193804.5256000001</v>
      </c>
      <c r="K449" s="22">
        <f>H449*(1+Assumptions!$B$7+IF(F449="Yes",Assumptions!$C$7,0))</f>
        <v>1216985.196</v>
      </c>
      <c r="L449" s="22">
        <f>H449*(1+Assumptions!$B$8+IF(F449="Yes",Assumptions!$C$8,0))</f>
        <v>1170623.8552000001</v>
      </c>
    </row>
    <row r="450" spans="1:12" ht="15">
      <c r="A450" s="21">
        <v>40977</v>
      </c>
      <c r="B450" s="21">
        <v>40969</v>
      </c>
      <c r="C450" s="17">
        <v>42</v>
      </c>
      <c r="D450" s="17" t="s">
        <v>93</v>
      </c>
      <c r="E450" s="18">
        <v>39690</v>
      </c>
      <c r="F450" s="17" t="s">
        <v>91</v>
      </c>
      <c r="G450" s="14">
        <v>659354.57999999996</v>
      </c>
      <c r="H450" s="14">
        <v>607294.56000000006</v>
      </c>
      <c r="I450" s="14">
        <v>607294.56000000006</v>
      </c>
      <c r="J450" s="22">
        <f>H450*(1+Assumptions!$B$6+IF(F450="Yes",Assumptions!$C$6,0))</f>
        <v>625513.3968000001</v>
      </c>
      <c r="K450" s="22">
        <f>H450*(1+Assumptions!$B$7+IF(F450="Yes",Assumptions!$C$7,0))</f>
        <v>637659.28800000006</v>
      </c>
      <c r="L450" s="22">
        <f>H450*(1+Assumptions!$B$8+IF(F450="Yes",Assumptions!$C$8,0))</f>
        <v>613367.50560000003</v>
      </c>
    </row>
    <row r="451" spans="1:12" ht="15">
      <c r="A451" s="21">
        <v>40977</v>
      </c>
      <c r="B451" s="21">
        <v>40969</v>
      </c>
      <c r="C451" s="17">
        <v>43</v>
      </c>
      <c r="D451" s="17" t="s">
        <v>93</v>
      </c>
      <c r="E451" s="18">
        <v>41062</v>
      </c>
      <c r="F451" s="17" t="s">
        <v>91</v>
      </c>
      <c r="G451" s="14">
        <v>635387.91</v>
      </c>
      <c r="H451" s="14">
        <v>628876.05000000005</v>
      </c>
      <c r="I451" s="14">
        <v>628876.05000000005</v>
      </c>
      <c r="J451" s="22">
        <f>H451*(1+Assumptions!$B$6+IF(F451="Yes",Assumptions!$C$6,0))</f>
        <v>647742.33150000009</v>
      </c>
      <c r="K451" s="22">
        <f>H451*(1+Assumptions!$B$7+IF(F451="Yes",Assumptions!$C$7,0))</f>
        <v>660319.85250000004</v>
      </c>
      <c r="L451" s="22">
        <f>H451*(1+Assumptions!$B$8+IF(F451="Yes",Assumptions!$C$8,0))</f>
        <v>635164.81050000002</v>
      </c>
    </row>
    <row r="452" spans="1:12" ht="15">
      <c r="A452" s="21">
        <v>40977</v>
      </c>
      <c r="B452" s="21">
        <v>40969</v>
      </c>
      <c r="C452" s="17">
        <v>44</v>
      </c>
      <c r="D452" s="17" t="s">
        <v>93</v>
      </c>
      <c r="E452" s="18">
        <v>39910</v>
      </c>
      <c r="F452" s="17" t="s">
        <v>91</v>
      </c>
      <c r="G452" s="14">
        <v>303255.44</v>
      </c>
      <c r="H452" s="14">
        <v>284480.14</v>
      </c>
      <c r="I452" s="14">
        <v>284480.14</v>
      </c>
      <c r="J452" s="22">
        <f>H452*(1+Assumptions!$B$6+IF(F452="Yes",Assumptions!$C$6,0))</f>
        <v>293014.5442</v>
      </c>
      <c r="K452" s="22">
        <f>H452*(1+Assumptions!$B$7+IF(F452="Yes",Assumptions!$C$7,0))</f>
        <v>298704.14700000006</v>
      </c>
      <c r="L452" s="22">
        <f>H452*(1+Assumptions!$B$8+IF(F452="Yes",Assumptions!$C$8,0))</f>
        <v>287324.94140000001</v>
      </c>
    </row>
    <row r="453" spans="1:12" ht="15">
      <c r="A453" s="21">
        <v>40977</v>
      </c>
      <c r="B453" s="21">
        <v>40969</v>
      </c>
      <c r="C453" s="17">
        <v>45</v>
      </c>
      <c r="D453" s="17" t="s">
        <v>92</v>
      </c>
      <c r="E453" s="18">
        <v>118221</v>
      </c>
      <c r="F453" s="17" t="s">
        <v>91</v>
      </c>
      <c r="G453" s="14">
        <v>775856.87</v>
      </c>
      <c r="H453" s="14">
        <v>714014.73</v>
      </c>
      <c r="I453" s="14">
        <v>714014.73</v>
      </c>
      <c r="J453" s="22">
        <f>H453*(1+Assumptions!$B$6+IF(F453="Yes",Assumptions!$C$6,0))</f>
        <v>735435.17189999996</v>
      </c>
      <c r="K453" s="22">
        <f>H453*(1+Assumptions!$B$7+IF(F453="Yes",Assumptions!$C$7,0))</f>
        <v>749715.46649999998</v>
      </c>
      <c r="L453" s="22">
        <f>H453*(1+Assumptions!$B$8+IF(F453="Yes",Assumptions!$C$8,0))</f>
        <v>721154.87729999993</v>
      </c>
    </row>
    <row r="454" spans="1:12" ht="15">
      <c r="A454" s="21">
        <v>40984</v>
      </c>
      <c r="B454" s="21">
        <v>40969</v>
      </c>
      <c r="C454" s="17">
        <v>1</v>
      </c>
      <c r="D454" s="17" t="s">
        <v>90</v>
      </c>
      <c r="E454" s="18">
        <v>151315</v>
      </c>
      <c r="F454" s="17" t="s">
        <v>91</v>
      </c>
      <c r="G454" s="14">
        <v>1677671.78</v>
      </c>
      <c r="H454" s="14">
        <v>1576806.59</v>
      </c>
      <c r="I454" s="14">
        <v>1576806.59</v>
      </c>
      <c r="J454" s="22">
        <f>H454*(1+Assumptions!$B$6+IF(F454="Yes",Assumptions!$C$6,0))</f>
        <v>1624110.7877000002</v>
      </c>
      <c r="K454" s="22">
        <f>H454*(1+Assumptions!$B$7+IF(F454="Yes",Assumptions!$C$7,0))</f>
        <v>1655646.9195000001</v>
      </c>
      <c r="L454" s="22">
        <f>H454*(1+Assumptions!$B$8+IF(F454="Yes",Assumptions!$C$8,0))</f>
        <v>1592574.6559000001</v>
      </c>
    </row>
    <row r="455" spans="1:12" ht="15">
      <c r="A455" s="21">
        <v>40984</v>
      </c>
      <c r="B455" s="21">
        <v>40969</v>
      </c>
      <c r="C455" s="17">
        <v>2</v>
      </c>
      <c r="D455" s="17" t="s">
        <v>90</v>
      </c>
      <c r="E455" s="18">
        <v>202307</v>
      </c>
      <c r="F455" s="17" t="s">
        <v>91</v>
      </c>
      <c r="G455" s="14">
        <v>1976082.13</v>
      </c>
      <c r="H455" s="14">
        <v>1902555.16</v>
      </c>
      <c r="I455" s="14">
        <v>1902555.16</v>
      </c>
      <c r="J455" s="22">
        <f>H455*(1+Assumptions!$B$6+IF(F455="Yes",Assumptions!$C$6,0))</f>
        <v>1959631.8148000001</v>
      </c>
      <c r="K455" s="22">
        <f>H455*(1+Assumptions!$B$7+IF(F455="Yes",Assumptions!$C$7,0))</f>
        <v>1997682.9180000001</v>
      </c>
      <c r="L455" s="22">
        <f>H455*(1+Assumptions!$B$8+IF(F455="Yes",Assumptions!$C$8,0))</f>
        <v>1921580.7116</v>
      </c>
    </row>
    <row r="456" spans="1:12" ht="15">
      <c r="A456" s="21">
        <v>40984</v>
      </c>
      <c r="B456" s="21">
        <v>40969</v>
      </c>
      <c r="C456" s="17">
        <v>3</v>
      </c>
      <c r="D456" s="17" t="s">
        <v>92</v>
      </c>
      <c r="E456" s="18">
        <v>37392</v>
      </c>
      <c r="F456" s="17" t="s">
        <v>91</v>
      </c>
      <c r="G456" s="14">
        <v>411552.98</v>
      </c>
      <c r="H456" s="14">
        <v>392109.51</v>
      </c>
      <c r="I456" s="14">
        <v>392109.51</v>
      </c>
      <c r="J456" s="22">
        <f>H456*(1+Assumptions!$B$6+IF(F456="Yes",Assumptions!$C$6,0))</f>
        <v>403872.7953</v>
      </c>
      <c r="K456" s="22">
        <f>H456*(1+Assumptions!$B$7+IF(F456="Yes",Assumptions!$C$7,0))</f>
        <v>411714.98550000001</v>
      </c>
      <c r="L456" s="22">
        <f>H456*(1+Assumptions!$B$8+IF(F456="Yes",Assumptions!$C$8,0))</f>
        <v>396030.60509999999</v>
      </c>
    </row>
    <row r="457" spans="1:12" ht="15">
      <c r="A457" s="21">
        <v>40984</v>
      </c>
      <c r="B457" s="21">
        <v>40969</v>
      </c>
      <c r="C457" s="17">
        <v>4</v>
      </c>
      <c r="D457" s="17" t="s">
        <v>90</v>
      </c>
      <c r="E457" s="18">
        <v>205863</v>
      </c>
      <c r="F457" s="17" t="s">
        <v>91</v>
      </c>
      <c r="G457" s="14">
        <v>2214967.44</v>
      </c>
      <c r="H457" s="14">
        <v>2116464.91</v>
      </c>
      <c r="I457" s="14">
        <v>2116464.91</v>
      </c>
      <c r="J457" s="22">
        <f>H457*(1+Assumptions!$B$6+IF(F457="Yes",Assumptions!$C$6,0))</f>
        <v>2179958.8573000003</v>
      </c>
      <c r="K457" s="22">
        <f>H457*(1+Assumptions!$B$7+IF(F457="Yes",Assumptions!$C$7,0))</f>
        <v>2222288.1555000003</v>
      </c>
      <c r="L457" s="22">
        <f>H457*(1+Assumptions!$B$8+IF(F457="Yes",Assumptions!$C$8,0))</f>
        <v>2137629.5591000002</v>
      </c>
    </row>
    <row r="458" spans="1:12" ht="15">
      <c r="A458" s="21">
        <v>40984</v>
      </c>
      <c r="B458" s="21">
        <v>40969</v>
      </c>
      <c r="C458" s="17">
        <v>5</v>
      </c>
      <c r="D458" s="17" t="s">
        <v>92</v>
      </c>
      <c r="E458" s="18">
        <v>34875</v>
      </c>
      <c r="F458" s="17" t="s">
        <v>91</v>
      </c>
      <c r="G458" s="14">
        <v>339371.75</v>
      </c>
      <c r="H458" s="14">
        <v>312130.44</v>
      </c>
      <c r="I458" s="14">
        <v>312130.44</v>
      </c>
      <c r="J458" s="22">
        <f>H458*(1+Assumptions!$B$6+IF(F458="Yes",Assumptions!$C$6,0))</f>
        <v>321494.35320000001</v>
      </c>
      <c r="K458" s="22">
        <f>H458*(1+Assumptions!$B$7+IF(F458="Yes",Assumptions!$C$7,0))</f>
        <v>327736.962</v>
      </c>
      <c r="L458" s="22">
        <f>H458*(1+Assumptions!$B$8+IF(F458="Yes",Assumptions!$C$8,0))</f>
        <v>315251.74440000003</v>
      </c>
    </row>
    <row r="459" spans="1:12" ht="15">
      <c r="A459" s="21">
        <v>40984</v>
      </c>
      <c r="B459" s="21">
        <v>40969</v>
      </c>
      <c r="C459" s="17">
        <v>6</v>
      </c>
      <c r="D459" s="17" t="s">
        <v>90</v>
      </c>
      <c r="E459" s="18">
        <v>202505</v>
      </c>
      <c r="F459" s="17" t="s">
        <v>91</v>
      </c>
      <c r="G459" s="14">
        <v>1748010.29</v>
      </c>
      <c r="H459" s="14">
        <v>1685237.83</v>
      </c>
      <c r="I459" s="14">
        <v>1685237.83</v>
      </c>
      <c r="J459" s="22">
        <f>H459*(1+Assumptions!$B$6+IF(F459="Yes",Assumptions!$C$6,0))</f>
        <v>1735794.9649</v>
      </c>
      <c r="K459" s="22">
        <f>H459*(1+Assumptions!$B$7+IF(F459="Yes",Assumptions!$C$7,0))</f>
        <v>1769499.7215000002</v>
      </c>
      <c r="L459" s="22">
        <f>H459*(1+Assumptions!$B$8+IF(F459="Yes",Assumptions!$C$8,0))</f>
        <v>1702090.2083000001</v>
      </c>
    </row>
    <row r="460" spans="1:12" ht="15">
      <c r="A460" s="21">
        <v>40984</v>
      </c>
      <c r="B460" s="21">
        <v>40969</v>
      </c>
      <c r="C460" s="17">
        <v>7</v>
      </c>
      <c r="D460" s="17" t="s">
        <v>92</v>
      </c>
      <c r="E460" s="18">
        <v>70713</v>
      </c>
      <c r="F460" s="17" t="s">
        <v>91</v>
      </c>
      <c r="G460" s="14">
        <v>666548.9</v>
      </c>
      <c r="H460" s="14">
        <v>634877.77</v>
      </c>
      <c r="I460" s="14">
        <v>634877.77</v>
      </c>
      <c r="J460" s="22">
        <f>H460*(1+Assumptions!$B$6+IF(F460="Yes",Assumptions!$C$6,0))</f>
        <v>653924.10310000007</v>
      </c>
      <c r="K460" s="22">
        <f>H460*(1+Assumptions!$B$7+IF(F460="Yes",Assumptions!$C$7,0))</f>
        <v>666621.65850000002</v>
      </c>
      <c r="L460" s="22">
        <f>H460*(1+Assumptions!$B$8+IF(F460="Yes",Assumptions!$C$8,0))</f>
        <v>641226.5477</v>
      </c>
    </row>
    <row r="461" spans="1:12" ht="15">
      <c r="A461" s="21">
        <v>40984</v>
      </c>
      <c r="B461" s="21">
        <v>40969</v>
      </c>
      <c r="C461" s="17">
        <v>8</v>
      </c>
      <c r="D461" s="17" t="s">
        <v>90</v>
      </c>
      <c r="E461" s="18">
        <v>155078</v>
      </c>
      <c r="F461" s="17" t="s">
        <v>91</v>
      </c>
      <c r="G461" s="14">
        <v>921177.39</v>
      </c>
      <c r="H461" s="14">
        <v>898289.14</v>
      </c>
      <c r="I461" s="14">
        <v>898289.14</v>
      </c>
      <c r="J461" s="22">
        <f>H461*(1+Assumptions!$B$6+IF(F461="Yes",Assumptions!$C$6,0))</f>
        <v>925237.81420000002</v>
      </c>
      <c r="K461" s="22">
        <f>H461*(1+Assumptions!$B$7+IF(F461="Yes",Assumptions!$C$7,0))</f>
        <v>943203.59700000007</v>
      </c>
      <c r="L461" s="22">
        <f>H461*(1+Assumptions!$B$8+IF(F461="Yes",Assumptions!$C$8,0))</f>
        <v>907272.03139999998</v>
      </c>
    </row>
    <row r="462" spans="1:12" ht="15">
      <c r="A462" s="21">
        <v>40984</v>
      </c>
      <c r="B462" s="21">
        <v>40969</v>
      </c>
      <c r="C462" s="17">
        <v>9</v>
      </c>
      <c r="D462" s="17" t="s">
        <v>92</v>
      </c>
      <c r="E462" s="18">
        <v>125833</v>
      </c>
      <c r="F462" s="17" t="s">
        <v>91</v>
      </c>
      <c r="G462" s="14">
        <v>550058.72</v>
      </c>
      <c r="H462" s="14">
        <v>514777.96</v>
      </c>
      <c r="I462" s="14">
        <v>514777.96</v>
      </c>
      <c r="J462" s="22">
        <f>H462*(1+Assumptions!$B$6+IF(F462="Yes",Assumptions!$C$6,0))</f>
        <v>530221.29879999999</v>
      </c>
      <c r="K462" s="22">
        <f>H462*(1+Assumptions!$B$7+IF(F462="Yes",Assumptions!$C$7,0))</f>
        <v>540516.85800000001</v>
      </c>
      <c r="L462" s="22">
        <f>H462*(1+Assumptions!$B$8+IF(F462="Yes",Assumptions!$C$8,0))</f>
        <v>519925.73960000003</v>
      </c>
    </row>
    <row r="463" spans="1:12" ht="15">
      <c r="A463" s="21">
        <v>40984</v>
      </c>
      <c r="B463" s="21">
        <v>40969</v>
      </c>
      <c r="C463" s="17">
        <v>10</v>
      </c>
      <c r="D463" s="17" t="s">
        <v>92</v>
      </c>
      <c r="E463" s="18">
        <v>126512</v>
      </c>
      <c r="F463" s="17" t="s">
        <v>91</v>
      </c>
      <c r="G463" s="14">
        <v>1931038.66</v>
      </c>
      <c r="H463" s="14">
        <v>1884662.02</v>
      </c>
      <c r="I463" s="14">
        <v>1884662.02</v>
      </c>
      <c r="J463" s="22">
        <f>H463*(1+Assumptions!$B$6+IF(F463="Yes",Assumptions!$C$6,0))</f>
        <v>1941201.8806</v>
      </c>
      <c r="K463" s="22">
        <f>H463*(1+Assumptions!$B$7+IF(F463="Yes",Assumptions!$C$7,0))</f>
        <v>1978895.121</v>
      </c>
      <c r="L463" s="22">
        <f>H463*(1+Assumptions!$B$8+IF(F463="Yes",Assumptions!$C$8,0))</f>
        <v>1903508.6402</v>
      </c>
    </row>
    <row r="464" spans="1:12" ht="15">
      <c r="A464" s="21">
        <v>40984</v>
      </c>
      <c r="B464" s="21">
        <v>40969</v>
      </c>
      <c r="C464" s="17">
        <v>11</v>
      </c>
      <c r="D464" s="17" t="s">
        <v>90</v>
      </c>
      <c r="E464" s="18">
        <v>207499</v>
      </c>
      <c r="F464" s="17" t="s">
        <v>91</v>
      </c>
      <c r="G464" s="14">
        <v>1439297.62</v>
      </c>
      <c r="H464" s="14">
        <v>1391803.22</v>
      </c>
      <c r="I464" s="14">
        <v>1391803.22</v>
      </c>
      <c r="J464" s="22">
        <f>H464*(1+Assumptions!$B$6+IF(F464="Yes",Assumptions!$C$6,0))</f>
        <v>1433557.3166</v>
      </c>
      <c r="K464" s="22">
        <f>H464*(1+Assumptions!$B$7+IF(F464="Yes",Assumptions!$C$7,0))</f>
        <v>1461393.3810000001</v>
      </c>
      <c r="L464" s="22">
        <f>H464*(1+Assumptions!$B$8+IF(F464="Yes",Assumptions!$C$8,0))</f>
        <v>1405721.2522</v>
      </c>
    </row>
    <row r="465" spans="1:12" ht="15">
      <c r="A465" s="21">
        <v>40984</v>
      </c>
      <c r="B465" s="21">
        <v>40969</v>
      </c>
      <c r="C465" s="17">
        <v>12</v>
      </c>
      <c r="D465" s="17" t="s">
        <v>92</v>
      </c>
      <c r="E465" s="18">
        <v>112238</v>
      </c>
      <c r="F465" s="17" t="s">
        <v>91</v>
      </c>
      <c r="G465" s="14">
        <v>1088442.0900000001</v>
      </c>
      <c r="H465" s="14">
        <v>1009502.01</v>
      </c>
      <c r="I465" s="14">
        <v>1009502.01</v>
      </c>
      <c r="J465" s="22">
        <f>H465*(1+Assumptions!$B$6+IF(F465="Yes",Assumptions!$C$6,0))</f>
        <v>1039787.0703</v>
      </c>
      <c r="K465" s="22">
        <f>H465*(1+Assumptions!$B$7+IF(F465="Yes",Assumptions!$C$7,0))</f>
        <v>1059977.1105</v>
      </c>
      <c r="L465" s="22">
        <f>H465*(1+Assumptions!$B$8+IF(F465="Yes",Assumptions!$C$8,0))</f>
        <v>1019597.0301</v>
      </c>
    </row>
    <row r="466" spans="1:12" ht="15">
      <c r="A466" s="21">
        <v>40984</v>
      </c>
      <c r="B466" s="21">
        <v>40969</v>
      </c>
      <c r="C466" s="17">
        <v>13</v>
      </c>
      <c r="D466" s="17" t="s">
        <v>90</v>
      </c>
      <c r="E466" s="18">
        <v>219622</v>
      </c>
      <c r="F466" s="17" t="s">
        <v>91</v>
      </c>
      <c r="G466" s="14">
        <v>2025555.74</v>
      </c>
      <c r="H466" s="14">
        <v>1852443.78</v>
      </c>
      <c r="I466" s="14">
        <v>1852443.78</v>
      </c>
      <c r="J466" s="22">
        <f>H466*(1+Assumptions!$B$6+IF(F466="Yes",Assumptions!$C$6,0))</f>
        <v>1908017.0934000001</v>
      </c>
      <c r="K466" s="22">
        <f>H466*(1+Assumptions!$B$7+IF(F466="Yes",Assumptions!$C$7,0))</f>
        <v>1945065.969</v>
      </c>
      <c r="L466" s="22">
        <f>H466*(1+Assumptions!$B$8+IF(F466="Yes",Assumptions!$C$8,0))</f>
        <v>1870968.2178</v>
      </c>
    </row>
    <row r="467" spans="1:12" ht="15">
      <c r="A467" s="21">
        <v>40984</v>
      </c>
      <c r="B467" s="21">
        <v>40969</v>
      </c>
      <c r="C467" s="17">
        <v>14</v>
      </c>
      <c r="D467" s="17" t="s">
        <v>90</v>
      </c>
      <c r="E467" s="18">
        <v>200898</v>
      </c>
      <c r="F467" s="17" t="s">
        <v>91</v>
      </c>
      <c r="G467" s="14">
        <v>1941149.5</v>
      </c>
      <c r="H467" s="14">
        <v>1932491.42</v>
      </c>
      <c r="I467" s="14">
        <v>1932491.42</v>
      </c>
      <c r="J467" s="22">
        <f>H467*(1+Assumptions!$B$6+IF(F467="Yes",Assumptions!$C$6,0))</f>
        <v>1990466.1625999999</v>
      </c>
      <c r="K467" s="22">
        <f>H467*(1+Assumptions!$B$7+IF(F467="Yes",Assumptions!$C$7,0))</f>
        <v>2029115.9909999999</v>
      </c>
      <c r="L467" s="22">
        <f>H467*(1+Assumptions!$B$8+IF(F467="Yes",Assumptions!$C$8,0))</f>
        <v>1951816.3341999999</v>
      </c>
    </row>
    <row r="468" spans="1:12" ht="15">
      <c r="A468" s="21">
        <v>40984</v>
      </c>
      <c r="B468" s="21">
        <v>40969</v>
      </c>
      <c r="C468" s="17">
        <v>15</v>
      </c>
      <c r="D468" s="17" t="s">
        <v>92</v>
      </c>
      <c r="E468" s="18">
        <v>123737</v>
      </c>
      <c r="F468" s="17" t="s">
        <v>91</v>
      </c>
      <c r="G468" s="14">
        <v>570370.43000000005</v>
      </c>
      <c r="H468" s="14">
        <v>551187.99</v>
      </c>
      <c r="I468" s="14">
        <v>551187.99</v>
      </c>
      <c r="J468" s="22">
        <f>H468*(1+Assumptions!$B$6+IF(F468="Yes",Assumptions!$C$6,0))</f>
        <v>567723.62970000005</v>
      </c>
      <c r="K468" s="22">
        <f>H468*(1+Assumptions!$B$7+IF(F468="Yes",Assumptions!$C$7,0))</f>
        <v>578747.38950000005</v>
      </c>
      <c r="L468" s="22">
        <f>H468*(1+Assumptions!$B$8+IF(F468="Yes",Assumptions!$C$8,0))</f>
        <v>556699.86990000005</v>
      </c>
    </row>
    <row r="469" spans="1:12" ht="15">
      <c r="A469" s="21">
        <v>40984</v>
      </c>
      <c r="B469" s="21">
        <v>40969</v>
      </c>
      <c r="C469" s="17">
        <v>16</v>
      </c>
      <c r="D469" s="17" t="s">
        <v>92</v>
      </c>
      <c r="E469" s="18">
        <v>57197</v>
      </c>
      <c r="F469" s="17" t="s">
        <v>91</v>
      </c>
      <c r="G469" s="14">
        <v>517315.14</v>
      </c>
      <c r="H469" s="14">
        <v>497293.57</v>
      </c>
      <c r="I469" s="14">
        <v>497293.57</v>
      </c>
      <c r="J469" s="22">
        <f>H469*(1+Assumptions!$B$6+IF(F469="Yes",Assumptions!$C$6,0))</f>
        <v>512212.37710000004</v>
      </c>
      <c r="K469" s="22">
        <f>H469*(1+Assumptions!$B$7+IF(F469="Yes",Assumptions!$C$7,0))</f>
        <v>522158.24850000005</v>
      </c>
      <c r="L469" s="22">
        <f>H469*(1+Assumptions!$B$8+IF(F469="Yes",Assumptions!$C$8,0))</f>
        <v>502266.50570000004</v>
      </c>
    </row>
    <row r="470" spans="1:12" ht="15">
      <c r="A470" s="21">
        <v>40984</v>
      </c>
      <c r="B470" s="21">
        <v>40969</v>
      </c>
      <c r="C470" s="17">
        <v>17</v>
      </c>
      <c r="D470" s="17" t="s">
        <v>92</v>
      </c>
      <c r="E470" s="18">
        <v>93188</v>
      </c>
      <c r="F470" s="17" t="s">
        <v>91</v>
      </c>
      <c r="G470" s="14">
        <v>852659.72</v>
      </c>
      <c r="H470" s="14">
        <v>778314.97</v>
      </c>
      <c r="I470" s="14">
        <v>778314.97</v>
      </c>
      <c r="J470" s="22">
        <f>H470*(1+Assumptions!$B$6+IF(F470="Yes",Assumptions!$C$6,0))</f>
        <v>801664.41909999994</v>
      </c>
      <c r="K470" s="22">
        <f>H470*(1+Assumptions!$B$7+IF(F470="Yes",Assumptions!$C$7,0))</f>
        <v>817230.71849999996</v>
      </c>
      <c r="L470" s="22">
        <f>H470*(1+Assumptions!$B$8+IF(F470="Yes",Assumptions!$C$8,0))</f>
        <v>786098.11969999992</v>
      </c>
    </row>
    <row r="471" spans="1:12" ht="15">
      <c r="A471" s="21">
        <v>40984</v>
      </c>
      <c r="B471" s="21">
        <v>40969</v>
      </c>
      <c r="C471" s="17">
        <v>18</v>
      </c>
      <c r="D471" s="17" t="s">
        <v>92</v>
      </c>
      <c r="E471" s="18">
        <v>120653</v>
      </c>
      <c r="F471" s="17" t="s">
        <v>91</v>
      </c>
      <c r="G471" s="14">
        <v>1020383.18</v>
      </c>
      <c r="H471" s="14">
        <v>945889.59</v>
      </c>
      <c r="I471" s="14">
        <v>945889.59</v>
      </c>
      <c r="J471" s="22">
        <f>H471*(1+Assumptions!$B$6+IF(F471="Yes",Assumptions!$C$6,0))</f>
        <v>974266.27769999998</v>
      </c>
      <c r="K471" s="22">
        <f>H471*(1+Assumptions!$B$7+IF(F471="Yes",Assumptions!$C$7,0))</f>
        <v>993184.06949999998</v>
      </c>
      <c r="L471" s="22">
        <f>H471*(1+Assumptions!$B$8+IF(F471="Yes",Assumptions!$C$8,0))</f>
        <v>955348.48589999997</v>
      </c>
    </row>
    <row r="472" spans="1:12" ht="15">
      <c r="A472" s="21">
        <v>40984</v>
      </c>
      <c r="B472" s="21">
        <v>40969</v>
      </c>
      <c r="C472" s="17">
        <v>19</v>
      </c>
      <c r="D472" s="17" t="s">
        <v>90</v>
      </c>
      <c r="E472" s="18">
        <v>203819</v>
      </c>
      <c r="F472" s="17" t="s">
        <v>91</v>
      </c>
      <c r="G472" s="14">
        <v>1312856.04</v>
      </c>
      <c r="H472" s="14">
        <v>1257972.3699999999</v>
      </c>
      <c r="I472" s="14">
        <v>1257972.3699999999</v>
      </c>
      <c r="J472" s="22">
        <f>H472*(1+Assumptions!$B$6+IF(F472="Yes",Assumptions!$C$6,0))</f>
        <v>1295711.5410999998</v>
      </c>
      <c r="K472" s="22">
        <f>H472*(1+Assumptions!$B$7+IF(F472="Yes",Assumptions!$C$7,0))</f>
        <v>1320870.9885</v>
      </c>
      <c r="L472" s="22">
        <f>H472*(1+Assumptions!$B$8+IF(F472="Yes",Assumptions!$C$8,0))</f>
        <v>1270552.0936999999</v>
      </c>
    </row>
    <row r="473" spans="1:12" ht="15">
      <c r="A473" s="21">
        <v>40984</v>
      </c>
      <c r="B473" s="21">
        <v>40969</v>
      </c>
      <c r="C473" s="17">
        <v>20</v>
      </c>
      <c r="D473" s="17" t="s">
        <v>90</v>
      </c>
      <c r="E473" s="18">
        <v>203742</v>
      </c>
      <c r="F473" s="17" t="s">
        <v>91</v>
      </c>
      <c r="G473" s="14">
        <v>2064991.71</v>
      </c>
      <c r="H473" s="14">
        <v>1930137.64</v>
      </c>
      <c r="I473" s="14">
        <v>1930137.64</v>
      </c>
      <c r="J473" s="22">
        <f>H473*(1+Assumptions!$B$6+IF(F473="Yes",Assumptions!$C$6,0))</f>
        <v>1988041.7692</v>
      </c>
      <c r="K473" s="22">
        <f>H473*(1+Assumptions!$B$7+IF(F473="Yes",Assumptions!$C$7,0))</f>
        <v>2026644.5219999999</v>
      </c>
      <c r="L473" s="22">
        <f>H473*(1+Assumptions!$B$8+IF(F473="Yes",Assumptions!$C$8,0))</f>
        <v>1949439.0163999998</v>
      </c>
    </row>
    <row r="474" spans="1:12" ht="15">
      <c r="A474" s="21">
        <v>40984</v>
      </c>
      <c r="B474" s="21">
        <v>40969</v>
      </c>
      <c r="C474" s="17">
        <v>21</v>
      </c>
      <c r="D474" s="17" t="s">
        <v>92</v>
      </c>
      <c r="E474" s="18">
        <v>140167</v>
      </c>
      <c r="F474" s="17" t="s">
        <v>91</v>
      </c>
      <c r="G474" s="14">
        <v>767270.98</v>
      </c>
      <c r="H474" s="14">
        <v>793170</v>
      </c>
      <c r="I474" s="14">
        <v>793170</v>
      </c>
      <c r="J474" s="22">
        <f>H474*(1+Assumptions!$B$6+IF(F474="Yes",Assumptions!$C$6,0))</f>
        <v>816965.1</v>
      </c>
      <c r="K474" s="22">
        <f>H474*(1+Assumptions!$B$7+IF(F474="Yes",Assumptions!$C$7,0))</f>
        <v>832828.5</v>
      </c>
      <c r="L474" s="22">
        <f>H474*(1+Assumptions!$B$8+IF(F474="Yes",Assumptions!$C$8,0))</f>
        <v>801101.7</v>
      </c>
    </row>
    <row r="475" spans="1:12" ht="15">
      <c r="A475" s="21">
        <v>40984</v>
      </c>
      <c r="B475" s="21">
        <v>40969</v>
      </c>
      <c r="C475" s="17">
        <v>22</v>
      </c>
      <c r="D475" s="17" t="s">
        <v>92</v>
      </c>
      <c r="E475" s="18">
        <v>119557</v>
      </c>
      <c r="F475" s="17" t="s">
        <v>91</v>
      </c>
      <c r="G475" s="14">
        <v>965497.02</v>
      </c>
      <c r="H475" s="14">
        <v>926327.12</v>
      </c>
      <c r="I475" s="14">
        <v>926327.12</v>
      </c>
      <c r="J475" s="22">
        <f>H475*(1+Assumptions!$B$6+IF(F475="Yes",Assumptions!$C$6,0))</f>
        <v>954116.93359999999</v>
      </c>
      <c r="K475" s="22">
        <f>H475*(1+Assumptions!$B$7+IF(F475="Yes",Assumptions!$C$7,0))</f>
        <v>972643.47600000002</v>
      </c>
      <c r="L475" s="22">
        <f>H475*(1+Assumptions!$B$8+IF(F475="Yes",Assumptions!$C$8,0))</f>
        <v>935590.39119999995</v>
      </c>
    </row>
    <row r="476" spans="1:12" ht="15">
      <c r="A476" s="21">
        <v>40984</v>
      </c>
      <c r="B476" s="21">
        <v>40969</v>
      </c>
      <c r="C476" s="17">
        <v>23</v>
      </c>
      <c r="D476" s="17" t="s">
        <v>92</v>
      </c>
      <c r="E476" s="18">
        <v>114533</v>
      </c>
      <c r="F476" s="17" t="s">
        <v>91</v>
      </c>
      <c r="G476" s="14">
        <v>1258364.31</v>
      </c>
      <c r="H476" s="14">
        <v>1203682.6199999999</v>
      </c>
      <c r="I476" s="14">
        <v>1203682.6199999999</v>
      </c>
      <c r="J476" s="22">
        <f>H476*(1+Assumptions!$B$6+IF(F476="Yes",Assumptions!$C$6,0))</f>
        <v>1239793.0985999999</v>
      </c>
      <c r="K476" s="22">
        <f>H476*(1+Assumptions!$B$7+IF(F476="Yes",Assumptions!$C$7,0))</f>
        <v>1263866.7509999999</v>
      </c>
      <c r="L476" s="22">
        <f>H476*(1+Assumptions!$B$8+IF(F476="Yes",Assumptions!$C$8,0))</f>
        <v>1215719.4461999999</v>
      </c>
    </row>
    <row r="477" spans="1:12" ht="15">
      <c r="A477" s="21">
        <v>40984</v>
      </c>
      <c r="B477" s="21">
        <v>40969</v>
      </c>
      <c r="C477" s="17">
        <v>24</v>
      </c>
      <c r="D477" s="17" t="s">
        <v>90</v>
      </c>
      <c r="E477" s="18">
        <v>203819</v>
      </c>
      <c r="F477" s="17" t="s">
        <v>91</v>
      </c>
      <c r="G477" s="14">
        <v>1239299.1199999999</v>
      </c>
      <c r="H477" s="14">
        <v>1168397.26</v>
      </c>
      <c r="I477" s="14">
        <v>1168397.26</v>
      </c>
      <c r="J477" s="22">
        <f>H477*(1+Assumptions!$B$6+IF(F477="Yes",Assumptions!$C$6,0))</f>
        <v>1203449.1777999999</v>
      </c>
      <c r="K477" s="22">
        <f>H477*(1+Assumptions!$B$7+IF(F477="Yes",Assumptions!$C$7,0))</f>
        <v>1226817.1230000001</v>
      </c>
      <c r="L477" s="22">
        <f>H477*(1+Assumptions!$B$8+IF(F477="Yes",Assumptions!$C$8,0))</f>
        <v>1180081.2326</v>
      </c>
    </row>
    <row r="478" spans="1:12" ht="15">
      <c r="A478" s="21">
        <v>40984</v>
      </c>
      <c r="B478" s="21">
        <v>40969</v>
      </c>
      <c r="C478" s="17">
        <v>25</v>
      </c>
      <c r="D478" s="17" t="s">
        <v>92</v>
      </c>
      <c r="E478" s="18">
        <v>128107</v>
      </c>
      <c r="F478" s="17" t="s">
        <v>91</v>
      </c>
      <c r="G478" s="14">
        <v>636719.27</v>
      </c>
      <c r="H478" s="14">
        <v>603393.64</v>
      </c>
      <c r="I478" s="14">
        <v>603393.64</v>
      </c>
      <c r="J478" s="22">
        <f>H478*(1+Assumptions!$B$6+IF(F478="Yes",Assumptions!$C$6,0))</f>
        <v>621495.44920000003</v>
      </c>
      <c r="K478" s="22">
        <f>H478*(1+Assumptions!$B$7+IF(F478="Yes",Assumptions!$C$7,0))</f>
        <v>633563.32200000004</v>
      </c>
      <c r="L478" s="22">
        <f>H478*(1+Assumptions!$B$8+IF(F478="Yes",Assumptions!$C$8,0))</f>
        <v>609427.57640000002</v>
      </c>
    </row>
    <row r="479" spans="1:12" ht="15">
      <c r="A479" s="21">
        <v>40984</v>
      </c>
      <c r="B479" s="21">
        <v>40969</v>
      </c>
      <c r="C479" s="17">
        <v>26</v>
      </c>
      <c r="D479" s="17" t="s">
        <v>90</v>
      </c>
      <c r="E479" s="18">
        <v>152513</v>
      </c>
      <c r="F479" s="17" t="s">
        <v>91</v>
      </c>
      <c r="G479" s="14">
        <v>919237.4</v>
      </c>
      <c r="H479" s="14">
        <v>887426.12</v>
      </c>
      <c r="I479" s="14">
        <v>887426.12</v>
      </c>
      <c r="J479" s="22">
        <f>H479*(1+Assumptions!$B$6+IF(F479="Yes",Assumptions!$C$6,0))</f>
        <v>914048.90359999996</v>
      </c>
      <c r="K479" s="22">
        <f>H479*(1+Assumptions!$B$7+IF(F479="Yes",Assumptions!$C$7,0))</f>
        <v>931797.42599999998</v>
      </c>
      <c r="L479" s="22">
        <f>H479*(1+Assumptions!$B$8+IF(F479="Yes",Assumptions!$C$8,0))</f>
        <v>896300.38119999995</v>
      </c>
    </row>
    <row r="480" spans="1:12" ht="15">
      <c r="A480" s="21">
        <v>40984</v>
      </c>
      <c r="B480" s="21">
        <v>40969</v>
      </c>
      <c r="C480" s="17">
        <v>27</v>
      </c>
      <c r="D480" s="17" t="s">
        <v>90</v>
      </c>
      <c r="E480" s="18">
        <v>204184</v>
      </c>
      <c r="F480" s="17" t="s">
        <v>91</v>
      </c>
      <c r="G480" s="14">
        <v>1635972.1</v>
      </c>
      <c r="H480" s="14">
        <v>1624415.53</v>
      </c>
      <c r="I480" s="14">
        <v>1624415.53</v>
      </c>
      <c r="J480" s="22">
        <f>H480*(1+Assumptions!$B$6+IF(F480="Yes",Assumptions!$C$6,0))</f>
        <v>1673147.9959</v>
      </c>
      <c r="K480" s="22">
        <f>H480*(1+Assumptions!$B$7+IF(F480="Yes",Assumptions!$C$7,0))</f>
        <v>1705636.3065000002</v>
      </c>
      <c r="L480" s="22">
        <f>H480*(1+Assumptions!$B$8+IF(F480="Yes",Assumptions!$C$8,0))</f>
        <v>1640659.6853</v>
      </c>
    </row>
    <row r="481" spans="1:12" ht="15">
      <c r="A481" s="21">
        <v>40984</v>
      </c>
      <c r="B481" s="21">
        <v>40969</v>
      </c>
      <c r="C481" s="17">
        <v>28</v>
      </c>
      <c r="D481" s="17" t="s">
        <v>90</v>
      </c>
      <c r="E481" s="18">
        <v>206302</v>
      </c>
      <c r="F481" s="17" t="s">
        <v>91</v>
      </c>
      <c r="G481" s="14">
        <v>1337803.67</v>
      </c>
      <c r="H481" s="14">
        <v>1286409.1499999999</v>
      </c>
      <c r="I481" s="14">
        <v>1286409.1499999999</v>
      </c>
      <c r="J481" s="22">
        <f>H481*(1+Assumptions!$B$6+IF(F481="Yes",Assumptions!$C$6,0))</f>
        <v>1325001.4245</v>
      </c>
      <c r="K481" s="22">
        <f>H481*(1+Assumptions!$B$7+IF(F481="Yes",Assumptions!$C$7,0))</f>
        <v>1350729.6074999999</v>
      </c>
      <c r="L481" s="22">
        <f>H481*(1+Assumptions!$B$8+IF(F481="Yes",Assumptions!$C$8,0))</f>
        <v>1299273.2415</v>
      </c>
    </row>
    <row r="482" spans="1:12" ht="15">
      <c r="A482" s="21">
        <v>40984</v>
      </c>
      <c r="B482" s="21">
        <v>40969</v>
      </c>
      <c r="C482" s="17">
        <v>29</v>
      </c>
      <c r="D482" s="17" t="s">
        <v>92</v>
      </c>
      <c r="E482" s="18">
        <v>93638</v>
      </c>
      <c r="F482" s="17" t="s">
        <v>91</v>
      </c>
      <c r="G482" s="14">
        <v>489249.14</v>
      </c>
      <c r="H482" s="14">
        <v>492504.43</v>
      </c>
      <c r="I482" s="14">
        <v>492504.43</v>
      </c>
      <c r="J482" s="22">
        <f>H482*(1+Assumptions!$B$6+IF(F482="Yes",Assumptions!$C$6,0))</f>
        <v>507279.56290000002</v>
      </c>
      <c r="K482" s="22">
        <f>H482*(1+Assumptions!$B$7+IF(F482="Yes",Assumptions!$C$7,0))</f>
        <v>517129.65150000004</v>
      </c>
      <c r="L482" s="22">
        <f>H482*(1+Assumptions!$B$8+IF(F482="Yes",Assumptions!$C$8,0))</f>
        <v>497429.4743</v>
      </c>
    </row>
    <row r="483" spans="1:12" ht="15">
      <c r="A483" s="21">
        <v>40984</v>
      </c>
      <c r="B483" s="21">
        <v>40969</v>
      </c>
      <c r="C483" s="17">
        <v>30</v>
      </c>
      <c r="D483" s="17" t="s">
        <v>93</v>
      </c>
      <c r="E483" s="18">
        <v>42988</v>
      </c>
      <c r="F483" s="17" t="s">
        <v>91</v>
      </c>
      <c r="G483" s="14">
        <v>413504.38</v>
      </c>
      <c r="H483" s="14">
        <v>425241.45</v>
      </c>
      <c r="I483" s="14">
        <v>425241.45</v>
      </c>
      <c r="J483" s="22">
        <f>H483*(1+Assumptions!$B$6+IF(F483="Yes",Assumptions!$C$6,0))</f>
        <v>437998.69350000005</v>
      </c>
      <c r="K483" s="22">
        <f>H483*(1+Assumptions!$B$7+IF(F483="Yes",Assumptions!$C$7,0))</f>
        <v>446503.52250000002</v>
      </c>
      <c r="L483" s="22">
        <f>H483*(1+Assumptions!$B$8+IF(F483="Yes",Assumptions!$C$8,0))</f>
        <v>429493.86450000003</v>
      </c>
    </row>
    <row r="484" spans="1:12" ht="15">
      <c r="A484" s="21">
        <v>40984</v>
      </c>
      <c r="B484" s="21">
        <v>40969</v>
      </c>
      <c r="C484" s="17">
        <v>31</v>
      </c>
      <c r="D484" s="17" t="s">
        <v>90</v>
      </c>
      <c r="E484" s="18">
        <v>203750</v>
      </c>
      <c r="F484" s="17" t="s">
        <v>91</v>
      </c>
      <c r="G484" s="14">
        <v>1481786.11</v>
      </c>
      <c r="H484" s="14">
        <v>1425559.02</v>
      </c>
      <c r="I484" s="14">
        <v>1425559.02</v>
      </c>
      <c r="J484" s="22">
        <f>H484*(1+Assumptions!$B$6+IF(F484="Yes",Assumptions!$C$6,0))</f>
        <v>1468325.7905999999</v>
      </c>
      <c r="K484" s="22">
        <f>H484*(1+Assumptions!$B$7+IF(F484="Yes",Assumptions!$C$7,0))</f>
        <v>1496836.9710000001</v>
      </c>
      <c r="L484" s="22">
        <f>H484*(1+Assumptions!$B$8+IF(F484="Yes",Assumptions!$C$8,0))</f>
        <v>1439814.6102</v>
      </c>
    </row>
    <row r="485" spans="1:12" ht="15">
      <c r="A485" s="21">
        <v>40984</v>
      </c>
      <c r="B485" s="21">
        <v>40969</v>
      </c>
      <c r="C485" s="17">
        <v>32</v>
      </c>
      <c r="D485" s="17" t="s">
        <v>90</v>
      </c>
      <c r="E485" s="18">
        <v>203007</v>
      </c>
      <c r="F485" s="17" t="s">
        <v>91</v>
      </c>
      <c r="G485" s="14">
        <v>1138101.18</v>
      </c>
      <c r="H485" s="14">
        <v>1100760.75</v>
      </c>
      <c r="I485" s="14">
        <v>1100760.75</v>
      </c>
      <c r="J485" s="22">
        <f>H485*(1+Assumptions!$B$6+IF(F485="Yes",Assumptions!$C$6,0))</f>
        <v>1133783.5725</v>
      </c>
      <c r="K485" s="22">
        <f>H485*(1+Assumptions!$B$7+IF(F485="Yes",Assumptions!$C$7,0))</f>
        <v>1155798.7875000001</v>
      </c>
      <c r="L485" s="22">
        <f>H485*(1+Assumptions!$B$8+IF(F485="Yes",Assumptions!$C$8,0))</f>
        <v>1111768.3574999999</v>
      </c>
    </row>
    <row r="486" spans="1:12" ht="15">
      <c r="A486" s="21">
        <v>40984</v>
      </c>
      <c r="B486" s="21">
        <v>40969</v>
      </c>
      <c r="C486" s="17">
        <v>33</v>
      </c>
      <c r="D486" s="17" t="s">
        <v>90</v>
      </c>
      <c r="E486" s="18">
        <v>39690</v>
      </c>
      <c r="F486" s="17" t="s">
        <v>91</v>
      </c>
      <c r="G486" s="14">
        <v>277911.84000000003</v>
      </c>
      <c r="H486" s="14">
        <v>247197.77</v>
      </c>
      <c r="I486" s="14">
        <v>247197.77</v>
      </c>
      <c r="J486" s="22">
        <f>H486*(1+Assumptions!$B$6+IF(F486="Yes",Assumptions!$C$6,0))</f>
        <v>254613.70309999998</v>
      </c>
      <c r="K486" s="22">
        <f>H486*(1+Assumptions!$B$7+IF(F486="Yes",Assumptions!$C$7,0))</f>
        <v>259557.65849999999</v>
      </c>
      <c r="L486" s="22">
        <f>H486*(1+Assumptions!$B$8+IF(F486="Yes",Assumptions!$C$8,0))</f>
        <v>249669.74769999998</v>
      </c>
    </row>
    <row r="487" spans="1:12" ht="15">
      <c r="A487" s="21">
        <v>40984</v>
      </c>
      <c r="B487" s="21">
        <v>40969</v>
      </c>
      <c r="C487" s="17">
        <v>34</v>
      </c>
      <c r="D487" s="17" t="s">
        <v>90</v>
      </c>
      <c r="E487" s="18">
        <v>158114</v>
      </c>
      <c r="F487" s="17" t="s">
        <v>91</v>
      </c>
      <c r="G487" s="14">
        <v>999298.43</v>
      </c>
      <c r="H487" s="14">
        <v>1011913.89</v>
      </c>
      <c r="I487" s="14">
        <v>1011913.89</v>
      </c>
      <c r="J487" s="22">
        <f>H487*(1+Assumptions!$B$6+IF(F487="Yes",Assumptions!$C$6,0))</f>
        <v>1042271.3067000001</v>
      </c>
      <c r="K487" s="22">
        <f>H487*(1+Assumptions!$B$7+IF(F487="Yes",Assumptions!$C$7,0))</f>
        <v>1062509.5845000001</v>
      </c>
      <c r="L487" s="22">
        <f>H487*(1+Assumptions!$B$8+IF(F487="Yes",Assumptions!$C$8,0))</f>
        <v>1022033.0289</v>
      </c>
    </row>
    <row r="488" spans="1:12" ht="15">
      <c r="A488" s="21">
        <v>40984</v>
      </c>
      <c r="B488" s="21">
        <v>40969</v>
      </c>
      <c r="C488" s="17">
        <v>35</v>
      </c>
      <c r="D488" s="17" t="s">
        <v>92</v>
      </c>
      <c r="E488" s="18">
        <v>103681</v>
      </c>
      <c r="F488" s="17" t="s">
        <v>91</v>
      </c>
      <c r="G488" s="14">
        <v>793045.82</v>
      </c>
      <c r="H488" s="14">
        <v>800526.93</v>
      </c>
      <c r="I488" s="14">
        <v>800526.93</v>
      </c>
      <c r="J488" s="22">
        <f>H488*(1+Assumptions!$B$6+IF(F488="Yes",Assumptions!$C$6,0))</f>
        <v>824542.73790000007</v>
      </c>
      <c r="K488" s="22">
        <f>H488*(1+Assumptions!$B$7+IF(F488="Yes",Assumptions!$C$7,0))</f>
        <v>840553.27650000004</v>
      </c>
      <c r="L488" s="22">
        <f>H488*(1+Assumptions!$B$8+IF(F488="Yes",Assumptions!$C$8,0))</f>
        <v>808532.19930000009</v>
      </c>
    </row>
    <row r="489" spans="1:12" ht="15">
      <c r="A489" s="21">
        <v>40984</v>
      </c>
      <c r="B489" s="21">
        <v>40969</v>
      </c>
      <c r="C489" s="17">
        <v>36</v>
      </c>
      <c r="D489" s="17" t="s">
        <v>90</v>
      </c>
      <c r="E489" s="18">
        <v>39910</v>
      </c>
      <c r="F489" s="17" t="s">
        <v>91</v>
      </c>
      <c r="G489" s="14">
        <v>335283.94</v>
      </c>
      <c r="H489" s="14">
        <v>430984.72000000003</v>
      </c>
      <c r="I489" s="14">
        <v>430984.72000000003</v>
      </c>
      <c r="J489" s="22">
        <f>H489*(1+Assumptions!$B$6+IF(F489="Yes",Assumptions!$C$6,0))</f>
        <v>443914.26160000003</v>
      </c>
      <c r="K489" s="22">
        <f>H489*(1+Assumptions!$B$7+IF(F489="Yes",Assumptions!$C$7,0))</f>
        <v>452533.95600000006</v>
      </c>
      <c r="L489" s="22">
        <f>H489*(1+Assumptions!$B$8+IF(F489="Yes",Assumptions!$C$8,0))</f>
        <v>435294.56720000005</v>
      </c>
    </row>
    <row r="490" spans="1:12" ht="15">
      <c r="A490" s="21">
        <v>40984</v>
      </c>
      <c r="B490" s="21">
        <v>40969</v>
      </c>
      <c r="C490" s="17">
        <v>37</v>
      </c>
      <c r="D490" s="17" t="s">
        <v>93</v>
      </c>
      <c r="E490" s="18">
        <v>39910</v>
      </c>
      <c r="F490" s="17" t="s">
        <v>91</v>
      </c>
      <c r="G490" s="14">
        <v>484576.46</v>
      </c>
      <c r="H490" s="14">
        <v>478493.92</v>
      </c>
      <c r="I490" s="14">
        <v>478493.92</v>
      </c>
      <c r="J490" s="22">
        <f>H490*(1+Assumptions!$B$6+IF(F490="Yes",Assumptions!$C$6,0))</f>
        <v>492848.73759999999</v>
      </c>
      <c r="K490" s="22">
        <f>H490*(1+Assumptions!$B$7+IF(F490="Yes",Assumptions!$C$7,0))</f>
        <v>502418.61599999998</v>
      </c>
      <c r="L490" s="22">
        <f>H490*(1+Assumptions!$B$8+IF(F490="Yes",Assumptions!$C$8,0))</f>
        <v>483278.85920000001</v>
      </c>
    </row>
    <row r="491" spans="1:12" ht="15">
      <c r="A491" s="21">
        <v>40984</v>
      </c>
      <c r="B491" s="21">
        <v>40969</v>
      </c>
      <c r="C491" s="17">
        <v>38</v>
      </c>
      <c r="D491" s="17" t="s">
        <v>93</v>
      </c>
      <c r="E491" s="18">
        <v>39690</v>
      </c>
      <c r="F491" s="17" t="s">
        <v>91</v>
      </c>
      <c r="G491" s="14">
        <v>428261.69</v>
      </c>
      <c r="H491" s="14">
        <v>349400.34</v>
      </c>
      <c r="I491" s="14">
        <v>349400.34</v>
      </c>
      <c r="J491" s="22">
        <f>H491*(1+Assumptions!$B$6+IF(F491="Yes",Assumptions!$C$6,0))</f>
        <v>359882.35020000004</v>
      </c>
      <c r="K491" s="22">
        <f>H491*(1+Assumptions!$B$7+IF(F491="Yes",Assumptions!$C$7,0))</f>
        <v>366870.35700000002</v>
      </c>
      <c r="L491" s="22">
        <f>H491*(1+Assumptions!$B$8+IF(F491="Yes",Assumptions!$C$8,0))</f>
        <v>352894.34340000001</v>
      </c>
    </row>
    <row r="492" spans="1:12" ht="15">
      <c r="A492" s="21">
        <v>40984</v>
      </c>
      <c r="B492" s="21">
        <v>40969</v>
      </c>
      <c r="C492" s="17">
        <v>39</v>
      </c>
      <c r="D492" s="17" t="s">
        <v>90</v>
      </c>
      <c r="E492" s="18">
        <v>184109</v>
      </c>
      <c r="F492" s="17" t="s">
        <v>91</v>
      </c>
      <c r="G492" s="14">
        <v>1521963.6</v>
      </c>
      <c r="H492" s="14">
        <v>1348400.41</v>
      </c>
      <c r="I492" s="14">
        <v>1348400.41</v>
      </c>
      <c r="J492" s="22">
        <f>H492*(1+Assumptions!$B$6+IF(F492="Yes",Assumptions!$C$6,0))</f>
        <v>1388852.4223</v>
      </c>
      <c r="K492" s="22">
        <f>H492*(1+Assumptions!$B$7+IF(F492="Yes",Assumptions!$C$7,0))</f>
        <v>1415820.4305</v>
      </c>
      <c r="L492" s="22">
        <f>H492*(1+Assumptions!$B$8+IF(F492="Yes",Assumptions!$C$8,0))</f>
        <v>1361884.4140999999</v>
      </c>
    </row>
    <row r="493" spans="1:12" ht="15">
      <c r="A493" s="21">
        <v>40984</v>
      </c>
      <c r="B493" s="21">
        <v>40969</v>
      </c>
      <c r="C493" s="17">
        <v>40</v>
      </c>
      <c r="D493" s="17" t="s">
        <v>90</v>
      </c>
      <c r="E493" s="18">
        <v>155083</v>
      </c>
      <c r="F493" s="17" t="s">
        <v>91</v>
      </c>
      <c r="G493" s="14">
        <v>891127.45000000007</v>
      </c>
      <c r="H493" s="14">
        <v>871009.26</v>
      </c>
      <c r="I493" s="14">
        <v>871009.26</v>
      </c>
      <c r="J493" s="22">
        <f>H493*(1+Assumptions!$B$6+IF(F493="Yes",Assumptions!$C$6,0))</f>
        <v>897139.53780000005</v>
      </c>
      <c r="K493" s="22">
        <f>H493*(1+Assumptions!$B$7+IF(F493="Yes",Assumptions!$C$7,0))</f>
        <v>914559.723</v>
      </c>
      <c r="L493" s="22">
        <f>H493*(1+Assumptions!$B$8+IF(F493="Yes",Assumptions!$C$8,0))</f>
        <v>879719.35259999998</v>
      </c>
    </row>
    <row r="494" spans="1:12" ht="15">
      <c r="A494" s="21">
        <v>40984</v>
      </c>
      <c r="B494" s="21">
        <v>40969</v>
      </c>
      <c r="C494" s="17">
        <v>41</v>
      </c>
      <c r="D494" s="17" t="s">
        <v>90</v>
      </c>
      <c r="E494" s="18">
        <v>196321</v>
      </c>
      <c r="F494" s="17" t="s">
        <v>91</v>
      </c>
      <c r="G494" s="14">
        <v>1200151.53</v>
      </c>
      <c r="H494" s="14">
        <v>1115493.26</v>
      </c>
      <c r="I494" s="14">
        <v>1115493.26</v>
      </c>
      <c r="J494" s="22">
        <f>H494*(1+Assumptions!$B$6+IF(F494="Yes",Assumptions!$C$6,0))</f>
        <v>1148958.0578000001</v>
      </c>
      <c r="K494" s="22">
        <f>H494*(1+Assumptions!$B$7+IF(F494="Yes",Assumptions!$C$7,0))</f>
        <v>1171267.923</v>
      </c>
      <c r="L494" s="22">
        <f>H494*(1+Assumptions!$B$8+IF(F494="Yes",Assumptions!$C$8,0))</f>
        <v>1126648.1926</v>
      </c>
    </row>
    <row r="495" spans="1:12" ht="15">
      <c r="A495" s="21">
        <v>40984</v>
      </c>
      <c r="B495" s="21">
        <v>40969</v>
      </c>
      <c r="C495" s="17">
        <v>42</v>
      </c>
      <c r="D495" s="17" t="s">
        <v>93</v>
      </c>
      <c r="E495" s="18">
        <v>39690</v>
      </c>
      <c r="F495" s="17" t="s">
        <v>91</v>
      </c>
      <c r="G495" s="14">
        <v>618596.88</v>
      </c>
      <c r="H495" s="14">
        <v>558252.79</v>
      </c>
      <c r="I495" s="14">
        <v>558252.79</v>
      </c>
      <c r="J495" s="22">
        <f>H495*(1+Assumptions!$B$6+IF(F495="Yes",Assumptions!$C$6,0))</f>
        <v>575000.3737</v>
      </c>
      <c r="K495" s="22">
        <f>H495*(1+Assumptions!$B$7+IF(F495="Yes",Assumptions!$C$7,0))</f>
        <v>586165.42950000009</v>
      </c>
      <c r="L495" s="22">
        <f>H495*(1+Assumptions!$B$8+IF(F495="Yes",Assumptions!$C$8,0))</f>
        <v>563835.31790000002</v>
      </c>
    </row>
    <row r="496" spans="1:12" ht="15">
      <c r="A496" s="21">
        <v>40984</v>
      </c>
      <c r="B496" s="21">
        <v>40969</v>
      </c>
      <c r="C496" s="17">
        <v>43</v>
      </c>
      <c r="D496" s="17" t="s">
        <v>93</v>
      </c>
      <c r="E496" s="18">
        <v>41062</v>
      </c>
      <c r="F496" s="17" t="s">
        <v>91</v>
      </c>
      <c r="G496" s="14">
        <v>660351.19999999995</v>
      </c>
      <c r="H496" s="14">
        <v>635068.1</v>
      </c>
      <c r="I496" s="14">
        <v>635068.1</v>
      </c>
      <c r="J496" s="22">
        <f>H496*(1+Assumptions!$B$6+IF(F496="Yes",Assumptions!$C$6,0))</f>
        <v>654120.14300000004</v>
      </c>
      <c r="K496" s="22">
        <f>H496*(1+Assumptions!$B$7+IF(F496="Yes",Assumptions!$C$7,0))</f>
        <v>666821.505</v>
      </c>
      <c r="L496" s="22">
        <f>H496*(1+Assumptions!$B$8+IF(F496="Yes",Assumptions!$C$8,0))</f>
        <v>641418.78099999996</v>
      </c>
    </row>
    <row r="497" spans="1:12" ht="15">
      <c r="A497" s="21">
        <v>40984</v>
      </c>
      <c r="B497" s="21">
        <v>40969</v>
      </c>
      <c r="C497" s="17">
        <v>44</v>
      </c>
      <c r="D497" s="17" t="s">
        <v>93</v>
      </c>
      <c r="E497" s="18">
        <v>39910</v>
      </c>
      <c r="F497" s="17" t="s">
        <v>91</v>
      </c>
      <c r="G497" s="14">
        <v>331800.53999999998</v>
      </c>
      <c r="H497" s="14">
        <v>281649.73</v>
      </c>
      <c r="I497" s="14">
        <v>281649.73</v>
      </c>
      <c r="J497" s="22">
        <f>H497*(1+Assumptions!$B$6+IF(F497="Yes",Assumptions!$C$6,0))</f>
        <v>290099.2219</v>
      </c>
      <c r="K497" s="22">
        <f>H497*(1+Assumptions!$B$7+IF(F497="Yes",Assumptions!$C$7,0))</f>
        <v>295732.21649999998</v>
      </c>
      <c r="L497" s="22">
        <f>H497*(1+Assumptions!$B$8+IF(F497="Yes",Assumptions!$C$8,0))</f>
        <v>284466.22729999997</v>
      </c>
    </row>
    <row r="498" spans="1:12" ht="15">
      <c r="A498" s="21">
        <v>40984</v>
      </c>
      <c r="B498" s="21">
        <v>40969</v>
      </c>
      <c r="C498" s="17">
        <v>45</v>
      </c>
      <c r="D498" s="17" t="s">
        <v>92</v>
      </c>
      <c r="E498" s="18">
        <v>118221</v>
      </c>
      <c r="F498" s="17" t="s">
        <v>91</v>
      </c>
      <c r="G498" s="14">
        <v>787924.86</v>
      </c>
      <c r="H498" s="14">
        <v>733564.77</v>
      </c>
      <c r="I498" s="14">
        <v>733564.77</v>
      </c>
      <c r="J498" s="22">
        <f>H498*(1+Assumptions!$B$6+IF(F498="Yes",Assumptions!$C$6,0))</f>
        <v>755571.71310000005</v>
      </c>
      <c r="K498" s="22">
        <f>H498*(1+Assumptions!$B$7+IF(F498="Yes",Assumptions!$C$7,0))</f>
        <v>770243.0085</v>
      </c>
      <c r="L498" s="22">
        <f>H498*(1+Assumptions!$B$8+IF(F498="Yes",Assumptions!$C$8,0))</f>
        <v>740900.41769999999</v>
      </c>
    </row>
    <row r="499" spans="1:12" ht="15">
      <c r="A499" s="21">
        <v>40991</v>
      </c>
      <c r="B499" s="21">
        <v>40969</v>
      </c>
      <c r="C499" s="17">
        <v>1</v>
      </c>
      <c r="D499" s="17" t="s">
        <v>90</v>
      </c>
      <c r="E499" s="18">
        <v>151315</v>
      </c>
      <c r="F499" s="17" t="s">
        <v>91</v>
      </c>
      <c r="G499" s="14">
        <v>1511068.07</v>
      </c>
      <c r="H499" s="14">
        <v>1541102.3800000001</v>
      </c>
      <c r="I499" s="14">
        <v>1541102.3800000001</v>
      </c>
      <c r="J499" s="22">
        <f>H499*(1+Assumptions!$B$6+IF(F499="Yes",Assumptions!$C$6,0))</f>
        <v>1587335.4514000001</v>
      </c>
      <c r="K499" s="22">
        <f>H499*(1+Assumptions!$B$7+IF(F499="Yes",Assumptions!$C$7,0))</f>
        <v>1618157.4990000003</v>
      </c>
      <c r="L499" s="22">
        <f>H499*(1+Assumptions!$B$8+IF(F499="Yes",Assumptions!$C$8,0))</f>
        <v>1556513.4038000002</v>
      </c>
    </row>
    <row r="500" spans="1:12" ht="15">
      <c r="A500" s="21">
        <v>40991</v>
      </c>
      <c r="B500" s="21">
        <v>40969</v>
      </c>
      <c r="C500" s="17">
        <v>2</v>
      </c>
      <c r="D500" s="17" t="s">
        <v>90</v>
      </c>
      <c r="E500" s="18">
        <v>202307</v>
      </c>
      <c r="F500" s="17" t="s">
        <v>91</v>
      </c>
      <c r="G500" s="14">
        <v>1790439.16</v>
      </c>
      <c r="H500" s="14">
        <v>1766116.17</v>
      </c>
      <c r="I500" s="14">
        <v>1766116.17</v>
      </c>
      <c r="J500" s="22">
        <f>H500*(1+Assumptions!$B$6+IF(F500="Yes",Assumptions!$C$6,0))</f>
        <v>1819099.6550999999</v>
      </c>
      <c r="K500" s="22">
        <f>H500*(1+Assumptions!$B$7+IF(F500="Yes",Assumptions!$C$7,0))</f>
        <v>1854421.9785</v>
      </c>
      <c r="L500" s="22">
        <f>H500*(1+Assumptions!$B$8+IF(F500="Yes",Assumptions!$C$8,0))</f>
        <v>1783777.3317</v>
      </c>
    </row>
    <row r="501" spans="1:12" ht="15">
      <c r="A501" s="21">
        <v>40991</v>
      </c>
      <c r="B501" s="21">
        <v>40969</v>
      </c>
      <c r="C501" s="17">
        <v>3</v>
      </c>
      <c r="D501" s="17" t="s">
        <v>92</v>
      </c>
      <c r="E501" s="18">
        <v>37392</v>
      </c>
      <c r="F501" s="17" t="s">
        <v>91</v>
      </c>
      <c r="G501" s="14">
        <v>413809.58</v>
      </c>
      <c r="H501" s="14">
        <v>380641.27</v>
      </c>
      <c r="I501" s="14">
        <v>380641.27</v>
      </c>
      <c r="J501" s="22">
        <f>H501*(1+Assumptions!$B$6+IF(F501="Yes",Assumptions!$C$6,0))</f>
        <v>392060.50810000004</v>
      </c>
      <c r="K501" s="22">
        <f>H501*(1+Assumptions!$B$7+IF(F501="Yes",Assumptions!$C$7,0))</f>
        <v>399673.33350000001</v>
      </c>
      <c r="L501" s="22">
        <f>H501*(1+Assumptions!$B$8+IF(F501="Yes",Assumptions!$C$8,0))</f>
        <v>384447.6827</v>
      </c>
    </row>
    <row r="502" spans="1:12" ht="15">
      <c r="A502" s="21">
        <v>40991</v>
      </c>
      <c r="B502" s="21">
        <v>40969</v>
      </c>
      <c r="C502" s="17">
        <v>4</v>
      </c>
      <c r="D502" s="17" t="s">
        <v>90</v>
      </c>
      <c r="E502" s="18">
        <v>205863</v>
      </c>
      <c r="F502" s="17" t="s">
        <v>91</v>
      </c>
      <c r="G502" s="14">
        <v>2091592.54</v>
      </c>
      <c r="H502" s="14">
        <v>1944154.35</v>
      </c>
      <c r="I502" s="14">
        <v>1944154.35</v>
      </c>
      <c r="J502" s="22">
        <f>H502*(1+Assumptions!$B$6+IF(F502="Yes",Assumptions!$C$6,0))</f>
        <v>2002478.9805000001</v>
      </c>
      <c r="K502" s="22">
        <f>H502*(1+Assumptions!$B$7+IF(F502="Yes",Assumptions!$C$7,0))</f>
        <v>2041362.0675000001</v>
      </c>
      <c r="L502" s="22">
        <f>H502*(1+Assumptions!$B$8+IF(F502="Yes",Assumptions!$C$8,0))</f>
        <v>1963595.8935</v>
      </c>
    </row>
    <row r="503" spans="1:12" ht="15">
      <c r="A503" s="21">
        <v>40991</v>
      </c>
      <c r="B503" s="21">
        <v>40969</v>
      </c>
      <c r="C503" s="17">
        <v>5</v>
      </c>
      <c r="D503" s="17" t="s">
        <v>92</v>
      </c>
      <c r="E503" s="18">
        <v>34875</v>
      </c>
      <c r="F503" s="17" t="s">
        <v>91</v>
      </c>
      <c r="G503" s="14">
        <v>320778.11</v>
      </c>
      <c r="H503" s="14">
        <v>294726.33999999997</v>
      </c>
      <c r="I503" s="14">
        <v>294726.33999999997</v>
      </c>
      <c r="J503" s="22">
        <f>H503*(1+Assumptions!$B$6+IF(F503="Yes",Assumptions!$C$6,0))</f>
        <v>303568.13019999996</v>
      </c>
      <c r="K503" s="22">
        <f>H503*(1+Assumptions!$B$7+IF(F503="Yes",Assumptions!$C$7,0))</f>
        <v>309462.65700000001</v>
      </c>
      <c r="L503" s="22">
        <f>H503*(1+Assumptions!$B$8+IF(F503="Yes",Assumptions!$C$8,0))</f>
        <v>297673.60339999996</v>
      </c>
    </row>
    <row r="504" spans="1:12" ht="15">
      <c r="A504" s="21">
        <v>40991</v>
      </c>
      <c r="B504" s="21">
        <v>40969</v>
      </c>
      <c r="C504" s="17">
        <v>6</v>
      </c>
      <c r="D504" s="17" t="s">
        <v>90</v>
      </c>
      <c r="E504" s="18">
        <v>202505</v>
      </c>
      <c r="F504" s="17" t="s">
        <v>91</v>
      </c>
      <c r="G504" s="14">
        <v>1495143.62</v>
      </c>
      <c r="H504" s="14">
        <v>1438465.81</v>
      </c>
      <c r="I504" s="14">
        <v>1438465.81</v>
      </c>
      <c r="J504" s="22">
        <f>H504*(1+Assumptions!$B$6+IF(F504="Yes",Assumptions!$C$6,0))</f>
        <v>1481619.7843000002</v>
      </c>
      <c r="K504" s="22">
        <f>H504*(1+Assumptions!$B$7+IF(F504="Yes",Assumptions!$C$7,0))</f>
        <v>1510389.1005000002</v>
      </c>
      <c r="L504" s="22">
        <f>H504*(1+Assumptions!$B$8+IF(F504="Yes",Assumptions!$C$8,0))</f>
        <v>1452850.4681000002</v>
      </c>
    </row>
    <row r="505" spans="1:12" ht="15">
      <c r="A505" s="21">
        <v>40991</v>
      </c>
      <c r="B505" s="21">
        <v>40969</v>
      </c>
      <c r="C505" s="17">
        <v>7</v>
      </c>
      <c r="D505" s="17" t="s">
        <v>92</v>
      </c>
      <c r="E505" s="18">
        <v>70713</v>
      </c>
      <c r="F505" s="17" t="s">
        <v>91</v>
      </c>
      <c r="G505" s="14">
        <v>612698.43999999994</v>
      </c>
      <c r="H505" s="14">
        <v>558962.72</v>
      </c>
      <c r="I505" s="14">
        <v>558962.72</v>
      </c>
      <c r="J505" s="22">
        <f>H505*(1+Assumptions!$B$6+IF(F505="Yes",Assumptions!$C$6,0))</f>
        <v>575731.60159999994</v>
      </c>
      <c r="K505" s="22">
        <f>H505*(1+Assumptions!$B$7+IF(F505="Yes",Assumptions!$C$7,0))</f>
        <v>586910.85600000003</v>
      </c>
      <c r="L505" s="22">
        <f>H505*(1+Assumptions!$B$8+IF(F505="Yes",Assumptions!$C$8,0))</f>
        <v>564552.34719999996</v>
      </c>
    </row>
    <row r="506" spans="1:12" ht="15">
      <c r="A506" s="21">
        <v>40991</v>
      </c>
      <c r="B506" s="21">
        <v>40969</v>
      </c>
      <c r="C506" s="17">
        <v>8</v>
      </c>
      <c r="D506" s="17" t="s">
        <v>90</v>
      </c>
      <c r="E506" s="18">
        <v>155078</v>
      </c>
      <c r="F506" s="17" t="s">
        <v>91</v>
      </c>
      <c r="G506" s="14">
        <v>874223.25</v>
      </c>
      <c r="H506" s="14">
        <v>827956.36</v>
      </c>
      <c r="I506" s="14">
        <v>827956.36</v>
      </c>
      <c r="J506" s="22">
        <f>H506*(1+Assumptions!$B$6+IF(F506="Yes",Assumptions!$C$6,0))</f>
        <v>852795.05079999997</v>
      </c>
      <c r="K506" s="22">
        <f>H506*(1+Assumptions!$B$7+IF(F506="Yes",Assumptions!$C$7,0))</f>
        <v>869354.17800000007</v>
      </c>
      <c r="L506" s="22">
        <f>H506*(1+Assumptions!$B$8+IF(F506="Yes",Assumptions!$C$8,0))</f>
        <v>836235.92359999998</v>
      </c>
    </row>
    <row r="507" spans="1:12" ht="15">
      <c r="A507" s="21">
        <v>40991</v>
      </c>
      <c r="B507" s="21">
        <v>40969</v>
      </c>
      <c r="C507" s="17">
        <v>9</v>
      </c>
      <c r="D507" s="17" t="s">
        <v>92</v>
      </c>
      <c r="E507" s="18">
        <v>125833</v>
      </c>
      <c r="F507" s="17" t="s">
        <v>91</v>
      </c>
      <c r="G507" s="14">
        <v>550395.41</v>
      </c>
      <c r="H507" s="14">
        <v>497062.87</v>
      </c>
      <c r="I507" s="14">
        <v>497062.87</v>
      </c>
      <c r="J507" s="22">
        <f>H507*(1+Assumptions!$B$6+IF(F507="Yes",Assumptions!$C$6,0))</f>
        <v>511974.7561</v>
      </c>
      <c r="K507" s="22">
        <f>H507*(1+Assumptions!$B$7+IF(F507="Yes",Assumptions!$C$7,0))</f>
        <v>521916.0135</v>
      </c>
      <c r="L507" s="22">
        <f>H507*(1+Assumptions!$B$8+IF(F507="Yes",Assumptions!$C$8,0))</f>
        <v>502033.4987</v>
      </c>
    </row>
    <row r="508" spans="1:12" ht="15">
      <c r="A508" s="21">
        <v>40991</v>
      </c>
      <c r="B508" s="21">
        <v>40969</v>
      </c>
      <c r="C508" s="17">
        <v>10</v>
      </c>
      <c r="D508" s="17" t="s">
        <v>92</v>
      </c>
      <c r="E508" s="18">
        <v>126512</v>
      </c>
      <c r="F508" s="17" t="s">
        <v>91</v>
      </c>
      <c r="G508" s="14">
        <v>1837383.57</v>
      </c>
      <c r="H508" s="14">
        <v>1815798.85</v>
      </c>
      <c r="I508" s="14">
        <v>1815798.85</v>
      </c>
      <c r="J508" s="22">
        <f>H508*(1+Assumptions!$B$6+IF(F508="Yes",Assumptions!$C$6,0))</f>
        <v>1870272.8155000003</v>
      </c>
      <c r="K508" s="22">
        <f>H508*(1+Assumptions!$B$7+IF(F508="Yes",Assumptions!$C$7,0))</f>
        <v>1906588.7925000002</v>
      </c>
      <c r="L508" s="22">
        <f>H508*(1+Assumptions!$B$8+IF(F508="Yes",Assumptions!$C$8,0))</f>
        <v>1833956.8385000001</v>
      </c>
    </row>
    <row r="509" spans="1:12" ht="15">
      <c r="A509" s="21">
        <v>40991</v>
      </c>
      <c r="B509" s="21">
        <v>40969</v>
      </c>
      <c r="C509" s="17">
        <v>11</v>
      </c>
      <c r="D509" s="17" t="s">
        <v>90</v>
      </c>
      <c r="E509" s="18">
        <v>207499</v>
      </c>
      <c r="F509" s="17" t="s">
        <v>91</v>
      </c>
      <c r="G509" s="14">
        <v>1298455.8699999999</v>
      </c>
      <c r="H509" s="14">
        <v>1229835.24</v>
      </c>
      <c r="I509" s="14">
        <v>1229835.24</v>
      </c>
      <c r="J509" s="22">
        <f>H509*(1+Assumptions!$B$6+IF(F509="Yes",Assumptions!$C$6,0))</f>
        <v>1266730.2971999999</v>
      </c>
      <c r="K509" s="22">
        <f>H509*(1+Assumptions!$B$7+IF(F509="Yes",Assumptions!$C$7,0))</f>
        <v>1291327.0020000001</v>
      </c>
      <c r="L509" s="22">
        <f>H509*(1+Assumptions!$B$8+IF(F509="Yes",Assumptions!$C$8,0))</f>
        <v>1242133.5924</v>
      </c>
    </row>
    <row r="510" spans="1:12" ht="15">
      <c r="A510" s="21">
        <v>40991</v>
      </c>
      <c r="B510" s="21">
        <v>40969</v>
      </c>
      <c r="C510" s="17">
        <v>12</v>
      </c>
      <c r="D510" s="17" t="s">
        <v>92</v>
      </c>
      <c r="E510" s="18">
        <v>112238</v>
      </c>
      <c r="F510" s="17" t="s">
        <v>91</v>
      </c>
      <c r="G510" s="14">
        <v>1045312.74</v>
      </c>
      <c r="H510" s="14">
        <v>954075.91</v>
      </c>
      <c r="I510" s="14">
        <v>954075.91</v>
      </c>
      <c r="J510" s="22">
        <f>H510*(1+Assumptions!$B$6+IF(F510="Yes",Assumptions!$C$6,0))</f>
        <v>982698.18730000011</v>
      </c>
      <c r="K510" s="22">
        <f>H510*(1+Assumptions!$B$7+IF(F510="Yes",Assumptions!$C$7,0))</f>
        <v>1001779.7055</v>
      </c>
      <c r="L510" s="22">
        <f>H510*(1+Assumptions!$B$8+IF(F510="Yes",Assumptions!$C$8,0))</f>
        <v>963616.66910000006</v>
      </c>
    </row>
    <row r="511" spans="1:12" ht="15">
      <c r="A511" s="21">
        <v>40991</v>
      </c>
      <c r="B511" s="21">
        <v>40969</v>
      </c>
      <c r="C511" s="17">
        <v>13</v>
      </c>
      <c r="D511" s="17" t="s">
        <v>90</v>
      </c>
      <c r="E511" s="18">
        <v>219622</v>
      </c>
      <c r="F511" s="17" t="s">
        <v>91</v>
      </c>
      <c r="G511" s="14">
        <v>1904421.74</v>
      </c>
      <c r="H511" s="14">
        <v>1807545.43</v>
      </c>
      <c r="I511" s="14">
        <v>1807545.43</v>
      </c>
      <c r="J511" s="22">
        <f>H511*(1+Assumptions!$B$6+IF(F511="Yes",Assumptions!$C$6,0))</f>
        <v>1861771.7929</v>
      </c>
      <c r="K511" s="22">
        <f>H511*(1+Assumptions!$B$7+IF(F511="Yes",Assumptions!$C$7,0))</f>
        <v>1897922.7015</v>
      </c>
      <c r="L511" s="22">
        <f>H511*(1+Assumptions!$B$8+IF(F511="Yes",Assumptions!$C$8,0))</f>
        <v>1825620.8843</v>
      </c>
    </row>
    <row r="512" spans="1:12" ht="15">
      <c r="A512" s="21">
        <v>40991</v>
      </c>
      <c r="B512" s="21">
        <v>40969</v>
      </c>
      <c r="C512" s="17">
        <v>14</v>
      </c>
      <c r="D512" s="17" t="s">
        <v>90</v>
      </c>
      <c r="E512" s="18">
        <v>200898</v>
      </c>
      <c r="F512" s="17" t="s">
        <v>91</v>
      </c>
      <c r="G512" s="14">
        <v>1893517.7</v>
      </c>
      <c r="H512" s="14">
        <v>1879451.23</v>
      </c>
      <c r="I512" s="14">
        <v>1879451.23</v>
      </c>
      <c r="J512" s="22">
        <f>H512*(1+Assumptions!$B$6+IF(F512="Yes",Assumptions!$C$6,0))</f>
        <v>1935834.7668999999</v>
      </c>
      <c r="K512" s="22">
        <f>H512*(1+Assumptions!$B$7+IF(F512="Yes",Assumptions!$C$7,0))</f>
        <v>1973423.7915000001</v>
      </c>
      <c r="L512" s="22">
        <f>H512*(1+Assumptions!$B$8+IF(F512="Yes",Assumptions!$C$8,0))</f>
        <v>1898245.7423</v>
      </c>
    </row>
    <row r="513" spans="1:12" ht="15">
      <c r="A513" s="21">
        <v>40991</v>
      </c>
      <c r="B513" s="21">
        <v>40969</v>
      </c>
      <c r="C513" s="17">
        <v>15</v>
      </c>
      <c r="D513" s="17" t="s">
        <v>92</v>
      </c>
      <c r="E513" s="18">
        <v>123737</v>
      </c>
      <c r="F513" s="17" t="s">
        <v>91</v>
      </c>
      <c r="G513" s="14">
        <v>565342.22</v>
      </c>
      <c r="H513" s="14">
        <v>527049.28</v>
      </c>
      <c r="I513" s="14">
        <v>527049.28</v>
      </c>
      <c r="J513" s="22">
        <f>H513*(1+Assumptions!$B$6+IF(F513="Yes",Assumptions!$C$6,0))</f>
        <v>542860.75840000005</v>
      </c>
      <c r="K513" s="22">
        <f>H513*(1+Assumptions!$B$7+IF(F513="Yes",Assumptions!$C$7,0))</f>
        <v>553401.74400000006</v>
      </c>
      <c r="L513" s="22">
        <f>H513*(1+Assumptions!$B$8+IF(F513="Yes",Assumptions!$C$8,0))</f>
        <v>532319.77280000004</v>
      </c>
    </row>
    <row r="514" spans="1:12" ht="15">
      <c r="A514" s="21">
        <v>40991</v>
      </c>
      <c r="B514" s="21">
        <v>40969</v>
      </c>
      <c r="C514" s="17">
        <v>16</v>
      </c>
      <c r="D514" s="17" t="s">
        <v>92</v>
      </c>
      <c r="E514" s="18">
        <v>57197</v>
      </c>
      <c r="F514" s="17" t="s">
        <v>91</v>
      </c>
      <c r="G514" s="14">
        <v>489321.2</v>
      </c>
      <c r="H514" s="14">
        <v>465271.18</v>
      </c>
      <c r="I514" s="14">
        <v>465271.18</v>
      </c>
      <c r="J514" s="22">
        <f>H514*(1+Assumptions!$B$6+IF(F514="Yes",Assumptions!$C$6,0))</f>
        <v>479229.31540000002</v>
      </c>
      <c r="K514" s="22">
        <f>H514*(1+Assumptions!$B$7+IF(F514="Yes",Assumptions!$C$7,0))</f>
        <v>488534.739</v>
      </c>
      <c r="L514" s="22">
        <f>H514*(1+Assumptions!$B$8+IF(F514="Yes",Assumptions!$C$8,0))</f>
        <v>469923.89179999998</v>
      </c>
    </row>
    <row r="515" spans="1:12" ht="15">
      <c r="A515" s="21">
        <v>40991</v>
      </c>
      <c r="B515" s="21">
        <v>40969</v>
      </c>
      <c r="C515" s="17">
        <v>17</v>
      </c>
      <c r="D515" s="17" t="s">
        <v>92</v>
      </c>
      <c r="E515" s="18">
        <v>93188</v>
      </c>
      <c r="F515" s="17" t="s">
        <v>91</v>
      </c>
      <c r="G515" s="14">
        <v>851015.34</v>
      </c>
      <c r="H515" s="14">
        <v>781257.76</v>
      </c>
      <c r="I515" s="14">
        <v>781257.76</v>
      </c>
      <c r="J515" s="22">
        <f>H515*(1+Assumptions!$B$6+IF(F515="Yes",Assumptions!$C$6,0))</f>
        <v>804695.49280000001</v>
      </c>
      <c r="K515" s="22">
        <f>H515*(1+Assumptions!$B$7+IF(F515="Yes",Assumptions!$C$7,0))</f>
        <v>820320.64800000004</v>
      </c>
      <c r="L515" s="22">
        <f>H515*(1+Assumptions!$B$8+IF(F515="Yes",Assumptions!$C$8,0))</f>
        <v>789070.33759999997</v>
      </c>
    </row>
    <row r="516" spans="1:12" ht="15">
      <c r="A516" s="21">
        <v>40991</v>
      </c>
      <c r="B516" s="21">
        <v>40969</v>
      </c>
      <c r="C516" s="17">
        <v>18</v>
      </c>
      <c r="D516" s="17" t="s">
        <v>92</v>
      </c>
      <c r="E516" s="18">
        <v>120653</v>
      </c>
      <c r="F516" s="17" t="s">
        <v>91</v>
      </c>
      <c r="G516" s="14">
        <v>1031139.3</v>
      </c>
      <c r="H516" s="14">
        <v>944523.3</v>
      </c>
      <c r="I516" s="14">
        <v>944523.3</v>
      </c>
      <c r="J516" s="22">
        <f>H516*(1+Assumptions!$B$6+IF(F516="Yes",Assumptions!$C$6,0))</f>
        <v>972858.99900000007</v>
      </c>
      <c r="K516" s="22">
        <f>H516*(1+Assumptions!$B$7+IF(F516="Yes",Assumptions!$C$7,0))</f>
        <v>991749.46500000008</v>
      </c>
      <c r="L516" s="22">
        <f>H516*(1+Assumptions!$B$8+IF(F516="Yes",Assumptions!$C$8,0))</f>
        <v>953968.53300000005</v>
      </c>
    </row>
    <row r="517" spans="1:12" ht="15">
      <c r="A517" s="21">
        <v>40991</v>
      </c>
      <c r="B517" s="21">
        <v>40969</v>
      </c>
      <c r="C517" s="17">
        <v>19</v>
      </c>
      <c r="D517" s="17" t="s">
        <v>90</v>
      </c>
      <c r="E517" s="18">
        <v>203819</v>
      </c>
      <c r="F517" s="17" t="s">
        <v>91</v>
      </c>
      <c r="G517" s="14">
        <v>1342254.55</v>
      </c>
      <c r="H517" s="14">
        <v>1266545.94</v>
      </c>
      <c r="I517" s="14">
        <v>1266545.94</v>
      </c>
      <c r="J517" s="22">
        <f>H517*(1+Assumptions!$B$6+IF(F517="Yes",Assumptions!$C$6,0))</f>
        <v>1304542.3181999999</v>
      </c>
      <c r="K517" s="22">
        <f>H517*(1+Assumptions!$B$7+IF(F517="Yes",Assumptions!$C$7,0))</f>
        <v>1329873.237</v>
      </c>
      <c r="L517" s="22">
        <f>H517*(1+Assumptions!$B$8+IF(F517="Yes",Assumptions!$C$8,0))</f>
        <v>1279211.3994</v>
      </c>
    </row>
    <row r="518" spans="1:12" ht="15">
      <c r="A518" s="21">
        <v>40991</v>
      </c>
      <c r="B518" s="21">
        <v>40969</v>
      </c>
      <c r="C518" s="17">
        <v>20</v>
      </c>
      <c r="D518" s="17" t="s">
        <v>90</v>
      </c>
      <c r="E518" s="18">
        <v>203742</v>
      </c>
      <c r="F518" s="17" t="s">
        <v>91</v>
      </c>
      <c r="G518" s="14">
        <v>1992434.58</v>
      </c>
      <c r="H518" s="14">
        <v>1824304.21</v>
      </c>
      <c r="I518" s="14">
        <v>1824304.21</v>
      </c>
      <c r="J518" s="22">
        <f>H518*(1+Assumptions!$B$6+IF(F518="Yes",Assumptions!$C$6,0))</f>
        <v>1879033.3363000001</v>
      </c>
      <c r="K518" s="22">
        <f>H518*(1+Assumptions!$B$7+IF(F518="Yes",Assumptions!$C$7,0))</f>
        <v>1915519.4205</v>
      </c>
      <c r="L518" s="22">
        <f>H518*(1+Assumptions!$B$8+IF(F518="Yes",Assumptions!$C$8,0))</f>
        <v>1842547.2520999999</v>
      </c>
    </row>
    <row r="519" spans="1:12" ht="15">
      <c r="A519" s="21">
        <v>40991</v>
      </c>
      <c r="B519" s="21">
        <v>40969</v>
      </c>
      <c r="C519" s="17">
        <v>21</v>
      </c>
      <c r="D519" s="17" t="s">
        <v>92</v>
      </c>
      <c r="E519" s="18">
        <v>140167</v>
      </c>
      <c r="F519" s="17" t="s">
        <v>91</v>
      </c>
      <c r="G519" s="14">
        <v>729604.53</v>
      </c>
      <c r="H519" s="14">
        <v>753711.32</v>
      </c>
      <c r="I519" s="14">
        <v>753711.32</v>
      </c>
      <c r="J519" s="22">
        <f>H519*(1+Assumptions!$B$6+IF(F519="Yes",Assumptions!$C$6,0))</f>
        <v>776322.65960000001</v>
      </c>
      <c r="K519" s="22">
        <f>H519*(1+Assumptions!$B$7+IF(F519="Yes",Assumptions!$C$7,0))</f>
        <v>791396.88599999994</v>
      </c>
      <c r="L519" s="22">
        <f>H519*(1+Assumptions!$B$8+IF(F519="Yes",Assumptions!$C$8,0))</f>
        <v>761248.43319999997</v>
      </c>
    </row>
    <row r="520" spans="1:12" ht="15">
      <c r="A520" s="21">
        <v>40991</v>
      </c>
      <c r="B520" s="21">
        <v>40969</v>
      </c>
      <c r="C520" s="17">
        <v>22</v>
      </c>
      <c r="D520" s="17" t="s">
        <v>92</v>
      </c>
      <c r="E520" s="18">
        <v>119557</v>
      </c>
      <c r="F520" s="17" t="s">
        <v>91</v>
      </c>
      <c r="G520" s="14">
        <v>990858.32</v>
      </c>
      <c r="H520" s="14">
        <v>933507.45</v>
      </c>
      <c r="I520" s="14">
        <v>933507.45</v>
      </c>
      <c r="J520" s="22">
        <f>H520*(1+Assumptions!$B$6+IF(F520="Yes",Assumptions!$C$6,0))</f>
        <v>961512.67350000003</v>
      </c>
      <c r="K520" s="22">
        <f>H520*(1+Assumptions!$B$7+IF(F520="Yes",Assumptions!$C$7,0))</f>
        <v>980182.82250000001</v>
      </c>
      <c r="L520" s="22">
        <f>H520*(1+Assumptions!$B$8+IF(F520="Yes",Assumptions!$C$8,0))</f>
        <v>942842.52449999994</v>
      </c>
    </row>
    <row r="521" spans="1:12" ht="15">
      <c r="A521" s="21">
        <v>40991</v>
      </c>
      <c r="B521" s="21">
        <v>40969</v>
      </c>
      <c r="C521" s="17">
        <v>23</v>
      </c>
      <c r="D521" s="17" t="s">
        <v>92</v>
      </c>
      <c r="E521" s="18">
        <v>114533</v>
      </c>
      <c r="F521" s="17" t="s">
        <v>91</v>
      </c>
      <c r="G521" s="14">
        <v>1288154.1000000001</v>
      </c>
      <c r="H521" s="14">
        <v>1148624.83</v>
      </c>
      <c r="I521" s="14">
        <v>1148624.83</v>
      </c>
      <c r="J521" s="22">
        <f>H521*(1+Assumptions!$B$6+IF(F521="Yes",Assumptions!$C$6,0))</f>
        <v>1183083.5749000001</v>
      </c>
      <c r="K521" s="22">
        <f>H521*(1+Assumptions!$B$7+IF(F521="Yes",Assumptions!$C$7,0))</f>
        <v>1206056.0715000001</v>
      </c>
      <c r="L521" s="22">
        <f>H521*(1+Assumptions!$B$8+IF(F521="Yes",Assumptions!$C$8,0))</f>
        <v>1160111.0783000002</v>
      </c>
    </row>
    <row r="522" spans="1:12" ht="15">
      <c r="A522" s="21">
        <v>40991</v>
      </c>
      <c r="B522" s="21">
        <v>40969</v>
      </c>
      <c r="C522" s="17">
        <v>24</v>
      </c>
      <c r="D522" s="17" t="s">
        <v>90</v>
      </c>
      <c r="E522" s="18">
        <v>203819</v>
      </c>
      <c r="F522" s="17" t="s">
        <v>91</v>
      </c>
      <c r="G522" s="14">
        <v>1221723.94</v>
      </c>
      <c r="H522" s="14">
        <v>1157808.2</v>
      </c>
      <c r="I522" s="14">
        <v>1157808.2</v>
      </c>
      <c r="J522" s="22">
        <f>H522*(1+Assumptions!$B$6+IF(F522="Yes",Assumptions!$C$6,0))</f>
        <v>1192542.446</v>
      </c>
      <c r="K522" s="22">
        <f>H522*(1+Assumptions!$B$7+IF(F522="Yes",Assumptions!$C$7,0))</f>
        <v>1215698.6100000001</v>
      </c>
      <c r="L522" s="22">
        <f>H522*(1+Assumptions!$B$8+IF(F522="Yes",Assumptions!$C$8,0))</f>
        <v>1169386.2819999999</v>
      </c>
    </row>
    <row r="523" spans="1:12" ht="15">
      <c r="A523" s="21">
        <v>40991</v>
      </c>
      <c r="B523" s="21">
        <v>40969</v>
      </c>
      <c r="C523" s="17">
        <v>25</v>
      </c>
      <c r="D523" s="17" t="s">
        <v>92</v>
      </c>
      <c r="E523" s="18">
        <v>128107</v>
      </c>
      <c r="F523" s="17" t="s">
        <v>91</v>
      </c>
      <c r="G523" s="14">
        <v>672819.80999999994</v>
      </c>
      <c r="H523" s="14">
        <v>616298.36</v>
      </c>
      <c r="I523" s="14">
        <v>616298.36</v>
      </c>
      <c r="J523" s="22">
        <f>H523*(1+Assumptions!$B$6+IF(F523="Yes",Assumptions!$C$6,0))</f>
        <v>634787.31079999998</v>
      </c>
      <c r="K523" s="22">
        <f>H523*(1+Assumptions!$B$7+IF(F523="Yes",Assumptions!$C$7,0))</f>
        <v>647113.27800000005</v>
      </c>
      <c r="L523" s="22">
        <f>H523*(1+Assumptions!$B$8+IF(F523="Yes",Assumptions!$C$8,0))</f>
        <v>622461.34360000002</v>
      </c>
    </row>
    <row r="524" spans="1:12" ht="15">
      <c r="A524" s="21">
        <v>40991</v>
      </c>
      <c r="B524" s="21">
        <v>40969</v>
      </c>
      <c r="C524" s="17">
        <v>26</v>
      </c>
      <c r="D524" s="17" t="s">
        <v>90</v>
      </c>
      <c r="E524" s="18">
        <v>152513</v>
      </c>
      <c r="F524" s="17" t="s">
        <v>91</v>
      </c>
      <c r="G524" s="14">
        <v>874513.74</v>
      </c>
      <c r="H524" s="14">
        <v>866506.53999999992</v>
      </c>
      <c r="I524" s="14">
        <v>866506.53999999992</v>
      </c>
      <c r="J524" s="22">
        <f>H524*(1+Assumptions!$B$6+IF(F524="Yes",Assumptions!$C$6,0))</f>
        <v>892501.73619999993</v>
      </c>
      <c r="K524" s="22">
        <f>H524*(1+Assumptions!$B$7+IF(F524="Yes",Assumptions!$C$7,0))</f>
        <v>909831.86699999997</v>
      </c>
      <c r="L524" s="22">
        <f>H524*(1+Assumptions!$B$8+IF(F524="Yes",Assumptions!$C$8,0))</f>
        <v>875171.60539999988</v>
      </c>
    </row>
    <row r="525" spans="1:12" ht="15">
      <c r="A525" s="21">
        <v>40991</v>
      </c>
      <c r="B525" s="21">
        <v>40969</v>
      </c>
      <c r="C525" s="17">
        <v>27</v>
      </c>
      <c r="D525" s="17" t="s">
        <v>90</v>
      </c>
      <c r="E525" s="18">
        <v>204184</v>
      </c>
      <c r="F525" s="17" t="s">
        <v>91</v>
      </c>
      <c r="G525" s="14">
        <v>1620664.34</v>
      </c>
      <c r="H525" s="14">
        <v>1554651.0799999998</v>
      </c>
      <c r="I525" s="14">
        <v>1554651.0799999998</v>
      </c>
      <c r="J525" s="22">
        <f>H525*(1+Assumptions!$B$6+IF(F525="Yes",Assumptions!$C$6,0))</f>
        <v>1601290.6124</v>
      </c>
      <c r="K525" s="22">
        <f>H525*(1+Assumptions!$B$7+IF(F525="Yes",Assumptions!$C$7,0))</f>
        <v>1632383.6339999998</v>
      </c>
      <c r="L525" s="22">
        <f>H525*(1+Assumptions!$B$8+IF(F525="Yes",Assumptions!$C$8,0))</f>
        <v>1570197.5907999999</v>
      </c>
    </row>
    <row r="526" spans="1:12" ht="15">
      <c r="A526" s="21">
        <v>40991</v>
      </c>
      <c r="B526" s="21">
        <v>40969</v>
      </c>
      <c r="C526" s="17">
        <v>28</v>
      </c>
      <c r="D526" s="17" t="s">
        <v>90</v>
      </c>
      <c r="E526" s="18">
        <v>206302</v>
      </c>
      <c r="F526" s="17" t="s">
        <v>91</v>
      </c>
      <c r="G526" s="14">
        <v>1216011.53</v>
      </c>
      <c r="H526" s="14">
        <v>1200993.3500000001</v>
      </c>
      <c r="I526" s="14">
        <v>1200993.3500000001</v>
      </c>
      <c r="J526" s="22">
        <f>H526*(1+Assumptions!$B$6+IF(F526="Yes",Assumptions!$C$6,0))</f>
        <v>1237023.1505000002</v>
      </c>
      <c r="K526" s="22">
        <f>H526*(1+Assumptions!$B$7+IF(F526="Yes",Assumptions!$C$7,0))</f>
        <v>1261043.0175000001</v>
      </c>
      <c r="L526" s="22">
        <f>H526*(1+Assumptions!$B$8+IF(F526="Yes",Assumptions!$C$8,0))</f>
        <v>1213003.2835000001</v>
      </c>
    </row>
    <row r="527" spans="1:12" ht="15">
      <c r="A527" s="21">
        <v>40991</v>
      </c>
      <c r="B527" s="21">
        <v>40969</v>
      </c>
      <c r="C527" s="17">
        <v>29</v>
      </c>
      <c r="D527" s="17" t="s">
        <v>92</v>
      </c>
      <c r="E527" s="18">
        <v>93638</v>
      </c>
      <c r="F527" s="17" t="s">
        <v>91</v>
      </c>
      <c r="G527" s="14">
        <v>517317.14</v>
      </c>
      <c r="H527" s="14">
        <v>478162.13</v>
      </c>
      <c r="I527" s="14">
        <v>478162.13</v>
      </c>
      <c r="J527" s="22">
        <f>H527*(1+Assumptions!$B$6+IF(F527="Yes",Assumptions!$C$6,0))</f>
        <v>492506.9939</v>
      </c>
      <c r="K527" s="22">
        <f>H527*(1+Assumptions!$B$7+IF(F527="Yes",Assumptions!$C$7,0))</f>
        <v>502070.2365</v>
      </c>
      <c r="L527" s="22">
        <f>H527*(1+Assumptions!$B$8+IF(F527="Yes",Assumptions!$C$8,0))</f>
        <v>482943.7513</v>
      </c>
    </row>
    <row r="528" spans="1:12" ht="15">
      <c r="A528" s="21">
        <v>40991</v>
      </c>
      <c r="B528" s="21">
        <v>40969</v>
      </c>
      <c r="C528" s="17">
        <v>30</v>
      </c>
      <c r="D528" s="17" t="s">
        <v>93</v>
      </c>
      <c r="E528" s="18">
        <v>42988</v>
      </c>
      <c r="F528" s="17" t="s">
        <v>91</v>
      </c>
      <c r="G528" s="14">
        <v>430186.25</v>
      </c>
      <c r="H528" s="14">
        <v>431683.8</v>
      </c>
      <c r="I528" s="14">
        <v>431683.8</v>
      </c>
      <c r="J528" s="22">
        <f>H528*(1+Assumptions!$B$6+IF(F528="Yes",Assumptions!$C$6,0))</f>
        <v>444634.31400000001</v>
      </c>
      <c r="K528" s="22">
        <f>H528*(1+Assumptions!$B$7+IF(F528="Yes",Assumptions!$C$7,0))</f>
        <v>453267.99</v>
      </c>
      <c r="L528" s="22">
        <f>H528*(1+Assumptions!$B$8+IF(F528="Yes",Assumptions!$C$8,0))</f>
        <v>436000.63799999998</v>
      </c>
    </row>
    <row r="529" spans="1:12" ht="15">
      <c r="A529" s="21">
        <v>40991</v>
      </c>
      <c r="B529" s="21">
        <v>40969</v>
      </c>
      <c r="C529" s="17">
        <v>31</v>
      </c>
      <c r="D529" s="17" t="s">
        <v>90</v>
      </c>
      <c r="E529" s="18">
        <v>203750</v>
      </c>
      <c r="F529" s="17" t="s">
        <v>91</v>
      </c>
      <c r="G529" s="14">
        <v>1365800.08</v>
      </c>
      <c r="H529" s="14">
        <v>1357035.1</v>
      </c>
      <c r="I529" s="14">
        <v>1357035.1</v>
      </c>
      <c r="J529" s="22">
        <f>H529*(1+Assumptions!$B$6+IF(F529="Yes",Assumptions!$C$6,0))</f>
        <v>1397746.1530000002</v>
      </c>
      <c r="K529" s="22">
        <f>H529*(1+Assumptions!$B$7+IF(F529="Yes",Assumptions!$C$7,0))</f>
        <v>1424886.8550000002</v>
      </c>
      <c r="L529" s="22">
        <f>H529*(1+Assumptions!$B$8+IF(F529="Yes",Assumptions!$C$8,0))</f>
        <v>1370605.4510000001</v>
      </c>
    </row>
    <row r="530" spans="1:12" ht="15">
      <c r="A530" s="21">
        <v>40991</v>
      </c>
      <c r="B530" s="21">
        <v>40969</v>
      </c>
      <c r="C530" s="17">
        <v>32</v>
      </c>
      <c r="D530" s="17" t="s">
        <v>90</v>
      </c>
      <c r="E530" s="18">
        <v>203007</v>
      </c>
      <c r="F530" s="17" t="s">
        <v>91</v>
      </c>
      <c r="G530" s="14">
        <v>1146624.46</v>
      </c>
      <c r="H530" s="14">
        <v>1068719.22</v>
      </c>
      <c r="I530" s="14">
        <v>1068719.22</v>
      </c>
      <c r="J530" s="22">
        <f>H530*(1+Assumptions!$B$6+IF(F530="Yes",Assumptions!$C$6,0))</f>
        <v>1100780.7966</v>
      </c>
      <c r="K530" s="22">
        <f>H530*(1+Assumptions!$B$7+IF(F530="Yes",Assumptions!$C$7,0))</f>
        <v>1122155.1810000001</v>
      </c>
      <c r="L530" s="22">
        <f>H530*(1+Assumptions!$B$8+IF(F530="Yes",Assumptions!$C$8,0))</f>
        <v>1079406.4121999999</v>
      </c>
    </row>
    <row r="531" spans="1:12" ht="15">
      <c r="A531" s="21">
        <v>40991</v>
      </c>
      <c r="B531" s="21">
        <v>40969</v>
      </c>
      <c r="C531" s="17">
        <v>33</v>
      </c>
      <c r="D531" s="17" t="s">
        <v>90</v>
      </c>
      <c r="E531" s="18">
        <v>39690</v>
      </c>
      <c r="F531" s="17" t="s">
        <v>91</v>
      </c>
      <c r="G531" s="14">
        <v>246921.18</v>
      </c>
      <c r="H531" s="14">
        <v>238054.59</v>
      </c>
      <c r="I531" s="14">
        <v>238054.59</v>
      </c>
      <c r="J531" s="22">
        <f>H531*(1+Assumptions!$B$6+IF(F531="Yes",Assumptions!$C$6,0))</f>
        <v>245196.22769999999</v>
      </c>
      <c r="K531" s="22">
        <f>H531*(1+Assumptions!$B$7+IF(F531="Yes",Assumptions!$C$7,0))</f>
        <v>249957.31950000001</v>
      </c>
      <c r="L531" s="22">
        <f>H531*(1+Assumptions!$B$8+IF(F531="Yes",Assumptions!$C$8,0))</f>
        <v>240435.13589999999</v>
      </c>
    </row>
    <row r="532" spans="1:12" ht="15">
      <c r="A532" s="21">
        <v>40991</v>
      </c>
      <c r="B532" s="21">
        <v>40969</v>
      </c>
      <c r="C532" s="17">
        <v>34</v>
      </c>
      <c r="D532" s="17" t="s">
        <v>90</v>
      </c>
      <c r="E532" s="18">
        <v>158114</v>
      </c>
      <c r="F532" s="17" t="s">
        <v>91</v>
      </c>
      <c r="G532" s="14">
        <v>945143.33</v>
      </c>
      <c r="H532" s="14">
        <v>921399.38</v>
      </c>
      <c r="I532" s="14">
        <v>921399.38</v>
      </c>
      <c r="J532" s="22">
        <f>H532*(1+Assumptions!$B$6+IF(F532="Yes",Assumptions!$C$6,0))</f>
        <v>949041.36140000005</v>
      </c>
      <c r="K532" s="22">
        <f>H532*(1+Assumptions!$B$7+IF(F532="Yes",Assumptions!$C$7,0))</f>
        <v>967469.34900000005</v>
      </c>
      <c r="L532" s="22">
        <f>H532*(1+Assumptions!$B$8+IF(F532="Yes",Assumptions!$C$8,0))</f>
        <v>930613.37380000006</v>
      </c>
    </row>
    <row r="533" spans="1:12" ht="15">
      <c r="A533" s="21">
        <v>40991</v>
      </c>
      <c r="B533" s="21">
        <v>40969</v>
      </c>
      <c r="C533" s="17">
        <v>35</v>
      </c>
      <c r="D533" s="17" t="s">
        <v>92</v>
      </c>
      <c r="E533" s="18">
        <v>103681</v>
      </c>
      <c r="F533" s="17" t="s">
        <v>91</v>
      </c>
      <c r="G533" s="14">
        <v>760607.16</v>
      </c>
      <c r="H533" s="14">
        <v>762182.1</v>
      </c>
      <c r="I533" s="14">
        <v>762182.1</v>
      </c>
      <c r="J533" s="22">
        <f>H533*(1+Assumptions!$B$6+IF(F533="Yes",Assumptions!$C$6,0))</f>
        <v>785047.56299999997</v>
      </c>
      <c r="K533" s="22">
        <f>H533*(1+Assumptions!$B$7+IF(F533="Yes",Assumptions!$C$7,0))</f>
        <v>800291.20499999996</v>
      </c>
      <c r="L533" s="22">
        <f>H533*(1+Assumptions!$B$8+IF(F533="Yes",Assumptions!$C$8,0))</f>
        <v>769803.92099999997</v>
      </c>
    </row>
    <row r="534" spans="1:12" ht="15">
      <c r="A534" s="21">
        <v>40991</v>
      </c>
      <c r="B534" s="21">
        <v>40969</v>
      </c>
      <c r="C534" s="17">
        <v>36</v>
      </c>
      <c r="D534" s="17" t="s">
        <v>90</v>
      </c>
      <c r="E534" s="18">
        <v>39910</v>
      </c>
      <c r="F534" s="17" t="s">
        <v>91</v>
      </c>
      <c r="G534" s="14">
        <v>317730.27</v>
      </c>
      <c r="H534" s="14">
        <v>390384.11</v>
      </c>
      <c r="I534" s="14">
        <v>390384.11</v>
      </c>
      <c r="J534" s="22">
        <f>H534*(1+Assumptions!$B$6+IF(F534="Yes",Assumptions!$C$6,0))</f>
        <v>402095.63329999999</v>
      </c>
      <c r="K534" s="22">
        <f>H534*(1+Assumptions!$B$7+IF(F534="Yes",Assumptions!$C$7,0))</f>
        <v>409903.31550000003</v>
      </c>
      <c r="L534" s="22">
        <f>H534*(1+Assumptions!$B$8+IF(F534="Yes",Assumptions!$C$8,0))</f>
        <v>394287.95110000001</v>
      </c>
    </row>
    <row r="535" spans="1:12" ht="15">
      <c r="A535" s="21">
        <v>40991</v>
      </c>
      <c r="B535" s="21">
        <v>40969</v>
      </c>
      <c r="C535" s="17">
        <v>37</v>
      </c>
      <c r="D535" s="17" t="s">
        <v>93</v>
      </c>
      <c r="E535" s="18">
        <v>39910</v>
      </c>
      <c r="F535" s="17" t="s">
        <v>91</v>
      </c>
      <c r="G535" s="14">
        <v>520811.74</v>
      </c>
      <c r="H535" s="14">
        <v>522105.93</v>
      </c>
      <c r="I535" s="14">
        <v>522105.93</v>
      </c>
      <c r="J535" s="22">
        <f>H535*(1+Assumptions!$B$6+IF(F535="Yes",Assumptions!$C$6,0))</f>
        <v>537769.10790000006</v>
      </c>
      <c r="K535" s="22">
        <f>H535*(1+Assumptions!$B$7+IF(F535="Yes",Assumptions!$C$7,0))</f>
        <v>548211.22649999999</v>
      </c>
      <c r="L535" s="22">
        <f>H535*(1+Assumptions!$B$8+IF(F535="Yes",Assumptions!$C$8,0))</f>
        <v>527326.98930000002</v>
      </c>
    </row>
    <row r="536" spans="1:12" ht="15">
      <c r="A536" s="21">
        <v>40991</v>
      </c>
      <c r="B536" s="21">
        <v>40969</v>
      </c>
      <c r="C536" s="17">
        <v>38</v>
      </c>
      <c r="D536" s="17" t="s">
        <v>93</v>
      </c>
      <c r="E536" s="18">
        <v>39690</v>
      </c>
      <c r="F536" s="17" t="s">
        <v>91</v>
      </c>
      <c r="G536" s="14">
        <v>412436.58999999997</v>
      </c>
      <c r="H536" s="14">
        <v>351537.95</v>
      </c>
      <c r="I536" s="14">
        <v>351537.95</v>
      </c>
      <c r="J536" s="22">
        <f>H536*(1+Assumptions!$B$6+IF(F536="Yes",Assumptions!$C$6,0))</f>
        <v>362084.08850000001</v>
      </c>
      <c r="K536" s="22">
        <f>H536*(1+Assumptions!$B$7+IF(F536="Yes",Assumptions!$C$7,0))</f>
        <v>369114.84750000003</v>
      </c>
      <c r="L536" s="22">
        <f>H536*(1+Assumptions!$B$8+IF(F536="Yes",Assumptions!$C$8,0))</f>
        <v>355053.32949999999</v>
      </c>
    </row>
    <row r="537" spans="1:12" ht="15">
      <c r="A537" s="21">
        <v>40991</v>
      </c>
      <c r="B537" s="21">
        <v>40969</v>
      </c>
      <c r="C537" s="17">
        <v>39</v>
      </c>
      <c r="D537" s="17" t="s">
        <v>90</v>
      </c>
      <c r="E537" s="18">
        <v>184109</v>
      </c>
      <c r="F537" s="17" t="s">
        <v>91</v>
      </c>
      <c r="G537" s="14">
        <v>1469235.57</v>
      </c>
      <c r="H537" s="14">
        <v>1284322.8999999999</v>
      </c>
      <c r="I537" s="14">
        <v>1284322.8999999999</v>
      </c>
      <c r="J537" s="22">
        <f>H537*(1+Assumptions!$B$6+IF(F537="Yes",Assumptions!$C$6,0))</f>
        <v>1322852.5869999998</v>
      </c>
      <c r="K537" s="22">
        <f>H537*(1+Assumptions!$B$7+IF(F537="Yes",Assumptions!$C$7,0))</f>
        <v>1348539.0449999999</v>
      </c>
      <c r="L537" s="22">
        <f>H537*(1+Assumptions!$B$8+IF(F537="Yes",Assumptions!$C$8,0))</f>
        <v>1297166.129</v>
      </c>
    </row>
    <row r="538" spans="1:12" ht="15">
      <c r="A538" s="21">
        <v>40991</v>
      </c>
      <c r="B538" s="21">
        <v>40969</v>
      </c>
      <c r="C538" s="17">
        <v>40</v>
      </c>
      <c r="D538" s="17" t="s">
        <v>90</v>
      </c>
      <c r="E538" s="18">
        <v>155083</v>
      </c>
      <c r="F538" s="17" t="s">
        <v>91</v>
      </c>
      <c r="G538" s="14">
        <v>844176.04</v>
      </c>
      <c r="H538" s="14">
        <v>834624.39</v>
      </c>
      <c r="I538" s="14">
        <v>834624.39</v>
      </c>
      <c r="J538" s="22">
        <f>H538*(1+Assumptions!$B$6+IF(F538="Yes",Assumptions!$C$6,0))</f>
        <v>859663.12170000002</v>
      </c>
      <c r="K538" s="22">
        <f>H538*(1+Assumptions!$B$7+IF(F538="Yes",Assumptions!$C$7,0))</f>
        <v>876355.60950000002</v>
      </c>
      <c r="L538" s="22">
        <f>H538*(1+Assumptions!$B$8+IF(F538="Yes",Assumptions!$C$8,0))</f>
        <v>842970.63390000002</v>
      </c>
    </row>
    <row r="539" spans="1:12" ht="15">
      <c r="A539" s="21">
        <v>40991</v>
      </c>
      <c r="B539" s="21">
        <v>40969</v>
      </c>
      <c r="C539" s="17">
        <v>41</v>
      </c>
      <c r="D539" s="17" t="s">
        <v>90</v>
      </c>
      <c r="E539" s="18">
        <v>196321</v>
      </c>
      <c r="F539" s="17" t="s">
        <v>91</v>
      </c>
      <c r="G539" s="14">
        <v>1214123.96</v>
      </c>
      <c r="H539" s="14">
        <v>1140561.72</v>
      </c>
      <c r="I539" s="14">
        <v>1140561.72</v>
      </c>
      <c r="J539" s="22">
        <f>H539*(1+Assumptions!$B$6+IF(F539="Yes",Assumptions!$C$6,0))</f>
        <v>1174778.5715999999</v>
      </c>
      <c r="K539" s="22">
        <f>H539*(1+Assumptions!$B$7+IF(F539="Yes",Assumptions!$C$7,0))</f>
        <v>1197589.8060000001</v>
      </c>
      <c r="L539" s="22">
        <f>H539*(1+Assumptions!$B$8+IF(F539="Yes",Assumptions!$C$8,0))</f>
        <v>1151967.3372</v>
      </c>
    </row>
    <row r="540" spans="1:12" ht="15">
      <c r="A540" s="21">
        <v>40991</v>
      </c>
      <c r="B540" s="21">
        <v>40969</v>
      </c>
      <c r="C540" s="17">
        <v>42</v>
      </c>
      <c r="D540" s="17" t="s">
        <v>93</v>
      </c>
      <c r="E540" s="18">
        <v>39690</v>
      </c>
      <c r="F540" s="17" t="s">
        <v>91</v>
      </c>
      <c r="G540" s="14">
        <v>561193.47</v>
      </c>
      <c r="H540" s="14">
        <v>522639.23</v>
      </c>
      <c r="I540" s="14">
        <v>522639.23</v>
      </c>
      <c r="J540" s="22">
        <f>H540*(1+Assumptions!$B$6+IF(F540="Yes",Assumptions!$C$6,0))</f>
        <v>538318.40689999994</v>
      </c>
      <c r="K540" s="22">
        <f>H540*(1+Assumptions!$B$7+IF(F540="Yes",Assumptions!$C$7,0))</f>
        <v>548771.19149999996</v>
      </c>
      <c r="L540" s="22">
        <f>H540*(1+Assumptions!$B$8+IF(F540="Yes",Assumptions!$C$8,0))</f>
        <v>527865.62229999993</v>
      </c>
    </row>
    <row r="541" spans="1:12" ht="15">
      <c r="A541" s="21">
        <v>40991</v>
      </c>
      <c r="B541" s="21">
        <v>40969</v>
      </c>
      <c r="C541" s="17">
        <v>43</v>
      </c>
      <c r="D541" s="17" t="s">
        <v>93</v>
      </c>
      <c r="E541" s="18">
        <v>41062</v>
      </c>
      <c r="F541" s="17" t="s">
        <v>91</v>
      </c>
      <c r="G541" s="14">
        <v>609304.61</v>
      </c>
      <c r="H541" s="14">
        <v>585720.97</v>
      </c>
      <c r="I541" s="14">
        <v>585720.97</v>
      </c>
      <c r="J541" s="22">
        <f>H541*(1+Assumptions!$B$6+IF(F541="Yes",Assumptions!$C$6,0))</f>
        <v>603292.59909999999</v>
      </c>
      <c r="K541" s="22">
        <f>H541*(1+Assumptions!$B$7+IF(F541="Yes",Assumptions!$C$7,0))</f>
        <v>615007.01850000001</v>
      </c>
      <c r="L541" s="22">
        <f>H541*(1+Assumptions!$B$8+IF(F541="Yes",Assumptions!$C$8,0))</f>
        <v>591578.17969999998</v>
      </c>
    </row>
    <row r="542" spans="1:12" ht="15">
      <c r="A542" s="21">
        <v>40991</v>
      </c>
      <c r="B542" s="21">
        <v>40969</v>
      </c>
      <c r="C542" s="17">
        <v>44</v>
      </c>
      <c r="D542" s="17" t="s">
        <v>93</v>
      </c>
      <c r="E542" s="18">
        <v>39910</v>
      </c>
      <c r="F542" s="17" t="s">
        <v>91</v>
      </c>
      <c r="G542" s="14">
        <v>296928.55</v>
      </c>
      <c r="H542" s="14">
        <v>284874.99</v>
      </c>
      <c r="I542" s="14">
        <v>284874.99</v>
      </c>
      <c r="J542" s="22">
        <f>H542*(1+Assumptions!$B$6+IF(F542="Yes",Assumptions!$C$6,0))</f>
        <v>293421.23969999998</v>
      </c>
      <c r="K542" s="22">
        <f>H542*(1+Assumptions!$B$7+IF(F542="Yes",Assumptions!$C$7,0))</f>
        <v>299118.73950000003</v>
      </c>
      <c r="L542" s="22">
        <f>H542*(1+Assumptions!$B$8+IF(F542="Yes",Assumptions!$C$8,0))</f>
        <v>287723.73989999999</v>
      </c>
    </row>
    <row r="543" spans="1:12" ht="15">
      <c r="A543" s="21">
        <v>40991</v>
      </c>
      <c r="B543" s="21">
        <v>40969</v>
      </c>
      <c r="C543" s="17">
        <v>45</v>
      </c>
      <c r="D543" s="17" t="s">
        <v>92</v>
      </c>
      <c r="E543" s="18">
        <v>118221</v>
      </c>
      <c r="F543" s="17" t="s">
        <v>91</v>
      </c>
      <c r="G543" s="14">
        <v>791835.37</v>
      </c>
      <c r="H543" s="14">
        <v>719686.33</v>
      </c>
      <c r="I543" s="14">
        <v>719686.33</v>
      </c>
      <c r="J543" s="22">
        <f>H543*(1+Assumptions!$B$6+IF(F543="Yes",Assumptions!$C$6,0))</f>
        <v>741276.91989999998</v>
      </c>
      <c r="K543" s="22">
        <f>H543*(1+Assumptions!$B$7+IF(F543="Yes",Assumptions!$C$7,0))</f>
        <v>755670.64650000003</v>
      </c>
      <c r="L543" s="22">
        <f>H543*(1+Assumptions!$B$8+IF(F543="Yes",Assumptions!$C$8,0))</f>
        <v>726883.19329999993</v>
      </c>
    </row>
    <row r="544" spans="1:12" ht="15">
      <c r="A544" s="21">
        <v>40998</v>
      </c>
      <c r="B544" s="21">
        <v>40969</v>
      </c>
      <c r="C544" s="17">
        <v>1</v>
      </c>
      <c r="D544" s="17" t="s">
        <v>90</v>
      </c>
      <c r="E544" s="18">
        <v>151315</v>
      </c>
      <c r="F544" s="17" t="s">
        <v>91</v>
      </c>
      <c r="G544" s="14">
        <v>1649604.63</v>
      </c>
      <c r="H544" s="14">
        <v>1495064.75</v>
      </c>
      <c r="I544" s="14">
        <v>1495064.75</v>
      </c>
      <c r="J544" s="22">
        <f>H544*(1+Assumptions!$B$6+IF(F544="Yes",Assumptions!$C$6,0))</f>
        <v>1539916.6925000001</v>
      </c>
      <c r="K544" s="22">
        <f>H544*(1+Assumptions!$B$7+IF(F544="Yes",Assumptions!$C$7,0))</f>
        <v>1569817.9875</v>
      </c>
      <c r="L544" s="22">
        <f>H544*(1+Assumptions!$B$8+IF(F544="Yes",Assumptions!$C$8,0))</f>
        <v>1510015.3975</v>
      </c>
    </row>
    <row r="545" spans="1:12" ht="15">
      <c r="A545" s="21">
        <v>40998</v>
      </c>
      <c r="B545" s="21">
        <v>40969</v>
      </c>
      <c r="C545" s="17">
        <v>2</v>
      </c>
      <c r="D545" s="17" t="s">
        <v>90</v>
      </c>
      <c r="E545" s="18">
        <v>202307</v>
      </c>
      <c r="F545" s="17" t="s">
        <v>91</v>
      </c>
      <c r="G545" s="14">
        <v>1857444.04</v>
      </c>
      <c r="H545" s="14">
        <v>1800168.8599999999</v>
      </c>
      <c r="I545" s="14">
        <v>1800168.8599999999</v>
      </c>
      <c r="J545" s="22">
        <f>H545*(1+Assumptions!$B$6+IF(F545="Yes",Assumptions!$C$6,0))</f>
        <v>1854173.9257999999</v>
      </c>
      <c r="K545" s="22">
        <f>H545*(1+Assumptions!$B$7+IF(F545="Yes",Assumptions!$C$7,0))</f>
        <v>1890177.3029999998</v>
      </c>
      <c r="L545" s="22">
        <f>H545*(1+Assumptions!$B$8+IF(F545="Yes",Assumptions!$C$8,0))</f>
        <v>1818170.5485999999</v>
      </c>
    </row>
    <row r="546" spans="1:12" ht="15">
      <c r="A546" s="21">
        <v>40998</v>
      </c>
      <c r="B546" s="21">
        <v>40969</v>
      </c>
      <c r="C546" s="17">
        <v>3</v>
      </c>
      <c r="D546" s="17" t="s">
        <v>92</v>
      </c>
      <c r="E546" s="18">
        <v>37392</v>
      </c>
      <c r="F546" s="17" t="s">
        <v>91</v>
      </c>
      <c r="G546" s="14">
        <v>407431.93</v>
      </c>
      <c r="H546" s="14">
        <v>374545.16</v>
      </c>
      <c r="I546" s="14">
        <v>374545.16</v>
      </c>
      <c r="J546" s="22">
        <f>H546*(1+Assumptions!$B$6+IF(F546="Yes",Assumptions!$C$6,0))</f>
        <v>385781.5148</v>
      </c>
      <c r="K546" s="22">
        <f>H546*(1+Assumptions!$B$7+IF(F546="Yes",Assumptions!$C$7,0))</f>
        <v>393272.41800000001</v>
      </c>
      <c r="L546" s="22">
        <f>H546*(1+Assumptions!$B$8+IF(F546="Yes",Assumptions!$C$8,0))</f>
        <v>378290.6116</v>
      </c>
    </row>
    <row r="547" spans="1:12" ht="15">
      <c r="A547" s="21">
        <v>40998</v>
      </c>
      <c r="B547" s="21">
        <v>40969</v>
      </c>
      <c r="C547" s="17">
        <v>4</v>
      </c>
      <c r="D547" s="17" t="s">
        <v>90</v>
      </c>
      <c r="E547" s="18">
        <v>205863</v>
      </c>
      <c r="F547" s="17" t="s">
        <v>91</v>
      </c>
      <c r="G547" s="14">
        <v>2089381.77</v>
      </c>
      <c r="H547" s="14">
        <v>1900236</v>
      </c>
      <c r="I547" s="14">
        <v>1900236</v>
      </c>
      <c r="J547" s="22">
        <f>H547*(1+Assumptions!$B$6+IF(F547="Yes",Assumptions!$C$6,0))</f>
        <v>1957243.08</v>
      </c>
      <c r="K547" s="22">
        <f>H547*(1+Assumptions!$B$7+IF(F547="Yes",Assumptions!$C$7,0))</f>
        <v>1995247.8</v>
      </c>
      <c r="L547" s="22">
        <f>H547*(1+Assumptions!$B$8+IF(F547="Yes",Assumptions!$C$8,0))</f>
        <v>1919238.36</v>
      </c>
    </row>
    <row r="548" spans="1:12" ht="15">
      <c r="A548" s="21">
        <v>40998</v>
      </c>
      <c r="B548" s="21">
        <v>40969</v>
      </c>
      <c r="C548" s="17">
        <v>5</v>
      </c>
      <c r="D548" s="17" t="s">
        <v>92</v>
      </c>
      <c r="E548" s="18">
        <v>34875</v>
      </c>
      <c r="F548" s="17" t="s">
        <v>91</v>
      </c>
      <c r="G548" s="14">
        <v>330274.34999999998</v>
      </c>
      <c r="H548" s="14">
        <v>314284.2</v>
      </c>
      <c r="I548" s="14">
        <v>314284.2</v>
      </c>
      <c r="J548" s="22">
        <f>H548*(1+Assumptions!$B$6+IF(F548="Yes",Assumptions!$C$6,0))</f>
        <v>323712.72600000002</v>
      </c>
      <c r="K548" s="22">
        <f>H548*(1+Assumptions!$B$7+IF(F548="Yes",Assumptions!$C$7,0))</f>
        <v>329998.41000000003</v>
      </c>
      <c r="L548" s="22">
        <f>H548*(1+Assumptions!$B$8+IF(F548="Yes",Assumptions!$C$8,0))</f>
        <v>317427.04200000002</v>
      </c>
    </row>
    <row r="549" spans="1:12" ht="15">
      <c r="A549" s="21">
        <v>40998</v>
      </c>
      <c r="B549" s="21">
        <v>40969</v>
      </c>
      <c r="C549" s="17">
        <v>6</v>
      </c>
      <c r="D549" s="17" t="s">
        <v>90</v>
      </c>
      <c r="E549" s="18">
        <v>202505</v>
      </c>
      <c r="F549" s="17" t="s">
        <v>91</v>
      </c>
      <c r="G549" s="14">
        <v>1508933.26</v>
      </c>
      <c r="H549" s="14">
        <v>1459203.83</v>
      </c>
      <c r="I549" s="14">
        <v>1459203.83</v>
      </c>
      <c r="J549" s="22">
        <f>H549*(1+Assumptions!$B$6+IF(F549="Yes",Assumptions!$C$6,0))</f>
        <v>1502979.9449</v>
      </c>
      <c r="K549" s="22">
        <f>H549*(1+Assumptions!$B$7+IF(F549="Yes",Assumptions!$C$7,0))</f>
        <v>1532164.0215</v>
      </c>
      <c r="L549" s="22">
        <f>H549*(1+Assumptions!$B$8+IF(F549="Yes",Assumptions!$C$8,0))</f>
        <v>1473795.8683</v>
      </c>
    </row>
    <row r="550" spans="1:12" ht="15">
      <c r="A550" s="21">
        <v>40998</v>
      </c>
      <c r="B550" s="21">
        <v>40969</v>
      </c>
      <c r="C550" s="17">
        <v>7</v>
      </c>
      <c r="D550" s="17" t="s">
        <v>92</v>
      </c>
      <c r="E550" s="18">
        <v>70713</v>
      </c>
      <c r="F550" s="17" t="s">
        <v>91</v>
      </c>
      <c r="G550" s="14">
        <v>580941.56000000006</v>
      </c>
      <c r="H550" s="14">
        <v>513319.43</v>
      </c>
      <c r="I550" s="14">
        <v>513319.43</v>
      </c>
      <c r="J550" s="22">
        <f>H550*(1+Assumptions!$B$6+IF(F550="Yes",Assumptions!$C$6,0))</f>
        <v>528719.01289999997</v>
      </c>
      <c r="K550" s="22">
        <f>H550*(1+Assumptions!$B$7+IF(F550="Yes",Assumptions!$C$7,0))</f>
        <v>538985.40150000004</v>
      </c>
      <c r="L550" s="22">
        <f>H550*(1+Assumptions!$B$8+IF(F550="Yes",Assumptions!$C$8,0))</f>
        <v>518452.62430000002</v>
      </c>
    </row>
    <row r="551" spans="1:12" ht="15">
      <c r="A551" s="21">
        <v>40998</v>
      </c>
      <c r="B551" s="21">
        <v>40969</v>
      </c>
      <c r="C551" s="17">
        <v>8</v>
      </c>
      <c r="D551" s="17" t="s">
        <v>90</v>
      </c>
      <c r="E551" s="18">
        <v>155078</v>
      </c>
      <c r="F551" s="17" t="s">
        <v>91</v>
      </c>
      <c r="G551" s="14">
        <v>905935.29</v>
      </c>
      <c r="H551" s="14">
        <v>878762.3</v>
      </c>
      <c r="I551" s="14">
        <v>878762.3</v>
      </c>
      <c r="J551" s="22">
        <f>H551*(1+Assumptions!$B$6+IF(F551="Yes",Assumptions!$C$6,0))</f>
        <v>905125.16900000011</v>
      </c>
      <c r="K551" s="22">
        <f>H551*(1+Assumptions!$B$7+IF(F551="Yes",Assumptions!$C$7,0))</f>
        <v>922700.41500000004</v>
      </c>
      <c r="L551" s="22">
        <f>H551*(1+Assumptions!$B$8+IF(F551="Yes",Assumptions!$C$8,0))</f>
        <v>887549.92300000007</v>
      </c>
    </row>
    <row r="552" spans="1:12" ht="15">
      <c r="A552" s="21">
        <v>40998</v>
      </c>
      <c r="B552" s="21">
        <v>40969</v>
      </c>
      <c r="C552" s="17">
        <v>9</v>
      </c>
      <c r="D552" s="17" t="s">
        <v>92</v>
      </c>
      <c r="E552" s="18">
        <v>125833</v>
      </c>
      <c r="F552" s="17" t="s">
        <v>91</v>
      </c>
      <c r="G552" s="14">
        <v>574233.53</v>
      </c>
      <c r="H552" s="14">
        <v>520916.22</v>
      </c>
      <c r="I552" s="14">
        <v>520916.22</v>
      </c>
      <c r="J552" s="22">
        <f>H552*(1+Assumptions!$B$6+IF(F552="Yes",Assumptions!$C$6,0))</f>
        <v>536543.70660000003</v>
      </c>
      <c r="K552" s="22">
        <f>H552*(1+Assumptions!$B$7+IF(F552="Yes",Assumptions!$C$7,0))</f>
        <v>546962.03099999996</v>
      </c>
      <c r="L552" s="22">
        <f>H552*(1+Assumptions!$B$8+IF(F552="Yes",Assumptions!$C$8,0))</f>
        <v>526125.38219999999</v>
      </c>
    </row>
    <row r="553" spans="1:12" ht="15">
      <c r="A553" s="21">
        <v>40998</v>
      </c>
      <c r="B553" s="21">
        <v>40969</v>
      </c>
      <c r="C553" s="17">
        <v>10</v>
      </c>
      <c r="D553" s="17" t="s">
        <v>92</v>
      </c>
      <c r="E553" s="18">
        <v>126512</v>
      </c>
      <c r="F553" s="17" t="s">
        <v>91</v>
      </c>
      <c r="G553" s="14">
        <v>1815760.42</v>
      </c>
      <c r="H553" s="14">
        <v>1827711.77</v>
      </c>
      <c r="I553" s="14">
        <v>1827711.77</v>
      </c>
      <c r="J553" s="22">
        <f>H553*(1+Assumptions!$B$6+IF(F553="Yes",Assumptions!$C$6,0))</f>
        <v>1882543.1231</v>
      </c>
      <c r="K553" s="22">
        <f>H553*(1+Assumptions!$B$7+IF(F553="Yes",Assumptions!$C$7,0))</f>
        <v>1919097.3585000001</v>
      </c>
      <c r="L553" s="22">
        <f>H553*(1+Assumptions!$B$8+IF(F553="Yes",Assumptions!$C$8,0))</f>
        <v>1845988.8877000001</v>
      </c>
    </row>
    <row r="554" spans="1:12" ht="15">
      <c r="A554" s="21">
        <v>40998</v>
      </c>
      <c r="B554" s="21">
        <v>40969</v>
      </c>
      <c r="C554" s="17">
        <v>11</v>
      </c>
      <c r="D554" s="17" t="s">
        <v>90</v>
      </c>
      <c r="E554" s="18">
        <v>207499</v>
      </c>
      <c r="F554" s="17" t="s">
        <v>91</v>
      </c>
      <c r="G554" s="14">
        <v>1299843.03</v>
      </c>
      <c r="H554" s="14">
        <v>1258574.1200000001</v>
      </c>
      <c r="I554" s="14">
        <v>1258574.1200000001</v>
      </c>
      <c r="J554" s="22">
        <f>H554*(1+Assumptions!$B$6+IF(F554="Yes",Assumptions!$C$6,0))</f>
        <v>1296331.3436000003</v>
      </c>
      <c r="K554" s="22">
        <f>H554*(1+Assumptions!$B$7+IF(F554="Yes",Assumptions!$C$7,0))</f>
        <v>1321502.8260000001</v>
      </c>
      <c r="L554" s="22">
        <f>H554*(1+Assumptions!$B$8+IF(F554="Yes",Assumptions!$C$8,0))</f>
        <v>1271159.8612000002</v>
      </c>
    </row>
    <row r="555" spans="1:12" ht="15">
      <c r="A555" s="21">
        <v>40998</v>
      </c>
      <c r="B555" s="21">
        <v>40969</v>
      </c>
      <c r="C555" s="17">
        <v>12</v>
      </c>
      <c r="D555" s="17" t="s">
        <v>92</v>
      </c>
      <c r="E555" s="18">
        <v>112238</v>
      </c>
      <c r="F555" s="17" t="s">
        <v>91</v>
      </c>
      <c r="G555" s="14">
        <v>1025229.38</v>
      </c>
      <c r="H555" s="14">
        <v>1005518.49</v>
      </c>
      <c r="I555" s="14">
        <v>1005518.49</v>
      </c>
      <c r="J555" s="22">
        <f>H555*(1+Assumptions!$B$6+IF(F555="Yes",Assumptions!$C$6,0))</f>
        <v>1035684.0447</v>
      </c>
      <c r="K555" s="22">
        <f>H555*(1+Assumptions!$B$7+IF(F555="Yes",Assumptions!$C$7,0))</f>
        <v>1055794.4145</v>
      </c>
      <c r="L555" s="22">
        <f>H555*(1+Assumptions!$B$8+IF(F555="Yes",Assumptions!$C$8,0))</f>
        <v>1015573.6749</v>
      </c>
    </row>
    <row r="556" spans="1:12" ht="15">
      <c r="A556" s="21">
        <v>40998</v>
      </c>
      <c r="B556" s="21">
        <v>40969</v>
      </c>
      <c r="C556" s="17">
        <v>13</v>
      </c>
      <c r="D556" s="17" t="s">
        <v>90</v>
      </c>
      <c r="E556" s="18">
        <v>219622</v>
      </c>
      <c r="F556" s="17" t="s">
        <v>91</v>
      </c>
      <c r="G556" s="14">
        <v>1948982.7</v>
      </c>
      <c r="H556" s="14">
        <v>1864182.44</v>
      </c>
      <c r="I556" s="14">
        <v>1864182.44</v>
      </c>
      <c r="J556" s="22">
        <f>H556*(1+Assumptions!$B$6+IF(F556="Yes",Assumptions!$C$6,0))</f>
        <v>1920107.9132000001</v>
      </c>
      <c r="K556" s="22">
        <f>H556*(1+Assumptions!$B$7+IF(F556="Yes",Assumptions!$C$7,0))</f>
        <v>1957391.5619999999</v>
      </c>
      <c r="L556" s="22">
        <f>H556*(1+Assumptions!$B$8+IF(F556="Yes",Assumptions!$C$8,0))</f>
        <v>1882824.2644</v>
      </c>
    </row>
    <row r="557" spans="1:12" ht="15">
      <c r="A557" s="21">
        <v>40998</v>
      </c>
      <c r="B557" s="21">
        <v>40969</v>
      </c>
      <c r="C557" s="17">
        <v>14</v>
      </c>
      <c r="D557" s="17" t="s">
        <v>90</v>
      </c>
      <c r="E557" s="18">
        <v>200898</v>
      </c>
      <c r="F557" s="17" t="s">
        <v>91</v>
      </c>
      <c r="G557" s="14">
        <v>1905033.01</v>
      </c>
      <c r="H557" s="14">
        <v>1869110.55</v>
      </c>
      <c r="I557" s="14">
        <v>1869110.55</v>
      </c>
      <c r="J557" s="22">
        <f>H557*(1+Assumptions!$B$6+IF(F557="Yes",Assumptions!$C$6,0))</f>
        <v>1925183.8665</v>
      </c>
      <c r="K557" s="22">
        <f>H557*(1+Assumptions!$B$7+IF(F557="Yes",Assumptions!$C$7,0))</f>
        <v>1962566.0775000001</v>
      </c>
      <c r="L557" s="22">
        <f>H557*(1+Assumptions!$B$8+IF(F557="Yes",Assumptions!$C$8,0))</f>
        <v>1887801.6555000001</v>
      </c>
    </row>
    <row r="558" spans="1:12" ht="15">
      <c r="A558" s="21">
        <v>40998</v>
      </c>
      <c r="B558" s="21">
        <v>40969</v>
      </c>
      <c r="C558" s="17">
        <v>15</v>
      </c>
      <c r="D558" s="17" t="s">
        <v>92</v>
      </c>
      <c r="E558" s="18">
        <v>123737</v>
      </c>
      <c r="F558" s="17" t="s">
        <v>91</v>
      </c>
      <c r="G558" s="14">
        <v>557365.53</v>
      </c>
      <c r="H558" s="14">
        <v>542056.05000000005</v>
      </c>
      <c r="I558" s="14">
        <v>542056.05000000005</v>
      </c>
      <c r="J558" s="22">
        <f>H558*(1+Assumptions!$B$6+IF(F558="Yes",Assumptions!$C$6,0))</f>
        <v>558317.73150000011</v>
      </c>
      <c r="K558" s="22">
        <f>H558*(1+Assumptions!$B$7+IF(F558="Yes",Assumptions!$C$7,0))</f>
        <v>569158.85250000004</v>
      </c>
      <c r="L558" s="22">
        <f>H558*(1+Assumptions!$B$8+IF(F558="Yes",Assumptions!$C$8,0))</f>
        <v>547476.61050000007</v>
      </c>
    </row>
    <row r="559" spans="1:12" ht="15">
      <c r="A559" s="21">
        <v>40998</v>
      </c>
      <c r="B559" s="21">
        <v>40969</v>
      </c>
      <c r="C559" s="17">
        <v>16</v>
      </c>
      <c r="D559" s="17" t="s">
        <v>92</v>
      </c>
      <c r="E559" s="18">
        <v>57197</v>
      </c>
      <c r="F559" s="17" t="s">
        <v>91</v>
      </c>
      <c r="G559" s="14">
        <v>481263.69</v>
      </c>
      <c r="H559" s="14">
        <v>459627.84</v>
      </c>
      <c r="I559" s="14">
        <v>459627.84</v>
      </c>
      <c r="J559" s="22">
        <f>H559*(1+Assumptions!$B$6+IF(F559="Yes",Assumptions!$C$6,0))</f>
        <v>473416.67520000006</v>
      </c>
      <c r="K559" s="22">
        <f>H559*(1+Assumptions!$B$7+IF(F559="Yes",Assumptions!$C$7,0))</f>
        <v>482609.23200000008</v>
      </c>
      <c r="L559" s="22">
        <f>H559*(1+Assumptions!$B$8+IF(F559="Yes",Assumptions!$C$8,0))</f>
        <v>464224.11840000004</v>
      </c>
    </row>
    <row r="560" spans="1:12" ht="15">
      <c r="A560" s="21">
        <v>40998</v>
      </c>
      <c r="B560" s="21">
        <v>40969</v>
      </c>
      <c r="C560" s="17">
        <v>17</v>
      </c>
      <c r="D560" s="17" t="s">
        <v>92</v>
      </c>
      <c r="E560" s="18">
        <v>93188</v>
      </c>
      <c r="F560" s="17" t="s">
        <v>91</v>
      </c>
      <c r="G560" s="14">
        <v>871971.05</v>
      </c>
      <c r="H560" s="14">
        <v>795859.23</v>
      </c>
      <c r="I560" s="14">
        <v>795859.23</v>
      </c>
      <c r="J560" s="22">
        <f>H560*(1+Assumptions!$B$6+IF(F560="Yes",Assumptions!$C$6,0))</f>
        <v>819735.00690000004</v>
      </c>
      <c r="K560" s="22">
        <f>H560*(1+Assumptions!$B$7+IF(F560="Yes",Assumptions!$C$7,0))</f>
        <v>835652.19150000007</v>
      </c>
      <c r="L560" s="22">
        <f>H560*(1+Assumptions!$B$8+IF(F560="Yes",Assumptions!$C$8,0))</f>
        <v>803817.8223</v>
      </c>
    </row>
    <row r="561" spans="1:12" ht="15">
      <c r="A561" s="21">
        <v>40998</v>
      </c>
      <c r="B561" s="21">
        <v>40969</v>
      </c>
      <c r="C561" s="17">
        <v>18</v>
      </c>
      <c r="D561" s="17" t="s">
        <v>92</v>
      </c>
      <c r="E561" s="18">
        <v>120653</v>
      </c>
      <c r="F561" s="17" t="s">
        <v>91</v>
      </c>
      <c r="G561" s="14">
        <v>1008664.23</v>
      </c>
      <c r="H561" s="14">
        <v>938028.17</v>
      </c>
      <c r="I561" s="14">
        <v>938028.17</v>
      </c>
      <c r="J561" s="22">
        <f>H561*(1+Assumptions!$B$6+IF(F561="Yes",Assumptions!$C$6,0))</f>
        <v>966169.01510000008</v>
      </c>
      <c r="K561" s="22">
        <f>H561*(1+Assumptions!$B$7+IF(F561="Yes",Assumptions!$C$7,0))</f>
        <v>984929.57850000006</v>
      </c>
      <c r="L561" s="22">
        <f>H561*(1+Assumptions!$B$8+IF(F561="Yes",Assumptions!$C$8,0))</f>
        <v>947408.45170000009</v>
      </c>
    </row>
    <row r="562" spans="1:12" ht="15">
      <c r="A562" s="21">
        <v>40998</v>
      </c>
      <c r="B562" s="21">
        <v>40969</v>
      </c>
      <c r="C562" s="17">
        <v>19</v>
      </c>
      <c r="D562" s="17" t="s">
        <v>90</v>
      </c>
      <c r="E562" s="18">
        <v>203819</v>
      </c>
      <c r="F562" s="17" t="s">
        <v>91</v>
      </c>
      <c r="G562" s="14">
        <v>1327139.3500000001</v>
      </c>
      <c r="H562" s="14">
        <v>1305945.22</v>
      </c>
      <c r="I562" s="14">
        <v>1305945.22</v>
      </c>
      <c r="J562" s="22">
        <f>H562*(1+Assumptions!$B$6+IF(F562="Yes",Assumptions!$C$6,0))</f>
        <v>1345123.5766</v>
      </c>
      <c r="K562" s="22">
        <f>H562*(1+Assumptions!$B$7+IF(F562="Yes",Assumptions!$C$7,0))</f>
        <v>1371242.4809999999</v>
      </c>
      <c r="L562" s="22">
        <f>H562*(1+Assumptions!$B$8+IF(F562="Yes",Assumptions!$C$8,0))</f>
        <v>1319004.6721999999</v>
      </c>
    </row>
    <row r="563" spans="1:12" ht="15">
      <c r="A563" s="21">
        <v>40998</v>
      </c>
      <c r="B563" s="21">
        <v>40969</v>
      </c>
      <c r="C563" s="17">
        <v>20</v>
      </c>
      <c r="D563" s="17" t="s">
        <v>90</v>
      </c>
      <c r="E563" s="18">
        <v>203742</v>
      </c>
      <c r="F563" s="17" t="s">
        <v>91</v>
      </c>
      <c r="G563" s="14">
        <v>2074721.74</v>
      </c>
      <c r="H563" s="14">
        <v>1927982.62</v>
      </c>
      <c r="I563" s="14">
        <v>1927982.62</v>
      </c>
      <c r="J563" s="22">
        <f>H563*(1+Assumptions!$B$6+IF(F563="Yes",Assumptions!$C$6,0))</f>
        <v>1985822.0986000001</v>
      </c>
      <c r="K563" s="22">
        <f>H563*(1+Assumptions!$B$7+IF(F563="Yes",Assumptions!$C$7,0))</f>
        <v>2024381.7510000002</v>
      </c>
      <c r="L563" s="22">
        <f>H563*(1+Assumptions!$B$8+IF(F563="Yes",Assumptions!$C$8,0))</f>
        <v>1947262.4462000001</v>
      </c>
    </row>
    <row r="564" spans="1:12" ht="15">
      <c r="A564" s="21">
        <v>40998</v>
      </c>
      <c r="B564" s="21">
        <v>40969</v>
      </c>
      <c r="C564" s="17">
        <v>21</v>
      </c>
      <c r="D564" s="17" t="s">
        <v>92</v>
      </c>
      <c r="E564" s="18">
        <v>140167</v>
      </c>
      <c r="F564" s="17" t="s">
        <v>91</v>
      </c>
      <c r="G564" s="14">
        <v>724282.54</v>
      </c>
      <c r="H564" s="14">
        <v>732455.37</v>
      </c>
      <c r="I564" s="14">
        <v>732455.37</v>
      </c>
      <c r="J564" s="22">
        <f>H564*(1+Assumptions!$B$6+IF(F564="Yes",Assumptions!$C$6,0))</f>
        <v>754429.03110000002</v>
      </c>
      <c r="K564" s="22">
        <f>H564*(1+Assumptions!$B$7+IF(F564="Yes",Assumptions!$C$7,0))</f>
        <v>769078.1385</v>
      </c>
      <c r="L564" s="22">
        <f>H564*(1+Assumptions!$B$8+IF(F564="Yes",Assumptions!$C$8,0))</f>
        <v>739779.92370000004</v>
      </c>
    </row>
    <row r="565" spans="1:12" ht="15">
      <c r="A565" s="21">
        <v>40998</v>
      </c>
      <c r="B565" s="21">
        <v>40969</v>
      </c>
      <c r="C565" s="17">
        <v>22</v>
      </c>
      <c r="D565" s="17" t="s">
        <v>92</v>
      </c>
      <c r="E565" s="18">
        <v>119557</v>
      </c>
      <c r="F565" s="17" t="s">
        <v>91</v>
      </c>
      <c r="G565" s="14">
        <v>965746.17</v>
      </c>
      <c r="H565" s="14">
        <v>951562.49</v>
      </c>
      <c r="I565" s="14">
        <v>951562.49</v>
      </c>
      <c r="J565" s="22">
        <f>H565*(1+Assumptions!$B$6+IF(F565="Yes",Assumptions!$C$6,0))</f>
        <v>980109.36470000003</v>
      </c>
      <c r="K565" s="22">
        <f>H565*(1+Assumptions!$B$7+IF(F565="Yes",Assumptions!$C$7,0))</f>
        <v>999140.61450000003</v>
      </c>
      <c r="L565" s="22">
        <f>H565*(1+Assumptions!$B$8+IF(F565="Yes",Assumptions!$C$8,0))</f>
        <v>961078.11490000004</v>
      </c>
    </row>
    <row r="566" spans="1:12" ht="15">
      <c r="A566" s="21">
        <v>40998</v>
      </c>
      <c r="B566" s="21">
        <v>40969</v>
      </c>
      <c r="C566" s="17">
        <v>23</v>
      </c>
      <c r="D566" s="17" t="s">
        <v>92</v>
      </c>
      <c r="E566" s="18">
        <v>114533</v>
      </c>
      <c r="F566" s="17" t="s">
        <v>91</v>
      </c>
      <c r="G566" s="14">
        <v>1261755.96</v>
      </c>
      <c r="H566" s="14">
        <v>1182888.95</v>
      </c>
      <c r="I566" s="14">
        <v>1182888.95</v>
      </c>
      <c r="J566" s="22">
        <f>H566*(1+Assumptions!$B$6+IF(F566="Yes",Assumptions!$C$6,0))</f>
        <v>1218375.6185000001</v>
      </c>
      <c r="K566" s="22">
        <f>H566*(1+Assumptions!$B$7+IF(F566="Yes",Assumptions!$C$7,0))</f>
        <v>1242033.3975</v>
      </c>
      <c r="L566" s="22">
        <f>H566*(1+Assumptions!$B$8+IF(F566="Yes",Assumptions!$C$8,0))</f>
        <v>1194717.8395</v>
      </c>
    </row>
    <row r="567" spans="1:12" ht="15">
      <c r="A567" s="21">
        <v>40998</v>
      </c>
      <c r="B567" s="21">
        <v>40969</v>
      </c>
      <c r="C567" s="17">
        <v>24</v>
      </c>
      <c r="D567" s="17" t="s">
        <v>90</v>
      </c>
      <c r="E567" s="18">
        <v>203819</v>
      </c>
      <c r="F567" s="17" t="s">
        <v>91</v>
      </c>
      <c r="G567" s="14">
        <v>1230070.22</v>
      </c>
      <c r="H567" s="14">
        <v>1163803.3</v>
      </c>
      <c r="I567" s="14">
        <v>1163803.3</v>
      </c>
      <c r="J567" s="22">
        <f>H567*(1+Assumptions!$B$6+IF(F567="Yes",Assumptions!$C$6,0))</f>
        <v>1198717.399</v>
      </c>
      <c r="K567" s="22">
        <f>H567*(1+Assumptions!$B$7+IF(F567="Yes",Assumptions!$C$7,0))</f>
        <v>1221993.4650000001</v>
      </c>
      <c r="L567" s="22">
        <f>H567*(1+Assumptions!$B$8+IF(F567="Yes",Assumptions!$C$8,0))</f>
        <v>1175441.3330000001</v>
      </c>
    </row>
    <row r="568" spans="1:12" ht="15">
      <c r="A568" s="21">
        <v>40998</v>
      </c>
      <c r="B568" s="21">
        <v>40969</v>
      </c>
      <c r="C568" s="17">
        <v>25</v>
      </c>
      <c r="D568" s="17" t="s">
        <v>92</v>
      </c>
      <c r="E568" s="18">
        <v>128107</v>
      </c>
      <c r="F568" s="17" t="s">
        <v>91</v>
      </c>
      <c r="G568" s="14">
        <v>682953.92</v>
      </c>
      <c r="H568" s="14">
        <v>618377.79</v>
      </c>
      <c r="I568" s="14">
        <v>618377.79</v>
      </c>
      <c r="J568" s="22">
        <f>H568*(1+Assumptions!$B$6+IF(F568="Yes",Assumptions!$C$6,0))</f>
        <v>636929.12370000011</v>
      </c>
      <c r="K568" s="22">
        <f>H568*(1+Assumptions!$B$7+IF(F568="Yes",Assumptions!$C$7,0))</f>
        <v>649296.67950000009</v>
      </c>
      <c r="L568" s="22">
        <f>H568*(1+Assumptions!$B$8+IF(F568="Yes",Assumptions!$C$8,0))</f>
        <v>624561.56790000002</v>
      </c>
    </row>
    <row r="569" spans="1:12" ht="15">
      <c r="A569" s="21">
        <v>40998</v>
      </c>
      <c r="B569" s="21">
        <v>40969</v>
      </c>
      <c r="C569" s="17">
        <v>26</v>
      </c>
      <c r="D569" s="17" t="s">
        <v>90</v>
      </c>
      <c r="E569" s="18">
        <v>152513</v>
      </c>
      <c r="F569" s="17" t="s">
        <v>91</v>
      </c>
      <c r="G569" s="14">
        <v>921473.43</v>
      </c>
      <c r="H569" s="14">
        <v>849231.61</v>
      </c>
      <c r="I569" s="14">
        <v>849231.61</v>
      </c>
      <c r="J569" s="22">
        <f>H569*(1+Assumptions!$B$6+IF(F569="Yes",Assumptions!$C$6,0))</f>
        <v>874708.55830000003</v>
      </c>
      <c r="K569" s="22">
        <f>H569*(1+Assumptions!$B$7+IF(F569="Yes",Assumptions!$C$7,0))</f>
        <v>891693.19050000003</v>
      </c>
      <c r="L569" s="22">
        <f>H569*(1+Assumptions!$B$8+IF(F569="Yes",Assumptions!$C$8,0))</f>
        <v>857723.92610000004</v>
      </c>
    </row>
    <row r="570" spans="1:12" ht="15">
      <c r="A570" s="21">
        <v>40998</v>
      </c>
      <c r="B570" s="21">
        <v>40969</v>
      </c>
      <c r="C570" s="17">
        <v>27</v>
      </c>
      <c r="D570" s="17" t="s">
        <v>90</v>
      </c>
      <c r="E570" s="18">
        <v>204184</v>
      </c>
      <c r="F570" s="17" t="s">
        <v>91</v>
      </c>
      <c r="G570" s="14">
        <v>1615388.14</v>
      </c>
      <c r="H570" s="14">
        <v>1628868.28</v>
      </c>
      <c r="I570" s="14">
        <v>1628868.28</v>
      </c>
      <c r="J570" s="22">
        <f>H570*(1+Assumptions!$B$6+IF(F570="Yes",Assumptions!$C$6,0))</f>
        <v>1677734.3284</v>
      </c>
      <c r="K570" s="22">
        <f>H570*(1+Assumptions!$B$7+IF(F570="Yes",Assumptions!$C$7,0))</f>
        <v>1710311.6940000001</v>
      </c>
      <c r="L570" s="22">
        <f>H570*(1+Assumptions!$B$8+IF(F570="Yes",Assumptions!$C$8,0))</f>
        <v>1645156.9628000001</v>
      </c>
    </row>
    <row r="571" spans="1:12" ht="15">
      <c r="A571" s="21">
        <v>40998</v>
      </c>
      <c r="B571" s="21">
        <v>40969</v>
      </c>
      <c r="C571" s="17">
        <v>28</v>
      </c>
      <c r="D571" s="17" t="s">
        <v>90</v>
      </c>
      <c r="E571" s="18">
        <v>206302</v>
      </c>
      <c r="F571" s="17" t="s">
        <v>91</v>
      </c>
      <c r="G571" s="14">
        <v>1209524.1100000001</v>
      </c>
      <c r="H571" s="14">
        <v>1336838.4099999999</v>
      </c>
      <c r="I571" s="14">
        <v>1336838.4099999999</v>
      </c>
      <c r="J571" s="22">
        <f>H571*(1+Assumptions!$B$6+IF(F571="Yes",Assumptions!$C$6,0))</f>
        <v>1376943.5622999999</v>
      </c>
      <c r="K571" s="22">
        <f>H571*(1+Assumptions!$B$7+IF(F571="Yes",Assumptions!$C$7,0))</f>
        <v>1403680.3304999999</v>
      </c>
      <c r="L571" s="22">
        <f>H571*(1+Assumptions!$B$8+IF(F571="Yes",Assumptions!$C$8,0))</f>
        <v>1350206.7940999998</v>
      </c>
    </row>
    <row r="572" spans="1:12" ht="15">
      <c r="A572" s="21">
        <v>40998</v>
      </c>
      <c r="B572" s="21">
        <v>40969</v>
      </c>
      <c r="C572" s="17">
        <v>29</v>
      </c>
      <c r="D572" s="17" t="s">
        <v>92</v>
      </c>
      <c r="E572" s="18">
        <v>93638</v>
      </c>
      <c r="F572" s="17" t="s">
        <v>91</v>
      </c>
      <c r="G572" s="14">
        <v>504358.99</v>
      </c>
      <c r="H572" s="14">
        <v>475600.26</v>
      </c>
      <c r="I572" s="14">
        <v>475600.26</v>
      </c>
      <c r="J572" s="22">
        <f>H572*(1+Assumptions!$B$6+IF(F572="Yes",Assumptions!$C$6,0))</f>
        <v>489868.26780000003</v>
      </c>
      <c r="K572" s="22">
        <f>H572*(1+Assumptions!$B$7+IF(F572="Yes",Assumptions!$C$7,0))</f>
        <v>499380.27300000004</v>
      </c>
      <c r="L572" s="22">
        <f>H572*(1+Assumptions!$B$8+IF(F572="Yes",Assumptions!$C$8,0))</f>
        <v>480356.26260000002</v>
      </c>
    </row>
    <row r="573" spans="1:12" ht="15">
      <c r="A573" s="21">
        <v>40998</v>
      </c>
      <c r="B573" s="21">
        <v>40969</v>
      </c>
      <c r="C573" s="17">
        <v>30</v>
      </c>
      <c r="D573" s="17" t="s">
        <v>93</v>
      </c>
      <c r="E573" s="18">
        <v>42988</v>
      </c>
      <c r="F573" s="17" t="s">
        <v>91</v>
      </c>
      <c r="G573" s="14">
        <v>449570.14999999997</v>
      </c>
      <c r="H573" s="14">
        <v>437727.78</v>
      </c>
      <c r="I573" s="14">
        <v>437727.78</v>
      </c>
      <c r="J573" s="22">
        <f>H573*(1+Assumptions!$B$6+IF(F573="Yes",Assumptions!$C$6,0))</f>
        <v>450859.61340000003</v>
      </c>
      <c r="K573" s="22">
        <f>H573*(1+Assumptions!$B$7+IF(F573="Yes",Assumptions!$C$7,0))</f>
        <v>459614.16900000005</v>
      </c>
      <c r="L573" s="22">
        <f>H573*(1+Assumptions!$B$8+IF(F573="Yes",Assumptions!$C$8,0))</f>
        <v>442105.05780000001</v>
      </c>
    </row>
    <row r="574" spans="1:12" ht="15">
      <c r="A574" s="21">
        <v>40998</v>
      </c>
      <c r="B574" s="21">
        <v>40969</v>
      </c>
      <c r="C574" s="17">
        <v>31</v>
      </c>
      <c r="D574" s="17" t="s">
        <v>90</v>
      </c>
      <c r="E574" s="18">
        <v>203750</v>
      </c>
      <c r="F574" s="17" t="s">
        <v>91</v>
      </c>
      <c r="G574" s="14">
        <v>1318854.22</v>
      </c>
      <c r="H574" s="14">
        <v>1344881.73</v>
      </c>
      <c r="I574" s="14">
        <v>1344881.73</v>
      </c>
      <c r="J574" s="22">
        <f>H574*(1+Assumptions!$B$6+IF(F574="Yes",Assumptions!$C$6,0))</f>
        <v>1385228.1819</v>
      </c>
      <c r="K574" s="22">
        <f>H574*(1+Assumptions!$B$7+IF(F574="Yes",Assumptions!$C$7,0))</f>
        <v>1412125.8165</v>
      </c>
      <c r="L574" s="22">
        <f>H574*(1+Assumptions!$B$8+IF(F574="Yes",Assumptions!$C$8,0))</f>
        <v>1358330.5473</v>
      </c>
    </row>
    <row r="575" spans="1:12" ht="15">
      <c r="A575" s="21">
        <v>40998</v>
      </c>
      <c r="B575" s="21">
        <v>40969</v>
      </c>
      <c r="C575" s="17">
        <v>32</v>
      </c>
      <c r="D575" s="17" t="s">
        <v>90</v>
      </c>
      <c r="E575" s="18">
        <v>203007</v>
      </c>
      <c r="F575" s="17" t="s">
        <v>91</v>
      </c>
      <c r="G575" s="14">
        <v>1108686.8700000001</v>
      </c>
      <c r="H575" s="14">
        <v>1051112.02</v>
      </c>
      <c r="I575" s="14">
        <v>1051112.02</v>
      </c>
      <c r="J575" s="22">
        <f>H575*(1+Assumptions!$B$6+IF(F575="Yes",Assumptions!$C$6,0))</f>
        <v>1082645.3806</v>
      </c>
      <c r="K575" s="22">
        <f>H575*(1+Assumptions!$B$7+IF(F575="Yes",Assumptions!$C$7,0))</f>
        <v>1103667.621</v>
      </c>
      <c r="L575" s="22">
        <f>H575*(1+Assumptions!$B$8+IF(F575="Yes",Assumptions!$C$8,0))</f>
        <v>1061623.1402</v>
      </c>
    </row>
    <row r="576" spans="1:12" ht="15">
      <c r="A576" s="21">
        <v>40998</v>
      </c>
      <c r="B576" s="21">
        <v>40969</v>
      </c>
      <c r="C576" s="17">
        <v>33</v>
      </c>
      <c r="D576" s="17" t="s">
        <v>90</v>
      </c>
      <c r="E576" s="18">
        <v>39690</v>
      </c>
      <c r="F576" s="17" t="s">
        <v>91</v>
      </c>
      <c r="G576" s="14">
        <v>251261.17</v>
      </c>
      <c r="H576" s="14">
        <v>232695.27000000002</v>
      </c>
      <c r="I576" s="14">
        <v>232695.27000000002</v>
      </c>
      <c r="J576" s="22">
        <f>H576*(1+Assumptions!$B$6+IF(F576="Yes",Assumptions!$C$6,0))</f>
        <v>239676.12810000003</v>
      </c>
      <c r="K576" s="22">
        <f>H576*(1+Assumptions!$B$7+IF(F576="Yes",Assumptions!$C$7,0))</f>
        <v>244330.03350000002</v>
      </c>
      <c r="L576" s="22">
        <f>H576*(1+Assumptions!$B$8+IF(F576="Yes",Assumptions!$C$8,0))</f>
        <v>235022.22270000001</v>
      </c>
    </row>
    <row r="577" spans="1:12" ht="15">
      <c r="A577" s="21">
        <v>40998</v>
      </c>
      <c r="B577" s="21">
        <v>40969</v>
      </c>
      <c r="C577" s="17">
        <v>34</v>
      </c>
      <c r="D577" s="17" t="s">
        <v>90</v>
      </c>
      <c r="E577" s="18">
        <v>158114</v>
      </c>
      <c r="F577" s="17" t="s">
        <v>91</v>
      </c>
      <c r="G577" s="14">
        <v>938856.77</v>
      </c>
      <c r="H577" s="14">
        <v>884000.92</v>
      </c>
      <c r="I577" s="14">
        <v>884000.92</v>
      </c>
      <c r="J577" s="22">
        <f>H577*(1+Assumptions!$B$6+IF(F577="Yes",Assumptions!$C$6,0))</f>
        <v>910520.94760000007</v>
      </c>
      <c r="K577" s="22">
        <f>H577*(1+Assumptions!$B$7+IF(F577="Yes",Assumptions!$C$7,0))</f>
        <v>928200.96600000013</v>
      </c>
      <c r="L577" s="22">
        <f>H577*(1+Assumptions!$B$8+IF(F577="Yes",Assumptions!$C$8,0))</f>
        <v>892840.92920000001</v>
      </c>
    </row>
    <row r="578" spans="1:12" ht="15">
      <c r="A578" s="21">
        <v>40998</v>
      </c>
      <c r="B578" s="21">
        <v>40969</v>
      </c>
      <c r="C578" s="17">
        <v>35</v>
      </c>
      <c r="D578" s="17" t="s">
        <v>92</v>
      </c>
      <c r="E578" s="18">
        <v>103681</v>
      </c>
      <c r="F578" s="17" t="s">
        <v>91</v>
      </c>
      <c r="G578" s="14">
        <v>744449.63</v>
      </c>
      <c r="H578" s="14">
        <v>762369.95000000007</v>
      </c>
      <c r="I578" s="14">
        <v>762369.95000000007</v>
      </c>
      <c r="J578" s="22">
        <f>H578*(1+Assumptions!$B$6+IF(F578="Yes",Assumptions!$C$6,0))</f>
        <v>785241.04850000015</v>
      </c>
      <c r="K578" s="22">
        <f>H578*(1+Assumptions!$B$7+IF(F578="Yes",Assumptions!$C$7,0))</f>
        <v>800488.44750000013</v>
      </c>
      <c r="L578" s="22">
        <f>H578*(1+Assumptions!$B$8+IF(F578="Yes",Assumptions!$C$8,0))</f>
        <v>769993.64950000006</v>
      </c>
    </row>
    <row r="579" spans="1:12" ht="15">
      <c r="A579" s="21">
        <v>40998</v>
      </c>
      <c r="B579" s="21">
        <v>40969</v>
      </c>
      <c r="C579" s="17">
        <v>36</v>
      </c>
      <c r="D579" s="17" t="s">
        <v>90</v>
      </c>
      <c r="E579" s="18">
        <v>39910</v>
      </c>
      <c r="F579" s="17" t="s">
        <v>91</v>
      </c>
      <c r="G579" s="14">
        <v>303993.06</v>
      </c>
      <c r="H579" s="14">
        <v>385443.61</v>
      </c>
      <c r="I579" s="14">
        <v>385443.61</v>
      </c>
      <c r="J579" s="22">
        <f>H579*(1+Assumptions!$B$6+IF(F579="Yes",Assumptions!$C$6,0))</f>
        <v>397006.91830000002</v>
      </c>
      <c r="K579" s="22">
        <f>H579*(1+Assumptions!$B$7+IF(F579="Yes",Assumptions!$C$7,0))</f>
        <v>404715.7905</v>
      </c>
      <c r="L579" s="22">
        <f>H579*(1+Assumptions!$B$8+IF(F579="Yes",Assumptions!$C$8,0))</f>
        <v>389298.04609999998</v>
      </c>
    </row>
    <row r="580" spans="1:12" ht="15">
      <c r="A580" s="21">
        <v>40998</v>
      </c>
      <c r="B580" s="21">
        <v>40969</v>
      </c>
      <c r="C580" s="17">
        <v>37</v>
      </c>
      <c r="D580" s="17" t="s">
        <v>93</v>
      </c>
      <c r="E580" s="18">
        <v>39910</v>
      </c>
      <c r="F580" s="17" t="s">
        <v>91</v>
      </c>
      <c r="G580" s="14">
        <v>533710.65</v>
      </c>
      <c r="H580" s="14">
        <v>534578.78</v>
      </c>
      <c r="I580" s="14">
        <v>534578.78</v>
      </c>
      <c r="J580" s="22">
        <f>H580*(1+Assumptions!$B$6+IF(F580="Yes",Assumptions!$C$6,0))</f>
        <v>550616.14340000006</v>
      </c>
      <c r="K580" s="22">
        <f>H580*(1+Assumptions!$B$7+IF(F580="Yes",Assumptions!$C$7,0))</f>
        <v>561307.71900000004</v>
      </c>
      <c r="L580" s="22">
        <f>H580*(1+Assumptions!$B$8+IF(F580="Yes",Assumptions!$C$8,0))</f>
        <v>539924.56780000008</v>
      </c>
    </row>
    <row r="581" spans="1:12" ht="15">
      <c r="A581" s="21">
        <v>40998</v>
      </c>
      <c r="B581" s="21">
        <v>40969</v>
      </c>
      <c r="C581" s="17">
        <v>38</v>
      </c>
      <c r="D581" s="17" t="s">
        <v>93</v>
      </c>
      <c r="E581" s="18">
        <v>39690</v>
      </c>
      <c r="F581" s="17" t="s">
        <v>91</v>
      </c>
      <c r="G581" s="14">
        <v>408500.06</v>
      </c>
      <c r="H581" s="14">
        <v>382080.69</v>
      </c>
      <c r="I581" s="14">
        <v>382080.69</v>
      </c>
      <c r="J581" s="22">
        <f>H581*(1+Assumptions!$B$6+IF(F581="Yes",Assumptions!$C$6,0))</f>
        <v>393543.11070000002</v>
      </c>
      <c r="K581" s="22">
        <f>H581*(1+Assumptions!$B$7+IF(F581="Yes",Assumptions!$C$7,0))</f>
        <v>401184.72450000001</v>
      </c>
      <c r="L581" s="22">
        <f>H581*(1+Assumptions!$B$8+IF(F581="Yes",Assumptions!$C$8,0))</f>
        <v>385901.49690000003</v>
      </c>
    </row>
    <row r="582" spans="1:12" ht="15">
      <c r="A582" s="21">
        <v>40998</v>
      </c>
      <c r="B582" s="21">
        <v>40969</v>
      </c>
      <c r="C582" s="17">
        <v>39</v>
      </c>
      <c r="D582" s="17" t="s">
        <v>90</v>
      </c>
      <c r="E582" s="18">
        <v>184109</v>
      </c>
      <c r="F582" s="17" t="s">
        <v>91</v>
      </c>
      <c r="G582" s="14">
        <v>1499187.02</v>
      </c>
      <c r="H582" s="14">
        <v>1316645.3999999999</v>
      </c>
      <c r="I582" s="14">
        <v>1316645.3999999999</v>
      </c>
      <c r="J582" s="22">
        <f>H582*(1+Assumptions!$B$6+IF(F582="Yes",Assumptions!$C$6,0))</f>
        <v>1356144.7619999999</v>
      </c>
      <c r="K582" s="22">
        <f>H582*(1+Assumptions!$B$7+IF(F582="Yes",Assumptions!$C$7,0))</f>
        <v>1382477.67</v>
      </c>
      <c r="L582" s="22">
        <f>H582*(1+Assumptions!$B$8+IF(F582="Yes",Assumptions!$C$8,0))</f>
        <v>1329811.8539999998</v>
      </c>
    </row>
    <row r="583" spans="1:12" ht="15">
      <c r="A583" s="21">
        <v>40998</v>
      </c>
      <c r="B583" s="21">
        <v>40969</v>
      </c>
      <c r="C583" s="17">
        <v>40</v>
      </c>
      <c r="D583" s="17" t="s">
        <v>90</v>
      </c>
      <c r="E583" s="18">
        <v>155083</v>
      </c>
      <c r="F583" s="17" t="s">
        <v>91</v>
      </c>
      <c r="G583" s="14">
        <v>871249.82000000007</v>
      </c>
      <c r="H583" s="14">
        <v>841886.08</v>
      </c>
      <c r="I583" s="14">
        <v>841886.08</v>
      </c>
      <c r="J583" s="22">
        <f>H583*(1+Assumptions!$B$6+IF(F583="Yes",Assumptions!$C$6,0))</f>
        <v>867142.66240000003</v>
      </c>
      <c r="K583" s="22">
        <f>H583*(1+Assumptions!$B$7+IF(F583="Yes",Assumptions!$C$7,0))</f>
        <v>883980.38399999996</v>
      </c>
      <c r="L583" s="22">
        <f>H583*(1+Assumptions!$B$8+IF(F583="Yes",Assumptions!$C$8,0))</f>
        <v>850304.94079999998</v>
      </c>
    </row>
    <row r="584" spans="1:12" ht="15">
      <c r="A584" s="21">
        <v>40998</v>
      </c>
      <c r="B584" s="21">
        <v>40969</v>
      </c>
      <c r="C584" s="17">
        <v>41</v>
      </c>
      <c r="D584" s="17" t="s">
        <v>90</v>
      </c>
      <c r="E584" s="18">
        <v>196321</v>
      </c>
      <c r="F584" s="17" t="s">
        <v>91</v>
      </c>
      <c r="G584" s="14">
        <v>1239423.19</v>
      </c>
      <c r="H584" s="14">
        <v>1179120.98</v>
      </c>
      <c r="I584" s="14">
        <v>1179120.98</v>
      </c>
      <c r="J584" s="22">
        <f>H584*(1+Assumptions!$B$6+IF(F584="Yes",Assumptions!$C$6,0))</f>
        <v>1214494.6094</v>
      </c>
      <c r="K584" s="22">
        <f>H584*(1+Assumptions!$B$7+IF(F584="Yes",Assumptions!$C$7,0))</f>
        <v>1238077.0290000001</v>
      </c>
      <c r="L584" s="22">
        <f>H584*(1+Assumptions!$B$8+IF(F584="Yes",Assumptions!$C$8,0))</f>
        <v>1190912.1898000001</v>
      </c>
    </row>
    <row r="585" spans="1:12" ht="15">
      <c r="A585" s="21">
        <v>40998</v>
      </c>
      <c r="B585" s="21">
        <v>40969</v>
      </c>
      <c r="C585" s="17">
        <v>42</v>
      </c>
      <c r="D585" s="17" t="s">
        <v>93</v>
      </c>
      <c r="E585" s="18">
        <v>39690</v>
      </c>
      <c r="F585" s="17" t="s">
        <v>91</v>
      </c>
      <c r="G585" s="14">
        <v>543983.57999999996</v>
      </c>
      <c r="H585" s="14">
        <v>508430.2</v>
      </c>
      <c r="I585" s="14">
        <v>508430.2</v>
      </c>
      <c r="J585" s="22">
        <f>H585*(1+Assumptions!$B$6+IF(F585="Yes",Assumptions!$C$6,0))</f>
        <v>523683.10600000003</v>
      </c>
      <c r="K585" s="22">
        <f>H585*(1+Assumptions!$B$7+IF(F585="Yes",Assumptions!$C$7,0))</f>
        <v>533851.71000000008</v>
      </c>
      <c r="L585" s="22">
        <f>H585*(1+Assumptions!$B$8+IF(F585="Yes",Assumptions!$C$8,0))</f>
        <v>513514.50200000004</v>
      </c>
    </row>
    <row r="586" spans="1:12" ht="15">
      <c r="A586" s="21">
        <v>40998</v>
      </c>
      <c r="B586" s="21">
        <v>40969</v>
      </c>
      <c r="C586" s="17">
        <v>43</v>
      </c>
      <c r="D586" s="17" t="s">
        <v>93</v>
      </c>
      <c r="E586" s="18">
        <v>41062</v>
      </c>
      <c r="F586" s="17" t="s">
        <v>91</v>
      </c>
      <c r="G586" s="14">
        <v>621606.86</v>
      </c>
      <c r="H586" s="14">
        <v>611349.4</v>
      </c>
      <c r="I586" s="14">
        <v>611349.4</v>
      </c>
      <c r="J586" s="22">
        <f>H586*(1+Assumptions!$B$6+IF(F586="Yes",Assumptions!$C$6,0))</f>
        <v>629689.88199999998</v>
      </c>
      <c r="K586" s="22">
        <f>H586*(1+Assumptions!$B$7+IF(F586="Yes",Assumptions!$C$7,0))</f>
        <v>641916.87</v>
      </c>
      <c r="L586" s="22">
        <f>H586*(1+Assumptions!$B$8+IF(F586="Yes",Assumptions!$C$8,0))</f>
        <v>617462.89399999997</v>
      </c>
    </row>
    <row r="587" spans="1:12" ht="15">
      <c r="A587" s="21">
        <v>40998</v>
      </c>
      <c r="B587" s="21">
        <v>40969</v>
      </c>
      <c r="C587" s="17">
        <v>44</v>
      </c>
      <c r="D587" s="17" t="s">
        <v>93</v>
      </c>
      <c r="E587" s="18">
        <v>39910</v>
      </c>
      <c r="F587" s="17" t="s">
        <v>91</v>
      </c>
      <c r="G587" s="14">
        <v>309373.27</v>
      </c>
      <c r="H587" s="14">
        <v>281435.78000000003</v>
      </c>
      <c r="I587" s="14">
        <v>281435.78000000003</v>
      </c>
      <c r="J587" s="22">
        <f>H587*(1+Assumptions!$B$6+IF(F587="Yes",Assumptions!$C$6,0))</f>
        <v>289878.85340000002</v>
      </c>
      <c r="K587" s="22">
        <f>H587*(1+Assumptions!$B$7+IF(F587="Yes",Assumptions!$C$7,0))</f>
        <v>295507.56900000002</v>
      </c>
      <c r="L587" s="22">
        <f>H587*(1+Assumptions!$B$8+IF(F587="Yes",Assumptions!$C$8,0))</f>
        <v>284250.13780000003</v>
      </c>
    </row>
    <row r="588" spans="1:12" ht="15">
      <c r="A588" s="21">
        <v>40998</v>
      </c>
      <c r="B588" s="21">
        <v>40969</v>
      </c>
      <c r="C588" s="17">
        <v>45</v>
      </c>
      <c r="D588" s="17" t="s">
        <v>92</v>
      </c>
      <c r="E588" s="18">
        <v>118221</v>
      </c>
      <c r="F588" s="17" t="s">
        <v>91</v>
      </c>
      <c r="G588" s="14">
        <v>777002.97</v>
      </c>
      <c r="H588" s="14">
        <v>712425.76</v>
      </c>
      <c r="I588" s="14">
        <v>712425.76</v>
      </c>
      <c r="J588" s="22">
        <f>H588*(1+Assumptions!$B$6+IF(F588="Yes",Assumptions!$C$6,0))</f>
        <v>733798.53280000004</v>
      </c>
      <c r="K588" s="22">
        <f>H588*(1+Assumptions!$B$7+IF(F588="Yes",Assumptions!$C$7,0))</f>
        <v>748047.04800000007</v>
      </c>
      <c r="L588" s="22">
        <f>H588*(1+Assumptions!$B$8+IF(F588="Yes",Assumptions!$C$8,0))</f>
        <v>719550.01760000002</v>
      </c>
    </row>
    <row r="589" spans="1:12" ht="15">
      <c r="A589" s="21">
        <v>41005</v>
      </c>
      <c r="B589" s="21">
        <v>41000</v>
      </c>
      <c r="C589" s="17">
        <v>1</v>
      </c>
      <c r="D589" s="17" t="s">
        <v>90</v>
      </c>
      <c r="E589" s="18">
        <v>151315</v>
      </c>
      <c r="F589" s="17" t="s">
        <v>91</v>
      </c>
      <c r="G589" s="14">
        <v>1899416.16</v>
      </c>
      <c r="H589" s="14">
        <v>1614557.35</v>
      </c>
      <c r="I589" s="14">
        <v>1614557.35</v>
      </c>
      <c r="J589" s="22">
        <f>H589*(1+Assumptions!$B$6+IF(F589="Yes",Assumptions!$C$6,0))</f>
        <v>1662994.0705000001</v>
      </c>
      <c r="K589" s="22">
        <f>H589*(1+Assumptions!$B$7+IF(F589="Yes",Assumptions!$C$7,0))</f>
        <v>1695285.2175000003</v>
      </c>
      <c r="L589" s="22">
        <f>H589*(1+Assumptions!$B$8+IF(F589="Yes",Assumptions!$C$8,0))</f>
        <v>1630702.9235</v>
      </c>
    </row>
    <row r="590" spans="1:12" ht="15">
      <c r="A590" s="21">
        <v>41005</v>
      </c>
      <c r="B590" s="21">
        <v>41000</v>
      </c>
      <c r="C590" s="17">
        <v>2</v>
      </c>
      <c r="D590" s="17" t="s">
        <v>90</v>
      </c>
      <c r="E590" s="18">
        <v>202307</v>
      </c>
      <c r="F590" s="17" t="s">
        <v>91</v>
      </c>
      <c r="G590" s="14">
        <v>2128975.91</v>
      </c>
      <c r="H590" s="14">
        <v>1847552.61</v>
      </c>
      <c r="I590" s="14">
        <v>1847552.61</v>
      </c>
      <c r="J590" s="22">
        <f>H590*(1+Assumptions!$B$6+IF(F590="Yes",Assumptions!$C$6,0))</f>
        <v>1902979.1883000003</v>
      </c>
      <c r="K590" s="22">
        <f>H590*(1+Assumptions!$B$7+IF(F590="Yes",Assumptions!$C$7,0))</f>
        <v>1939930.2405000003</v>
      </c>
      <c r="L590" s="22">
        <f>H590*(1+Assumptions!$B$8+IF(F590="Yes",Assumptions!$C$8,0))</f>
        <v>1866028.1361000002</v>
      </c>
    </row>
    <row r="591" spans="1:12" ht="15">
      <c r="A591" s="21">
        <v>41005</v>
      </c>
      <c r="B591" s="21">
        <v>41000</v>
      </c>
      <c r="C591" s="17">
        <v>3</v>
      </c>
      <c r="D591" s="17" t="s">
        <v>92</v>
      </c>
      <c r="E591" s="18">
        <v>37392</v>
      </c>
      <c r="F591" s="17" t="s">
        <v>91</v>
      </c>
      <c r="G591" s="14">
        <v>503214.31</v>
      </c>
      <c r="H591" s="14">
        <v>384025.55</v>
      </c>
      <c r="I591" s="14">
        <v>384025.55</v>
      </c>
      <c r="J591" s="22">
        <f>H591*(1+Assumptions!$B$6+IF(F591="Yes",Assumptions!$C$6,0))</f>
        <v>395546.31650000002</v>
      </c>
      <c r="K591" s="22">
        <f>H591*(1+Assumptions!$B$7+IF(F591="Yes",Assumptions!$C$7,0))</f>
        <v>403226.82750000001</v>
      </c>
      <c r="L591" s="22">
        <f>H591*(1+Assumptions!$B$8+IF(F591="Yes",Assumptions!$C$8,0))</f>
        <v>387865.80550000002</v>
      </c>
    </row>
    <row r="592" spans="1:12" ht="15">
      <c r="A592" s="21">
        <v>41005</v>
      </c>
      <c r="B592" s="21">
        <v>41000</v>
      </c>
      <c r="C592" s="17">
        <v>4</v>
      </c>
      <c r="D592" s="17" t="s">
        <v>90</v>
      </c>
      <c r="E592" s="18">
        <v>205863</v>
      </c>
      <c r="F592" s="17" t="s">
        <v>91</v>
      </c>
      <c r="G592" s="14">
        <v>2470106.13</v>
      </c>
      <c r="H592" s="14">
        <v>2074953.46</v>
      </c>
      <c r="I592" s="14">
        <v>2074953.46</v>
      </c>
      <c r="J592" s="22">
        <f>H592*(1+Assumptions!$B$6+IF(F592="Yes",Assumptions!$C$6,0))</f>
        <v>2137202.0638000001</v>
      </c>
      <c r="K592" s="22">
        <f>H592*(1+Assumptions!$B$7+IF(F592="Yes",Assumptions!$C$7,0))</f>
        <v>2178701.1329999999</v>
      </c>
      <c r="L592" s="22">
        <f>H592*(1+Assumptions!$B$8+IF(F592="Yes",Assumptions!$C$8,0))</f>
        <v>2095702.9946000001</v>
      </c>
    </row>
    <row r="593" spans="1:12" ht="15">
      <c r="A593" s="21">
        <v>41005</v>
      </c>
      <c r="B593" s="21">
        <v>41000</v>
      </c>
      <c r="C593" s="17">
        <v>5</v>
      </c>
      <c r="D593" s="17" t="s">
        <v>92</v>
      </c>
      <c r="E593" s="18">
        <v>34875</v>
      </c>
      <c r="F593" s="17" t="s">
        <v>91</v>
      </c>
      <c r="G593" s="14">
        <v>402663.82</v>
      </c>
      <c r="H593" s="14">
        <v>307160.51</v>
      </c>
      <c r="I593" s="14">
        <v>307160.51</v>
      </c>
      <c r="J593" s="22">
        <f>H593*(1+Assumptions!$B$6+IF(F593="Yes",Assumptions!$C$6,0))</f>
        <v>316375.32530000003</v>
      </c>
      <c r="K593" s="22">
        <f>H593*(1+Assumptions!$B$7+IF(F593="Yes",Assumptions!$C$7,0))</f>
        <v>322518.5355</v>
      </c>
      <c r="L593" s="22">
        <f>H593*(1+Assumptions!$B$8+IF(F593="Yes",Assumptions!$C$8,0))</f>
        <v>310232.1151</v>
      </c>
    </row>
    <row r="594" spans="1:12" ht="15">
      <c r="A594" s="21">
        <v>41005</v>
      </c>
      <c r="B594" s="21">
        <v>41000</v>
      </c>
      <c r="C594" s="17">
        <v>6</v>
      </c>
      <c r="D594" s="17" t="s">
        <v>90</v>
      </c>
      <c r="E594" s="18">
        <v>202505</v>
      </c>
      <c r="F594" s="17" t="s">
        <v>91</v>
      </c>
      <c r="G594" s="14">
        <v>1840051.19</v>
      </c>
      <c r="H594" s="14">
        <v>1534780.53</v>
      </c>
      <c r="I594" s="14">
        <v>1534780.53</v>
      </c>
      <c r="J594" s="22">
        <f>H594*(1+Assumptions!$B$6+IF(F594="Yes",Assumptions!$C$6,0))</f>
        <v>1580823.9459000002</v>
      </c>
      <c r="K594" s="22">
        <f>H594*(1+Assumptions!$B$7+IF(F594="Yes",Assumptions!$C$7,0))</f>
        <v>1611519.5565000002</v>
      </c>
      <c r="L594" s="22">
        <f>H594*(1+Assumptions!$B$8+IF(F594="Yes",Assumptions!$C$8,0))</f>
        <v>1550128.3353000002</v>
      </c>
    </row>
    <row r="595" spans="1:12" ht="15">
      <c r="A595" s="21">
        <v>41005</v>
      </c>
      <c r="B595" s="21">
        <v>41000</v>
      </c>
      <c r="C595" s="17">
        <v>7</v>
      </c>
      <c r="D595" s="17" t="s">
        <v>92</v>
      </c>
      <c r="E595" s="18">
        <v>70713</v>
      </c>
      <c r="F595" s="17" t="s">
        <v>91</v>
      </c>
      <c r="G595" s="14">
        <v>619489.01</v>
      </c>
      <c r="H595" s="14">
        <v>500552.16</v>
      </c>
      <c r="I595" s="14">
        <v>500552.16</v>
      </c>
      <c r="J595" s="22">
        <f>H595*(1+Assumptions!$B$6+IF(F595="Yes",Assumptions!$C$6,0))</f>
        <v>515568.72479999997</v>
      </c>
      <c r="K595" s="22">
        <f>H595*(1+Assumptions!$B$7+IF(F595="Yes",Assumptions!$C$7,0))</f>
        <v>525579.76800000004</v>
      </c>
      <c r="L595" s="22">
        <f>H595*(1+Assumptions!$B$8+IF(F595="Yes",Assumptions!$C$8,0))</f>
        <v>505557.68159999995</v>
      </c>
    </row>
    <row r="596" spans="1:12" ht="15">
      <c r="A596" s="21">
        <v>41005</v>
      </c>
      <c r="B596" s="21">
        <v>41000</v>
      </c>
      <c r="C596" s="17">
        <v>8</v>
      </c>
      <c r="D596" s="17" t="s">
        <v>90</v>
      </c>
      <c r="E596" s="18">
        <v>155078</v>
      </c>
      <c r="F596" s="17" t="s">
        <v>91</v>
      </c>
      <c r="G596" s="14">
        <v>1046776.59</v>
      </c>
      <c r="H596" s="14">
        <v>949825.83</v>
      </c>
      <c r="I596" s="14">
        <v>949825.83</v>
      </c>
      <c r="J596" s="22">
        <f>H596*(1+Assumptions!$B$6+IF(F596="Yes",Assumptions!$C$6,0))</f>
        <v>978320.60490000003</v>
      </c>
      <c r="K596" s="22">
        <f>H596*(1+Assumptions!$B$7+IF(F596="Yes",Assumptions!$C$7,0))</f>
        <v>997317.12150000001</v>
      </c>
      <c r="L596" s="22">
        <f>H596*(1+Assumptions!$B$8+IF(F596="Yes",Assumptions!$C$8,0))</f>
        <v>959324.08829999994</v>
      </c>
    </row>
    <row r="597" spans="1:12" ht="15">
      <c r="A597" s="21">
        <v>41005</v>
      </c>
      <c r="B597" s="21">
        <v>41000</v>
      </c>
      <c r="C597" s="17">
        <v>9</v>
      </c>
      <c r="D597" s="17" t="s">
        <v>92</v>
      </c>
      <c r="E597" s="18">
        <v>125833</v>
      </c>
      <c r="F597" s="17" t="s">
        <v>91</v>
      </c>
      <c r="G597" s="14">
        <v>676749.05</v>
      </c>
      <c r="H597" s="14">
        <v>561537.30999999994</v>
      </c>
      <c r="I597" s="14">
        <v>561537.30999999994</v>
      </c>
      <c r="J597" s="22">
        <f>H597*(1+Assumptions!$B$6+IF(F597="Yes",Assumptions!$C$6,0))</f>
        <v>578383.42929999996</v>
      </c>
      <c r="K597" s="22">
        <f>H597*(1+Assumptions!$B$7+IF(F597="Yes",Assumptions!$C$7,0))</f>
        <v>589614.17550000001</v>
      </c>
      <c r="L597" s="22">
        <f>H597*(1+Assumptions!$B$8+IF(F597="Yes",Assumptions!$C$8,0))</f>
        <v>567152.68309999991</v>
      </c>
    </row>
    <row r="598" spans="1:12" ht="15">
      <c r="A598" s="21">
        <v>41005</v>
      </c>
      <c r="B598" s="21">
        <v>41000</v>
      </c>
      <c r="C598" s="17">
        <v>10</v>
      </c>
      <c r="D598" s="17" t="s">
        <v>92</v>
      </c>
      <c r="E598" s="18">
        <v>126512</v>
      </c>
      <c r="F598" s="17" t="s">
        <v>91</v>
      </c>
      <c r="G598" s="14">
        <v>2162869.2000000002</v>
      </c>
      <c r="H598" s="14">
        <v>1870720.73</v>
      </c>
      <c r="I598" s="14">
        <v>1870720.73</v>
      </c>
      <c r="J598" s="22">
        <f>H598*(1+Assumptions!$B$6+IF(F598="Yes",Assumptions!$C$6,0))</f>
        <v>1926842.3519000001</v>
      </c>
      <c r="K598" s="22">
        <f>H598*(1+Assumptions!$B$7+IF(F598="Yes",Assumptions!$C$7,0))</f>
        <v>1964256.7665000001</v>
      </c>
      <c r="L598" s="22">
        <f>H598*(1+Assumptions!$B$8+IF(F598="Yes",Assumptions!$C$8,0))</f>
        <v>1889427.9373000001</v>
      </c>
    </row>
    <row r="599" spans="1:12" ht="15">
      <c r="A599" s="21">
        <v>41005</v>
      </c>
      <c r="B599" s="21">
        <v>41000</v>
      </c>
      <c r="C599" s="17">
        <v>11</v>
      </c>
      <c r="D599" s="17" t="s">
        <v>90</v>
      </c>
      <c r="E599" s="18">
        <v>207499</v>
      </c>
      <c r="F599" s="17" t="s">
        <v>91</v>
      </c>
      <c r="G599" s="14">
        <v>1594352.04</v>
      </c>
      <c r="H599" s="14">
        <v>1327380.1199999999</v>
      </c>
      <c r="I599" s="14">
        <v>1327380.1199999999</v>
      </c>
      <c r="J599" s="22">
        <f>H599*(1+Assumptions!$B$6+IF(F599="Yes",Assumptions!$C$6,0))</f>
        <v>1367201.5236</v>
      </c>
      <c r="K599" s="22">
        <f>H599*(1+Assumptions!$B$7+IF(F599="Yes",Assumptions!$C$7,0))</f>
        <v>1393749.1259999999</v>
      </c>
      <c r="L599" s="22">
        <f>H599*(1+Assumptions!$B$8+IF(F599="Yes",Assumptions!$C$8,0))</f>
        <v>1340653.9212</v>
      </c>
    </row>
    <row r="600" spans="1:12" ht="15">
      <c r="A600" s="21">
        <v>41005</v>
      </c>
      <c r="B600" s="21">
        <v>41000</v>
      </c>
      <c r="C600" s="17">
        <v>12</v>
      </c>
      <c r="D600" s="17" t="s">
        <v>92</v>
      </c>
      <c r="E600" s="18">
        <v>112238</v>
      </c>
      <c r="F600" s="17" t="s">
        <v>91</v>
      </c>
      <c r="G600" s="14">
        <v>1125821.48</v>
      </c>
      <c r="H600" s="14">
        <v>998362.05</v>
      </c>
      <c r="I600" s="14">
        <v>998362.05</v>
      </c>
      <c r="J600" s="22">
        <f>H600*(1+Assumptions!$B$6+IF(F600="Yes",Assumptions!$C$6,0))</f>
        <v>1028312.9115</v>
      </c>
      <c r="K600" s="22">
        <f>H600*(1+Assumptions!$B$7+IF(F600="Yes",Assumptions!$C$7,0))</f>
        <v>1048280.1525000001</v>
      </c>
      <c r="L600" s="22">
        <f>H600*(1+Assumptions!$B$8+IF(F600="Yes",Assumptions!$C$8,0))</f>
        <v>1008345.6705</v>
      </c>
    </row>
    <row r="601" spans="1:12" ht="15">
      <c r="A601" s="21">
        <v>41005</v>
      </c>
      <c r="B601" s="21">
        <v>41000</v>
      </c>
      <c r="C601" s="17">
        <v>13</v>
      </c>
      <c r="D601" s="17" t="s">
        <v>90</v>
      </c>
      <c r="E601" s="18">
        <v>219622</v>
      </c>
      <c r="F601" s="17" t="s">
        <v>91</v>
      </c>
      <c r="G601" s="14">
        <v>2271482.8199999998</v>
      </c>
      <c r="H601" s="14">
        <v>1887465.04</v>
      </c>
      <c r="I601" s="14">
        <v>1887465.04</v>
      </c>
      <c r="J601" s="22">
        <f>H601*(1+Assumptions!$B$6+IF(F601="Yes",Assumptions!$C$6,0))</f>
        <v>1944088.9912</v>
      </c>
      <c r="K601" s="22">
        <f>H601*(1+Assumptions!$B$7+IF(F601="Yes",Assumptions!$C$7,0))</f>
        <v>1981838.2920000001</v>
      </c>
      <c r="L601" s="22">
        <f>H601*(1+Assumptions!$B$8+IF(F601="Yes",Assumptions!$C$8,0))</f>
        <v>1906339.6904</v>
      </c>
    </row>
    <row r="602" spans="1:12" ht="15">
      <c r="A602" s="21">
        <v>41005</v>
      </c>
      <c r="B602" s="21">
        <v>41000</v>
      </c>
      <c r="C602" s="17">
        <v>14</v>
      </c>
      <c r="D602" s="17" t="s">
        <v>90</v>
      </c>
      <c r="E602" s="18">
        <v>200898</v>
      </c>
      <c r="F602" s="17" t="s">
        <v>91</v>
      </c>
      <c r="G602" s="14">
        <v>2375922.2600000002</v>
      </c>
      <c r="H602" s="14">
        <v>2037796.9200000002</v>
      </c>
      <c r="I602" s="14">
        <v>2037796.9200000002</v>
      </c>
      <c r="J602" s="22">
        <f>H602*(1+Assumptions!$B$6+IF(F602="Yes",Assumptions!$C$6,0))</f>
        <v>2098930.8276000004</v>
      </c>
      <c r="K602" s="22">
        <f>H602*(1+Assumptions!$B$7+IF(F602="Yes",Assumptions!$C$7,0))</f>
        <v>2139686.7660000003</v>
      </c>
      <c r="L602" s="22">
        <f>H602*(1+Assumptions!$B$8+IF(F602="Yes",Assumptions!$C$8,0))</f>
        <v>2058174.8892000001</v>
      </c>
    </row>
    <row r="603" spans="1:12" ht="15">
      <c r="A603" s="21">
        <v>41005</v>
      </c>
      <c r="B603" s="21">
        <v>41000</v>
      </c>
      <c r="C603" s="17">
        <v>15</v>
      </c>
      <c r="D603" s="17" t="s">
        <v>92</v>
      </c>
      <c r="E603" s="18">
        <v>123737</v>
      </c>
      <c r="F603" s="17" t="s">
        <v>91</v>
      </c>
      <c r="G603" s="14">
        <v>659416.82999999996</v>
      </c>
      <c r="H603" s="14">
        <v>587410.80999999994</v>
      </c>
      <c r="I603" s="14">
        <v>587410.80999999994</v>
      </c>
      <c r="J603" s="22">
        <f>H603*(1+Assumptions!$B$6+IF(F603="Yes",Assumptions!$C$6,0))</f>
        <v>605033.13429999992</v>
      </c>
      <c r="K603" s="22">
        <f>H603*(1+Assumptions!$B$7+IF(F603="Yes",Assumptions!$C$7,0))</f>
        <v>616781.35049999994</v>
      </c>
      <c r="L603" s="22">
        <f>H603*(1+Assumptions!$B$8+IF(F603="Yes",Assumptions!$C$8,0))</f>
        <v>593284.91809999989</v>
      </c>
    </row>
    <row r="604" spans="1:12" ht="15">
      <c r="A604" s="21">
        <v>41005</v>
      </c>
      <c r="B604" s="21">
        <v>41000</v>
      </c>
      <c r="C604" s="17">
        <v>16</v>
      </c>
      <c r="D604" s="17" t="s">
        <v>92</v>
      </c>
      <c r="E604" s="18">
        <v>57197</v>
      </c>
      <c r="F604" s="17" t="s">
        <v>91</v>
      </c>
      <c r="G604" s="14">
        <v>498856.68</v>
      </c>
      <c r="H604" s="14">
        <v>439249.94</v>
      </c>
      <c r="I604" s="14">
        <v>439249.94</v>
      </c>
      <c r="J604" s="22">
        <f>H604*(1+Assumptions!$B$6+IF(F604="Yes",Assumptions!$C$6,0))</f>
        <v>452427.43820000003</v>
      </c>
      <c r="K604" s="22">
        <f>H604*(1+Assumptions!$B$7+IF(F604="Yes",Assumptions!$C$7,0))</f>
        <v>461212.43700000003</v>
      </c>
      <c r="L604" s="22">
        <f>H604*(1+Assumptions!$B$8+IF(F604="Yes",Assumptions!$C$8,0))</f>
        <v>443642.43940000003</v>
      </c>
    </row>
    <row r="605" spans="1:12" ht="15">
      <c r="A605" s="21">
        <v>41005</v>
      </c>
      <c r="B605" s="21">
        <v>41000</v>
      </c>
      <c r="C605" s="17">
        <v>17</v>
      </c>
      <c r="D605" s="17" t="s">
        <v>92</v>
      </c>
      <c r="E605" s="18">
        <v>93188</v>
      </c>
      <c r="F605" s="17" t="s">
        <v>91</v>
      </c>
      <c r="G605" s="14">
        <v>985982.95</v>
      </c>
      <c r="H605" s="14">
        <v>811855.72</v>
      </c>
      <c r="I605" s="14">
        <v>811855.72</v>
      </c>
      <c r="J605" s="22">
        <f>H605*(1+Assumptions!$B$6+IF(F605="Yes",Assumptions!$C$6,0))</f>
        <v>836211.39159999997</v>
      </c>
      <c r="K605" s="22">
        <f>H605*(1+Assumptions!$B$7+IF(F605="Yes",Assumptions!$C$7,0))</f>
        <v>852448.50600000005</v>
      </c>
      <c r="L605" s="22">
        <f>H605*(1+Assumptions!$B$8+IF(F605="Yes",Assumptions!$C$8,0))</f>
        <v>819974.27720000001</v>
      </c>
    </row>
    <row r="606" spans="1:12" ht="15">
      <c r="A606" s="21">
        <v>41005</v>
      </c>
      <c r="B606" s="21">
        <v>41000</v>
      </c>
      <c r="C606" s="17">
        <v>18</v>
      </c>
      <c r="D606" s="17" t="s">
        <v>92</v>
      </c>
      <c r="E606" s="18">
        <v>120653</v>
      </c>
      <c r="F606" s="17" t="s">
        <v>91</v>
      </c>
      <c r="G606" s="14">
        <v>1200139.72</v>
      </c>
      <c r="H606" s="14">
        <v>1018541.3</v>
      </c>
      <c r="I606" s="14">
        <v>1018541.3</v>
      </c>
      <c r="J606" s="22">
        <f>H606*(1+Assumptions!$B$6+IF(F606="Yes",Assumptions!$C$6,0))</f>
        <v>1049097.5390000001</v>
      </c>
      <c r="K606" s="22">
        <f>H606*(1+Assumptions!$B$7+IF(F606="Yes",Assumptions!$C$7,0))</f>
        <v>1069468.365</v>
      </c>
      <c r="L606" s="22">
        <f>H606*(1+Assumptions!$B$8+IF(F606="Yes",Assumptions!$C$8,0))</f>
        <v>1028726.7130000001</v>
      </c>
    </row>
    <row r="607" spans="1:12" ht="15">
      <c r="A607" s="21">
        <v>41005</v>
      </c>
      <c r="B607" s="21">
        <v>41000</v>
      </c>
      <c r="C607" s="17">
        <v>19</v>
      </c>
      <c r="D607" s="17" t="s">
        <v>90</v>
      </c>
      <c r="E607" s="18">
        <v>203819</v>
      </c>
      <c r="F607" s="17" t="s">
        <v>91</v>
      </c>
      <c r="G607" s="14">
        <v>1631577.68</v>
      </c>
      <c r="H607" s="14">
        <v>1419911.91</v>
      </c>
      <c r="I607" s="14">
        <v>1419911.91</v>
      </c>
      <c r="J607" s="22">
        <f>H607*(1+Assumptions!$B$6+IF(F607="Yes",Assumptions!$C$6,0))</f>
        <v>1462509.2672999999</v>
      </c>
      <c r="K607" s="22">
        <f>H607*(1+Assumptions!$B$7+IF(F607="Yes",Assumptions!$C$7,0))</f>
        <v>1490907.5055</v>
      </c>
      <c r="L607" s="22">
        <f>H607*(1+Assumptions!$B$8+IF(F607="Yes",Assumptions!$C$8,0))</f>
        <v>1434111.0290999999</v>
      </c>
    </row>
    <row r="608" spans="1:12" ht="15">
      <c r="A608" s="21">
        <v>41005</v>
      </c>
      <c r="B608" s="21">
        <v>41000</v>
      </c>
      <c r="C608" s="17">
        <v>20</v>
      </c>
      <c r="D608" s="17" t="s">
        <v>90</v>
      </c>
      <c r="E608" s="18">
        <v>203742</v>
      </c>
      <c r="F608" s="17" t="s">
        <v>91</v>
      </c>
      <c r="G608" s="14">
        <v>2565139.92</v>
      </c>
      <c r="H608" s="14">
        <v>2026810.92</v>
      </c>
      <c r="I608" s="14">
        <v>2026810.92</v>
      </c>
      <c r="J608" s="22">
        <f>H608*(1+Assumptions!$B$6+IF(F608="Yes",Assumptions!$C$6,0))</f>
        <v>2087615.2475999999</v>
      </c>
      <c r="K608" s="22">
        <f>H608*(1+Assumptions!$B$7+IF(F608="Yes",Assumptions!$C$7,0))</f>
        <v>2128151.466</v>
      </c>
      <c r="L608" s="22">
        <f>H608*(1+Assumptions!$B$8+IF(F608="Yes",Assumptions!$C$8,0))</f>
        <v>2047079.0292</v>
      </c>
    </row>
    <row r="609" spans="1:12" ht="15">
      <c r="A609" s="21">
        <v>41005</v>
      </c>
      <c r="B609" s="21">
        <v>41000</v>
      </c>
      <c r="C609" s="17">
        <v>21</v>
      </c>
      <c r="D609" s="17" t="s">
        <v>92</v>
      </c>
      <c r="E609" s="18">
        <v>140167</v>
      </c>
      <c r="F609" s="17" t="s">
        <v>91</v>
      </c>
      <c r="G609" s="14">
        <v>761505.72</v>
      </c>
      <c r="H609" s="14">
        <v>744782.89</v>
      </c>
      <c r="I609" s="14">
        <v>744782.89</v>
      </c>
      <c r="J609" s="22">
        <f>H609*(1+Assumptions!$B$6+IF(F609="Yes",Assumptions!$C$6,0))</f>
        <v>767126.37670000002</v>
      </c>
      <c r="K609" s="22">
        <f>H609*(1+Assumptions!$B$7+IF(F609="Yes",Assumptions!$C$7,0))</f>
        <v>782022.03450000007</v>
      </c>
      <c r="L609" s="22">
        <f>H609*(1+Assumptions!$B$8+IF(F609="Yes",Assumptions!$C$8,0))</f>
        <v>752230.71889999998</v>
      </c>
    </row>
    <row r="610" spans="1:12" ht="15">
      <c r="A610" s="21">
        <v>41005</v>
      </c>
      <c r="B610" s="21">
        <v>41000</v>
      </c>
      <c r="C610" s="17">
        <v>22</v>
      </c>
      <c r="D610" s="17" t="s">
        <v>92</v>
      </c>
      <c r="E610" s="18">
        <v>119557</v>
      </c>
      <c r="F610" s="17" t="s">
        <v>91</v>
      </c>
      <c r="G610" s="14">
        <v>1196127.99</v>
      </c>
      <c r="H610" s="14">
        <v>969046.69000000006</v>
      </c>
      <c r="I610" s="14">
        <v>969046.69000000006</v>
      </c>
      <c r="J610" s="22">
        <f>H610*(1+Assumptions!$B$6+IF(F610="Yes",Assumptions!$C$6,0))</f>
        <v>998118.09070000006</v>
      </c>
      <c r="K610" s="22">
        <f>H610*(1+Assumptions!$B$7+IF(F610="Yes",Assumptions!$C$7,0))</f>
        <v>1017499.0245000001</v>
      </c>
      <c r="L610" s="22">
        <f>H610*(1+Assumptions!$B$8+IF(F610="Yes",Assumptions!$C$8,0))</f>
        <v>978737.15690000006</v>
      </c>
    </row>
    <row r="611" spans="1:12" ht="15">
      <c r="A611" s="21">
        <v>41005</v>
      </c>
      <c r="B611" s="21">
        <v>41000</v>
      </c>
      <c r="C611" s="17">
        <v>23</v>
      </c>
      <c r="D611" s="17" t="s">
        <v>92</v>
      </c>
      <c r="E611" s="18">
        <v>114533</v>
      </c>
      <c r="F611" s="17" t="s">
        <v>91</v>
      </c>
      <c r="G611" s="14">
        <v>1604468.45</v>
      </c>
      <c r="H611" s="14">
        <v>1248807.75</v>
      </c>
      <c r="I611" s="14">
        <v>1248807.75</v>
      </c>
      <c r="J611" s="22">
        <f>H611*(1+Assumptions!$B$6+IF(F611="Yes",Assumptions!$C$6,0))</f>
        <v>1286271.9824999999</v>
      </c>
      <c r="K611" s="22">
        <f>H611*(1+Assumptions!$B$7+IF(F611="Yes",Assumptions!$C$7,0))</f>
        <v>1311248.1375</v>
      </c>
      <c r="L611" s="22">
        <f>H611*(1+Assumptions!$B$8+IF(F611="Yes",Assumptions!$C$8,0))</f>
        <v>1261295.8274999999</v>
      </c>
    </row>
    <row r="612" spans="1:12" ht="15">
      <c r="A612" s="21">
        <v>41005</v>
      </c>
      <c r="B612" s="21">
        <v>41000</v>
      </c>
      <c r="C612" s="17">
        <v>24</v>
      </c>
      <c r="D612" s="17" t="s">
        <v>90</v>
      </c>
      <c r="E612" s="18">
        <v>203819</v>
      </c>
      <c r="F612" s="17" t="s">
        <v>91</v>
      </c>
      <c r="G612" s="14">
        <v>1524597.34</v>
      </c>
      <c r="H612" s="14">
        <v>1273665.82</v>
      </c>
      <c r="I612" s="14">
        <v>1273665.82</v>
      </c>
      <c r="J612" s="22">
        <f>H612*(1+Assumptions!$B$6+IF(F612="Yes",Assumptions!$C$6,0))</f>
        <v>1311875.7946000001</v>
      </c>
      <c r="K612" s="22">
        <f>H612*(1+Assumptions!$B$7+IF(F612="Yes",Assumptions!$C$7,0))</f>
        <v>1337349.111</v>
      </c>
      <c r="L612" s="22">
        <f>H612*(1+Assumptions!$B$8+IF(F612="Yes",Assumptions!$C$8,0))</f>
        <v>1286402.4782</v>
      </c>
    </row>
    <row r="613" spans="1:12" ht="15">
      <c r="A613" s="21">
        <v>41005</v>
      </c>
      <c r="B613" s="21">
        <v>41000</v>
      </c>
      <c r="C613" s="17">
        <v>25</v>
      </c>
      <c r="D613" s="17" t="s">
        <v>92</v>
      </c>
      <c r="E613" s="18">
        <v>128107</v>
      </c>
      <c r="F613" s="17" t="s">
        <v>91</v>
      </c>
      <c r="G613" s="14">
        <v>789873.03</v>
      </c>
      <c r="H613" s="14">
        <v>646948.13</v>
      </c>
      <c r="I613" s="14">
        <v>646948.13</v>
      </c>
      <c r="J613" s="22">
        <f>H613*(1+Assumptions!$B$6+IF(F613="Yes",Assumptions!$C$6,0))</f>
        <v>666356.57390000008</v>
      </c>
      <c r="K613" s="22">
        <f>H613*(1+Assumptions!$B$7+IF(F613="Yes",Assumptions!$C$7,0))</f>
        <v>679295.53650000005</v>
      </c>
      <c r="L613" s="22">
        <f>H613*(1+Assumptions!$B$8+IF(F613="Yes",Assumptions!$C$8,0))</f>
        <v>653417.61129999999</v>
      </c>
    </row>
    <row r="614" spans="1:12" ht="15">
      <c r="A614" s="21">
        <v>41005</v>
      </c>
      <c r="B614" s="21">
        <v>41000</v>
      </c>
      <c r="C614" s="17">
        <v>26</v>
      </c>
      <c r="D614" s="17" t="s">
        <v>90</v>
      </c>
      <c r="E614" s="18">
        <v>152513</v>
      </c>
      <c r="F614" s="17" t="s">
        <v>91</v>
      </c>
      <c r="G614" s="14">
        <v>1116353.23</v>
      </c>
      <c r="H614" s="14">
        <v>985149.52</v>
      </c>
      <c r="I614" s="14">
        <v>985149.52</v>
      </c>
      <c r="J614" s="22">
        <f>H614*(1+Assumptions!$B$6+IF(F614="Yes",Assumptions!$C$6,0))</f>
        <v>1014704.0056</v>
      </c>
      <c r="K614" s="22">
        <f>H614*(1+Assumptions!$B$7+IF(F614="Yes",Assumptions!$C$7,0))</f>
        <v>1034406.996</v>
      </c>
      <c r="L614" s="22">
        <f>H614*(1+Assumptions!$B$8+IF(F614="Yes",Assumptions!$C$8,0))</f>
        <v>995001.01520000002</v>
      </c>
    </row>
    <row r="615" spans="1:12" ht="15">
      <c r="A615" s="21">
        <v>41005</v>
      </c>
      <c r="B615" s="21">
        <v>41000</v>
      </c>
      <c r="C615" s="17">
        <v>27</v>
      </c>
      <c r="D615" s="17" t="s">
        <v>90</v>
      </c>
      <c r="E615" s="18">
        <v>204184</v>
      </c>
      <c r="F615" s="17" t="s">
        <v>91</v>
      </c>
      <c r="G615" s="14">
        <v>1898960.3399999999</v>
      </c>
      <c r="H615" s="14">
        <v>1689839.18</v>
      </c>
      <c r="I615" s="14">
        <v>1689839.18</v>
      </c>
      <c r="J615" s="22">
        <f>H615*(1+Assumptions!$B$6+IF(F615="Yes",Assumptions!$C$6,0))</f>
        <v>1740534.3554</v>
      </c>
      <c r="K615" s="22">
        <f>H615*(1+Assumptions!$B$7+IF(F615="Yes",Assumptions!$C$7,0))</f>
        <v>1774331.139</v>
      </c>
      <c r="L615" s="22">
        <f>H615*(1+Assumptions!$B$8+IF(F615="Yes",Assumptions!$C$8,0))</f>
        <v>1706737.5718</v>
      </c>
    </row>
    <row r="616" spans="1:12" ht="15">
      <c r="A616" s="21">
        <v>41005</v>
      </c>
      <c r="B616" s="21">
        <v>41000</v>
      </c>
      <c r="C616" s="17">
        <v>28</v>
      </c>
      <c r="D616" s="17" t="s">
        <v>90</v>
      </c>
      <c r="E616" s="18">
        <v>206302</v>
      </c>
      <c r="F616" s="17" t="s">
        <v>91</v>
      </c>
      <c r="G616" s="14">
        <v>1559472.79</v>
      </c>
      <c r="H616" s="14">
        <v>1414661.65</v>
      </c>
      <c r="I616" s="14">
        <v>1414661.65</v>
      </c>
      <c r="J616" s="22">
        <f>H616*(1+Assumptions!$B$6+IF(F616="Yes",Assumptions!$C$6,0))</f>
        <v>1457101.4994999999</v>
      </c>
      <c r="K616" s="22">
        <f>H616*(1+Assumptions!$B$7+IF(F616="Yes",Assumptions!$C$7,0))</f>
        <v>1485394.7324999999</v>
      </c>
      <c r="L616" s="22">
        <f>H616*(1+Assumptions!$B$8+IF(F616="Yes",Assumptions!$C$8,0))</f>
        <v>1428808.2664999999</v>
      </c>
    </row>
    <row r="617" spans="1:12" ht="15">
      <c r="A617" s="21">
        <v>41005</v>
      </c>
      <c r="B617" s="21">
        <v>41000</v>
      </c>
      <c r="C617" s="17">
        <v>29</v>
      </c>
      <c r="D617" s="17" t="s">
        <v>92</v>
      </c>
      <c r="E617" s="18">
        <v>93638</v>
      </c>
      <c r="F617" s="17" t="s">
        <v>91</v>
      </c>
      <c r="G617" s="14">
        <v>633233.67000000004</v>
      </c>
      <c r="H617" s="14">
        <v>503579.33</v>
      </c>
      <c r="I617" s="14">
        <v>503579.33</v>
      </c>
      <c r="J617" s="22">
        <f>H617*(1+Assumptions!$B$6+IF(F617="Yes",Assumptions!$C$6,0))</f>
        <v>518686.70990000002</v>
      </c>
      <c r="K617" s="22">
        <f>H617*(1+Assumptions!$B$7+IF(F617="Yes",Assumptions!$C$7,0))</f>
        <v>528758.29650000005</v>
      </c>
      <c r="L617" s="22">
        <f>H617*(1+Assumptions!$B$8+IF(F617="Yes",Assumptions!$C$8,0))</f>
        <v>508615.12330000004</v>
      </c>
    </row>
    <row r="618" spans="1:12" ht="15">
      <c r="A618" s="21">
        <v>41005</v>
      </c>
      <c r="B618" s="21">
        <v>41000</v>
      </c>
      <c r="C618" s="17">
        <v>30</v>
      </c>
      <c r="D618" s="17" t="s">
        <v>93</v>
      </c>
      <c r="E618" s="18">
        <v>42988</v>
      </c>
      <c r="F618" s="17" t="s">
        <v>91</v>
      </c>
      <c r="G618" s="14">
        <v>461483.16</v>
      </c>
      <c r="H618" s="14">
        <v>443722.19</v>
      </c>
      <c r="I618" s="14">
        <v>443722.19</v>
      </c>
      <c r="J618" s="22">
        <f>H618*(1+Assumptions!$B$6+IF(F618="Yes",Assumptions!$C$6,0))</f>
        <v>457033.85570000001</v>
      </c>
      <c r="K618" s="22">
        <f>H618*(1+Assumptions!$B$7+IF(F618="Yes",Assumptions!$C$7,0))</f>
        <v>465908.29950000002</v>
      </c>
      <c r="L618" s="22">
        <f>H618*(1+Assumptions!$B$8+IF(F618="Yes",Assumptions!$C$8,0))</f>
        <v>448159.41190000001</v>
      </c>
    </row>
    <row r="619" spans="1:12" ht="15">
      <c r="A619" s="21">
        <v>41005</v>
      </c>
      <c r="B619" s="21">
        <v>41000</v>
      </c>
      <c r="C619" s="17">
        <v>31</v>
      </c>
      <c r="D619" s="17" t="s">
        <v>90</v>
      </c>
      <c r="E619" s="18">
        <v>203750</v>
      </c>
      <c r="F619" s="17" t="s">
        <v>91</v>
      </c>
      <c r="G619" s="14">
        <v>1496129.79</v>
      </c>
      <c r="H619" s="14">
        <v>1416779.7</v>
      </c>
      <c r="I619" s="14">
        <v>1416779.7</v>
      </c>
      <c r="J619" s="22">
        <f>H619*(1+Assumptions!$B$6+IF(F619="Yes",Assumptions!$C$6,0))</f>
        <v>1459283.091</v>
      </c>
      <c r="K619" s="22">
        <f>H619*(1+Assumptions!$B$7+IF(F619="Yes",Assumptions!$C$7,0))</f>
        <v>1487618.6850000001</v>
      </c>
      <c r="L619" s="22">
        <f>H619*(1+Assumptions!$B$8+IF(F619="Yes",Assumptions!$C$8,0))</f>
        <v>1430947.497</v>
      </c>
    </row>
    <row r="620" spans="1:12" ht="15">
      <c r="A620" s="21">
        <v>41005</v>
      </c>
      <c r="B620" s="21">
        <v>41000</v>
      </c>
      <c r="C620" s="17">
        <v>32</v>
      </c>
      <c r="D620" s="17" t="s">
        <v>90</v>
      </c>
      <c r="E620" s="18">
        <v>203007</v>
      </c>
      <c r="F620" s="17" t="s">
        <v>91</v>
      </c>
      <c r="G620" s="14">
        <v>1270577.01</v>
      </c>
      <c r="H620" s="14">
        <v>1102953.68</v>
      </c>
      <c r="I620" s="14">
        <v>1102953.68</v>
      </c>
      <c r="J620" s="22">
        <f>H620*(1+Assumptions!$B$6+IF(F620="Yes",Assumptions!$C$6,0))</f>
        <v>1136042.2904000001</v>
      </c>
      <c r="K620" s="22">
        <f>H620*(1+Assumptions!$B$7+IF(F620="Yes",Assumptions!$C$7,0))</f>
        <v>1158101.3640000001</v>
      </c>
      <c r="L620" s="22">
        <f>H620*(1+Assumptions!$B$8+IF(F620="Yes",Assumptions!$C$8,0))</f>
        <v>1113983.2168000001</v>
      </c>
    </row>
    <row r="621" spans="1:12" ht="15">
      <c r="A621" s="21">
        <v>41005</v>
      </c>
      <c r="B621" s="21">
        <v>41000</v>
      </c>
      <c r="C621" s="17">
        <v>33</v>
      </c>
      <c r="D621" s="17" t="s">
        <v>90</v>
      </c>
      <c r="E621" s="18">
        <v>39690</v>
      </c>
      <c r="F621" s="17" t="s">
        <v>91</v>
      </c>
      <c r="G621" s="14">
        <v>275772.71000000002</v>
      </c>
      <c r="H621" s="14">
        <v>271881.96000000002</v>
      </c>
      <c r="I621" s="14">
        <v>271881.96000000002</v>
      </c>
      <c r="J621" s="22">
        <f>H621*(1+Assumptions!$B$6+IF(F621="Yes",Assumptions!$C$6,0))</f>
        <v>280038.41880000004</v>
      </c>
      <c r="K621" s="22">
        <f>H621*(1+Assumptions!$B$7+IF(F621="Yes",Assumptions!$C$7,0))</f>
        <v>285476.05800000002</v>
      </c>
      <c r="L621" s="22">
        <f>H621*(1+Assumptions!$B$8+IF(F621="Yes",Assumptions!$C$8,0))</f>
        <v>274600.77960000001</v>
      </c>
    </row>
    <row r="622" spans="1:12" ht="15">
      <c r="A622" s="21">
        <v>41005</v>
      </c>
      <c r="B622" s="21">
        <v>41000</v>
      </c>
      <c r="C622" s="17">
        <v>34</v>
      </c>
      <c r="D622" s="17" t="s">
        <v>90</v>
      </c>
      <c r="E622" s="18">
        <v>158114</v>
      </c>
      <c r="F622" s="17" t="s">
        <v>91</v>
      </c>
      <c r="G622" s="14">
        <v>1091020.3699999999</v>
      </c>
      <c r="H622" s="14">
        <v>973868.91</v>
      </c>
      <c r="I622" s="14">
        <v>973868.91</v>
      </c>
      <c r="J622" s="22">
        <f>H622*(1+Assumptions!$B$6+IF(F622="Yes",Assumptions!$C$6,0))</f>
        <v>1003084.9773</v>
      </c>
      <c r="K622" s="22">
        <f>H622*(1+Assumptions!$B$7+IF(F622="Yes",Assumptions!$C$7,0))</f>
        <v>1022562.3555000001</v>
      </c>
      <c r="L622" s="22">
        <f>H622*(1+Assumptions!$B$8+IF(F622="Yes",Assumptions!$C$8,0))</f>
        <v>983607.59909999999</v>
      </c>
    </row>
    <row r="623" spans="1:12" ht="15">
      <c r="A623" s="21">
        <v>41005</v>
      </c>
      <c r="B623" s="21">
        <v>41000</v>
      </c>
      <c r="C623" s="17">
        <v>35</v>
      </c>
      <c r="D623" s="17" t="s">
        <v>92</v>
      </c>
      <c r="E623" s="18">
        <v>103681</v>
      </c>
      <c r="F623" s="17" t="s">
        <v>91</v>
      </c>
      <c r="G623" s="14">
        <v>859836.16</v>
      </c>
      <c r="H623" s="14">
        <v>813351.41</v>
      </c>
      <c r="I623" s="14">
        <v>813351.41</v>
      </c>
      <c r="J623" s="22">
        <f>H623*(1+Assumptions!$B$6+IF(F623="Yes",Assumptions!$C$6,0))</f>
        <v>837751.9523</v>
      </c>
      <c r="K623" s="22">
        <f>H623*(1+Assumptions!$B$7+IF(F623="Yes",Assumptions!$C$7,0))</f>
        <v>854018.98050000006</v>
      </c>
      <c r="L623" s="22">
        <f>H623*(1+Assumptions!$B$8+IF(F623="Yes",Assumptions!$C$8,0))</f>
        <v>821484.92410000006</v>
      </c>
    </row>
    <row r="624" spans="1:12" ht="15">
      <c r="A624" s="21">
        <v>41005</v>
      </c>
      <c r="B624" s="21">
        <v>41000</v>
      </c>
      <c r="C624" s="17">
        <v>36</v>
      </c>
      <c r="D624" s="17" t="s">
        <v>90</v>
      </c>
      <c r="E624" s="18">
        <v>39910</v>
      </c>
      <c r="F624" s="17" t="s">
        <v>91</v>
      </c>
      <c r="G624" s="14">
        <v>330888.64</v>
      </c>
      <c r="H624" s="14">
        <v>428499.61</v>
      </c>
      <c r="I624" s="14">
        <v>428499.61</v>
      </c>
      <c r="J624" s="22">
        <f>H624*(1+Assumptions!$B$6+IF(F624="Yes",Assumptions!$C$6,0))</f>
        <v>441354.59830000001</v>
      </c>
      <c r="K624" s="22">
        <f>H624*(1+Assumptions!$B$7+IF(F624="Yes",Assumptions!$C$7,0))</f>
        <v>449924.59049999999</v>
      </c>
      <c r="L624" s="22">
        <f>H624*(1+Assumptions!$B$8+IF(F624="Yes",Assumptions!$C$8,0))</f>
        <v>432784.60609999998</v>
      </c>
    </row>
    <row r="625" spans="1:12" ht="15">
      <c r="A625" s="21">
        <v>41005</v>
      </c>
      <c r="B625" s="21">
        <v>41000</v>
      </c>
      <c r="C625" s="17">
        <v>37</v>
      </c>
      <c r="D625" s="17" t="s">
        <v>93</v>
      </c>
      <c r="E625" s="18">
        <v>39910</v>
      </c>
      <c r="F625" s="17" t="s">
        <v>91</v>
      </c>
      <c r="G625" s="14">
        <v>564773.02</v>
      </c>
      <c r="H625" s="14">
        <v>543703.16</v>
      </c>
      <c r="I625" s="14">
        <v>543703.16</v>
      </c>
      <c r="J625" s="22">
        <f>H625*(1+Assumptions!$B$6+IF(F625="Yes",Assumptions!$C$6,0))</f>
        <v>560014.2548</v>
      </c>
      <c r="K625" s="22">
        <f>H625*(1+Assumptions!$B$7+IF(F625="Yes",Assumptions!$C$7,0))</f>
        <v>570888.31800000009</v>
      </c>
      <c r="L625" s="22">
        <f>H625*(1+Assumptions!$B$8+IF(F625="Yes",Assumptions!$C$8,0))</f>
        <v>549140.19160000002</v>
      </c>
    </row>
    <row r="626" spans="1:12" ht="15">
      <c r="A626" s="21">
        <v>41005</v>
      </c>
      <c r="B626" s="21">
        <v>41000</v>
      </c>
      <c r="C626" s="17">
        <v>38</v>
      </c>
      <c r="D626" s="17" t="s">
        <v>93</v>
      </c>
      <c r="E626" s="18">
        <v>39690</v>
      </c>
      <c r="F626" s="17" t="s">
        <v>91</v>
      </c>
      <c r="G626" s="14">
        <v>498688.81</v>
      </c>
      <c r="H626" s="14">
        <v>392132.32999999996</v>
      </c>
      <c r="I626" s="14">
        <v>392132.32999999996</v>
      </c>
      <c r="J626" s="22">
        <f>H626*(1+Assumptions!$B$6+IF(F626="Yes",Assumptions!$C$6,0))</f>
        <v>403896.29989999998</v>
      </c>
      <c r="K626" s="22">
        <f>H626*(1+Assumptions!$B$7+IF(F626="Yes",Assumptions!$C$7,0))</f>
        <v>411738.94649999996</v>
      </c>
      <c r="L626" s="22">
        <f>H626*(1+Assumptions!$B$8+IF(F626="Yes",Assumptions!$C$8,0))</f>
        <v>396053.65329999995</v>
      </c>
    </row>
    <row r="627" spans="1:12" ht="15">
      <c r="A627" s="21">
        <v>41005</v>
      </c>
      <c r="B627" s="21">
        <v>41000</v>
      </c>
      <c r="C627" s="17">
        <v>39</v>
      </c>
      <c r="D627" s="17" t="s">
        <v>90</v>
      </c>
      <c r="E627" s="18">
        <v>184109</v>
      </c>
      <c r="F627" s="17" t="s">
        <v>91</v>
      </c>
      <c r="G627" s="14">
        <v>1764213.94</v>
      </c>
      <c r="H627" s="14">
        <v>1350621.66</v>
      </c>
      <c r="I627" s="14">
        <v>1350621.66</v>
      </c>
      <c r="J627" s="22">
        <f>H627*(1+Assumptions!$B$6+IF(F627="Yes",Assumptions!$C$6,0))</f>
        <v>1391140.3097999999</v>
      </c>
      <c r="K627" s="22">
        <f>H627*(1+Assumptions!$B$7+IF(F627="Yes",Assumptions!$C$7,0))</f>
        <v>1418152.743</v>
      </c>
      <c r="L627" s="22">
        <f>H627*(1+Assumptions!$B$8+IF(F627="Yes",Assumptions!$C$8,0))</f>
        <v>1364127.8765999998</v>
      </c>
    </row>
    <row r="628" spans="1:12" ht="15">
      <c r="A628" s="21">
        <v>41005</v>
      </c>
      <c r="B628" s="21">
        <v>41000</v>
      </c>
      <c r="C628" s="17">
        <v>40</v>
      </c>
      <c r="D628" s="17" t="s">
        <v>90</v>
      </c>
      <c r="E628" s="18">
        <v>155083</v>
      </c>
      <c r="F628" s="17" t="s">
        <v>91</v>
      </c>
      <c r="G628" s="14">
        <v>1130496.74</v>
      </c>
      <c r="H628" s="14">
        <v>947753.32</v>
      </c>
      <c r="I628" s="14">
        <v>947753.32</v>
      </c>
      <c r="J628" s="22">
        <f>H628*(1+Assumptions!$B$6+IF(F628="Yes",Assumptions!$C$6,0))</f>
        <v>976185.91960000002</v>
      </c>
      <c r="K628" s="22">
        <f>H628*(1+Assumptions!$B$7+IF(F628="Yes",Assumptions!$C$7,0))</f>
        <v>995140.98600000003</v>
      </c>
      <c r="L628" s="22">
        <f>H628*(1+Assumptions!$B$8+IF(F628="Yes",Assumptions!$C$8,0))</f>
        <v>957230.85320000001</v>
      </c>
    </row>
    <row r="629" spans="1:12" ht="15">
      <c r="A629" s="21">
        <v>41005</v>
      </c>
      <c r="B629" s="21">
        <v>41000</v>
      </c>
      <c r="C629" s="17">
        <v>41</v>
      </c>
      <c r="D629" s="17" t="s">
        <v>90</v>
      </c>
      <c r="E629" s="18">
        <v>196321</v>
      </c>
      <c r="F629" s="17" t="s">
        <v>91</v>
      </c>
      <c r="G629" s="14">
        <v>1458488.95</v>
      </c>
      <c r="H629" s="14">
        <v>1206250.6200000001</v>
      </c>
      <c r="I629" s="14">
        <v>1206250.6200000001</v>
      </c>
      <c r="J629" s="22">
        <f>H629*(1+Assumptions!$B$6+IF(F629="Yes",Assumptions!$C$6,0))</f>
        <v>1242438.1386000002</v>
      </c>
      <c r="K629" s="22">
        <f>H629*(1+Assumptions!$B$7+IF(F629="Yes",Assumptions!$C$7,0))</f>
        <v>1266563.1510000001</v>
      </c>
      <c r="L629" s="22">
        <f>H629*(1+Assumptions!$B$8+IF(F629="Yes",Assumptions!$C$8,0))</f>
        <v>1218313.1262000001</v>
      </c>
    </row>
    <row r="630" spans="1:12" ht="15">
      <c r="A630" s="21">
        <v>41005</v>
      </c>
      <c r="B630" s="21">
        <v>41000</v>
      </c>
      <c r="C630" s="17">
        <v>42</v>
      </c>
      <c r="D630" s="17" t="s">
        <v>93</v>
      </c>
      <c r="E630" s="18">
        <v>39690</v>
      </c>
      <c r="F630" s="17" t="s">
        <v>91</v>
      </c>
      <c r="G630" s="14">
        <v>652280.29</v>
      </c>
      <c r="H630" s="14">
        <v>620087.35</v>
      </c>
      <c r="I630" s="14">
        <v>620087.35</v>
      </c>
      <c r="J630" s="22">
        <f>H630*(1+Assumptions!$B$6+IF(F630="Yes",Assumptions!$C$6,0))</f>
        <v>638689.97049999994</v>
      </c>
      <c r="K630" s="22">
        <f>H630*(1+Assumptions!$B$7+IF(F630="Yes",Assumptions!$C$7,0))</f>
        <v>651091.71750000003</v>
      </c>
      <c r="L630" s="22">
        <f>H630*(1+Assumptions!$B$8+IF(F630="Yes",Assumptions!$C$8,0))</f>
        <v>626288.22349999996</v>
      </c>
    </row>
    <row r="631" spans="1:12" ht="15">
      <c r="A631" s="21">
        <v>41005</v>
      </c>
      <c r="B631" s="21">
        <v>41000</v>
      </c>
      <c r="C631" s="17">
        <v>43</v>
      </c>
      <c r="D631" s="17" t="s">
        <v>93</v>
      </c>
      <c r="E631" s="18">
        <v>41062</v>
      </c>
      <c r="F631" s="17" t="s">
        <v>91</v>
      </c>
      <c r="G631" s="14">
        <v>658224.30999999994</v>
      </c>
      <c r="H631" s="14">
        <v>650128.35</v>
      </c>
      <c r="I631" s="14">
        <v>650128.35</v>
      </c>
      <c r="J631" s="22">
        <f>H631*(1+Assumptions!$B$6+IF(F631="Yes",Assumptions!$C$6,0))</f>
        <v>669632.20050000004</v>
      </c>
      <c r="K631" s="22">
        <f>H631*(1+Assumptions!$B$7+IF(F631="Yes",Assumptions!$C$7,0))</f>
        <v>682634.76749999996</v>
      </c>
      <c r="L631" s="22">
        <f>H631*(1+Assumptions!$B$8+IF(F631="Yes",Assumptions!$C$8,0))</f>
        <v>656629.6335</v>
      </c>
    </row>
    <row r="632" spans="1:12" ht="15">
      <c r="A632" s="21">
        <v>41005</v>
      </c>
      <c r="B632" s="21">
        <v>41000</v>
      </c>
      <c r="C632" s="17">
        <v>44</v>
      </c>
      <c r="D632" s="17" t="s">
        <v>93</v>
      </c>
      <c r="E632" s="18">
        <v>39910</v>
      </c>
      <c r="F632" s="17" t="s">
        <v>91</v>
      </c>
      <c r="G632" s="14">
        <v>319865.32</v>
      </c>
      <c r="H632" s="14">
        <v>292320.31</v>
      </c>
      <c r="I632" s="14">
        <v>292320.31</v>
      </c>
      <c r="J632" s="22">
        <f>H632*(1+Assumptions!$B$6+IF(F632="Yes",Assumptions!$C$6,0))</f>
        <v>301089.91930000001</v>
      </c>
      <c r="K632" s="22">
        <f>H632*(1+Assumptions!$B$7+IF(F632="Yes",Assumptions!$C$7,0))</f>
        <v>306936.32550000004</v>
      </c>
      <c r="L632" s="22">
        <f>H632*(1+Assumptions!$B$8+IF(F632="Yes",Assumptions!$C$8,0))</f>
        <v>295243.51309999998</v>
      </c>
    </row>
    <row r="633" spans="1:12" ht="15">
      <c r="A633" s="21">
        <v>41005</v>
      </c>
      <c r="B633" s="21">
        <v>41000</v>
      </c>
      <c r="C633" s="17">
        <v>45</v>
      </c>
      <c r="D633" s="17" t="s">
        <v>92</v>
      </c>
      <c r="E633" s="18">
        <v>118221</v>
      </c>
      <c r="F633" s="17" t="s">
        <v>91</v>
      </c>
      <c r="G633" s="14">
        <v>899385.28</v>
      </c>
      <c r="H633" s="14">
        <v>750162.71</v>
      </c>
      <c r="I633" s="14">
        <v>750162.71</v>
      </c>
      <c r="J633" s="22">
        <f>H633*(1+Assumptions!$B$6+IF(F633="Yes",Assumptions!$C$6,0))</f>
        <v>772667.59129999997</v>
      </c>
      <c r="K633" s="22">
        <f>H633*(1+Assumptions!$B$7+IF(F633="Yes",Assumptions!$C$7,0))</f>
        <v>787670.84549999994</v>
      </c>
      <c r="L633" s="22">
        <f>H633*(1+Assumptions!$B$8+IF(F633="Yes",Assumptions!$C$8,0))</f>
        <v>757664.3371</v>
      </c>
    </row>
    <row r="634" spans="1:12" ht="15">
      <c r="A634" s="21">
        <v>41012</v>
      </c>
      <c r="B634" s="21">
        <v>41000</v>
      </c>
      <c r="C634" s="17">
        <v>1</v>
      </c>
      <c r="D634" s="17" t="s">
        <v>90</v>
      </c>
      <c r="E634" s="18">
        <v>151315</v>
      </c>
      <c r="F634" s="17" t="s">
        <v>91</v>
      </c>
      <c r="G634" s="14">
        <v>1621011.7</v>
      </c>
      <c r="H634" s="14">
        <v>1559853.08</v>
      </c>
      <c r="I634" s="14">
        <v>1559853.08</v>
      </c>
      <c r="J634" s="22">
        <f>H634*(1+Assumptions!$B$6+IF(F634="Yes",Assumptions!$C$6,0))</f>
        <v>1606648.6724</v>
      </c>
      <c r="K634" s="22">
        <f>H634*(1+Assumptions!$B$7+IF(F634="Yes",Assumptions!$C$7,0))</f>
        <v>1637845.7340000002</v>
      </c>
      <c r="L634" s="22">
        <f>H634*(1+Assumptions!$B$8+IF(F634="Yes",Assumptions!$C$8,0))</f>
        <v>1575451.6108000001</v>
      </c>
    </row>
    <row r="635" spans="1:12" ht="15">
      <c r="A635" s="21">
        <v>41012</v>
      </c>
      <c r="B635" s="21">
        <v>41000</v>
      </c>
      <c r="C635" s="17">
        <v>2</v>
      </c>
      <c r="D635" s="17" t="s">
        <v>90</v>
      </c>
      <c r="E635" s="18">
        <v>202307</v>
      </c>
      <c r="F635" s="17" t="s">
        <v>91</v>
      </c>
      <c r="G635" s="14">
        <v>1935823.04</v>
      </c>
      <c r="H635" s="14">
        <v>1856467.84</v>
      </c>
      <c r="I635" s="14">
        <v>1856467.84</v>
      </c>
      <c r="J635" s="22">
        <f>H635*(1+Assumptions!$B$6+IF(F635="Yes",Assumptions!$C$6,0))</f>
        <v>1912161.8752000001</v>
      </c>
      <c r="K635" s="22">
        <f>H635*(1+Assumptions!$B$7+IF(F635="Yes",Assumptions!$C$7,0))</f>
        <v>1949291.2320000001</v>
      </c>
      <c r="L635" s="22">
        <f>H635*(1+Assumptions!$B$8+IF(F635="Yes",Assumptions!$C$8,0))</f>
        <v>1875032.5184000002</v>
      </c>
    </row>
    <row r="636" spans="1:12" ht="15">
      <c r="A636" s="21">
        <v>41012</v>
      </c>
      <c r="B636" s="21">
        <v>41000</v>
      </c>
      <c r="C636" s="17">
        <v>3</v>
      </c>
      <c r="D636" s="17" t="s">
        <v>92</v>
      </c>
      <c r="E636" s="18">
        <v>37392</v>
      </c>
      <c r="F636" s="17" t="s">
        <v>91</v>
      </c>
      <c r="G636" s="14">
        <v>420742.08</v>
      </c>
      <c r="H636" s="14">
        <v>366250.69</v>
      </c>
      <c r="I636" s="14">
        <v>366250.69</v>
      </c>
      <c r="J636" s="22">
        <f>H636*(1+Assumptions!$B$6+IF(F636="Yes",Assumptions!$C$6,0))</f>
        <v>377238.2107</v>
      </c>
      <c r="K636" s="22">
        <f>H636*(1+Assumptions!$B$7+IF(F636="Yes",Assumptions!$C$7,0))</f>
        <v>384563.22450000001</v>
      </c>
      <c r="L636" s="22">
        <f>H636*(1+Assumptions!$B$8+IF(F636="Yes",Assumptions!$C$8,0))</f>
        <v>369913.19689999998</v>
      </c>
    </row>
    <row r="637" spans="1:12" ht="15">
      <c r="A637" s="21">
        <v>41012</v>
      </c>
      <c r="B637" s="21">
        <v>41000</v>
      </c>
      <c r="C637" s="17">
        <v>4</v>
      </c>
      <c r="D637" s="17" t="s">
        <v>90</v>
      </c>
      <c r="E637" s="18">
        <v>205863</v>
      </c>
      <c r="F637" s="17" t="s">
        <v>91</v>
      </c>
      <c r="G637" s="14">
        <v>2105250.92</v>
      </c>
      <c r="H637" s="14">
        <v>1960587.76</v>
      </c>
      <c r="I637" s="14">
        <v>1960587.76</v>
      </c>
      <c r="J637" s="22">
        <f>H637*(1+Assumptions!$B$6+IF(F637="Yes",Assumptions!$C$6,0))</f>
        <v>2019405.3928</v>
      </c>
      <c r="K637" s="22">
        <f>H637*(1+Assumptions!$B$7+IF(F637="Yes",Assumptions!$C$7,0))</f>
        <v>2058617.148</v>
      </c>
      <c r="L637" s="22">
        <f>H637*(1+Assumptions!$B$8+IF(F637="Yes",Assumptions!$C$8,0))</f>
        <v>1980193.6376</v>
      </c>
    </row>
    <row r="638" spans="1:12" ht="15">
      <c r="A638" s="21">
        <v>41012</v>
      </c>
      <c r="B638" s="21">
        <v>41000</v>
      </c>
      <c r="C638" s="17">
        <v>5</v>
      </c>
      <c r="D638" s="17" t="s">
        <v>92</v>
      </c>
      <c r="E638" s="18">
        <v>34875</v>
      </c>
      <c r="F638" s="17" t="s">
        <v>91</v>
      </c>
      <c r="G638" s="14">
        <v>351812.05</v>
      </c>
      <c r="H638" s="14">
        <v>307825.51</v>
      </c>
      <c r="I638" s="14">
        <v>307825.51</v>
      </c>
      <c r="J638" s="22">
        <f>H638*(1+Assumptions!$B$6+IF(F638="Yes",Assumptions!$C$6,0))</f>
        <v>317060.27530000004</v>
      </c>
      <c r="K638" s="22">
        <f>H638*(1+Assumptions!$B$7+IF(F638="Yes",Assumptions!$C$7,0))</f>
        <v>323216.7855</v>
      </c>
      <c r="L638" s="22">
        <f>H638*(1+Assumptions!$B$8+IF(F638="Yes",Assumptions!$C$8,0))</f>
        <v>310903.76510000002</v>
      </c>
    </row>
    <row r="639" spans="1:12" ht="15">
      <c r="A639" s="21">
        <v>41012</v>
      </c>
      <c r="B639" s="21">
        <v>41000</v>
      </c>
      <c r="C639" s="17">
        <v>6</v>
      </c>
      <c r="D639" s="17" t="s">
        <v>90</v>
      </c>
      <c r="E639" s="18">
        <v>202505</v>
      </c>
      <c r="F639" s="17" t="s">
        <v>91</v>
      </c>
      <c r="G639" s="14">
        <v>1616394.45</v>
      </c>
      <c r="H639" s="14">
        <v>1448587.61</v>
      </c>
      <c r="I639" s="14">
        <v>1448587.61</v>
      </c>
      <c r="J639" s="22">
        <f>H639*(1+Assumptions!$B$6+IF(F639="Yes",Assumptions!$C$6,0))</f>
        <v>1492045.2383000001</v>
      </c>
      <c r="K639" s="22">
        <f>H639*(1+Assumptions!$B$7+IF(F639="Yes",Assumptions!$C$7,0))</f>
        <v>1521016.9905000001</v>
      </c>
      <c r="L639" s="22">
        <f>H639*(1+Assumptions!$B$8+IF(F639="Yes",Assumptions!$C$8,0))</f>
        <v>1463073.4861000001</v>
      </c>
    </row>
    <row r="640" spans="1:12" ht="15">
      <c r="A640" s="21">
        <v>41012</v>
      </c>
      <c r="B640" s="21">
        <v>41000</v>
      </c>
      <c r="C640" s="17">
        <v>7</v>
      </c>
      <c r="D640" s="17" t="s">
        <v>92</v>
      </c>
      <c r="E640" s="18">
        <v>70713</v>
      </c>
      <c r="F640" s="17" t="s">
        <v>91</v>
      </c>
      <c r="G640" s="14">
        <v>516796.47</v>
      </c>
      <c r="H640" s="14">
        <v>423333.33999999997</v>
      </c>
      <c r="I640" s="14">
        <v>423333.33999999997</v>
      </c>
      <c r="J640" s="22">
        <f>H640*(1+Assumptions!$B$6+IF(F640="Yes",Assumptions!$C$6,0))</f>
        <v>436033.34019999998</v>
      </c>
      <c r="K640" s="22">
        <f>H640*(1+Assumptions!$B$7+IF(F640="Yes",Assumptions!$C$7,0))</f>
        <v>444500.00699999998</v>
      </c>
      <c r="L640" s="22">
        <f>H640*(1+Assumptions!$B$8+IF(F640="Yes",Assumptions!$C$8,0))</f>
        <v>427566.67339999997</v>
      </c>
    </row>
    <row r="641" spans="1:12" ht="15">
      <c r="A641" s="21">
        <v>41012</v>
      </c>
      <c r="B641" s="21">
        <v>41000</v>
      </c>
      <c r="C641" s="17">
        <v>8</v>
      </c>
      <c r="D641" s="17" t="s">
        <v>90</v>
      </c>
      <c r="E641" s="18">
        <v>155078</v>
      </c>
      <c r="F641" s="17" t="s">
        <v>91</v>
      </c>
      <c r="G641" s="14">
        <v>909948.45</v>
      </c>
      <c r="H641" s="14">
        <v>908278.74</v>
      </c>
      <c r="I641" s="14">
        <v>908278.74</v>
      </c>
      <c r="J641" s="22">
        <f>H641*(1+Assumptions!$B$6+IF(F641="Yes",Assumptions!$C$6,0))</f>
        <v>935527.10219999996</v>
      </c>
      <c r="K641" s="22">
        <f>H641*(1+Assumptions!$B$7+IF(F641="Yes",Assumptions!$C$7,0))</f>
        <v>953692.67700000003</v>
      </c>
      <c r="L641" s="22">
        <f>H641*(1+Assumptions!$B$8+IF(F641="Yes",Assumptions!$C$8,0))</f>
        <v>917361.52740000002</v>
      </c>
    </row>
    <row r="642" spans="1:12" ht="15">
      <c r="A642" s="21">
        <v>41012</v>
      </c>
      <c r="B642" s="21">
        <v>41000</v>
      </c>
      <c r="C642" s="17">
        <v>9</v>
      </c>
      <c r="D642" s="17" t="s">
        <v>92</v>
      </c>
      <c r="E642" s="18">
        <v>125833</v>
      </c>
      <c r="F642" s="17" t="s">
        <v>91</v>
      </c>
      <c r="G642" s="14">
        <v>578287.89</v>
      </c>
      <c r="H642" s="14">
        <v>528386.74</v>
      </c>
      <c r="I642" s="14">
        <v>528386.74</v>
      </c>
      <c r="J642" s="22">
        <f>H642*(1+Assumptions!$B$6+IF(F642="Yes",Assumptions!$C$6,0))</f>
        <v>544238.34219999996</v>
      </c>
      <c r="K642" s="22">
        <f>H642*(1+Assumptions!$B$7+IF(F642="Yes",Assumptions!$C$7,0))</f>
        <v>554806.07700000005</v>
      </c>
      <c r="L642" s="22">
        <f>H642*(1+Assumptions!$B$8+IF(F642="Yes",Assumptions!$C$8,0))</f>
        <v>533670.60739999998</v>
      </c>
    </row>
    <row r="643" spans="1:12" ht="15">
      <c r="A643" s="21">
        <v>41012</v>
      </c>
      <c r="B643" s="21">
        <v>41000</v>
      </c>
      <c r="C643" s="17">
        <v>10</v>
      </c>
      <c r="D643" s="17" t="s">
        <v>92</v>
      </c>
      <c r="E643" s="18">
        <v>126512</v>
      </c>
      <c r="F643" s="17" t="s">
        <v>91</v>
      </c>
      <c r="G643" s="14">
        <v>1974418.1199999999</v>
      </c>
      <c r="H643" s="14">
        <v>1781767.22</v>
      </c>
      <c r="I643" s="14">
        <v>1781767.22</v>
      </c>
      <c r="J643" s="22">
        <f>H643*(1+Assumptions!$B$6+IF(F643="Yes",Assumptions!$C$6,0))</f>
        <v>1835220.2365999999</v>
      </c>
      <c r="K643" s="22">
        <f>H643*(1+Assumptions!$B$7+IF(F643="Yes",Assumptions!$C$7,0))</f>
        <v>1870855.581</v>
      </c>
      <c r="L643" s="22">
        <f>H643*(1+Assumptions!$B$8+IF(F643="Yes",Assumptions!$C$8,0))</f>
        <v>1799584.8921999999</v>
      </c>
    </row>
    <row r="644" spans="1:12" ht="15">
      <c r="A644" s="21">
        <v>41012</v>
      </c>
      <c r="B644" s="21">
        <v>41000</v>
      </c>
      <c r="C644" s="17">
        <v>11</v>
      </c>
      <c r="D644" s="17" t="s">
        <v>90</v>
      </c>
      <c r="E644" s="18">
        <v>207499</v>
      </c>
      <c r="F644" s="17" t="s">
        <v>91</v>
      </c>
      <c r="G644" s="14">
        <v>1472530.51</v>
      </c>
      <c r="H644" s="14">
        <v>1312835.83</v>
      </c>
      <c r="I644" s="14">
        <v>1312835.83</v>
      </c>
      <c r="J644" s="22">
        <f>H644*(1+Assumptions!$B$6+IF(F644="Yes",Assumptions!$C$6,0))</f>
        <v>1352220.9049000002</v>
      </c>
      <c r="K644" s="22">
        <f>H644*(1+Assumptions!$B$7+IF(F644="Yes",Assumptions!$C$7,0))</f>
        <v>1378477.6215000001</v>
      </c>
      <c r="L644" s="22">
        <f>H644*(1+Assumptions!$B$8+IF(F644="Yes",Assumptions!$C$8,0))</f>
        <v>1325964.1883</v>
      </c>
    </row>
    <row r="645" spans="1:12" ht="15">
      <c r="A645" s="21">
        <v>41012</v>
      </c>
      <c r="B645" s="21">
        <v>41000</v>
      </c>
      <c r="C645" s="17">
        <v>12</v>
      </c>
      <c r="D645" s="17" t="s">
        <v>92</v>
      </c>
      <c r="E645" s="18">
        <v>112238</v>
      </c>
      <c r="F645" s="17" t="s">
        <v>91</v>
      </c>
      <c r="G645" s="14">
        <v>1083664.67</v>
      </c>
      <c r="H645" s="14">
        <v>990951.77</v>
      </c>
      <c r="I645" s="14">
        <v>990951.77</v>
      </c>
      <c r="J645" s="22">
        <f>H645*(1+Assumptions!$B$6+IF(F645="Yes",Assumptions!$C$6,0))</f>
        <v>1020680.3231</v>
      </c>
      <c r="K645" s="22">
        <f>H645*(1+Assumptions!$B$7+IF(F645="Yes",Assumptions!$C$7,0))</f>
        <v>1040499.3585000001</v>
      </c>
      <c r="L645" s="22">
        <f>H645*(1+Assumptions!$B$8+IF(F645="Yes",Assumptions!$C$8,0))</f>
        <v>1000861.2877</v>
      </c>
    </row>
    <row r="646" spans="1:12" ht="15">
      <c r="A646" s="21">
        <v>41012</v>
      </c>
      <c r="B646" s="21">
        <v>41000</v>
      </c>
      <c r="C646" s="17">
        <v>13</v>
      </c>
      <c r="D646" s="17" t="s">
        <v>90</v>
      </c>
      <c r="E646" s="18">
        <v>219622</v>
      </c>
      <c r="F646" s="17" t="s">
        <v>91</v>
      </c>
      <c r="G646" s="14">
        <v>2057577.8599999999</v>
      </c>
      <c r="H646" s="14">
        <v>1950947.67</v>
      </c>
      <c r="I646" s="14">
        <v>1950947.67</v>
      </c>
      <c r="J646" s="22">
        <f>H646*(1+Assumptions!$B$6+IF(F646="Yes",Assumptions!$C$6,0))</f>
        <v>2009476.1000999999</v>
      </c>
      <c r="K646" s="22">
        <f>H646*(1+Assumptions!$B$7+IF(F646="Yes",Assumptions!$C$7,0))</f>
        <v>2048495.0534999999</v>
      </c>
      <c r="L646" s="22">
        <f>H646*(1+Assumptions!$B$8+IF(F646="Yes",Assumptions!$C$8,0))</f>
        <v>1970457.1466999999</v>
      </c>
    </row>
    <row r="647" spans="1:12" ht="15">
      <c r="A647" s="21">
        <v>41012</v>
      </c>
      <c r="B647" s="21">
        <v>41000</v>
      </c>
      <c r="C647" s="17">
        <v>14</v>
      </c>
      <c r="D647" s="17" t="s">
        <v>90</v>
      </c>
      <c r="E647" s="18">
        <v>200898</v>
      </c>
      <c r="F647" s="17" t="s">
        <v>91</v>
      </c>
      <c r="G647" s="14">
        <v>1912887.72</v>
      </c>
      <c r="H647" s="14">
        <v>1974860.8699999999</v>
      </c>
      <c r="I647" s="14">
        <v>1974860.8699999999</v>
      </c>
      <c r="J647" s="22">
        <f>H647*(1+Assumptions!$B$6+IF(F647="Yes",Assumptions!$C$6,0))</f>
        <v>2034106.6960999998</v>
      </c>
      <c r="K647" s="22">
        <f>H647*(1+Assumptions!$B$7+IF(F647="Yes",Assumptions!$C$7,0))</f>
        <v>2073603.9135</v>
      </c>
      <c r="L647" s="22">
        <f>H647*(1+Assumptions!$B$8+IF(F647="Yes",Assumptions!$C$8,0))</f>
        <v>1994609.4786999999</v>
      </c>
    </row>
    <row r="648" spans="1:12" ht="15">
      <c r="A648" s="21">
        <v>41012</v>
      </c>
      <c r="B648" s="21">
        <v>41000</v>
      </c>
      <c r="C648" s="17">
        <v>15</v>
      </c>
      <c r="D648" s="17" t="s">
        <v>92</v>
      </c>
      <c r="E648" s="18">
        <v>123737</v>
      </c>
      <c r="F648" s="17" t="s">
        <v>91</v>
      </c>
      <c r="G648" s="14">
        <v>557802.06999999995</v>
      </c>
      <c r="H648" s="14">
        <v>607689.86</v>
      </c>
      <c r="I648" s="14">
        <v>607689.86</v>
      </c>
      <c r="J648" s="22">
        <f>H648*(1+Assumptions!$B$6+IF(F648="Yes",Assumptions!$C$6,0))</f>
        <v>625920.55579999997</v>
      </c>
      <c r="K648" s="22">
        <f>H648*(1+Assumptions!$B$7+IF(F648="Yes",Assumptions!$C$7,0))</f>
        <v>638074.353</v>
      </c>
      <c r="L648" s="22">
        <f>H648*(1+Assumptions!$B$8+IF(F648="Yes",Assumptions!$C$8,0))</f>
        <v>613766.75859999994</v>
      </c>
    </row>
    <row r="649" spans="1:12" ht="15">
      <c r="A649" s="21">
        <v>41012</v>
      </c>
      <c r="B649" s="21">
        <v>41000</v>
      </c>
      <c r="C649" s="17">
        <v>16</v>
      </c>
      <c r="D649" s="17" t="s">
        <v>92</v>
      </c>
      <c r="E649" s="18">
        <v>57197</v>
      </c>
      <c r="F649" s="17" t="s">
        <v>91</v>
      </c>
      <c r="G649" s="14">
        <v>447447.15</v>
      </c>
      <c r="H649" s="14">
        <v>427854.24</v>
      </c>
      <c r="I649" s="14">
        <v>427854.24</v>
      </c>
      <c r="J649" s="22">
        <f>H649*(1+Assumptions!$B$6+IF(F649="Yes",Assumptions!$C$6,0))</f>
        <v>440689.86719999998</v>
      </c>
      <c r="K649" s="22">
        <f>H649*(1+Assumptions!$B$7+IF(F649="Yes",Assumptions!$C$7,0))</f>
        <v>449246.95199999999</v>
      </c>
      <c r="L649" s="22">
        <f>H649*(1+Assumptions!$B$8+IF(F649="Yes",Assumptions!$C$8,0))</f>
        <v>432132.78239999997</v>
      </c>
    </row>
    <row r="650" spans="1:12" ht="15">
      <c r="A650" s="21">
        <v>41012</v>
      </c>
      <c r="B650" s="21">
        <v>41000</v>
      </c>
      <c r="C650" s="17">
        <v>17</v>
      </c>
      <c r="D650" s="17" t="s">
        <v>92</v>
      </c>
      <c r="E650" s="18">
        <v>93188</v>
      </c>
      <c r="F650" s="17" t="s">
        <v>91</v>
      </c>
      <c r="G650" s="14">
        <v>875915.43</v>
      </c>
      <c r="H650" s="14">
        <v>825265.52</v>
      </c>
      <c r="I650" s="14">
        <v>825265.52</v>
      </c>
      <c r="J650" s="22">
        <f>H650*(1+Assumptions!$B$6+IF(F650="Yes",Assumptions!$C$6,0))</f>
        <v>850023.48560000001</v>
      </c>
      <c r="K650" s="22">
        <f>H650*(1+Assumptions!$B$7+IF(F650="Yes",Assumptions!$C$7,0))</f>
        <v>866528.79600000009</v>
      </c>
      <c r="L650" s="22">
        <f>H650*(1+Assumptions!$B$8+IF(F650="Yes",Assumptions!$C$8,0))</f>
        <v>833518.17520000006</v>
      </c>
    </row>
    <row r="651" spans="1:12" ht="15">
      <c r="A651" s="21">
        <v>41012</v>
      </c>
      <c r="B651" s="21">
        <v>41000</v>
      </c>
      <c r="C651" s="17">
        <v>18</v>
      </c>
      <c r="D651" s="17" t="s">
        <v>92</v>
      </c>
      <c r="E651" s="18">
        <v>120653</v>
      </c>
      <c r="F651" s="17" t="s">
        <v>91</v>
      </c>
      <c r="G651" s="14">
        <v>996648.53</v>
      </c>
      <c r="H651" s="14">
        <v>988157.72</v>
      </c>
      <c r="I651" s="14">
        <v>988157.72</v>
      </c>
      <c r="J651" s="22">
        <f>H651*(1+Assumptions!$B$6+IF(F651="Yes",Assumptions!$C$6,0))</f>
        <v>1017802.4516</v>
      </c>
      <c r="K651" s="22">
        <f>H651*(1+Assumptions!$B$7+IF(F651="Yes",Assumptions!$C$7,0))</f>
        <v>1037565.606</v>
      </c>
      <c r="L651" s="22">
        <f>H651*(1+Assumptions!$B$8+IF(F651="Yes",Assumptions!$C$8,0))</f>
        <v>998039.29720000003</v>
      </c>
    </row>
    <row r="652" spans="1:12" ht="15">
      <c r="A652" s="21">
        <v>41012</v>
      </c>
      <c r="B652" s="21">
        <v>41000</v>
      </c>
      <c r="C652" s="17">
        <v>19</v>
      </c>
      <c r="D652" s="17" t="s">
        <v>90</v>
      </c>
      <c r="E652" s="18">
        <v>203819</v>
      </c>
      <c r="F652" s="17" t="s">
        <v>91</v>
      </c>
      <c r="G652" s="14">
        <v>1365078.46</v>
      </c>
      <c r="H652" s="14">
        <v>1392539.36</v>
      </c>
      <c r="I652" s="14">
        <v>1392539.36</v>
      </c>
      <c r="J652" s="22">
        <f>H652*(1+Assumptions!$B$6+IF(F652="Yes",Assumptions!$C$6,0))</f>
        <v>1434315.5408000001</v>
      </c>
      <c r="K652" s="22">
        <f>H652*(1+Assumptions!$B$7+IF(F652="Yes",Assumptions!$C$7,0))</f>
        <v>1462166.3280000002</v>
      </c>
      <c r="L652" s="22">
        <f>H652*(1+Assumptions!$B$8+IF(F652="Yes",Assumptions!$C$8,0))</f>
        <v>1406464.7536000002</v>
      </c>
    </row>
    <row r="653" spans="1:12" ht="15">
      <c r="A653" s="21">
        <v>41012</v>
      </c>
      <c r="B653" s="21">
        <v>41000</v>
      </c>
      <c r="C653" s="17">
        <v>20</v>
      </c>
      <c r="D653" s="17" t="s">
        <v>90</v>
      </c>
      <c r="E653" s="18">
        <v>203742</v>
      </c>
      <c r="F653" s="17" t="s">
        <v>91</v>
      </c>
      <c r="G653" s="14">
        <v>2045354.19</v>
      </c>
      <c r="H653" s="14">
        <v>2057397.34</v>
      </c>
      <c r="I653" s="14">
        <v>2057397.34</v>
      </c>
      <c r="J653" s="22">
        <f>H653*(1+Assumptions!$B$6+IF(F653="Yes",Assumptions!$C$6,0))</f>
        <v>2119119.2602000004</v>
      </c>
      <c r="K653" s="22">
        <f>H653*(1+Assumptions!$B$7+IF(F653="Yes",Assumptions!$C$7,0))</f>
        <v>2160267.2070000004</v>
      </c>
      <c r="L653" s="22">
        <f>H653*(1+Assumptions!$B$8+IF(F653="Yes",Assumptions!$C$8,0))</f>
        <v>2077971.3134000001</v>
      </c>
    </row>
    <row r="654" spans="1:12" ht="15">
      <c r="A654" s="21">
        <v>41012</v>
      </c>
      <c r="B654" s="21">
        <v>41000</v>
      </c>
      <c r="C654" s="17">
        <v>21</v>
      </c>
      <c r="D654" s="17" t="s">
        <v>92</v>
      </c>
      <c r="E654" s="18">
        <v>140167</v>
      </c>
      <c r="F654" s="17" t="s">
        <v>91</v>
      </c>
      <c r="G654" s="14">
        <v>769206.83</v>
      </c>
      <c r="H654" s="14">
        <v>768370.09</v>
      </c>
      <c r="I654" s="14">
        <v>768370.09</v>
      </c>
      <c r="J654" s="22">
        <f>H654*(1+Assumptions!$B$6+IF(F654="Yes",Assumptions!$C$6,0))</f>
        <v>791421.19270000001</v>
      </c>
      <c r="K654" s="22">
        <f>H654*(1+Assumptions!$B$7+IF(F654="Yes",Assumptions!$C$7,0))</f>
        <v>806788.59450000001</v>
      </c>
      <c r="L654" s="22">
        <f>H654*(1+Assumptions!$B$8+IF(F654="Yes",Assumptions!$C$8,0))</f>
        <v>776053.79090000002</v>
      </c>
    </row>
    <row r="655" spans="1:12" ht="15">
      <c r="A655" s="21">
        <v>41012</v>
      </c>
      <c r="B655" s="21">
        <v>41000</v>
      </c>
      <c r="C655" s="17">
        <v>22</v>
      </c>
      <c r="D655" s="17" t="s">
        <v>92</v>
      </c>
      <c r="E655" s="18">
        <v>119557</v>
      </c>
      <c r="F655" s="17" t="s">
        <v>91</v>
      </c>
      <c r="G655" s="14">
        <v>937794.42</v>
      </c>
      <c r="H655" s="14">
        <v>1008557.04</v>
      </c>
      <c r="I655" s="14">
        <v>1008557.04</v>
      </c>
      <c r="J655" s="22">
        <f>H655*(1+Assumptions!$B$6+IF(F655="Yes",Assumptions!$C$6,0))</f>
        <v>1038813.7512000001</v>
      </c>
      <c r="K655" s="22">
        <f>H655*(1+Assumptions!$B$7+IF(F655="Yes",Assumptions!$C$7,0))</f>
        <v>1058984.892</v>
      </c>
      <c r="L655" s="22">
        <f>H655*(1+Assumptions!$B$8+IF(F655="Yes",Assumptions!$C$8,0))</f>
        <v>1018642.6104</v>
      </c>
    </row>
    <row r="656" spans="1:12" ht="15">
      <c r="A656" s="21">
        <v>41012</v>
      </c>
      <c r="B656" s="21">
        <v>41000</v>
      </c>
      <c r="C656" s="17">
        <v>23</v>
      </c>
      <c r="D656" s="17" t="s">
        <v>92</v>
      </c>
      <c r="E656" s="18">
        <v>114533</v>
      </c>
      <c r="F656" s="17" t="s">
        <v>91</v>
      </c>
      <c r="G656" s="14">
        <v>1231599.83</v>
      </c>
      <c r="H656" s="14">
        <v>1263680.51</v>
      </c>
      <c r="I656" s="14">
        <v>1263680.51</v>
      </c>
      <c r="J656" s="22">
        <f>H656*(1+Assumptions!$B$6+IF(F656="Yes",Assumptions!$C$6,0))</f>
        <v>1301590.9253</v>
      </c>
      <c r="K656" s="22">
        <f>H656*(1+Assumptions!$B$7+IF(F656="Yes",Assumptions!$C$7,0))</f>
        <v>1326864.5355</v>
      </c>
      <c r="L656" s="22">
        <f>H656*(1+Assumptions!$B$8+IF(F656="Yes",Assumptions!$C$8,0))</f>
        <v>1276317.3151</v>
      </c>
    </row>
    <row r="657" spans="1:12" ht="15">
      <c r="A657" s="21">
        <v>41012</v>
      </c>
      <c r="B657" s="21">
        <v>41000</v>
      </c>
      <c r="C657" s="17">
        <v>24</v>
      </c>
      <c r="D657" s="17" t="s">
        <v>90</v>
      </c>
      <c r="E657" s="18">
        <v>203819</v>
      </c>
      <c r="F657" s="17" t="s">
        <v>91</v>
      </c>
      <c r="G657" s="14">
        <v>1285763.8700000001</v>
      </c>
      <c r="H657" s="14">
        <v>1245576.6499999999</v>
      </c>
      <c r="I657" s="14">
        <v>1245576.6499999999</v>
      </c>
      <c r="J657" s="22">
        <f>H657*(1+Assumptions!$B$6+IF(F657="Yes",Assumptions!$C$6,0))</f>
        <v>1282943.9494999999</v>
      </c>
      <c r="K657" s="22">
        <f>H657*(1+Assumptions!$B$7+IF(F657="Yes",Assumptions!$C$7,0))</f>
        <v>1307855.4824999999</v>
      </c>
      <c r="L657" s="22">
        <f>H657*(1+Assumptions!$B$8+IF(F657="Yes",Assumptions!$C$8,0))</f>
        <v>1258032.4164999998</v>
      </c>
    </row>
    <row r="658" spans="1:12" ht="15">
      <c r="A658" s="21">
        <v>41012</v>
      </c>
      <c r="B658" s="21">
        <v>41000</v>
      </c>
      <c r="C658" s="17">
        <v>25</v>
      </c>
      <c r="D658" s="17" t="s">
        <v>92</v>
      </c>
      <c r="E658" s="18">
        <v>128107</v>
      </c>
      <c r="F658" s="17" t="s">
        <v>91</v>
      </c>
      <c r="G658" s="14">
        <v>657156.56000000006</v>
      </c>
      <c r="H658" s="14">
        <v>674543.19</v>
      </c>
      <c r="I658" s="14">
        <v>674543.19</v>
      </c>
      <c r="J658" s="22">
        <f>H658*(1+Assumptions!$B$6+IF(F658="Yes",Assumptions!$C$6,0))</f>
        <v>694779.48569999996</v>
      </c>
      <c r="K658" s="22">
        <f>H658*(1+Assumptions!$B$7+IF(F658="Yes",Assumptions!$C$7,0))</f>
        <v>708270.34950000001</v>
      </c>
      <c r="L658" s="22">
        <f>H658*(1+Assumptions!$B$8+IF(F658="Yes",Assumptions!$C$8,0))</f>
        <v>681288.62189999991</v>
      </c>
    </row>
    <row r="659" spans="1:12" ht="15">
      <c r="A659" s="21">
        <v>41012</v>
      </c>
      <c r="B659" s="21">
        <v>41000</v>
      </c>
      <c r="C659" s="17">
        <v>26</v>
      </c>
      <c r="D659" s="17" t="s">
        <v>90</v>
      </c>
      <c r="E659" s="18">
        <v>152513</v>
      </c>
      <c r="F659" s="17" t="s">
        <v>91</v>
      </c>
      <c r="G659" s="14">
        <v>889650.29</v>
      </c>
      <c r="H659" s="14">
        <v>863266.12</v>
      </c>
      <c r="I659" s="14">
        <v>863266.12</v>
      </c>
      <c r="J659" s="22">
        <f>H659*(1+Assumptions!$B$6+IF(F659="Yes",Assumptions!$C$6,0))</f>
        <v>889164.10360000003</v>
      </c>
      <c r="K659" s="22">
        <f>H659*(1+Assumptions!$B$7+IF(F659="Yes",Assumptions!$C$7,0))</f>
        <v>906429.42599999998</v>
      </c>
      <c r="L659" s="22">
        <f>H659*(1+Assumptions!$B$8+IF(F659="Yes",Assumptions!$C$8,0))</f>
        <v>871898.78119999997</v>
      </c>
    </row>
    <row r="660" spans="1:12" ht="15">
      <c r="A660" s="21">
        <v>41012</v>
      </c>
      <c r="B660" s="21">
        <v>41000</v>
      </c>
      <c r="C660" s="17">
        <v>27</v>
      </c>
      <c r="D660" s="17" t="s">
        <v>90</v>
      </c>
      <c r="E660" s="18">
        <v>204184</v>
      </c>
      <c r="F660" s="17" t="s">
        <v>91</v>
      </c>
      <c r="G660" s="14">
        <v>1650203.21</v>
      </c>
      <c r="H660" s="14">
        <v>1727175.6099999999</v>
      </c>
      <c r="I660" s="14">
        <v>1727175.6099999999</v>
      </c>
      <c r="J660" s="22">
        <f>H660*(1+Assumptions!$B$6+IF(F660="Yes",Assumptions!$C$6,0))</f>
        <v>1778990.8783</v>
      </c>
      <c r="K660" s="22">
        <f>H660*(1+Assumptions!$B$7+IF(F660="Yes",Assumptions!$C$7,0))</f>
        <v>1813534.3905</v>
      </c>
      <c r="L660" s="22">
        <f>H660*(1+Assumptions!$B$8+IF(F660="Yes",Assumptions!$C$8,0))</f>
        <v>1744447.3661</v>
      </c>
    </row>
    <row r="661" spans="1:12" ht="15">
      <c r="A661" s="21">
        <v>41012</v>
      </c>
      <c r="B661" s="21">
        <v>41000</v>
      </c>
      <c r="C661" s="17">
        <v>28</v>
      </c>
      <c r="D661" s="17" t="s">
        <v>90</v>
      </c>
      <c r="E661" s="18">
        <v>206302</v>
      </c>
      <c r="F661" s="17" t="s">
        <v>91</v>
      </c>
      <c r="G661" s="14">
        <v>1290661.01</v>
      </c>
      <c r="H661" s="14">
        <v>1240424.07</v>
      </c>
      <c r="I661" s="14">
        <v>1240424.07</v>
      </c>
      <c r="J661" s="22">
        <f>H661*(1+Assumptions!$B$6+IF(F661="Yes",Assumptions!$C$6,0))</f>
        <v>1277636.7921000002</v>
      </c>
      <c r="K661" s="22">
        <f>H661*(1+Assumptions!$B$7+IF(F661="Yes",Assumptions!$C$7,0))</f>
        <v>1302445.2735000001</v>
      </c>
      <c r="L661" s="22">
        <f>H661*(1+Assumptions!$B$8+IF(F661="Yes",Assumptions!$C$8,0))</f>
        <v>1252828.3107</v>
      </c>
    </row>
    <row r="662" spans="1:12" ht="15">
      <c r="A662" s="21">
        <v>41012</v>
      </c>
      <c r="B662" s="21">
        <v>41000</v>
      </c>
      <c r="C662" s="17">
        <v>29</v>
      </c>
      <c r="D662" s="17" t="s">
        <v>92</v>
      </c>
      <c r="E662" s="18">
        <v>93638</v>
      </c>
      <c r="F662" s="17" t="s">
        <v>91</v>
      </c>
      <c r="G662" s="14">
        <v>520059.61</v>
      </c>
      <c r="H662" s="14">
        <v>518205.97</v>
      </c>
      <c r="I662" s="14">
        <v>518205.97</v>
      </c>
      <c r="J662" s="22">
        <f>H662*(1+Assumptions!$B$6+IF(F662="Yes",Assumptions!$C$6,0))</f>
        <v>533752.14910000004</v>
      </c>
      <c r="K662" s="22">
        <f>H662*(1+Assumptions!$B$7+IF(F662="Yes",Assumptions!$C$7,0))</f>
        <v>544116.26850000001</v>
      </c>
      <c r="L662" s="22">
        <f>H662*(1+Assumptions!$B$8+IF(F662="Yes",Assumptions!$C$8,0))</f>
        <v>523388.02969999996</v>
      </c>
    </row>
    <row r="663" spans="1:12" ht="15">
      <c r="A663" s="21">
        <v>41012</v>
      </c>
      <c r="B663" s="21">
        <v>41000</v>
      </c>
      <c r="C663" s="17">
        <v>30</v>
      </c>
      <c r="D663" s="17" t="s">
        <v>93</v>
      </c>
      <c r="E663" s="18">
        <v>42988</v>
      </c>
      <c r="F663" s="17" t="s">
        <v>91</v>
      </c>
      <c r="G663" s="14">
        <v>428648.7</v>
      </c>
      <c r="H663" s="14">
        <v>426536.35</v>
      </c>
      <c r="I663" s="14">
        <v>426536.35</v>
      </c>
      <c r="J663" s="22">
        <f>H663*(1+Assumptions!$B$6+IF(F663="Yes",Assumptions!$C$6,0))</f>
        <v>439332.44049999997</v>
      </c>
      <c r="K663" s="22">
        <f>H663*(1+Assumptions!$B$7+IF(F663="Yes",Assumptions!$C$7,0))</f>
        <v>447863.16749999998</v>
      </c>
      <c r="L663" s="22">
        <f>H663*(1+Assumptions!$B$8+IF(F663="Yes",Assumptions!$C$8,0))</f>
        <v>430801.71349999995</v>
      </c>
    </row>
    <row r="664" spans="1:12" ht="15">
      <c r="A664" s="21">
        <v>41012</v>
      </c>
      <c r="B664" s="21">
        <v>41000</v>
      </c>
      <c r="C664" s="17">
        <v>31</v>
      </c>
      <c r="D664" s="17" t="s">
        <v>90</v>
      </c>
      <c r="E664" s="18">
        <v>203750</v>
      </c>
      <c r="F664" s="17" t="s">
        <v>91</v>
      </c>
      <c r="G664" s="14">
        <v>1407842.91</v>
      </c>
      <c r="H664" s="14">
        <v>1408455.08</v>
      </c>
      <c r="I664" s="14">
        <v>1408455.08</v>
      </c>
      <c r="J664" s="22">
        <f>H664*(1+Assumptions!$B$6+IF(F664="Yes",Assumptions!$C$6,0))</f>
        <v>1450708.7324000001</v>
      </c>
      <c r="K664" s="22">
        <f>H664*(1+Assumptions!$B$7+IF(F664="Yes",Assumptions!$C$7,0))</f>
        <v>1478877.834</v>
      </c>
      <c r="L664" s="22">
        <f>H664*(1+Assumptions!$B$8+IF(F664="Yes",Assumptions!$C$8,0))</f>
        <v>1422539.6308000002</v>
      </c>
    </row>
    <row r="665" spans="1:12" ht="15">
      <c r="A665" s="21">
        <v>41012</v>
      </c>
      <c r="B665" s="21">
        <v>41000</v>
      </c>
      <c r="C665" s="17">
        <v>32</v>
      </c>
      <c r="D665" s="17" t="s">
        <v>90</v>
      </c>
      <c r="E665" s="18">
        <v>203007</v>
      </c>
      <c r="F665" s="17" t="s">
        <v>91</v>
      </c>
      <c r="G665" s="14">
        <v>1171798.6499999999</v>
      </c>
      <c r="H665" s="14">
        <v>1119853.22</v>
      </c>
      <c r="I665" s="14">
        <v>1119853.22</v>
      </c>
      <c r="J665" s="22">
        <f>H665*(1+Assumptions!$B$6+IF(F665="Yes",Assumptions!$C$6,0))</f>
        <v>1153448.8166</v>
      </c>
      <c r="K665" s="22">
        <f>H665*(1+Assumptions!$B$7+IF(F665="Yes",Assumptions!$C$7,0))</f>
        <v>1175845.8810000001</v>
      </c>
      <c r="L665" s="22">
        <f>H665*(1+Assumptions!$B$8+IF(F665="Yes",Assumptions!$C$8,0))</f>
        <v>1131051.7522</v>
      </c>
    </row>
    <row r="666" spans="1:12" ht="15">
      <c r="A666" s="21">
        <v>41012</v>
      </c>
      <c r="B666" s="21">
        <v>41000</v>
      </c>
      <c r="C666" s="17">
        <v>33</v>
      </c>
      <c r="D666" s="17" t="s">
        <v>90</v>
      </c>
      <c r="E666" s="18">
        <v>39690</v>
      </c>
      <c r="F666" s="17" t="s">
        <v>91</v>
      </c>
      <c r="G666" s="14">
        <v>312608.51</v>
      </c>
      <c r="H666" s="14">
        <v>275710.52</v>
      </c>
      <c r="I666" s="14">
        <v>275710.52</v>
      </c>
      <c r="J666" s="22">
        <f>H666*(1+Assumptions!$B$6+IF(F666="Yes",Assumptions!$C$6,0))</f>
        <v>283981.83560000005</v>
      </c>
      <c r="K666" s="22">
        <f>H666*(1+Assumptions!$B$7+IF(F666="Yes",Assumptions!$C$7,0))</f>
        <v>289496.04600000003</v>
      </c>
      <c r="L666" s="22">
        <f>H666*(1+Assumptions!$B$8+IF(F666="Yes",Assumptions!$C$8,0))</f>
        <v>278467.62520000001</v>
      </c>
    </row>
    <row r="667" spans="1:12" ht="15">
      <c r="A667" s="21">
        <v>41012</v>
      </c>
      <c r="B667" s="21">
        <v>41000</v>
      </c>
      <c r="C667" s="17">
        <v>34</v>
      </c>
      <c r="D667" s="17" t="s">
        <v>90</v>
      </c>
      <c r="E667" s="18">
        <v>158114</v>
      </c>
      <c r="F667" s="17" t="s">
        <v>91</v>
      </c>
      <c r="G667" s="14">
        <v>987333.65</v>
      </c>
      <c r="H667" s="14">
        <v>940477.53</v>
      </c>
      <c r="I667" s="14">
        <v>940477.53</v>
      </c>
      <c r="J667" s="22">
        <f>H667*(1+Assumptions!$B$6+IF(F667="Yes",Assumptions!$C$6,0))</f>
        <v>968691.85590000008</v>
      </c>
      <c r="K667" s="22">
        <f>H667*(1+Assumptions!$B$7+IF(F667="Yes",Assumptions!$C$7,0))</f>
        <v>987501.40650000004</v>
      </c>
      <c r="L667" s="22">
        <f>H667*(1+Assumptions!$B$8+IF(F667="Yes",Assumptions!$C$8,0))</f>
        <v>949882.30530000001</v>
      </c>
    </row>
    <row r="668" spans="1:12" ht="15">
      <c r="A668" s="21">
        <v>41012</v>
      </c>
      <c r="B668" s="21">
        <v>41000</v>
      </c>
      <c r="C668" s="17">
        <v>35</v>
      </c>
      <c r="D668" s="17" t="s">
        <v>92</v>
      </c>
      <c r="E668" s="18">
        <v>103681</v>
      </c>
      <c r="F668" s="17" t="s">
        <v>91</v>
      </c>
      <c r="G668" s="14">
        <v>788495.34</v>
      </c>
      <c r="H668" s="14">
        <v>794915.43</v>
      </c>
      <c r="I668" s="14">
        <v>794915.43</v>
      </c>
      <c r="J668" s="22">
        <f>H668*(1+Assumptions!$B$6+IF(F668="Yes",Assumptions!$C$6,0))</f>
        <v>818762.89290000009</v>
      </c>
      <c r="K668" s="22">
        <f>H668*(1+Assumptions!$B$7+IF(F668="Yes",Assumptions!$C$7,0))</f>
        <v>834661.20150000008</v>
      </c>
      <c r="L668" s="22">
        <f>H668*(1+Assumptions!$B$8+IF(F668="Yes",Assumptions!$C$8,0))</f>
        <v>802864.5843000001</v>
      </c>
    </row>
    <row r="669" spans="1:12" ht="15">
      <c r="A669" s="21">
        <v>41012</v>
      </c>
      <c r="B669" s="21">
        <v>41000</v>
      </c>
      <c r="C669" s="17">
        <v>36</v>
      </c>
      <c r="D669" s="17" t="s">
        <v>90</v>
      </c>
      <c r="E669" s="18">
        <v>39910</v>
      </c>
      <c r="F669" s="17" t="s">
        <v>91</v>
      </c>
      <c r="G669" s="14">
        <v>339391.73</v>
      </c>
      <c r="H669" s="14">
        <v>414838.49</v>
      </c>
      <c r="I669" s="14">
        <v>414838.49</v>
      </c>
      <c r="J669" s="22">
        <f>H669*(1+Assumptions!$B$6+IF(F669="Yes",Assumptions!$C$6,0))</f>
        <v>427283.6447</v>
      </c>
      <c r="K669" s="22">
        <f>H669*(1+Assumptions!$B$7+IF(F669="Yes",Assumptions!$C$7,0))</f>
        <v>435580.41450000001</v>
      </c>
      <c r="L669" s="22">
        <f>H669*(1+Assumptions!$B$8+IF(F669="Yes",Assumptions!$C$8,0))</f>
        <v>418986.8749</v>
      </c>
    </row>
    <row r="670" spans="1:12" ht="15">
      <c r="A670" s="21">
        <v>41012</v>
      </c>
      <c r="B670" s="21">
        <v>41000</v>
      </c>
      <c r="C670" s="17">
        <v>37</v>
      </c>
      <c r="D670" s="17" t="s">
        <v>93</v>
      </c>
      <c r="E670" s="18">
        <v>39910</v>
      </c>
      <c r="F670" s="17" t="s">
        <v>91</v>
      </c>
      <c r="G670" s="14">
        <v>506836.38</v>
      </c>
      <c r="H670" s="14">
        <v>543775.87</v>
      </c>
      <c r="I670" s="14">
        <v>543775.87</v>
      </c>
      <c r="J670" s="22">
        <f>H670*(1+Assumptions!$B$6+IF(F670="Yes",Assumptions!$C$6,0))</f>
        <v>560089.14610000001</v>
      </c>
      <c r="K670" s="22">
        <f>H670*(1+Assumptions!$B$7+IF(F670="Yes",Assumptions!$C$7,0))</f>
        <v>570964.66350000002</v>
      </c>
      <c r="L670" s="22">
        <f>H670*(1+Assumptions!$B$8+IF(F670="Yes",Assumptions!$C$8,0))</f>
        <v>549213.6287</v>
      </c>
    </row>
    <row r="671" spans="1:12" ht="15">
      <c r="A671" s="21">
        <v>41012</v>
      </c>
      <c r="B671" s="21">
        <v>41000</v>
      </c>
      <c r="C671" s="17">
        <v>38</v>
      </c>
      <c r="D671" s="17" t="s">
        <v>93</v>
      </c>
      <c r="E671" s="18">
        <v>39690</v>
      </c>
      <c r="F671" s="17" t="s">
        <v>91</v>
      </c>
      <c r="G671" s="14">
        <v>435787.77</v>
      </c>
      <c r="H671" s="14">
        <v>362692.35</v>
      </c>
      <c r="I671" s="14">
        <v>362692.35</v>
      </c>
      <c r="J671" s="22">
        <f>H671*(1+Assumptions!$B$6+IF(F671="Yes",Assumptions!$C$6,0))</f>
        <v>373573.12049999996</v>
      </c>
      <c r="K671" s="22">
        <f>H671*(1+Assumptions!$B$7+IF(F671="Yes",Assumptions!$C$7,0))</f>
        <v>380826.96749999997</v>
      </c>
      <c r="L671" s="22">
        <f>H671*(1+Assumptions!$B$8+IF(F671="Yes",Assumptions!$C$8,0))</f>
        <v>366319.27349999995</v>
      </c>
    </row>
    <row r="672" spans="1:12" ht="15">
      <c r="A672" s="21">
        <v>41012</v>
      </c>
      <c r="B672" s="21">
        <v>41000</v>
      </c>
      <c r="C672" s="17">
        <v>39</v>
      </c>
      <c r="D672" s="17" t="s">
        <v>90</v>
      </c>
      <c r="E672" s="18">
        <v>184109</v>
      </c>
      <c r="F672" s="17" t="s">
        <v>91</v>
      </c>
      <c r="G672" s="14">
        <v>1580386.14</v>
      </c>
      <c r="H672" s="14">
        <v>1347967.52</v>
      </c>
      <c r="I672" s="14">
        <v>1347967.52</v>
      </c>
      <c r="J672" s="22">
        <f>H672*(1+Assumptions!$B$6+IF(F672="Yes",Assumptions!$C$6,0))</f>
        <v>1388406.5456000001</v>
      </c>
      <c r="K672" s="22">
        <f>H672*(1+Assumptions!$B$7+IF(F672="Yes",Assumptions!$C$7,0))</f>
        <v>1415365.8960000002</v>
      </c>
      <c r="L672" s="22">
        <f>H672*(1+Assumptions!$B$8+IF(F672="Yes",Assumptions!$C$8,0))</f>
        <v>1361447.1952</v>
      </c>
    </row>
    <row r="673" spans="1:12" ht="15">
      <c r="A673" s="21">
        <v>41012</v>
      </c>
      <c r="B673" s="21">
        <v>41000</v>
      </c>
      <c r="C673" s="17">
        <v>40</v>
      </c>
      <c r="D673" s="17" t="s">
        <v>90</v>
      </c>
      <c r="E673" s="18">
        <v>155083</v>
      </c>
      <c r="F673" s="17" t="s">
        <v>91</v>
      </c>
      <c r="G673" s="14">
        <v>857749.59</v>
      </c>
      <c r="H673" s="14">
        <v>874446.32</v>
      </c>
      <c r="I673" s="14">
        <v>874446.32</v>
      </c>
      <c r="J673" s="22">
        <f>H673*(1+Assumptions!$B$6+IF(F673="Yes",Assumptions!$C$6,0))</f>
        <v>900679.70959999994</v>
      </c>
      <c r="K673" s="22">
        <f>H673*(1+Assumptions!$B$7+IF(F673="Yes",Assumptions!$C$7,0))</f>
        <v>918168.63599999994</v>
      </c>
      <c r="L673" s="22">
        <f>H673*(1+Assumptions!$B$8+IF(F673="Yes",Assumptions!$C$8,0))</f>
        <v>883190.78319999995</v>
      </c>
    </row>
    <row r="674" spans="1:12" ht="15">
      <c r="A674" s="21">
        <v>41012</v>
      </c>
      <c r="B674" s="21">
        <v>41000</v>
      </c>
      <c r="C674" s="17">
        <v>41</v>
      </c>
      <c r="D674" s="17" t="s">
        <v>90</v>
      </c>
      <c r="E674" s="18">
        <v>196321</v>
      </c>
      <c r="F674" s="17" t="s">
        <v>91</v>
      </c>
      <c r="G674" s="14">
        <v>1322998.76</v>
      </c>
      <c r="H674" s="14">
        <v>1192982.07</v>
      </c>
      <c r="I674" s="14">
        <v>1192982.07</v>
      </c>
      <c r="J674" s="22">
        <f>H674*(1+Assumptions!$B$6+IF(F674="Yes",Assumptions!$C$6,0))</f>
        <v>1228771.5321000002</v>
      </c>
      <c r="K674" s="22">
        <f>H674*(1+Assumptions!$B$7+IF(F674="Yes",Assumptions!$C$7,0))</f>
        <v>1252631.1735</v>
      </c>
      <c r="L674" s="22">
        <f>H674*(1+Assumptions!$B$8+IF(F674="Yes",Assumptions!$C$8,0))</f>
        <v>1204911.8907000001</v>
      </c>
    </row>
    <row r="675" spans="1:12" ht="15">
      <c r="A675" s="21">
        <v>41012</v>
      </c>
      <c r="B675" s="21">
        <v>41000</v>
      </c>
      <c r="C675" s="17">
        <v>42</v>
      </c>
      <c r="D675" s="17" t="s">
        <v>93</v>
      </c>
      <c r="E675" s="18">
        <v>39690</v>
      </c>
      <c r="F675" s="17" t="s">
        <v>91</v>
      </c>
      <c r="G675" s="14">
        <v>639069.99</v>
      </c>
      <c r="H675" s="14">
        <v>597644.02</v>
      </c>
      <c r="I675" s="14">
        <v>597644.02</v>
      </c>
      <c r="J675" s="22">
        <f>H675*(1+Assumptions!$B$6+IF(F675="Yes",Assumptions!$C$6,0))</f>
        <v>615573.3406</v>
      </c>
      <c r="K675" s="22">
        <f>H675*(1+Assumptions!$B$7+IF(F675="Yes",Assumptions!$C$7,0))</f>
        <v>627526.22100000002</v>
      </c>
      <c r="L675" s="22">
        <f>H675*(1+Assumptions!$B$8+IF(F675="Yes",Assumptions!$C$8,0))</f>
        <v>603620.46019999997</v>
      </c>
    </row>
    <row r="676" spans="1:12" ht="15">
      <c r="A676" s="21">
        <v>41012</v>
      </c>
      <c r="B676" s="21">
        <v>41000</v>
      </c>
      <c r="C676" s="17">
        <v>43</v>
      </c>
      <c r="D676" s="17" t="s">
        <v>93</v>
      </c>
      <c r="E676" s="18">
        <v>41062</v>
      </c>
      <c r="F676" s="17" t="s">
        <v>91</v>
      </c>
      <c r="G676" s="14">
        <v>665558.52</v>
      </c>
      <c r="H676" s="14">
        <v>635523.57000000007</v>
      </c>
      <c r="I676" s="14">
        <v>635523.57000000007</v>
      </c>
      <c r="J676" s="22">
        <f>H676*(1+Assumptions!$B$6+IF(F676="Yes",Assumptions!$C$6,0))</f>
        <v>654589.27710000006</v>
      </c>
      <c r="K676" s="22">
        <f>H676*(1+Assumptions!$B$7+IF(F676="Yes",Assumptions!$C$7,0))</f>
        <v>667299.7485000001</v>
      </c>
      <c r="L676" s="22">
        <f>H676*(1+Assumptions!$B$8+IF(F676="Yes",Assumptions!$C$8,0))</f>
        <v>641878.80570000003</v>
      </c>
    </row>
    <row r="677" spans="1:12" ht="15">
      <c r="A677" s="21">
        <v>41012</v>
      </c>
      <c r="B677" s="21">
        <v>41000</v>
      </c>
      <c r="C677" s="17">
        <v>44</v>
      </c>
      <c r="D677" s="17" t="s">
        <v>93</v>
      </c>
      <c r="E677" s="18">
        <v>39910</v>
      </c>
      <c r="F677" s="17" t="s">
        <v>91</v>
      </c>
      <c r="G677" s="14">
        <v>311210.84999999998</v>
      </c>
      <c r="H677" s="14">
        <v>289452.77999999997</v>
      </c>
      <c r="I677" s="14">
        <v>289452.77999999997</v>
      </c>
      <c r="J677" s="22">
        <f>H677*(1+Assumptions!$B$6+IF(F677="Yes",Assumptions!$C$6,0))</f>
        <v>298136.36339999997</v>
      </c>
      <c r="K677" s="22">
        <f>H677*(1+Assumptions!$B$7+IF(F677="Yes",Assumptions!$C$7,0))</f>
        <v>303925.41899999999</v>
      </c>
      <c r="L677" s="22">
        <f>H677*(1+Assumptions!$B$8+IF(F677="Yes",Assumptions!$C$8,0))</f>
        <v>292347.30779999995</v>
      </c>
    </row>
    <row r="678" spans="1:12" ht="15">
      <c r="A678" s="21">
        <v>41012</v>
      </c>
      <c r="B678" s="21">
        <v>41000</v>
      </c>
      <c r="C678" s="17">
        <v>45</v>
      </c>
      <c r="D678" s="17" t="s">
        <v>92</v>
      </c>
      <c r="E678" s="18">
        <v>118221</v>
      </c>
      <c r="F678" s="17" t="s">
        <v>91</v>
      </c>
      <c r="G678" s="14">
        <v>781936.14</v>
      </c>
      <c r="H678" s="14">
        <v>765238.22</v>
      </c>
      <c r="I678" s="14">
        <v>765238.22</v>
      </c>
      <c r="J678" s="22">
        <f>H678*(1+Assumptions!$B$6+IF(F678="Yes",Assumptions!$C$6,0))</f>
        <v>788195.36659999995</v>
      </c>
      <c r="K678" s="22">
        <f>H678*(1+Assumptions!$B$7+IF(F678="Yes",Assumptions!$C$7,0))</f>
        <v>803500.13100000005</v>
      </c>
      <c r="L678" s="22">
        <f>H678*(1+Assumptions!$B$8+IF(F678="Yes",Assumptions!$C$8,0))</f>
        <v>772890.60219999996</v>
      </c>
    </row>
    <row r="679" spans="1:12" ht="15">
      <c r="A679" s="21">
        <v>41019</v>
      </c>
      <c r="B679" s="21">
        <v>41000</v>
      </c>
      <c r="C679" s="17">
        <v>1</v>
      </c>
      <c r="D679" s="17" t="s">
        <v>90</v>
      </c>
      <c r="E679" s="18">
        <v>151315</v>
      </c>
      <c r="F679" s="17" t="s">
        <v>91</v>
      </c>
      <c r="G679" s="14">
        <v>1521577.8699999999</v>
      </c>
      <c r="H679" s="14">
        <v>1564808.34</v>
      </c>
      <c r="I679" s="14">
        <v>1564808.34</v>
      </c>
      <c r="J679" s="22">
        <f>H679*(1+Assumptions!$B$6+IF(F679="Yes",Assumptions!$C$6,0))</f>
        <v>1611752.5902000002</v>
      </c>
      <c r="K679" s="22">
        <f>H679*(1+Assumptions!$B$7+IF(F679="Yes",Assumptions!$C$7,0))</f>
        <v>1643048.7570000002</v>
      </c>
      <c r="L679" s="22">
        <f>H679*(1+Assumptions!$B$8+IF(F679="Yes",Assumptions!$C$8,0))</f>
        <v>1580456.4234000002</v>
      </c>
    </row>
    <row r="680" spans="1:12" ht="15">
      <c r="A680" s="21">
        <v>41019</v>
      </c>
      <c r="B680" s="21">
        <v>41000</v>
      </c>
      <c r="C680" s="17">
        <v>2</v>
      </c>
      <c r="D680" s="17" t="s">
        <v>90</v>
      </c>
      <c r="E680" s="18">
        <v>202307</v>
      </c>
      <c r="F680" s="17" t="s">
        <v>91</v>
      </c>
      <c r="G680" s="14">
        <v>1847376.45</v>
      </c>
      <c r="H680" s="14">
        <v>1886339.6</v>
      </c>
      <c r="I680" s="14">
        <v>1886339.6</v>
      </c>
      <c r="J680" s="22">
        <f>H680*(1+Assumptions!$B$6+IF(F680="Yes",Assumptions!$C$6,0))</f>
        <v>1942929.7880000002</v>
      </c>
      <c r="K680" s="22">
        <f>H680*(1+Assumptions!$B$7+IF(F680="Yes",Assumptions!$C$7,0))</f>
        <v>1980656.58</v>
      </c>
      <c r="L680" s="22">
        <f>H680*(1+Assumptions!$B$8+IF(F680="Yes",Assumptions!$C$8,0))</f>
        <v>1905202.996</v>
      </c>
    </row>
    <row r="681" spans="1:12" ht="15">
      <c r="A681" s="21">
        <v>41019</v>
      </c>
      <c r="B681" s="21">
        <v>41000</v>
      </c>
      <c r="C681" s="17">
        <v>3</v>
      </c>
      <c r="D681" s="17" t="s">
        <v>92</v>
      </c>
      <c r="E681" s="18">
        <v>37392</v>
      </c>
      <c r="F681" s="17" t="s">
        <v>91</v>
      </c>
      <c r="G681" s="14">
        <v>434726.34</v>
      </c>
      <c r="H681" s="14">
        <v>391805.44</v>
      </c>
      <c r="I681" s="14">
        <v>391805.44</v>
      </c>
      <c r="J681" s="22">
        <f>H681*(1+Assumptions!$B$6+IF(F681="Yes",Assumptions!$C$6,0))</f>
        <v>403559.60320000001</v>
      </c>
      <c r="K681" s="22">
        <f>H681*(1+Assumptions!$B$7+IF(F681="Yes",Assumptions!$C$7,0))</f>
        <v>411395.712</v>
      </c>
      <c r="L681" s="22">
        <f>H681*(1+Assumptions!$B$8+IF(F681="Yes",Assumptions!$C$8,0))</f>
        <v>395723.49440000003</v>
      </c>
    </row>
    <row r="682" spans="1:12" ht="15">
      <c r="A682" s="21">
        <v>41019</v>
      </c>
      <c r="B682" s="21">
        <v>41000</v>
      </c>
      <c r="C682" s="17">
        <v>4</v>
      </c>
      <c r="D682" s="17" t="s">
        <v>90</v>
      </c>
      <c r="E682" s="18">
        <v>205863</v>
      </c>
      <c r="F682" s="17" t="s">
        <v>91</v>
      </c>
      <c r="G682" s="14">
        <v>2144634.89</v>
      </c>
      <c r="H682" s="14">
        <v>2220590.29</v>
      </c>
      <c r="I682" s="14">
        <v>2220590.29</v>
      </c>
      <c r="J682" s="22">
        <f>H682*(1+Assumptions!$B$6+IF(F682="Yes",Assumptions!$C$6,0))</f>
        <v>2287207.9986999999</v>
      </c>
      <c r="K682" s="22">
        <f>H682*(1+Assumptions!$B$7+IF(F682="Yes",Assumptions!$C$7,0))</f>
        <v>2331619.8045000001</v>
      </c>
      <c r="L682" s="22">
        <f>H682*(1+Assumptions!$B$8+IF(F682="Yes",Assumptions!$C$8,0))</f>
        <v>2242796.1929000001</v>
      </c>
    </row>
    <row r="683" spans="1:12" ht="15">
      <c r="A683" s="21">
        <v>41019</v>
      </c>
      <c r="B683" s="21">
        <v>41000</v>
      </c>
      <c r="C683" s="17">
        <v>5</v>
      </c>
      <c r="D683" s="17" t="s">
        <v>92</v>
      </c>
      <c r="E683" s="18">
        <v>34875</v>
      </c>
      <c r="F683" s="17" t="s">
        <v>91</v>
      </c>
      <c r="G683" s="14">
        <v>330046.55</v>
      </c>
      <c r="H683" s="14">
        <v>328296.92</v>
      </c>
      <c r="I683" s="14">
        <v>328296.92</v>
      </c>
      <c r="J683" s="22">
        <f>H683*(1+Assumptions!$B$6+IF(F683="Yes",Assumptions!$C$6,0))</f>
        <v>338145.82760000002</v>
      </c>
      <c r="K683" s="22">
        <f>H683*(1+Assumptions!$B$7+IF(F683="Yes",Assumptions!$C$7,0))</f>
        <v>344711.766</v>
      </c>
      <c r="L683" s="22">
        <f>H683*(1+Assumptions!$B$8+IF(F683="Yes",Assumptions!$C$8,0))</f>
        <v>331579.88919999998</v>
      </c>
    </row>
    <row r="684" spans="1:12" ht="15">
      <c r="A684" s="21">
        <v>41019</v>
      </c>
      <c r="B684" s="21">
        <v>41000</v>
      </c>
      <c r="C684" s="17">
        <v>6</v>
      </c>
      <c r="D684" s="17" t="s">
        <v>90</v>
      </c>
      <c r="E684" s="18">
        <v>202505</v>
      </c>
      <c r="F684" s="17" t="s">
        <v>91</v>
      </c>
      <c r="G684" s="14">
        <v>1456066.24</v>
      </c>
      <c r="H684" s="14">
        <v>1639347.46</v>
      </c>
      <c r="I684" s="14">
        <v>1639347.46</v>
      </c>
      <c r="J684" s="22">
        <f>H684*(1+Assumptions!$B$6+IF(F684="Yes",Assumptions!$C$6,0))</f>
        <v>1688527.8838</v>
      </c>
      <c r="K684" s="22">
        <f>H684*(1+Assumptions!$B$7+IF(F684="Yes",Assumptions!$C$7,0))</f>
        <v>1721314.8330000001</v>
      </c>
      <c r="L684" s="22">
        <f>H684*(1+Assumptions!$B$8+IF(F684="Yes",Assumptions!$C$8,0))</f>
        <v>1655740.9346</v>
      </c>
    </row>
    <row r="685" spans="1:12" ht="15">
      <c r="A685" s="21">
        <v>41019</v>
      </c>
      <c r="B685" s="21">
        <v>41000</v>
      </c>
      <c r="C685" s="17">
        <v>7</v>
      </c>
      <c r="D685" s="17" t="s">
        <v>92</v>
      </c>
      <c r="E685" s="18">
        <v>70713</v>
      </c>
      <c r="F685" s="17" t="s">
        <v>91</v>
      </c>
      <c r="G685" s="14">
        <v>456463.06</v>
      </c>
      <c r="H685" s="14">
        <v>466594.89</v>
      </c>
      <c r="I685" s="14">
        <v>466594.89</v>
      </c>
      <c r="J685" s="22">
        <f>H685*(1+Assumptions!$B$6+IF(F685="Yes",Assumptions!$C$6,0))</f>
        <v>480592.73670000001</v>
      </c>
      <c r="K685" s="22">
        <f>H685*(1+Assumptions!$B$7+IF(F685="Yes",Assumptions!$C$7,0))</f>
        <v>489924.63450000004</v>
      </c>
      <c r="L685" s="22">
        <f>H685*(1+Assumptions!$B$8+IF(F685="Yes",Assumptions!$C$8,0))</f>
        <v>471260.83890000003</v>
      </c>
    </row>
    <row r="686" spans="1:12" ht="15">
      <c r="A686" s="21">
        <v>41019</v>
      </c>
      <c r="B686" s="21">
        <v>41000</v>
      </c>
      <c r="C686" s="17">
        <v>8</v>
      </c>
      <c r="D686" s="17" t="s">
        <v>90</v>
      </c>
      <c r="E686" s="18">
        <v>155078</v>
      </c>
      <c r="F686" s="17" t="s">
        <v>91</v>
      </c>
      <c r="G686" s="14">
        <v>872288.46</v>
      </c>
      <c r="H686" s="14">
        <v>937378.74</v>
      </c>
      <c r="I686" s="14">
        <v>937378.74</v>
      </c>
      <c r="J686" s="22">
        <f>H686*(1+Assumptions!$B$6+IF(F686="Yes",Assumptions!$C$6,0))</f>
        <v>965500.10219999996</v>
      </c>
      <c r="K686" s="22">
        <f>H686*(1+Assumptions!$B$7+IF(F686="Yes",Assumptions!$C$7,0))</f>
        <v>984247.67700000003</v>
      </c>
      <c r="L686" s="22">
        <f>H686*(1+Assumptions!$B$8+IF(F686="Yes",Assumptions!$C$8,0))</f>
        <v>946752.52740000002</v>
      </c>
    </row>
    <row r="687" spans="1:12" ht="15">
      <c r="A687" s="21">
        <v>41019</v>
      </c>
      <c r="B687" s="21">
        <v>41000</v>
      </c>
      <c r="C687" s="17">
        <v>9</v>
      </c>
      <c r="D687" s="17" t="s">
        <v>92</v>
      </c>
      <c r="E687" s="18">
        <v>125833</v>
      </c>
      <c r="F687" s="17" t="s">
        <v>91</v>
      </c>
      <c r="G687" s="14">
        <v>541874.86</v>
      </c>
      <c r="H687" s="14">
        <v>549502.11</v>
      </c>
      <c r="I687" s="14">
        <v>549502.11</v>
      </c>
      <c r="J687" s="22">
        <f>H687*(1+Assumptions!$B$6+IF(F687="Yes",Assumptions!$C$6,0))</f>
        <v>565987.17330000002</v>
      </c>
      <c r="K687" s="22">
        <f>H687*(1+Assumptions!$B$7+IF(F687="Yes",Assumptions!$C$7,0))</f>
        <v>576977.21550000005</v>
      </c>
      <c r="L687" s="22">
        <f>H687*(1+Assumptions!$B$8+IF(F687="Yes",Assumptions!$C$8,0))</f>
        <v>554997.1311</v>
      </c>
    </row>
    <row r="688" spans="1:12" ht="15">
      <c r="A688" s="21">
        <v>41019</v>
      </c>
      <c r="B688" s="21">
        <v>41000</v>
      </c>
      <c r="C688" s="17">
        <v>10</v>
      </c>
      <c r="D688" s="17" t="s">
        <v>92</v>
      </c>
      <c r="E688" s="18">
        <v>126512</v>
      </c>
      <c r="F688" s="17" t="s">
        <v>91</v>
      </c>
      <c r="G688" s="14">
        <v>1777162.65</v>
      </c>
      <c r="H688" s="14">
        <v>2004763.12</v>
      </c>
      <c r="I688" s="14">
        <v>2004763.12</v>
      </c>
      <c r="J688" s="22">
        <f>H688*(1+Assumptions!$B$6+IF(F688="Yes",Assumptions!$C$6,0))</f>
        <v>2064906.0136000002</v>
      </c>
      <c r="K688" s="22">
        <f>H688*(1+Assumptions!$B$7+IF(F688="Yes",Assumptions!$C$7,0))</f>
        <v>2105001.2760000001</v>
      </c>
      <c r="L688" s="22">
        <f>H688*(1+Assumptions!$B$8+IF(F688="Yes",Assumptions!$C$8,0))</f>
        <v>2024810.7512000001</v>
      </c>
    </row>
    <row r="689" spans="1:12" ht="15">
      <c r="A689" s="21">
        <v>41019</v>
      </c>
      <c r="B689" s="21">
        <v>41000</v>
      </c>
      <c r="C689" s="17">
        <v>11</v>
      </c>
      <c r="D689" s="17" t="s">
        <v>90</v>
      </c>
      <c r="E689" s="18">
        <v>207499</v>
      </c>
      <c r="F689" s="17" t="s">
        <v>91</v>
      </c>
      <c r="G689" s="14">
        <v>1313402.22</v>
      </c>
      <c r="H689" s="14">
        <v>1388158.53</v>
      </c>
      <c r="I689" s="14">
        <v>1388158.53</v>
      </c>
      <c r="J689" s="22">
        <f>H689*(1+Assumptions!$B$6+IF(F689="Yes",Assumptions!$C$6,0))</f>
        <v>1429803.2859</v>
      </c>
      <c r="K689" s="22">
        <f>H689*(1+Assumptions!$B$7+IF(F689="Yes",Assumptions!$C$7,0))</f>
        <v>1457566.4565000001</v>
      </c>
      <c r="L689" s="22">
        <f>H689*(1+Assumptions!$B$8+IF(F689="Yes",Assumptions!$C$8,0))</f>
        <v>1402040.1152999999</v>
      </c>
    </row>
    <row r="690" spans="1:12" ht="15">
      <c r="A690" s="21">
        <v>41019</v>
      </c>
      <c r="B690" s="21">
        <v>41000</v>
      </c>
      <c r="C690" s="17">
        <v>12</v>
      </c>
      <c r="D690" s="17" t="s">
        <v>92</v>
      </c>
      <c r="E690" s="18">
        <v>112238</v>
      </c>
      <c r="F690" s="17" t="s">
        <v>91</v>
      </c>
      <c r="G690" s="14">
        <v>1006464.05</v>
      </c>
      <c r="H690" s="14">
        <v>1016019.47</v>
      </c>
      <c r="I690" s="14">
        <v>1016019.47</v>
      </c>
      <c r="J690" s="22">
        <f>H690*(1+Assumptions!$B$6+IF(F690="Yes",Assumptions!$C$6,0))</f>
        <v>1046500.0541</v>
      </c>
      <c r="K690" s="22">
        <f>H690*(1+Assumptions!$B$7+IF(F690="Yes",Assumptions!$C$7,0))</f>
        <v>1066820.4435000001</v>
      </c>
      <c r="L690" s="22">
        <f>H690*(1+Assumptions!$B$8+IF(F690="Yes",Assumptions!$C$8,0))</f>
        <v>1026179.6647</v>
      </c>
    </row>
    <row r="691" spans="1:12" ht="15">
      <c r="A691" s="21">
        <v>41019</v>
      </c>
      <c r="B691" s="21">
        <v>41000</v>
      </c>
      <c r="C691" s="17">
        <v>13</v>
      </c>
      <c r="D691" s="17" t="s">
        <v>90</v>
      </c>
      <c r="E691" s="18">
        <v>219622</v>
      </c>
      <c r="F691" s="17" t="s">
        <v>91</v>
      </c>
      <c r="G691" s="14">
        <v>1955687.24</v>
      </c>
      <c r="H691" s="14">
        <v>2124316.34</v>
      </c>
      <c r="I691" s="14">
        <v>2124316.34</v>
      </c>
      <c r="J691" s="22">
        <f>H691*(1+Assumptions!$B$6+IF(F691="Yes",Assumptions!$C$6,0))</f>
        <v>2188045.8301999997</v>
      </c>
      <c r="K691" s="22">
        <f>H691*(1+Assumptions!$B$7+IF(F691="Yes",Assumptions!$C$7,0))</f>
        <v>2230532.1570000001</v>
      </c>
      <c r="L691" s="22">
        <f>H691*(1+Assumptions!$B$8+IF(F691="Yes",Assumptions!$C$8,0))</f>
        <v>2145559.5033999998</v>
      </c>
    </row>
    <row r="692" spans="1:12" ht="15">
      <c r="A692" s="21">
        <v>41019</v>
      </c>
      <c r="B692" s="21">
        <v>41000</v>
      </c>
      <c r="C692" s="17">
        <v>14</v>
      </c>
      <c r="D692" s="17" t="s">
        <v>90</v>
      </c>
      <c r="E692" s="18">
        <v>200898</v>
      </c>
      <c r="F692" s="17" t="s">
        <v>91</v>
      </c>
      <c r="G692" s="14">
        <v>1875682.94</v>
      </c>
      <c r="H692" s="14">
        <v>2256461.39</v>
      </c>
      <c r="I692" s="14">
        <v>2256461.39</v>
      </c>
      <c r="J692" s="22">
        <f>H692*(1+Assumptions!$B$6+IF(F692="Yes",Assumptions!$C$6,0))</f>
        <v>2324155.2317000004</v>
      </c>
      <c r="K692" s="22">
        <f>H692*(1+Assumptions!$B$7+IF(F692="Yes",Assumptions!$C$7,0))</f>
        <v>2369284.4595000003</v>
      </c>
      <c r="L692" s="22">
        <f>H692*(1+Assumptions!$B$8+IF(F692="Yes",Assumptions!$C$8,0))</f>
        <v>2279026.0039000004</v>
      </c>
    </row>
    <row r="693" spans="1:12" ht="15">
      <c r="A693" s="21">
        <v>41019</v>
      </c>
      <c r="B693" s="21">
        <v>41000</v>
      </c>
      <c r="C693" s="17">
        <v>15</v>
      </c>
      <c r="D693" s="17" t="s">
        <v>92</v>
      </c>
      <c r="E693" s="18">
        <v>123737</v>
      </c>
      <c r="F693" s="17" t="s">
        <v>91</v>
      </c>
      <c r="G693" s="14">
        <v>534777.56999999995</v>
      </c>
      <c r="H693" s="14">
        <v>654453.26</v>
      </c>
      <c r="I693" s="14">
        <v>654453.26</v>
      </c>
      <c r="J693" s="22">
        <f>H693*(1+Assumptions!$B$6+IF(F693="Yes",Assumptions!$C$6,0))</f>
        <v>674086.8578</v>
      </c>
      <c r="K693" s="22">
        <f>H693*(1+Assumptions!$B$7+IF(F693="Yes",Assumptions!$C$7,0))</f>
        <v>687175.92300000007</v>
      </c>
      <c r="L693" s="22">
        <f>H693*(1+Assumptions!$B$8+IF(F693="Yes",Assumptions!$C$8,0))</f>
        <v>660997.79260000004</v>
      </c>
    </row>
    <row r="694" spans="1:12" ht="15">
      <c r="A694" s="21">
        <v>41019</v>
      </c>
      <c r="B694" s="21">
        <v>41000</v>
      </c>
      <c r="C694" s="17">
        <v>16</v>
      </c>
      <c r="D694" s="17" t="s">
        <v>92</v>
      </c>
      <c r="E694" s="18">
        <v>57197</v>
      </c>
      <c r="F694" s="17" t="s">
        <v>91</v>
      </c>
      <c r="G694" s="14">
        <v>433442.48</v>
      </c>
      <c r="H694" s="14">
        <v>368501.99</v>
      </c>
      <c r="I694" s="14">
        <v>368501.99</v>
      </c>
      <c r="J694" s="22">
        <f>H694*(1+Assumptions!$B$6+IF(F694="Yes",Assumptions!$C$6,0))</f>
        <v>379557.04969999997</v>
      </c>
      <c r="K694" s="22">
        <f>H694*(1+Assumptions!$B$7+IF(F694="Yes",Assumptions!$C$7,0))</f>
        <v>386927.0895</v>
      </c>
      <c r="L694" s="22">
        <f>H694*(1+Assumptions!$B$8+IF(F694="Yes",Assumptions!$C$8,0))</f>
        <v>372187.0099</v>
      </c>
    </row>
    <row r="695" spans="1:12" ht="15">
      <c r="A695" s="21">
        <v>41019</v>
      </c>
      <c r="B695" s="21">
        <v>41000</v>
      </c>
      <c r="C695" s="17">
        <v>17</v>
      </c>
      <c r="D695" s="17" t="s">
        <v>92</v>
      </c>
      <c r="E695" s="18">
        <v>93188</v>
      </c>
      <c r="F695" s="17" t="s">
        <v>91</v>
      </c>
      <c r="G695" s="14">
        <v>1119055.3900000001</v>
      </c>
      <c r="H695" s="14">
        <v>1060759.17</v>
      </c>
      <c r="I695" s="14">
        <v>1060759.17</v>
      </c>
      <c r="J695" s="22">
        <f>H695*(1+Assumptions!$B$6+IF(F695="Yes",Assumptions!$C$6,0))</f>
        <v>1092581.9450999999</v>
      </c>
      <c r="K695" s="22">
        <f>H695*(1+Assumptions!$B$7+IF(F695="Yes",Assumptions!$C$7,0))</f>
        <v>1113797.1284999999</v>
      </c>
      <c r="L695" s="22">
        <f>H695*(1+Assumptions!$B$8+IF(F695="Yes",Assumptions!$C$8,0))</f>
        <v>1071366.7616999999</v>
      </c>
    </row>
    <row r="696" spans="1:12" ht="15">
      <c r="A696" s="21">
        <v>41019</v>
      </c>
      <c r="B696" s="21">
        <v>41000</v>
      </c>
      <c r="C696" s="17">
        <v>18</v>
      </c>
      <c r="D696" s="17" t="s">
        <v>92</v>
      </c>
      <c r="E696" s="18">
        <v>120653</v>
      </c>
      <c r="F696" s="17" t="s">
        <v>91</v>
      </c>
      <c r="G696" s="14">
        <v>1025585.8</v>
      </c>
      <c r="H696" s="14">
        <v>1105860.06</v>
      </c>
      <c r="I696" s="14">
        <v>1105860.06</v>
      </c>
      <c r="J696" s="22">
        <f>H696*(1+Assumptions!$B$6+IF(F696="Yes",Assumptions!$C$6,0))</f>
        <v>1139035.8618000001</v>
      </c>
      <c r="K696" s="22">
        <f>H696*(1+Assumptions!$B$7+IF(F696="Yes",Assumptions!$C$7,0))</f>
        <v>1161153.0630000001</v>
      </c>
      <c r="L696" s="22">
        <f>H696*(1+Assumptions!$B$8+IF(F696="Yes",Assumptions!$C$8,0))</f>
        <v>1116918.6606000001</v>
      </c>
    </row>
    <row r="697" spans="1:12" ht="15">
      <c r="A697" s="21">
        <v>41019</v>
      </c>
      <c r="B697" s="21">
        <v>41000</v>
      </c>
      <c r="C697" s="17">
        <v>19</v>
      </c>
      <c r="D697" s="17" t="s">
        <v>90</v>
      </c>
      <c r="E697" s="18">
        <v>203819</v>
      </c>
      <c r="F697" s="17" t="s">
        <v>91</v>
      </c>
      <c r="G697" s="14">
        <v>1254968.26</v>
      </c>
      <c r="H697" s="14">
        <v>1514283.82</v>
      </c>
      <c r="I697" s="14">
        <v>1514283.82</v>
      </c>
      <c r="J697" s="22">
        <f>H697*(1+Assumptions!$B$6+IF(F697="Yes",Assumptions!$C$6,0))</f>
        <v>1559712.3346000002</v>
      </c>
      <c r="K697" s="22">
        <f>H697*(1+Assumptions!$B$7+IF(F697="Yes",Assumptions!$C$7,0))</f>
        <v>1589998.0110000002</v>
      </c>
      <c r="L697" s="22">
        <f>H697*(1+Assumptions!$B$8+IF(F697="Yes",Assumptions!$C$8,0))</f>
        <v>1529426.6582000002</v>
      </c>
    </row>
    <row r="698" spans="1:12" ht="15">
      <c r="A698" s="21">
        <v>41019</v>
      </c>
      <c r="B698" s="21">
        <v>41000</v>
      </c>
      <c r="C698" s="17">
        <v>20</v>
      </c>
      <c r="D698" s="17" t="s">
        <v>90</v>
      </c>
      <c r="E698" s="18">
        <v>203742</v>
      </c>
      <c r="F698" s="17" t="s">
        <v>91</v>
      </c>
      <c r="G698" s="14">
        <v>1884427.84</v>
      </c>
      <c r="H698" s="14">
        <v>2313847.81</v>
      </c>
      <c r="I698" s="14">
        <v>2313847.81</v>
      </c>
      <c r="J698" s="22">
        <f>H698*(1+Assumptions!$B$6+IF(F698="Yes",Assumptions!$C$6,0))</f>
        <v>2383263.2442999999</v>
      </c>
      <c r="K698" s="22">
        <f>H698*(1+Assumptions!$B$7+IF(F698="Yes",Assumptions!$C$7,0))</f>
        <v>2429540.2005000003</v>
      </c>
      <c r="L698" s="22">
        <f>H698*(1+Assumptions!$B$8+IF(F698="Yes",Assumptions!$C$8,0))</f>
        <v>2336986.2881</v>
      </c>
    </row>
    <row r="699" spans="1:12" ht="15">
      <c r="A699" s="21">
        <v>41019</v>
      </c>
      <c r="B699" s="21">
        <v>41000</v>
      </c>
      <c r="C699" s="17">
        <v>21</v>
      </c>
      <c r="D699" s="17" t="s">
        <v>92</v>
      </c>
      <c r="E699" s="18">
        <v>140167</v>
      </c>
      <c r="F699" s="17" t="s">
        <v>91</v>
      </c>
      <c r="G699" s="14">
        <v>732264.47</v>
      </c>
      <c r="H699" s="14">
        <v>801302.01</v>
      </c>
      <c r="I699" s="14">
        <v>801302.01</v>
      </c>
      <c r="J699" s="22">
        <f>H699*(1+Assumptions!$B$6+IF(F699="Yes",Assumptions!$C$6,0))</f>
        <v>825341.07030000002</v>
      </c>
      <c r="K699" s="22">
        <f>H699*(1+Assumptions!$B$7+IF(F699="Yes",Assumptions!$C$7,0))</f>
        <v>841367.11050000007</v>
      </c>
      <c r="L699" s="22">
        <f>H699*(1+Assumptions!$B$8+IF(F699="Yes",Assumptions!$C$8,0))</f>
        <v>809315.03009999997</v>
      </c>
    </row>
    <row r="700" spans="1:12" ht="15">
      <c r="A700" s="21">
        <v>41019</v>
      </c>
      <c r="B700" s="21">
        <v>41000</v>
      </c>
      <c r="C700" s="17">
        <v>22</v>
      </c>
      <c r="D700" s="17" t="s">
        <v>92</v>
      </c>
      <c r="E700" s="18">
        <v>119557</v>
      </c>
      <c r="F700" s="17" t="s">
        <v>91</v>
      </c>
      <c r="G700" s="14">
        <v>998993.42</v>
      </c>
      <c r="H700" s="14">
        <v>1152750.49</v>
      </c>
      <c r="I700" s="14">
        <v>1152750.49</v>
      </c>
      <c r="J700" s="22">
        <f>H700*(1+Assumptions!$B$6+IF(F700="Yes",Assumptions!$C$6,0))</f>
        <v>1187333.0046999999</v>
      </c>
      <c r="K700" s="22">
        <f>H700*(1+Assumptions!$B$7+IF(F700="Yes",Assumptions!$C$7,0))</f>
        <v>1210388.0145</v>
      </c>
      <c r="L700" s="22">
        <f>H700*(1+Assumptions!$B$8+IF(F700="Yes",Assumptions!$C$8,0))</f>
        <v>1164277.9949</v>
      </c>
    </row>
    <row r="701" spans="1:12" ht="15">
      <c r="A701" s="21">
        <v>41019</v>
      </c>
      <c r="B701" s="21">
        <v>41000</v>
      </c>
      <c r="C701" s="17">
        <v>23</v>
      </c>
      <c r="D701" s="17" t="s">
        <v>92</v>
      </c>
      <c r="E701" s="18">
        <v>114533</v>
      </c>
      <c r="F701" s="17" t="s">
        <v>91</v>
      </c>
      <c r="G701" s="14">
        <v>1287899.4099999999</v>
      </c>
      <c r="H701" s="14">
        <v>1447271.28</v>
      </c>
      <c r="I701" s="14">
        <v>1447271.28</v>
      </c>
      <c r="J701" s="22">
        <f>H701*(1+Assumptions!$B$6+IF(F701="Yes",Assumptions!$C$6,0))</f>
        <v>1490689.4184000001</v>
      </c>
      <c r="K701" s="22">
        <f>H701*(1+Assumptions!$B$7+IF(F701="Yes",Assumptions!$C$7,0))</f>
        <v>1519634.844</v>
      </c>
      <c r="L701" s="22">
        <f>H701*(1+Assumptions!$B$8+IF(F701="Yes",Assumptions!$C$8,0))</f>
        <v>1461743.9928000001</v>
      </c>
    </row>
    <row r="702" spans="1:12" ht="15">
      <c r="A702" s="21">
        <v>41019</v>
      </c>
      <c r="B702" s="21">
        <v>41000</v>
      </c>
      <c r="C702" s="17">
        <v>24</v>
      </c>
      <c r="D702" s="17" t="s">
        <v>90</v>
      </c>
      <c r="E702" s="18">
        <v>203819</v>
      </c>
      <c r="F702" s="17" t="s">
        <v>91</v>
      </c>
      <c r="G702" s="14">
        <v>1208654.3999999999</v>
      </c>
      <c r="H702" s="14">
        <v>1372483.4000000001</v>
      </c>
      <c r="I702" s="14">
        <v>1372483.4000000001</v>
      </c>
      <c r="J702" s="22">
        <f>H702*(1+Assumptions!$B$6+IF(F702="Yes",Assumptions!$C$6,0))</f>
        <v>1413657.9020000002</v>
      </c>
      <c r="K702" s="22">
        <f>H702*(1+Assumptions!$B$7+IF(F702="Yes",Assumptions!$C$7,0))</f>
        <v>1441107.5700000003</v>
      </c>
      <c r="L702" s="22">
        <f>H702*(1+Assumptions!$B$8+IF(F702="Yes",Assumptions!$C$8,0))</f>
        <v>1386208.2340000002</v>
      </c>
    </row>
    <row r="703" spans="1:12" ht="15">
      <c r="A703" s="21">
        <v>41019</v>
      </c>
      <c r="B703" s="21">
        <v>41000</v>
      </c>
      <c r="C703" s="17">
        <v>25</v>
      </c>
      <c r="D703" s="17" t="s">
        <v>92</v>
      </c>
      <c r="E703" s="18">
        <v>128107</v>
      </c>
      <c r="F703" s="17" t="s">
        <v>91</v>
      </c>
      <c r="G703" s="14">
        <v>661386.48</v>
      </c>
      <c r="H703" s="14">
        <v>756583.92</v>
      </c>
      <c r="I703" s="14">
        <v>756583.92</v>
      </c>
      <c r="J703" s="22">
        <f>H703*(1+Assumptions!$B$6+IF(F703="Yes",Assumptions!$C$6,0))</f>
        <v>779281.43760000006</v>
      </c>
      <c r="K703" s="22">
        <f>H703*(1+Assumptions!$B$7+IF(F703="Yes",Assumptions!$C$7,0))</f>
        <v>794413.11600000004</v>
      </c>
      <c r="L703" s="22">
        <f>H703*(1+Assumptions!$B$8+IF(F703="Yes",Assumptions!$C$8,0))</f>
        <v>764149.75920000009</v>
      </c>
    </row>
    <row r="704" spans="1:12" ht="15">
      <c r="A704" s="21">
        <v>41019</v>
      </c>
      <c r="B704" s="21">
        <v>41000</v>
      </c>
      <c r="C704" s="17">
        <v>26</v>
      </c>
      <c r="D704" s="17" t="s">
        <v>90</v>
      </c>
      <c r="E704" s="18">
        <v>152513</v>
      </c>
      <c r="F704" s="17" t="s">
        <v>91</v>
      </c>
      <c r="G704" s="14">
        <v>923483.02</v>
      </c>
      <c r="H704" s="14">
        <v>921700.61</v>
      </c>
      <c r="I704" s="14">
        <v>921700.61</v>
      </c>
      <c r="J704" s="22">
        <f>H704*(1+Assumptions!$B$6+IF(F704="Yes",Assumptions!$C$6,0))</f>
        <v>949351.62829999998</v>
      </c>
      <c r="K704" s="22">
        <f>H704*(1+Assumptions!$B$7+IF(F704="Yes",Assumptions!$C$7,0))</f>
        <v>967785.64049999998</v>
      </c>
      <c r="L704" s="22">
        <f>H704*(1+Assumptions!$B$8+IF(F704="Yes",Assumptions!$C$8,0))</f>
        <v>930917.61609999998</v>
      </c>
    </row>
    <row r="705" spans="1:12" ht="15">
      <c r="A705" s="21">
        <v>41019</v>
      </c>
      <c r="B705" s="21">
        <v>41000</v>
      </c>
      <c r="C705" s="17">
        <v>27</v>
      </c>
      <c r="D705" s="17" t="s">
        <v>90</v>
      </c>
      <c r="E705" s="18">
        <v>204184</v>
      </c>
      <c r="F705" s="17" t="s">
        <v>91</v>
      </c>
      <c r="G705" s="14">
        <v>1639824.47</v>
      </c>
      <c r="H705" s="14">
        <v>1921655.48</v>
      </c>
      <c r="I705" s="14">
        <v>1921655.48</v>
      </c>
      <c r="J705" s="22">
        <f>H705*(1+Assumptions!$B$6+IF(F705="Yes",Assumptions!$C$6,0))</f>
        <v>1979305.1444000001</v>
      </c>
      <c r="K705" s="22">
        <f>H705*(1+Assumptions!$B$7+IF(F705="Yes",Assumptions!$C$7,0))</f>
        <v>2017738.254</v>
      </c>
      <c r="L705" s="22">
        <f>H705*(1+Assumptions!$B$8+IF(F705="Yes",Assumptions!$C$8,0))</f>
        <v>1940872.0348</v>
      </c>
    </row>
    <row r="706" spans="1:12" ht="15">
      <c r="A706" s="21">
        <v>41019</v>
      </c>
      <c r="B706" s="21">
        <v>41000</v>
      </c>
      <c r="C706" s="17">
        <v>28</v>
      </c>
      <c r="D706" s="17" t="s">
        <v>90</v>
      </c>
      <c r="E706" s="18">
        <v>206302</v>
      </c>
      <c r="F706" s="17" t="s">
        <v>91</v>
      </c>
      <c r="G706" s="14">
        <v>1180797.2</v>
      </c>
      <c r="H706" s="14">
        <v>1297254</v>
      </c>
      <c r="I706" s="14">
        <v>1297254</v>
      </c>
      <c r="J706" s="22">
        <f>H706*(1+Assumptions!$B$6+IF(F706="Yes",Assumptions!$C$6,0))</f>
        <v>1336171.6200000001</v>
      </c>
      <c r="K706" s="22">
        <f>H706*(1+Assumptions!$B$7+IF(F706="Yes",Assumptions!$C$7,0))</f>
        <v>1362116.7</v>
      </c>
      <c r="L706" s="22">
        <f>H706*(1+Assumptions!$B$8+IF(F706="Yes",Assumptions!$C$8,0))</f>
        <v>1310226.54</v>
      </c>
    </row>
    <row r="707" spans="1:12" ht="15">
      <c r="A707" s="21">
        <v>41019</v>
      </c>
      <c r="B707" s="21">
        <v>41000</v>
      </c>
      <c r="C707" s="17">
        <v>29</v>
      </c>
      <c r="D707" s="17" t="s">
        <v>92</v>
      </c>
      <c r="E707" s="18">
        <v>93638</v>
      </c>
      <c r="F707" s="17" t="s">
        <v>91</v>
      </c>
      <c r="G707" s="14">
        <v>525114.71</v>
      </c>
      <c r="H707" s="14">
        <v>589252.68999999994</v>
      </c>
      <c r="I707" s="14">
        <v>589252.68999999994</v>
      </c>
      <c r="J707" s="22">
        <f>H707*(1+Assumptions!$B$6+IF(F707="Yes",Assumptions!$C$6,0))</f>
        <v>606930.27069999999</v>
      </c>
      <c r="K707" s="22">
        <f>H707*(1+Assumptions!$B$7+IF(F707="Yes",Assumptions!$C$7,0))</f>
        <v>618715.32449999999</v>
      </c>
      <c r="L707" s="22">
        <f>H707*(1+Assumptions!$B$8+IF(F707="Yes",Assumptions!$C$8,0))</f>
        <v>595145.2169</v>
      </c>
    </row>
    <row r="708" spans="1:12" ht="15">
      <c r="A708" s="21">
        <v>41019</v>
      </c>
      <c r="B708" s="21">
        <v>41000</v>
      </c>
      <c r="C708" s="17">
        <v>30</v>
      </c>
      <c r="D708" s="17" t="s">
        <v>93</v>
      </c>
      <c r="E708" s="18">
        <v>42988</v>
      </c>
      <c r="F708" s="17" t="s">
        <v>91</v>
      </c>
      <c r="G708" s="14">
        <v>462789.41</v>
      </c>
      <c r="H708" s="14">
        <v>445323.7</v>
      </c>
      <c r="I708" s="14">
        <v>445323.7</v>
      </c>
      <c r="J708" s="22">
        <f>H708*(1+Assumptions!$B$6+IF(F708="Yes",Assumptions!$C$6,0))</f>
        <v>458683.41100000002</v>
      </c>
      <c r="K708" s="22">
        <f>H708*(1+Assumptions!$B$7+IF(F708="Yes",Assumptions!$C$7,0))</f>
        <v>467589.88500000001</v>
      </c>
      <c r="L708" s="22">
        <f>H708*(1+Assumptions!$B$8+IF(F708="Yes",Assumptions!$C$8,0))</f>
        <v>449776.93700000003</v>
      </c>
    </row>
    <row r="709" spans="1:12" ht="15">
      <c r="A709" s="21">
        <v>41019</v>
      </c>
      <c r="B709" s="21">
        <v>41000</v>
      </c>
      <c r="C709" s="17">
        <v>31</v>
      </c>
      <c r="D709" s="17" t="s">
        <v>90</v>
      </c>
      <c r="E709" s="18">
        <v>203750</v>
      </c>
      <c r="F709" s="17" t="s">
        <v>91</v>
      </c>
      <c r="G709" s="14">
        <v>1407029.09</v>
      </c>
      <c r="H709" s="14">
        <v>1461393.91</v>
      </c>
      <c r="I709" s="14">
        <v>1461393.91</v>
      </c>
      <c r="J709" s="22">
        <f>H709*(1+Assumptions!$B$6+IF(F709="Yes",Assumptions!$C$6,0))</f>
        <v>1505235.7272999999</v>
      </c>
      <c r="K709" s="22">
        <f>H709*(1+Assumptions!$B$7+IF(F709="Yes",Assumptions!$C$7,0))</f>
        <v>1534463.6055000001</v>
      </c>
      <c r="L709" s="22">
        <f>H709*(1+Assumptions!$B$8+IF(F709="Yes",Assumptions!$C$8,0))</f>
        <v>1476007.8491</v>
      </c>
    </row>
    <row r="710" spans="1:12" ht="15">
      <c r="A710" s="21">
        <v>41019</v>
      </c>
      <c r="B710" s="21">
        <v>41000</v>
      </c>
      <c r="C710" s="17">
        <v>32</v>
      </c>
      <c r="D710" s="17" t="s">
        <v>90</v>
      </c>
      <c r="E710" s="18">
        <v>203007</v>
      </c>
      <c r="F710" s="17" t="s">
        <v>91</v>
      </c>
      <c r="G710" s="14">
        <v>1121585.06</v>
      </c>
      <c r="H710" s="14">
        <v>1210574.9099999999</v>
      </c>
      <c r="I710" s="14">
        <v>1210574.9099999999</v>
      </c>
      <c r="J710" s="22">
        <f>H710*(1+Assumptions!$B$6+IF(F710="Yes",Assumptions!$C$6,0))</f>
        <v>1246892.1572999998</v>
      </c>
      <c r="K710" s="22">
        <f>H710*(1+Assumptions!$B$7+IF(F710="Yes",Assumptions!$C$7,0))</f>
        <v>1271103.6554999999</v>
      </c>
      <c r="L710" s="22">
        <f>H710*(1+Assumptions!$B$8+IF(F710="Yes",Assumptions!$C$8,0))</f>
        <v>1222680.6590999998</v>
      </c>
    </row>
    <row r="711" spans="1:12" ht="15">
      <c r="A711" s="21">
        <v>41019</v>
      </c>
      <c r="B711" s="21">
        <v>41000</v>
      </c>
      <c r="C711" s="17">
        <v>33</v>
      </c>
      <c r="D711" s="17" t="s">
        <v>90</v>
      </c>
      <c r="E711" s="18">
        <v>39690</v>
      </c>
      <c r="F711" s="17" t="s">
        <v>91</v>
      </c>
      <c r="G711" s="14">
        <v>261731.34</v>
      </c>
      <c r="H711" s="14">
        <v>248477.35</v>
      </c>
      <c r="I711" s="14">
        <v>248477.35</v>
      </c>
      <c r="J711" s="22">
        <f>H711*(1+Assumptions!$B$6+IF(F711="Yes",Assumptions!$C$6,0))</f>
        <v>255931.67050000001</v>
      </c>
      <c r="K711" s="22">
        <f>H711*(1+Assumptions!$B$7+IF(F711="Yes",Assumptions!$C$7,0))</f>
        <v>260901.21750000003</v>
      </c>
      <c r="L711" s="22">
        <f>H711*(1+Assumptions!$B$8+IF(F711="Yes",Assumptions!$C$8,0))</f>
        <v>250962.12350000002</v>
      </c>
    </row>
    <row r="712" spans="1:12" ht="15">
      <c r="A712" s="21">
        <v>41019</v>
      </c>
      <c r="B712" s="21">
        <v>41000</v>
      </c>
      <c r="C712" s="17">
        <v>34</v>
      </c>
      <c r="D712" s="17" t="s">
        <v>90</v>
      </c>
      <c r="E712" s="18">
        <v>158114</v>
      </c>
      <c r="F712" s="17" t="s">
        <v>91</v>
      </c>
      <c r="G712" s="14">
        <v>977628.78</v>
      </c>
      <c r="H712" s="14">
        <v>1049557.6399999999</v>
      </c>
      <c r="I712" s="14">
        <v>1049557.6399999999</v>
      </c>
      <c r="J712" s="22">
        <f>H712*(1+Assumptions!$B$6+IF(F712="Yes",Assumptions!$C$6,0))</f>
        <v>1081044.3691999998</v>
      </c>
      <c r="K712" s="22">
        <f>H712*(1+Assumptions!$B$7+IF(F712="Yes",Assumptions!$C$7,0))</f>
        <v>1102035.5219999999</v>
      </c>
      <c r="L712" s="22">
        <f>H712*(1+Assumptions!$B$8+IF(F712="Yes",Assumptions!$C$8,0))</f>
        <v>1060053.2163999998</v>
      </c>
    </row>
    <row r="713" spans="1:12" ht="15">
      <c r="A713" s="21">
        <v>41019</v>
      </c>
      <c r="B713" s="21">
        <v>41000</v>
      </c>
      <c r="C713" s="17">
        <v>35</v>
      </c>
      <c r="D713" s="17" t="s">
        <v>92</v>
      </c>
      <c r="E713" s="18">
        <v>103681</v>
      </c>
      <c r="F713" s="17" t="s">
        <v>91</v>
      </c>
      <c r="G713" s="14">
        <v>794597.56</v>
      </c>
      <c r="H713" s="14">
        <v>841778.34</v>
      </c>
      <c r="I713" s="14">
        <v>841778.34</v>
      </c>
      <c r="J713" s="22">
        <f>H713*(1+Assumptions!$B$6+IF(F713="Yes",Assumptions!$C$6,0))</f>
        <v>867031.69019999995</v>
      </c>
      <c r="K713" s="22">
        <f>H713*(1+Assumptions!$B$7+IF(F713="Yes",Assumptions!$C$7,0))</f>
        <v>883867.25699999998</v>
      </c>
      <c r="L713" s="22">
        <f>H713*(1+Assumptions!$B$8+IF(F713="Yes",Assumptions!$C$8,0))</f>
        <v>850196.12339999992</v>
      </c>
    </row>
    <row r="714" spans="1:12" ht="15">
      <c r="A714" s="21">
        <v>41019</v>
      </c>
      <c r="B714" s="21">
        <v>41000</v>
      </c>
      <c r="C714" s="17">
        <v>36</v>
      </c>
      <c r="D714" s="17" t="s">
        <v>90</v>
      </c>
      <c r="E714" s="18">
        <v>39910</v>
      </c>
      <c r="F714" s="17" t="s">
        <v>91</v>
      </c>
      <c r="G714" s="14">
        <v>323755.88</v>
      </c>
      <c r="H714" s="14">
        <v>374514.5</v>
      </c>
      <c r="I714" s="14">
        <v>374514.5</v>
      </c>
      <c r="J714" s="22">
        <f>H714*(1+Assumptions!$B$6+IF(F714="Yes",Assumptions!$C$6,0))</f>
        <v>385749.935</v>
      </c>
      <c r="K714" s="22">
        <f>H714*(1+Assumptions!$B$7+IF(F714="Yes",Assumptions!$C$7,0))</f>
        <v>393240.22500000003</v>
      </c>
      <c r="L714" s="22">
        <f>H714*(1+Assumptions!$B$8+IF(F714="Yes",Assumptions!$C$8,0))</f>
        <v>378259.64500000002</v>
      </c>
    </row>
    <row r="715" spans="1:12" ht="15">
      <c r="A715" s="21">
        <v>41019</v>
      </c>
      <c r="B715" s="21">
        <v>41000</v>
      </c>
      <c r="C715" s="17">
        <v>37</v>
      </c>
      <c r="D715" s="17" t="s">
        <v>93</v>
      </c>
      <c r="E715" s="18">
        <v>39910</v>
      </c>
      <c r="F715" s="17" t="s">
        <v>91</v>
      </c>
      <c r="G715" s="14">
        <v>523327.31</v>
      </c>
      <c r="H715" s="14">
        <v>525880.78</v>
      </c>
      <c r="I715" s="14">
        <v>525880.78</v>
      </c>
      <c r="J715" s="22">
        <f>H715*(1+Assumptions!$B$6+IF(F715="Yes",Assumptions!$C$6,0))</f>
        <v>541657.2034</v>
      </c>
      <c r="K715" s="22">
        <f>H715*(1+Assumptions!$B$7+IF(F715="Yes",Assumptions!$C$7,0))</f>
        <v>552174.81900000002</v>
      </c>
      <c r="L715" s="22">
        <f>H715*(1+Assumptions!$B$8+IF(F715="Yes",Assumptions!$C$8,0))</f>
        <v>531139.58779999998</v>
      </c>
    </row>
    <row r="716" spans="1:12" ht="15">
      <c r="A716" s="21">
        <v>41019</v>
      </c>
      <c r="B716" s="21">
        <v>41000</v>
      </c>
      <c r="C716" s="17">
        <v>38</v>
      </c>
      <c r="D716" s="17" t="s">
        <v>93</v>
      </c>
      <c r="E716" s="18">
        <v>39690</v>
      </c>
      <c r="F716" s="17" t="s">
        <v>91</v>
      </c>
      <c r="G716" s="14">
        <v>401413.31</v>
      </c>
      <c r="H716" s="14">
        <v>362922.43</v>
      </c>
      <c r="I716" s="14">
        <v>362922.43</v>
      </c>
      <c r="J716" s="22">
        <f>H716*(1+Assumptions!$B$6+IF(F716="Yes",Assumptions!$C$6,0))</f>
        <v>373810.1029</v>
      </c>
      <c r="K716" s="22">
        <f>H716*(1+Assumptions!$B$7+IF(F716="Yes",Assumptions!$C$7,0))</f>
        <v>381068.5515</v>
      </c>
      <c r="L716" s="22">
        <f>H716*(1+Assumptions!$B$8+IF(F716="Yes",Assumptions!$C$8,0))</f>
        <v>366551.65429999999</v>
      </c>
    </row>
    <row r="717" spans="1:12" ht="15">
      <c r="A717" s="21">
        <v>41019</v>
      </c>
      <c r="B717" s="21">
        <v>41000</v>
      </c>
      <c r="C717" s="17">
        <v>39</v>
      </c>
      <c r="D717" s="17" t="s">
        <v>90</v>
      </c>
      <c r="E717" s="18">
        <v>184109</v>
      </c>
      <c r="F717" s="17" t="s">
        <v>91</v>
      </c>
      <c r="G717" s="14">
        <v>1432872.1</v>
      </c>
      <c r="H717" s="14">
        <v>1563025.74</v>
      </c>
      <c r="I717" s="14">
        <v>1563025.74</v>
      </c>
      <c r="J717" s="22">
        <f>H717*(1+Assumptions!$B$6+IF(F717="Yes",Assumptions!$C$6,0))</f>
        <v>1609916.5122</v>
      </c>
      <c r="K717" s="22">
        <f>H717*(1+Assumptions!$B$7+IF(F717="Yes",Assumptions!$C$7,0))</f>
        <v>1641177.027</v>
      </c>
      <c r="L717" s="22">
        <f>H717*(1+Assumptions!$B$8+IF(F717="Yes",Assumptions!$C$8,0))</f>
        <v>1578655.9974</v>
      </c>
    </row>
    <row r="718" spans="1:12" ht="15">
      <c r="A718" s="21">
        <v>41019</v>
      </c>
      <c r="B718" s="21">
        <v>41000</v>
      </c>
      <c r="C718" s="17">
        <v>40</v>
      </c>
      <c r="D718" s="17" t="s">
        <v>90</v>
      </c>
      <c r="E718" s="18">
        <v>155083</v>
      </c>
      <c r="F718" s="17" t="s">
        <v>91</v>
      </c>
      <c r="G718" s="14">
        <v>896917.56</v>
      </c>
      <c r="H718" s="14">
        <v>965007.52</v>
      </c>
      <c r="I718" s="14">
        <v>965007.52</v>
      </c>
      <c r="J718" s="22">
        <f>H718*(1+Assumptions!$B$6+IF(F718="Yes",Assumptions!$C$6,0))</f>
        <v>993957.74560000002</v>
      </c>
      <c r="K718" s="22">
        <f>H718*(1+Assumptions!$B$7+IF(F718="Yes",Assumptions!$C$7,0))</f>
        <v>1013257.8960000001</v>
      </c>
      <c r="L718" s="22">
        <f>H718*(1+Assumptions!$B$8+IF(F718="Yes",Assumptions!$C$8,0))</f>
        <v>974657.59519999998</v>
      </c>
    </row>
    <row r="719" spans="1:12" ht="15">
      <c r="A719" s="21">
        <v>41019</v>
      </c>
      <c r="B719" s="21">
        <v>41000</v>
      </c>
      <c r="C719" s="17">
        <v>41</v>
      </c>
      <c r="D719" s="17" t="s">
        <v>90</v>
      </c>
      <c r="E719" s="18">
        <v>196321</v>
      </c>
      <c r="F719" s="17" t="s">
        <v>91</v>
      </c>
      <c r="G719" s="14">
        <v>1219027.2</v>
      </c>
      <c r="H719" s="14">
        <v>1304478.75</v>
      </c>
      <c r="I719" s="14">
        <v>1304478.75</v>
      </c>
      <c r="J719" s="22">
        <f>H719*(1+Assumptions!$B$6+IF(F719="Yes",Assumptions!$C$6,0))</f>
        <v>1343613.1125</v>
      </c>
      <c r="K719" s="22">
        <f>H719*(1+Assumptions!$B$7+IF(F719="Yes",Assumptions!$C$7,0))</f>
        <v>1369702.6875</v>
      </c>
      <c r="L719" s="22">
        <f>H719*(1+Assumptions!$B$8+IF(F719="Yes",Assumptions!$C$8,0))</f>
        <v>1317523.5375000001</v>
      </c>
    </row>
    <row r="720" spans="1:12" ht="15">
      <c r="A720" s="21">
        <v>41019</v>
      </c>
      <c r="B720" s="21">
        <v>41000</v>
      </c>
      <c r="C720" s="17">
        <v>42</v>
      </c>
      <c r="D720" s="17" t="s">
        <v>93</v>
      </c>
      <c r="E720" s="18">
        <v>39690</v>
      </c>
      <c r="F720" s="17" t="s">
        <v>91</v>
      </c>
      <c r="G720" s="14">
        <v>552477.65</v>
      </c>
      <c r="H720" s="14">
        <v>534595.72</v>
      </c>
      <c r="I720" s="14">
        <v>534595.72</v>
      </c>
      <c r="J720" s="22">
        <f>H720*(1+Assumptions!$B$6+IF(F720="Yes",Assumptions!$C$6,0))</f>
        <v>550633.59160000004</v>
      </c>
      <c r="K720" s="22">
        <f>H720*(1+Assumptions!$B$7+IF(F720="Yes",Assumptions!$C$7,0))</f>
        <v>561325.50600000005</v>
      </c>
      <c r="L720" s="22">
        <f>H720*(1+Assumptions!$B$8+IF(F720="Yes",Assumptions!$C$8,0))</f>
        <v>539941.67720000003</v>
      </c>
    </row>
    <row r="721" spans="1:12" ht="15">
      <c r="A721" s="21">
        <v>41019</v>
      </c>
      <c r="B721" s="21">
        <v>41000</v>
      </c>
      <c r="C721" s="17">
        <v>43</v>
      </c>
      <c r="D721" s="17" t="s">
        <v>93</v>
      </c>
      <c r="E721" s="18">
        <v>41062</v>
      </c>
      <c r="F721" s="17" t="s">
        <v>91</v>
      </c>
      <c r="G721" s="14">
        <v>637999.9</v>
      </c>
      <c r="H721" s="14">
        <v>637995.5</v>
      </c>
      <c r="I721" s="14">
        <v>637995.5</v>
      </c>
      <c r="J721" s="22">
        <f>H721*(1+Assumptions!$B$6+IF(F721="Yes",Assumptions!$C$6,0))</f>
        <v>657135.36499999999</v>
      </c>
      <c r="K721" s="22">
        <f>H721*(1+Assumptions!$B$7+IF(F721="Yes",Assumptions!$C$7,0))</f>
        <v>669895.27500000002</v>
      </c>
      <c r="L721" s="22">
        <f>H721*(1+Assumptions!$B$8+IF(F721="Yes",Assumptions!$C$8,0))</f>
        <v>644375.45499999996</v>
      </c>
    </row>
    <row r="722" spans="1:12" ht="15">
      <c r="A722" s="21">
        <v>41019</v>
      </c>
      <c r="B722" s="21">
        <v>41000</v>
      </c>
      <c r="C722" s="17">
        <v>44</v>
      </c>
      <c r="D722" s="17" t="s">
        <v>93</v>
      </c>
      <c r="E722" s="18">
        <v>39910</v>
      </c>
      <c r="F722" s="17" t="s">
        <v>91</v>
      </c>
      <c r="G722" s="14">
        <v>322866.67</v>
      </c>
      <c r="H722" s="14">
        <v>280214.49</v>
      </c>
      <c r="I722" s="14">
        <v>280214.49</v>
      </c>
      <c r="J722" s="22">
        <f>H722*(1+Assumptions!$B$6+IF(F722="Yes",Assumptions!$C$6,0))</f>
        <v>288620.92469999997</v>
      </c>
      <c r="K722" s="22">
        <f>H722*(1+Assumptions!$B$7+IF(F722="Yes",Assumptions!$C$7,0))</f>
        <v>294225.2145</v>
      </c>
      <c r="L722" s="22">
        <f>H722*(1+Assumptions!$B$8+IF(F722="Yes",Assumptions!$C$8,0))</f>
        <v>283016.6349</v>
      </c>
    </row>
    <row r="723" spans="1:12" ht="15">
      <c r="A723" s="21">
        <v>41019</v>
      </c>
      <c r="B723" s="21">
        <v>41000</v>
      </c>
      <c r="C723" s="17">
        <v>45</v>
      </c>
      <c r="D723" s="17" t="s">
        <v>92</v>
      </c>
      <c r="E723" s="18">
        <v>118221</v>
      </c>
      <c r="F723" s="17" t="s">
        <v>91</v>
      </c>
      <c r="G723" s="14">
        <v>776470.33</v>
      </c>
      <c r="H723" s="14">
        <v>813630.44</v>
      </c>
      <c r="I723" s="14">
        <v>813630.44</v>
      </c>
      <c r="J723" s="22">
        <f>H723*(1+Assumptions!$B$6+IF(F723="Yes",Assumptions!$C$6,0))</f>
        <v>838039.35320000001</v>
      </c>
      <c r="K723" s="22">
        <f>H723*(1+Assumptions!$B$7+IF(F723="Yes",Assumptions!$C$7,0))</f>
        <v>854311.96199999994</v>
      </c>
      <c r="L723" s="22">
        <f>H723*(1+Assumptions!$B$8+IF(F723="Yes",Assumptions!$C$8,0))</f>
        <v>821766.74439999997</v>
      </c>
    </row>
    <row r="724" spans="1:12" ht="15">
      <c r="A724" s="21">
        <v>41026</v>
      </c>
      <c r="B724" s="21">
        <v>41000</v>
      </c>
      <c r="C724" s="17">
        <v>1</v>
      </c>
      <c r="D724" s="17" t="s">
        <v>90</v>
      </c>
      <c r="E724" s="18">
        <v>151315</v>
      </c>
      <c r="F724" s="17" t="s">
        <v>91</v>
      </c>
      <c r="G724" s="14">
        <v>1468524.3699999999</v>
      </c>
      <c r="H724" s="14">
        <v>1455090.69</v>
      </c>
      <c r="I724" s="14">
        <v>1455090.69</v>
      </c>
      <c r="J724" s="22">
        <f>H724*(1+Assumptions!$B$6+IF(F724="Yes",Assumptions!$C$6,0))</f>
        <v>1498743.4106999999</v>
      </c>
      <c r="K724" s="22">
        <f>H724*(1+Assumptions!$B$7+IF(F724="Yes",Assumptions!$C$7,0))</f>
        <v>1527845.2245</v>
      </c>
      <c r="L724" s="22">
        <f>H724*(1+Assumptions!$B$8+IF(F724="Yes",Assumptions!$C$8,0))</f>
        <v>1469641.5969</v>
      </c>
    </row>
    <row r="725" spans="1:12" ht="15">
      <c r="A725" s="21">
        <v>41026</v>
      </c>
      <c r="B725" s="21">
        <v>41000</v>
      </c>
      <c r="C725" s="17">
        <v>2</v>
      </c>
      <c r="D725" s="17" t="s">
        <v>90</v>
      </c>
      <c r="E725" s="18">
        <v>202307</v>
      </c>
      <c r="F725" s="17" t="s">
        <v>91</v>
      </c>
      <c r="G725" s="14">
        <v>1764133.09</v>
      </c>
      <c r="H725" s="14">
        <v>1745533.81</v>
      </c>
      <c r="I725" s="14">
        <v>1745533.81</v>
      </c>
      <c r="J725" s="22">
        <f>H725*(1+Assumptions!$B$6+IF(F725="Yes",Assumptions!$C$6,0))</f>
        <v>1797899.8243000002</v>
      </c>
      <c r="K725" s="22">
        <f>H725*(1+Assumptions!$B$7+IF(F725="Yes",Assumptions!$C$7,0))</f>
        <v>1832810.5005000001</v>
      </c>
      <c r="L725" s="22">
        <f>H725*(1+Assumptions!$B$8+IF(F725="Yes",Assumptions!$C$8,0))</f>
        <v>1762989.1481000001</v>
      </c>
    </row>
    <row r="726" spans="1:12" ht="15">
      <c r="A726" s="21">
        <v>41026</v>
      </c>
      <c r="B726" s="21">
        <v>41000</v>
      </c>
      <c r="C726" s="17">
        <v>3</v>
      </c>
      <c r="D726" s="17" t="s">
        <v>92</v>
      </c>
      <c r="E726" s="18">
        <v>37392</v>
      </c>
      <c r="F726" s="17" t="s">
        <v>91</v>
      </c>
      <c r="G726" s="14">
        <v>394552.97</v>
      </c>
      <c r="H726" s="14">
        <v>367343.12</v>
      </c>
      <c r="I726" s="14">
        <v>367343.12</v>
      </c>
      <c r="J726" s="22">
        <f>H726*(1+Assumptions!$B$6+IF(F726="Yes",Assumptions!$C$6,0))</f>
        <v>378363.41360000003</v>
      </c>
      <c r="K726" s="22">
        <f>H726*(1+Assumptions!$B$7+IF(F726="Yes",Assumptions!$C$7,0))</f>
        <v>385710.27600000001</v>
      </c>
      <c r="L726" s="22">
        <f>H726*(1+Assumptions!$B$8+IF(F726="Yes",Assumptions!$C$8,0))</f>
        <v>371016.55119999999</v>
      </c>
    </row>
    <row r="727" spans="1:12" ht="15">
      <c r="A727" s="21">
        <v>41026</v>
      </c>
      <c r="B727" s="21">
        <v>41000</v>
      </c>
      <c r="C727" s="17">
        <v>4</v>
      </c>
      <c r="D727" s="17" t="s">
        <v>90</v>
      </c>
      <c r="E727" s="18">
        <v>205863</v>
      </c>
      <c r="F727" s="17" t="s">
        <v>91</v>
      </c>
      <c r="G727" s="14">
        <v>2064065.66</v>
      </c>
      <c r="H727" s="14">
        <v>1878156.97</v>
      </c>
      <c r="I727" s="14">
        <v>1878156.97</v>
      </c>
      <c r="J727" s="22">
        <f>H727*(1+Assumptions!$B$6+IF(F727="Yes",Assumptions!$C$6,0))</f>
        <v>1934501.6791000001</v>
      </c>
      <c r="K727" s="22">
        <f>H727*(1+Assumptions!$B$7+IF(F727="Yes",Assumptions!$C$7,0))</f>
        <v>1972064.8185000001</v>
      </c>
      <c r="L727" s="22">
        <f>H727*(1+Assumptions!$B$8+IF(F727="Yes",Assumptions!$C$8,0))</f>
        <v>1896938.5397000001</v>
      </c>
    </row>
    <row r="728" spans="1:12" ht="15">
      <c r="A728" s="21">
        <v>41026</v>
      </c>
      <c r="B728" s="21">
        <v>41000</v>
      </c>
      <c r="C728" s="17">
        <v>5</v>
      </c>
      <c r="D728" s="17" t="s">
        <v>92</v>
      </c>
      <c r="E728" s="18">
        <v>34875</v>
      </c>
      <c r="F728" s="17" t="s">
        <v>91</v>
      </c>
      <c r="G728" s="14">
        <v>324750.25</v>
      </c>
      <c r="H728" s="14">
        <v>306754.77</v>
      </c>
      <c r="I728" s="14">
        <v>306754.77</v>
      </c>
      <c r="J728" s="22">
        <f>H728*(1+Assumptions!$B$6+IF(F728="Yes",Assumptions!$C$6,0))</f>
        <v>315957.41310000001</v>
      </c>
      <c r="K728" s="22">
        <f>H728*(1+Assumptions!$B$7+IF(F728="Yes",Assumptions!$C$7,0))</f>
        <v>322092.50850000005</v>
      </c>
      <c r="L728" s="22">
        <f>H728*(1+Assumptions!$B$8+IF(F728="Yes",Assumptions!$C$8,0))</f>
        <v>309822.31770000001</v>
      </c>
    </row>
    <row r="729" spans="1:12" ht="15">
      <c r="A729" s="21">
        <v>41026</v>
      </c>
      <c r="B729" s="21">
        <v>41000</v>
      </c>
      <c r="C729" s="17">
        <v>6</v>
      </c>
      <c r="D729" s="17" t="s">
        <v>90</v>
      </c>
      <c r="E729" s="18">
        <v>202505</v>
      </c>
      <c r="F729" s="17" t="s">
        <v>91</v>
      </c>
      <c r="G729" s="14">
        <v>1456221.1</v>
      </c>
      <c r="H729" s="14">
        <v>1479226.96</v>
      </c>
      <c r="I729" s="14">
        <v>1479226.96</v>
      </c>
      <c r="J729" s="22">
        <f>H729*(1+Assumptions!$B$6+IF(F729="Yes",Assumptions!$C$6,0))</f>
        <v>1523603.7688</v>
      </c>
      <c r="K729" s="22">
        <f>H729*(1+Assumptions!$B$7+IF(F729="Yes",Assumptions!$C$7,0))</f>
        <v>1553188.308</v>
      </c>
      <c r="L729" s="22">
        <f>H729*(1+Assumptions!$B$8+IF(F729="Yes",Assumptions!$C$8,0))</f>
        <v>1494019.2296</v>
      </c>
    </row>
    <row r="730" spans="1:12" ht="15">
      <c r="A730" s="21">
        <v>41026</v>
      </c>
      <c r="B730" s="21">
        <v>41000</v>
      </c>
      <c r="C730" s="17">
        <v>7</v>
      </c>
      <c r="D730" s="17" t="s">
        <v>92</v>
      </c>
      <c r="E730" s="18">
        <v>70713</v>
      </c>
      <c r="F730" s="17" t="s">
        <v>91</v>
      </c>
      <c r="G730" s="14">
        <v>463192.1</v>
      </c>
      <c r="H730" s="14">
        <v>409944.89</v>
      </c>
      <c r="I730" s="14">
        <v>409944.89</v>
      </c>
      <c r="J730" s="22">
        <f>H730*(1+Assumptions!$B$6+IF(F730="Yes",Assumptions!$C$6,0))</f>
        <v>422243.23670000001</v>
      </c>
      <c r="K730" s="22">
        <f>H730*(1+Assumptions!$B$7+IF(F730="Yes",Assumptions!$C$7,0))</f>
        <v>430442.13450000004</v>
      </c>
      <c r="L730" s="22">
        <f>H730*(1+Assumptions!$B$8+IF(F730="Yes",Assumptions!$C$8,0))</f>
        <v>414044.33890000003</v>
      </c>
    </row>
    <row r="731" spans="1:12" ht="15">
      <c r="A731" s="21">
        <v>41026</v>
      </c>
      <c r="B731" s="21">
        <v>41000</v>
      </c>
      <c r="C731" s="17">
        <v>8</v>
      </c>
      <c r="D731" s="17" t="s">
        <v>90</v>
      </c>
      <c r="E731" s="18">
        <v>155078</v>
      </c>
      <c r="F731" s="17" t="s">
        <v>91</v>
      </c>
      <c r="G731" s="14">
        <v>879448.25</v>
      </c>
      <c r="H731" s="14">
        <v>853856.61</v>
      </c>
      <c r="I731" s="14">
        <v>853856.61</v>
      </c>
      <c r="J731" s="22">
        <f>H731*(1+Assumptions!$B$6+IF(F731="Yes",Assumptions!$C$6,0))</f>
        <v>879472.30830000003</v>
      </c>
      <c r="K731" s="22">
        <f>H731*(1+Assumptions!$B$7+IF(F731="Yes",Assumptions!$C$7,0))</f>
        <v>896549.44050000003</v>
      </c>
      <c r="L731" s="22">
        <f>H731*(1+Assumptions!$B$8+IF(F731="Yes",Assumptions!$C$8,0))</f>
        <v>862395.17610000004</v>
      </c>
    </row>
    <row r="732" spans="1:12" ht="15">
      <c r="A732" s="21">
        <v>41026</v>
      </c>
      <c r="B732" s="21">
        <v>41000</v>
      </c>
      <c r="C732" s="17">
        <v>9</v>
      </c>
      <c r="D732" s="17" t="s">
        <v>92</v>
      </c>
      <c r="E732" s="18">
        <v>125833</v>
      </c>
      <c r="F732" s="17" t="s">
        <v>91</v>
      </c>
      <c r="G732" s="14">
        <v>548861.93999999994</v>
      </c>
      <c r="H732" s="14">
        <v>532206.53</v>
      </c>
      <c r="I732" s="14">
        <v>532206.53</v>
      </c>
      <c r="J732" s="22">
        <f>H732*(1+Assumptions!$B$6+IF(F732="Yes",Assumptions!$C$6,0))</f>
        <v>548172.72590000008</v>
      </c>
      <c r="K732" s="22">
        <f>H732*(1+Assumptions!$B$7+IF(F732="Yes",Assumptions!$C$7,0))</f>
        <v>558816.85650000011</v>
      </c>
      <c r="L732" s="22">
        <f>H732*(1+Assumptions!$B$8+IF(F732="Yes",Assumptions!$C$8,0))</f>
        <v>537528.59530000004</v>
      </c>
    </row>
    <row r="733" spans="1:12" ht="15">
      <c r="A733" s="21">
        <v>41026</v>
      </c>
      <c r="B733" s="21">
        <v>41000</v>
      </c>
      <c r="C733" s="17">
        <v>10</v>
      </c>
      <c r="D733" s="17" t="s">
        <v>92</v>
      </c>
      <c r="E733" s="18">
        <v>126512</v>
      </c>
      <c r="F733" s="17" t="s">
        <v>91</v>
      </c>
      <c r="G733" s="14">
        <v>1712922.32</v>
      </c>
      <c r="H733" s="14">
        <v>1873618.47</v>
      </c>
      <c r="I733" s="14">
        <v>1873618.47</v>
      </c>
      <c r="J733" s="22">
        <f>H733*(1+Assumptions!$B$6+IF(F733="Yes",Assumptions!$C$6,0))</f>
        <v>1929827.0241</v>
      </c>
      <c r="K733" s="22">
        <f>H733*(1+Assumptions!$B$7+IF(F733="Yes",Assumptions!$C$7,0))</f>
        <v>1967299.3935</v>
      </c>
      <c r="L733" s="22">
        <f>H733*(1+Assumptions!$B$8+IF(F733="Yes",Assumptions!$C$8,0))</f>
        <v>1892354.6547000001</v>
      </c>
    </row>
    <row r="734" spans="1:12" ht="15">
      <c r="A734" s="21">
        <v>41026</v>
      </c>
      <c r="B734" s="21">
        <v>41000</v>
      </c>
      <c r="C734" s="17">
        <v>11</v>
      </c>
      <c r="D734" s="17" t="s">
        <v>90</v>
      </c>
      <c r="E734" s="18">
        <v>207499</v>
      </c>
      <c r="F734" s="17" t="s">
        <v>91</v>
      </c>
      <c r="G734" s="14">
        <v>1233989.4099999999</v>
      </c>
      <c r="H734" s="14">
        <v>1357579.42</v>
      </c>
      <c r="I734" s="14">
        <v>1357579.42</v>
      </c>
      <c r="J734" s="22">
        <f>H734*(1+Assumptions!$B$6+IF(F734="Yes",Assumptions!$C$6,0))</f>
        <v>1398306.8026000001</v>
      </c>
      <c r="K734" s="22">
        <f>H734*(1+Assumptions!$B$7+IF(F734="Yes",Assumptions!$C$7,0))</f>
        <v>1425458.3910000001</v>
      </c>
      <c r="L734" s="22">
        <f>H734*(1+Assumptions!$B$8+IF(F734="Yes",Assumptions!$C$8,0))</f>
        <v>1371155.2142</v>
      </c>
    </row>
    <row r="735" spans="1:12" ht="15">
      <c r="A735" s="21">
        <v>41026</v>
      </c>
      <c r="B735" s="21">
        <v>41000</v>
      </c>
      <c r="C735" s="17">
        <v>12</v>
      </c>
      <c r="D735" s="17" t="s">
        <v>92</v>
      </c>
      <c r="E735" s="18">
        <v>112238</v>
      </c>
      <c r="F735" s="17" t="s">
        <v>91</v>
      </c>
      <c r="G735" s="14">
        <v>1004163.8200000001</v>
      </c>
      <c r="H735" s="14">
        <v>994959.1</v>
      </c>
      <c r="I735" s="14">
        <v>994959.1</v>
      </c>
      <c r="J735" s="22">
        <f>H735*(1+Assumptions!$B$6+IF(F735="Yes",Assumptions!$C$6,0))</f>
        <v>1024807.873</v>
      </c>
      <c r="K735" s="22">
        <f>H735*(1+Assumptions!$B$7+IF(F735="Yes",Assumptions!$C$7,0))</f>
        <v>1044707.0550000001</v>
      </c>
      <c r="L735" s="22">
        <f>H735*(1+Assumptions!$B$8+IF(F735="Yes",Assumptions!$C$8,0))</f>
        <v>1004908.691</v>
      </c>
    </row>
    <row r="736" spans="1:12" ht="15">
      <c r="A736" s="21">
        <v>41026</v>
      </c>
      <c r="B736" s="21">
        <v>41000</v>
      </c>
      <c r="C736" s="17">
        <v>13</v>
      </c>
      <c r="D736" s="17" t="s">
        <v>90</v>
      </c>
      <c r="E736" s="18">
        <v>219622</v>
      </c>
      <c r="F736" s="17" t="s">
        <v>91</v>
      </c>
      <c r="G736" s="14">
        <v>1970121.65</v>
      </c>
      <c r="H736" s="14">
        <v>1895483.91</v>
      </c>
      <c r="I736" s="14">
        <v>1895483.91</v>
      </c>
      <c r="J736" s="22">
        <f>H736*(1+Assumptions!$B$6+IF(F736="Yes",Assumptions!$C$6,0))</f>
        <v>1952348.4272999999</v>
      </c>
      <c r="K736" s="22">
        <f>H736*(1+Assumptions!$B$7+IF(F736="Yes",Assumptions!$C$7,0))</f>
        <v>1990258.1055000001</v>
      </c>
      <c r="L736" s="22">
        <f>H736*(1+Assumptions!$B$8+IF(F736="Yes",Assumptions!$C$8,0))</f>
        <v>1914438.7490999999</v>
      </c>
    </row>
    <row r="737" spans="1:12" ht="15">
      <c r="A737" s="21">
        <v>41026</v>
      </c>
      <c r="B737" s="21">
        <v>41000</v>
      </c>
      <c r="C737" s="17">
        <v>14</v>
      </c>
      <c r="D737" s="17" t="s">
        <v>90</v>
      </c>
      <c r="E737" s="18">
        <v>200898</v>
      </c>
      <c r="F737" s="17" t="s">
        <v>91</v>
      </c>
      <c r="G737" s="14">
        <v>1784029.95</v>
      </c>
      <c r="H737" s="14">
        <v>1930617.64</v>
      </c>
      <c r="I737" s="14">
        <v>1930617.64</v>
      </c>
      <c r="J737" s="22">
        <f>H737*(1+Assumptions!$B$6+IF(F737="Yes",Assumptions!$C$6,0))</f>
        <v>1988536.1691999999</v>
      </c>
      <c r="K737" s="22">
        <f>H737*(1+Assumptions!$B$7+IF(F737="Yes",Assumptions!$C$7,0))</f>
        <v>2027148.5219999999</v>
      </c>
      <c r="L737" s="22">
        <f>H737*(1+Assumptions!$B$8+IF(F737="Yes",Assumptions!$C$8,0))</f>
        <v>1949923.8163999999</v>
      </c>
    </row>
    <row r="738" spans="1:12" ht="15">
      <c r="A738" s="21">
        <v>41026</v>
      </c>
      <c r="B738" s="21">
        <v>41000</v>
      </c>
      <c r="C738" s="17">
        <v>15</v>
      </c>
      <c r="D738" s="17" t="s">
        <v>92</v>
      </c>
      <c r="E738" s="18">
        <v>123737</v>
      </c>
      <c r="F738" s="17" t="s">
        <v>91</v>
      </c>
      <c r="G738" s="14">
        <v>527395.62</v>
      </c>
      <c r="H738" s="14">
        <v>559919.41</v>
      </c>
      <c r="I738" s="14">
        <v>559919.41</v>
      </c>
      <c r="J738" s="22">
        <f>H738*(1+Assumptions!$B$6+IF(F738="Yes",Assumptions!$C$6,0))</f>
        <v>576716.99230000004</v>
      </c>
      <c r="K738" s="22">
        <f>H738*(1+Assumptions!$B$7+IF(F738="Yes",Assumptions!$C$7,0))</f>
        <v>587915.38050000009</v>
      </c>
      <c r="L738" s="22">
        <f>H738*(1+Assumptions!$B$8+IF(F738="Yes",Assumptions!$C$8,0))</f>
        <v>565518.6041</v>
      </c>
    </row>
    <row r="739" spans="1:12" ht="15">
      <c r="A739" s="21">
        <v>41026</v>
      </c>
      <c r="B739" s="21">
        <v>41000</v>
      </c>
      <c r="C739" s="17">
        <v>16</v>
      </c>
      <c r="D739" s="17" t="s">
        <v>92</v>
      </c>
      <c r="E739" s="18">
        <v>57197</v>
      </c>
      <c r="F739" s="17" t="s">
        <v>91</v>
      </c>
      <c r="G739" s="14">
        <v>395228.44</v>
      </c>
      <c r="H739" s="14">
        <v>378096.31</v>
      </c>
      <c r="I739" s="14">
        <v>378096.31</v>
      </c>
      <c r="J739" s="22">
        <f>H739*(1+Assumptions!$B$6+IF(F739="Yes",Assumptions!$C$6,0))</f>
        <v>389439.19930000004</v>
      </c>
      <c r="K739" s="22">
        <f>H739*(1+Assumptions!$B$7+IF(F739="Yes",Assumptions!$C$7,0))</f>
        <v>397001.12550000002</v>
      </c>
      <c r="L739" s="22">
        <f>H739*(1+Assumptions!$B$8+IF(F739="Yes",Assumptions!$C$8,0))</f>
        <v>381877.27309999999</v>
      </c>
    </row>
    <row r="740" spans="1:12" ht="15">
      <c r="A740" s="21">
        <v>41026</v>
      </c>
      <c r="B740" s="21">
        <v>41000</v>
      </c>
      <c r="C740" s="17">
        <v>17</v>
      </c>
      <c r="D740" s="17" t="s">
        <v>92</v>
      </c>
      <c r="E740" s="18">
        <v>93188</v>
      </c>
      <c r="F740" s="17" t="s">
        <v>91</v>
      </c>
      <c r="G740" s="14">
        <v>925331.8</v>
      </c>
      <c r="H740" s="14">
        <v>803692.24</v>
      </c>
      <c r="I740" s="14">
        <v>803692.24</v>
      </c>
      <c r="J740" s="22">
        <f>H740*(1+Assumptions!$B$6+IF(F740="Yes",Assumptions!$C$6,0))</f>
        <v>827803.00719999999</v>
      </c>
      <c r="K740" s="22">
        <f>H740*(1+Assumptions!$B$7+IF(F740="Yes",Assumptions!$C$7,0))</f>
        <v>843876.85200000007</v>
      </c>
      <c r="L740" s="22">
        <f>H740*(1+Assumptions!$B$8+IF(F740="Yes",Assumptions!$C$8,0))</f>
        <v>811729.16240000003</v>
      </c>
    </row>
    <row r="741" spans="1:12" ht="15">
      <c r="A741" s="21">
        <v>41026</v>
      </c>
      <c r="B741" s="21">
        <v>41000</v>
      </c>
      <c r="C741" s="17">
        <v>18</v>
      </c>
      <c r="D741" s="17" t="s">
        <v>92</v>
      </c>
      <c r="E741" s="18">
        <v>120653</v>
      </c>
      <c r="F741" s="17" t="s">
        <v>91</v>
      </c>
      <c r="G741" s="14">
        <v>961404.69000000006</v>
      </c>
      <c r="H741" s="14">
        <v>974091.39</v>
      </c>
      <c r="I741" s="14">
        <v>974091.39</v>
      </c>
      <c r="J741" s="22">
        <f>H741*(1+Assumptions!$B$6+IF(F741="Yes",Assumptions!$C$6,0))</f>
        <v>1003314.1317</v>
      </c>
      <c r="K741" s="22">
        <f>H741*(1+Assumptions!$B$7+IF(F741="Yes",Assumptions!$C$7,0))</f>
        <v>1022795.9595000001</v>
      </c>
      <c r="L741" s="22">
        <f>H741*(1+Assumptions!$B$8+IF(F741="Yes",Assumptions!$C$8,0))</f>
        <v>983832.30390000006</v>
      </c>
    </row>
    <row r="742" spans="1:12" ht="15">
      <c r="A742" s="21">
        <v>41026</v>
      </c>
      <c r="B742" s="21">
        <v>41000</v>
      </c>
      <c r="C742" s="17">
        <v>19</v>
      </c>
      <c r="D742" s="17" t="s">
        <v>90</v>
      </c>
      <c r="E742" s="18">
        <v>203819</v>
      </c>
      <c r="F742" s="17" t="s">
        <v>91</v>
      </c>
      <c r="G742" s="14">
        <v>1285399.24</v>
      </c>
      <c r="H742" s="14">
        <v>1297232.7</v>
      </c>
      <c r="I742" s="14">
        <v>1297232.7</v>
      </c>
      <c r="J742" s="22">
        <f>H742*(1+Assumptions!$B$6+IF(F742="Yes",Assumptions!$C$6,0))</f>
        <v>1336149.6810000001</v>
      </c>
      <c r="K742" s="22">
        <f>H742*(1+Assumptions!$B$7+IF(F742="Yes",Assumptions!$C$7,0))</f>
        <v>1362094.335</v>
      </c>
      <c r="L742" s="22">
        <f>H742*(1+Assumptions!$B$8+IF(F742="Yes",Assumptions!$C$8,0))</f>
        <v>1310205.027</v>
      </c>
    </row>
    <row r="743" spans="1:12" ht="15">
      <c r="A743" s="21">
        <v>41026</v>
      </c>
      <c r="B743" s="21">
        <v>41000</v>
      </c>
      <c r="C743" s="17">
        <v>20</v>
      </c>
      <c r="D743" s="17" t="s">
        <v>90</v>
      </c>
      <c r="E743" s="18">
        <v>203742</v>
      </c>
      <c r="F743" s="17" t="s">
        <v>91</v>
      </c>
      <c r="G743" s="14">
        <v>1886462.93</v>
      </c>
      <c r="H743" s="14">
        <v>1881692.25</v>
      </c>
      <c r="I743" s="14">
        <v>1881692.25</v>
      </c>
      <c r="J743" s="22">
        <f>H743*(1+Assumptions!$B$6+IF(F743="Yes",Assumptions!$C$6,0))</f>
        <v>1938143.0175000001</v>
      </c>
      <c r="K743" s="22">
        <f>H743*(1+Assumptions!$B$7+IF(F743="Yes",Assumptions!$C$7,0))</f>
        <v>1975776.8625</v>
      </c>
      <c r="L743" s="22">
        <f>H743*(1+Assumptions!$B$8+IF(F743="Yes",Assumptions!$C$8,0))</f>
        <v>1900509.1725000001</v>
      </c>
    </row>
    <row r="744" spans="1:12" ht="15">
      <c r="A744" s="21">
        <v>41026</v>
      </c>
      <c r="B744" s="21">
        <v>41000</v>
      </c>
      <c r="C744" s="17">
        <v>21</v>
      </c>
      <c r="D744" s="17" t="s">
        <v>92</v>
      </c>
      <c r="E744" s="18">
        <v>140167</v>
      </c>
      <c r="F744" s="17" t="s">
        <v>91</v>
      </c>
      <c r="G744" s="14">
        <v>673914.14</v>
      </c>
      <c r="H744" s="14">
        <v>783250.75</v>
      </c>
      <c r="I744" s="14">
        <v>783250.75</v>
      </c>
      <c r="J744" s="22">
        <f>H744*(1+Assumptions!$B$6+IF(F744="Yes",Assumptions!$C$6,0))</f>
        <v>806748.27249999996</v>
      </c>
      <c r="K744" s="22">
        <f>H744*(1+Assumptions!$B$7+IF(F744="Yes",Assumptions!$C$7,0))</f>
        <v>822413.28749999998</v>
      </c>
      <c r="L744" s="22">
        <f>H744*(1+Assumptions!$B$8+IF(F744="Yes",Assumptions!$C$8,0))</f>
        <v>791083.25750000007</v>
      </c>
    </row>
    <row r="745" spans="1:12" ht="15">
      <c r="A745" s="21">
        <v>41026</v>
      </c>
      <c r="B745" s="21">
        <v>41000</v>
      </c>
      <c r="C745" s="17">
        <v>22</v>
      </c>
      <c r="D745" s="17" t="s">
        <v>92</v>
      </c>
      <c r="E745" s="18">
        <v>119557</v>
      </c>
      <c r="F745" s="17" t="s">
        <v>91</v>
      </c>
      <c r="G745" s="14">
        <v>920925.97</v>
      </c>
      <c r="H745" s="14">
        <v>926123.33</v>
      </c>
      <c r="I745" s="14">
        <v>926123.33</v>
      </c>
      <c r="J745" s="22">
        <f>H745*(1+Assumptions!$B$6+IF(F745="Yes",Assumptions!$C$6,0))</f>
        <v>953907.02989999996</v>
      </c>
      <c r="K745" s="22">
        <f>H745*(1+Assumptions!$B$7+IF(F745="Yes",Assumptions!$C$7,0))</f>
        <v>972429.49650000001</v>
      </c>
      <c r="L745" s="22">
        <f>H745*(1+Assumptions!$B$8+IF(F745="Yes",Assumptions!$C$8,0))</f>
        <v>935384.56329999992</v>
      </c>
    </row>
    <row r="746" spans="1:12" ht="15">
      <c r="A746" s="21">
        <v>41026</v>
      </c>
      <c r="B746" s="21">
        <v>41000</v>
      </c>
      <c r="C746" s="17">
        <v>23</v>
      </c>
      <c r="D746" s="17" t="s">
        <v>92</v>
      </c>
      <c r="E746" s="18">
        <v>114533</v>
      </c>
      <c r="F746" s="17" t="s">
        <v>91</v>
      </c>
      <c r="G746" s="14">
        <v>1277758.76</v>
      </c>
      <c r="H746" s="14">
        <v>1173277.44</v>
      </c>
      <c r="I746" s="14">
        <v>1173277.44</v>
      </c>
      <c r="J746" s="22">
        <f>H746*(1+Assumptions!$B$6+IF(F746="Yes",Assumptions!$C$6,0))</f>
        <v>1208475.7631999999</v>
      </c>
      <c r="K746" s="22">
        <f>H746*(1+Assumptions!$B$7+IF(F746="Yes",Assumptions!$C$7,0))</f>
        <v>1231941.3119999999</v>
      </c>
      <c r="L746" s="22">
        <f>H746*(1+Assumptions!$B$8+IF(F746="Yes",Assumptions!$C$8,0))</f>
        <v>1185010.2143999999</v>
      </c>
    </row>
    <row r="747" spans="1:12" ht="15">
      <c r="A747" s="21">
        <v>41026</v>
      </c>
      <c r="B747" s="21">
        <v>41000</v>
      </c>
      <c r="C747" s="17">
        <v>24</v>
      </c>
      <c r="D747" s="17" t="s">
        <v>90</v>
      </c>
      <c r="E747" s="18">
        <v>203819</v>
      </c>
      <c r="F747" s="17" t="s">
        <v>91</v>
      </c>
      <c r="G747" s="14">
        <v>1194334.6499999999</v>
      </c>
      <c r="H747" s="14">
        <v>1195626.17</v>
      </c>
      <c r="I747" s="14">
        <v>1195626.17</v>
      </c>
      <c r="J747" s="22">
        <f>H747*(1+Assumptions!$B$6+IF(F747="Yes",Assumptions!$C$6,0))</f>
        <v>1231494.9550999999</v>
      </c>
      <c r="K747" s="22">
        <f>H747*(1+Assumptions!$B$7+IF(F747="Yes",Assumptions!$C$7,0))</f>
        <v>1255407.4785</v>
      </c>
      <c r="L747" s="22">
        <f>H747*(1+Assumptions!$B$8+IF(F747="Yes",Assumptions!$C$8,0))</f>
        <v>1207582.4316999998</v>
      </c>
    </row>
    <row r="748" spans="1:12" ht="15">
      <c r="A748" s="21">
        <v>41026</v>
      </c>
      <c r="B748" s="21">
        <v>41000</v>
      </c>
      <c r="C748" s="17">
        <v>25</v>
      </c>
      <c r="D748" s="17" t="s">
        <v>92</v>
      </c>
      <c r="E748" s="18">
        <v>128107</v>
      </c>
      <c r="F748" s="17" t="s">
        <v>91</v>
      </c>
      <c r="G748" s="14">
        <v>649852.41</v>
      </c>
      <c r="H748" s="14">
        <v>649125.57999999996</v>
      </c>
      <c r="I748" s="14">
        <v>649125.57999999996</v>
      </c>
      <c r="J748" s="22">
        <f>H748*(1+Assumptions!$B$6+IF(F748="Yes",Assumptions!$C$6,0))</f>
        <v>668599.34739999997</v>
      </c>
      <c r="K748" s="22">
        <f>H748*(1+Assumptions!$B$7+IF(F748="Yes",Assumptions!$C$7,0))</f>
        <v>681581.85899999994</v>
      </c>
      <c r="L748" s="22">
        <f>H748*(1+Assumptions!$B$8+IF(F748="Yes",Assumptions!$C$8,0))</f>
        <v>655616.8358</v>
      </c>
    </row>
    <row r="749" spans="1:12" ht="15">
      <c r="A749" s="21">
        <v>41026</v>
      </c>
      <c r="B749" s="21">
        <v>41000</v>
      </c>
      <c r="C749" s="17">
        <v>26</v>
      </c>
      <c r="D749" s="17" t="s">
        <v>90</v>
      </c>
      <c r="E749" s="18">
        <v>152513</v>
      </c>
      <c r="F749" s="17" t="s">
        <v>91</v>
      </c>
      <c r="G749" s="14">
        <v>911514</v>
      </c>
      <c r="H749" s="14">
        <v>873450.29</v>
      </c>
      <c r="I749" s="14">
        <v>873450.29</v>
      </c>
      <c r="J749" s="22">
        <f>H749*(1+Assumptions!$B$6+IF(F749="Yes",Assumptions!$C$6,0))</f>
        <v>899653.79870000004</v>
      </c>
      <c r="K749" s="22">
        <f>H749*(1+Assumptions!$B$7+IF(F749="Yes",Assumptions!$C$7,0))</f>
        <v>917122.80450000009</v>
      </c>
      <c r="L749" s="22">
        <f>H749*(1+Assumptions!$B$8+IF(F749="Yes",Assumptions!$C$8,0))</f>
        <v>882184.7929</v>
      </c>
    </row>
    <row r="750" spans="1:12" ht="15">
      <c r="A750" s="21">
        <v>41026</v>
      </c>
      <c r="B750" s="21">
        <v>41000</v>
      </c>
      <c r="C750" s="17">
        <v>27</v>
      </c>
      <c r="D750" s="17" t="s">
        <v>90</v>
      </c>
      <c r="E750" s="18">
        <v>204184</v>
      </c>
      <c r="F750" s="17" t="s">
        <v>91</v>
      </c>
      <c r="G750" s="14">
        <v>1565498.84</v>
      </c>
      <c r="H750" s="14">
        <v>1642070.14</v>
      </c>
      <c r="I750" s="14">
        <v>1642070.14</v>
      </c>
      <c r="J750" s="22">
        <f>H750*(1+Assumptions!$B$6+IF(F750="Yes",Assumptions!$C$6,0))</f>
        <v>1691332.2441999998</v>
      </c>
      <c r="K750" s="22">
        <f>H750*(1+Assumptions!$B$7+IF(F750="Yes",Assumptions!$C$7,0))</f>
        <v>1724173.6469999999</v>
      </c>
      <c r="L750" s="22">
        <f>H750*(1+Assumptions!$B$8+IF(F750="Yes",Assumptions!$C$8,0))</f>
        <v>1658490.8413999998</v>
      </c>
    </row>
    <row r="751" spans="1:12" ht="15">
      <c r="A751" s="21">
        <v>41026</v>
      </c>
      <c r="B751" s="21">
        <v>41000</v>
      </c>
      <c r="C751" s="17">
        <v>28</v>
      </c>
      <c r="D751" s="17" t="s">
        <v>90</v>
      </c>
      <c r="E751" s="18">
        <v>206302</v>
      </c>
      <c r="F751" s="17" t="s">
        <v>91</v>
      </c>
      <c r="G751" s="14">
        <v>1170456.1599999999</v>
      </c>
      <c r="H751" s="14">
        <v>1222308.46</v>
      </c>
      <c r="I751" s="14">
        <v>1222308.46</v>
      </c>
      <c r="J751" s="22">
        <f>H751*(1+Assumptions!$B$6+IF(F751="Yes",Assumptions!$C$6,0))</f>
        <v>1258977.7138</v>
      </c>
      <c r="K751" s="22">
        <f>H751*(1+Assumptions!$B$7+IF(F751="Yes",Assumptions!$C$7,0))</f>
        <v>1283423.8829999999</v>
      </c>
      <c r="L751" s="22">
        <f>H751*(1+Assumptions!$B$8+IF(F751="Yes",Assumptions!$C$8,0))</f>
        <v>1234531.5445999999</v>
      </c>
    </row>
    <row r="752" spans="1:12" ht="15">
      <c r="A752" s="21">
        <v>41026</v>
      </c>
      <c r="B752" s="21">
        <v>41000</v>
      </c>
      <c r="C752" s="17">
        <v>29</v>
      </c>
      <c r="D752" s="17" t="s">
        <v>92</v>
      </c>
      <c r="E752" s="18">
        <v>93638</v>
      </c>
      <c r="F752" s="17" t="s">
        <v>91</v>
      </c>
      <c r="G752" s="14">
        <v>497250.22000000003</v>
      </c>
      <c r="H752" s="14">
        <v>491674.56</v>
      </c>
      <c r="I752" s="14">
        <v>491674.56</v>
      </c>
      <c r="J752" s="22">
        <f>H752*(1+Assumptions!$B$6+IF(F752="Yes",Assumptions!$C$6,0))</f>
        <v>506424.79680000001</v>
      </c>
      <c r="K752" s="22">
        <f>H752*(1+Assumptions!$B$7+IF(F752="Yes",Assumptions!$C$7,0))</f>
        <v>516258.288</v>
      </c>
      <c r="L752" s="22">
        <f>H752*(1+Assumptions!$B$8+IF(F752="Yes",Assumptions!$C$8,0))</f>
        <v>496591.30560000002</v>
      </c>
    </row>
    <row r="753" spans="1:12" ht="15">
      <c r="A753" s="21">
        <v>41026</v>
      </c>
      <c r="B753" s="21">
        <v>41000</v>
      </c>
      <c r="C753" s="17">
        <v>30</v>
      </c>
      <c r="D753" s="17" t="s">
        <v>93</v>
      </c>
      <c r="E753" s="18">
        <v>42988</v>
      </c>
      <c r="F753" s="17" t="s">
        <v>91</v>
      </c>
      <c r="G753" s="14">
        <v>433620.95</v>
      </c>
      <c r="H753" s="14">
        <v>423195.98000000004</v>
      </c>
      <c r="I753" s="14">
        <v>423195.98000000004</v>
      </c>
      <c r="J753" s="22">
        <f>H753*(1+Assumptions!$B$6+IF(F753="Yes",Assumptions!$C$6,0))</f>
        <v>435891.85940000007</v>
      </c>
      <c r="K753" s="22">
        <f>H753*(1+Assumptions!$B$7+IF(F753="Yes",Assumptions!$C$7,0))</f>
        <v>444355.77900000004</v>
      </c>
      <c r="L753" s="22">
        <f>H753*(1+Assumptions!$B$8+IF(F753="Yes",Assumptions!$C$8,0))</f>
        <v>427427.93980000005</v>
      </c>
    </row>
    <row r="754" spans="1:12" ht="15">
      <c r="A754" s="21">
        <v>41026</v>
      </c>
      <c r="B754" s="21">
        <v>41000</v>
      </c>
      <c r="C754" s="17">
        <v>31</v>
      </c>
      <c r="D754" s="17" t="s">
        <v>90</v>
      </c>
      <c r="E754" s="18">
        <v>203750</v>
      </c>
      <c r="F754" s="17" t="s">
        <v>91</v>
      </c>
      <c r="G754" s="14">
        <v>1311352.25</v>
      </c>
      <c r="H754" s="14">
        <v>1331137.96</v>
      </c>
      <c r="I754" s="14">
        <v>1331137.96</v>
      </c>
      <c r="J754" s="22">
        <f>H754*(1+Assumptions!$B$6+IF(F754="Yes",Assumptions!$C$6,0))</f>
        <v>1371072.0988</v>
      </c>
      <c r="K754" s="22">
        <f>H754*(1+Assumptions!$B$7+IF(F754="Yes",Assumptions!$C$7,0))</f>
        <v>1397694.858</v>
      </c>
      <c r="L754" s="22">
        <f>H754*(1+Assumptions!$B$8+IF(F754="Yes",Assumptions!$C$8,0))</f>
        <v>1344449.3396000001</v>
      </c>
    </row>
    <row r="755" spans="1:12" ht="15">
      <c r="A755" s="21">
        <v>41026</v>
      </c>
      <c r="B755" s="21">
        <v>41000</v>
      </c>
      <c r="C755" s="17">
        <v>32</v>
      </c>
      <c r="D755" s="17" t="s">
        <v>90</v>
      </c>
      <c r="E755" s="18">
        <v>203007</v>
      </c>
      <c r="F755" s="17" t="s">
        <v>91</v>
      </c>
      <c r="G755" s="14">
        <v>1126932.71</v>
      </c>
      <c r="H755" s="14">
        <v>1107576.05</v>
      </c>
      <c r="I755" s="14">
        <v>1107576.05</v>
      </c>
      <c r="J755" s="22">
        <f>H755*(1+Assumptions!$B$6+IF(F755="Yes",Assumptions!$C$6,0))</f>
        <v>1140803.3315000001</v>
      </c>
      <c r="K755" s="22">
        <f>H755*(1+Assumptions!$B$7+IF(F755="Yes",Assumptions!$C$7,0))</f>
        <v>1162954.8525</v>
      </c>
      <c r="L755" s="22">
        <f>H755*(1+Assumptions!$B$8+IF(F755="Yes",Assumptions!$C$8,0))</f>
        <v>1118651.8105000001</v>
      </c>
    </row>
    <row r="756" spans="1:12" ht="15">
      <c r="A756" s="21">
        <v>41026</v>
      </c>
      <c r="B756" s="21">
        <v>41000</v>
      </c>
      <c r="C756" s="17">
        <v>33</v>
      </c>
      <c r="D756" s="17" t="s">
        <v>90</v>
      </c>
      <c r="E756" s="18">
        <v>39690</v>
      </c>
      <c r="F756" s="17" t="s">
        <v>91</v>
      </c>
      <c r="G756" s="14">
        <v>249677.86000000002</v>
      </c>
      <c r="H756" s="14">
        <v>248470.79</v>
      </c>
      <c r="I756" s="14">
        <v>248470.79</v>
      </c>
      <c r="J756" s="22">
        <f>H756*(1+Assumptions!$B$6+IF(F756="Yes",Assumptions!$C$6,0))</f>
        <v>255924.9137</v>
      </c>
      <c r="K756" s="22">
        <f>H756*(1+Assumptions!$B$7+IF(F756="Yes",Assumptions!$C$7,0))</f>
        <v>260894.32950000002</v>
      </c>
      <c r="L756" s="22">
        <f>H756*(1+Assumptions!$B$8+IF(F756="Yes",Assumptions!$C$8,0))</f>
        <v>250955.49790000002</v>
      </c>
    </row>
    <row r="757" spans="1:12" ht="15">
      <c r="A757" s="21">
        <v>41026</v>
      </c>
      <c r="B757" s="21">
        <v>41000</v>
      </c>
      <c r="C757" s="17">
        <v>34</v>
      </c>
      <c r="D757" s="17" t="s">
        <v>90</v>
      </c>
      <c r="E757" s="18">
        <v>158114</v>
      </c>
      <c r="F757" s="17" t="s">
        <v>91</v>
      </c>
      <c r="G757" s="14">
        <v>937878.87</v>
      </c>
      <c r="H757" s="14">
        <v>894476.87</v>
      </c>
      <c r="I757" s="14">
        <v>894476.87</v>
      </c>
      <c r="J757" s="22">
        <f>H757*(1+Assumptions!$B$6+IF(F757="Yes",Assumptions!$C$6,0))</f>
        <v>921311.17610000004</v>
      </c>
      <c r="K757" s="22">
        <f>H757*(1+Assumptions!$B$7+IF(F757="Yes",Assumptions!$C$7,0))</f>
        <v>939200.71350000007</v>
      </c>
      <c r="L757" s="22">
        <f>H757*(1+Assumptions!$B$8+IF(F757="Yes",Assumptions!$C$8,0))</f>
        <v>903421.63870000001</v>
      </c>
    </row>
    <row r="758" spans="1:12" ht="15">
      <c r="A758" s="21">
        <v>41026</v>
      </c>
      <c r="B758" s="21">
        <v>41000</v>
      </c>
      <c r="C758" s="17">
        <v>35</v>
      </c>
      <c r="D758" s="17" t="s">
        <v>92</v>
      </c>
      <c r="E758" s="18">
        <v>103681</v>
      </c>
      <c r="F758" s="17" t="s">
        <v>91</v>
      </c>
      <c r="G758" s="14">
        <v>721217.39</v>
      </c>
      <c r="H758" s="14">
        <v>811824.06</v>
      </c>
      <c r="I758" s="14">
        <v>811824.06</v>
      </c>
      <c r="J758" s="22">
        <f>H758*(1+Assumptions!$B$6+IF(F758="Yes",Assumptions!$C$6,0))</f>
        <v>836178.78180000011</v>
      </c>
      <c r="K758" s="22">
        <f>H758*(1+Assumptions!$B$7+IF(F758="Yes",Assumptions!$C$7,0))</f>
        <v>852415.26300000015</v>
      </c>
      <c r="L758" s="22">
        <f>H758*(1+Assumptions!$B$8+IF(F758="Yes",Assumptions!$C$8,0))</f>
        <v>819942.30060000008</v>
      </c>
    </row>
    <row r="759" spans="1:12" ht="15">
      <c r="A759" s="21">
        <v>41026</v>
      </c>
      <c r="B759" s="21">
        <v>41000</v>
      </c>
      <c r="C759" s="17">
        <v>36</v>
      </c>
      <c r="D759" s="17" t="s">
        <v>90</v>
      </c>
      <c r="E759" s="18">
        <v>39910</v>
      </c>
      <c r="F759" s="17" t="s">
        <v>91</v>
      </c>
      <c r="G759" s="14">
        <v>308274.5</v>
      </c>
      <c r="H759" s="14">
        <v>340638.67000000004</v>
      </c>
      <c r="I759" s="14">
        <v>340638.67000000004</v>
      </c>
      <c r="J759" s="22">
        <f>H759*(1+Assumptions!$B$6+IF(F759="Yes",Assumptions!$C$6,0))</f>
        <v>350857.83010000008</v>
      </c>
      <c r="K759" s="22">
        <f>H759*(1+Assumptions!$B$7+IF(F759="Yes",Assumptions!$C$7,0))</f>
        <v>357670.60350000008</v>
      </c>
      <c r="L759" s="22">
        <f>H759*(1+Assumptions!$B$8+IF(F759="Yes",Assumptions!$C$8,0))</f>
        <v>344045.05670000007</v>
      </c>
    </row>
    <row r="760" spans="1:12" ht="15">
      <c r="A760" s="21">
        <v>41026</v>
      </c>
      <c r="B760" s="21">
        <v>41000</v>
      </c>
      <c r="C760" s="17">
        <v>37</v>
      </c>
      <c r="D760" s="17" t="s">
        <v>93</v>
      </c>
      <c r="E760" s="18">
        <v>39910</v>
      </c>
      <c r="F760" s="17" t="s">
        <v>91</v>
      </c>
      <c r="G760" s="14">
        <v>528663.68000000005</v>
      </c>
      <c r="H760" s="14">
        <v>502852.2</v>
      </c>
      <c r="I760" s="14">
        <v>502852.2</v>
      </c>
      <c r="J760" s="22">
        <f>H760*(1+Assumptions!$B$6+IF(F760="Yes",Assumptions!$C$6,0))</f>
        <v>517937.766</v>
      </c>
      <c r="K760" s="22">
        <f>H760*(1+Assumptions!$B$7+IF(F760="Yes",Assumptions!$C$7,0))</f>
        <v>527994.81000000006</v>
      </c>
      <c r="L760" s="22">
        <f>H760*(1+Assumptions!$B$8+IF(F760="Yes",Assumptions!$C$8,0))</f>
        <v>507880.72200000001</v>
      </c>
    </row>
    <row r="761" spans="1:12" ht="15">
      <c r="A761" s="21">
        <v>41026</v>
      </c>
      <c r="B761" s="21">
        <v>41000</v>
      </c>
      <c r="C761" s="17">
        <v>38</v>
      </c>
      <c r="D761" s="17" t="s">
        <v>93</v>
      </c>
      <c r="E761" s="18">
        <v>39690</v>
      </c>
      <c r="F761" s="17" t="s">
        <v>91</v>
      </c>
      <c r="G761" s="14">
        <v>419771.62</v>
      </c>
      <c r="H761" s="14">
        <v>344210.89</v>
      </c>
      <c r="I761" s="14">
        <v>344210.89</v>
      </c>
      <c r="J761" s="22">
        <f>H761*(1+Assumptions!$B$6+IF(F761="Yes",Assumptions!$C$6,0))</f>
        <v>354537.21670000005</v>
      </c>
      <c r="K761" s="22">
        <f>H761*(1+Assumptions!$B$7+IF(F761="Yes",Assumptions!$C$7,0))</f>
        <v>361421.43450000003</v>
      </c>
      <c r="L761" s="22">
        <f>H761*(1+Assumptions!$B$8+IF(F761="Yes",Assumptions!$C$8,0))</f>
        <v>347652.99890000001</v>
      </c>
    </row>
    <row r="762" spans="1:12" ht="15">
      <c r="A762" s="21">
        <v>41026</v>
      </c>
      <c r="B762" s="21">
        <v>41000</v>
      </c>
      <c r="C762" s="17">
        <v>39</v>
      </c>
      <c r="D762" s="17" t="s">
        <v>90</v>
      </c>
      <c r="E762" s="18">
        <v>184109</v>
      </c>
      <c r="F762" s="17" t="s">
        <v>91</v>
      </c>
      <c r="G762" s="14">
        <v>1456444.17</v>
      </c>
      <c r="H762" s="14">
        <v>1379631.94</v>
      </c>
      <c r="I762" s="14">
        <v>1379631.94</v>
      </c>
      <c r="J762" s="22">
        <f>H762*(1+Assumptions!$B$6+IF(F762="Yes",Assumptions!$C$6,0))</f>
        <v>1421020.8981999999</v>
      </c>
      <c r="K762" s="22">
        <f>H762*(1+Assumptions!$B$7+IF(F762="Yes",Assumptions!$C$7,0))</f>
        <v>1448613.537</v>
      </c>
      <c r="L762" s="22">
        <f>H762*(1+Assumptions!$B$8+IF(F762="Yes",Assumptions!$C$8,0))</f>
        <v>1393428.2593999999</v>
      </c>
    </row>
    <row r="763" spans="1:12" ht="15">
      <c r="A763" s="21">
        <v>41026</v>
      </c>
      <c r="B763" s="21">
        <v>41000</v>
      </c>
      <c r="C763" s="17">
        <v>40</v>
      </c>
      <c r="D763" s="17" t="s">
        <v>90</v>
      </c>
      <c r="E763" s="18">
        <v>155083</v>
      </c>
      <c r="F763" s="17" t="s">
        <v>91</v>
      </c>
      <c r="G763" s="14">
        <v>875292.72</v>
      </c>
      <c r="H763" s="14">
        <v>847240.5</v>
      </c>
      <c r="I763" s="14">
        <v>847240.5</v>
      </c>
      <c r="J763" s="22">
        <f>H763*(1+Assumptions!$B$6+IF(F763="Yes",Assumptions!$C$6,0))</f>
        <v>872657.71499999997</v>
      </c>
      <c r="K763" s="22">
        <f>H763*(1+Assumptions!$B$7+IF(F763="Yes",Assumptions!$C$7,0))</f>
        <v>889602.52500000002</v>
      </c>
      <c r="L763" s="22">
        <f>H763*(1+Assumptions!$B$8+IF(F763="Yes",Assumptions!$C$8,0))</f>
        <v>855712.90500000003</v>
      </c>
    </row>
    <row r="764" spans="1:12" ht="15">
      <c r="A764" s="21">
        <v>41026</v>
      </c>
      <c r="B764" s="21">
        <v>41000</v>
      </c>
      <c r="C764" s="17">
        <v>41</v>
      </c>
      <c r="D764" s="17" t="s">
        <v>90</v>
      </c>
      <c r="E764" s="18">
        <v>196321</v>
      </c>
      <c r="F764" s="17" t="s">
        <v>91</v>
      </c>
      <c r="G764" s="14">
        <v>1248108.43</v>
      </c>
      <c r="H764" s="14">
        <v>1178841.05</v>
      </c>
      <c r="I764" s="14">
        <v>1178841.05</v>
      </c>
      <c r="J764" s="22">
        <f>H764*(1+Assumptions!$B$6+IF(F764="Yes",Assumptions!$C$6,0))</f>
        <v>1214206.2815</v>
      </c>
      <c r="K764" s="22">
        <f>H764*(1+Assumptions!$B$7+IF(F764="Yes",Assumptions!$C$7,0))</f>
        <v>1237783.1025</v>
      </c>
      <c r="L764" s="22">
        <f>H764*(1+Assumptions!$B$8+IF(F764="Yes",Assumptions!$C$8,0))</f>
        <v>1190629.4605</v>
      </c>
    </row>
    <row r="765" spans="1:12" ht="15">
      <c r="A765" s="21">
        <v>41026</v>
      </c>
      <c r="B765" s="21">
        <v>41000</v>
      </c>
      <c r="C765" s="17">
        <v>42</v>
      </c>
      <c r="D765" s="17" t="s">
        <v>93</v>
      </c>
      <c r="E765" s="18">
        <v>39690</v>
      </c>
      <c r="F765" s="17" t="s">
        <v>91</v>
      </c>
      <c r="G765" s="14">
        <v>526477.82000000007</v>
      </c>
      <c r="H765" s="14">
        <v>496010.17</v>
      </c>
      <c r="I765" s="14">
        <v>496010.17</v>
      </c>
      <c r="J765" s="22">
        <f>H765*(1+Assumptions!$B$6+IF(F765="Yes",Assumptions!$C$6,0))</f>
        <v>510890.47509999998</v>
      </c>
      <c r="K765" s="22">
        <f>H765*(1+Assumptions!$B$7+IF(F765="Yes",Assumptions!$C$7,0))</f>
        <v>520810.67849999998</v>
      </c>
      <c r="L765" s="22">
        <f>H765*(1+Assumptions!$B$8+IF(F765="Yes",Assumptions!$C$8,0))</f>
        <v>500970.27169999998</v>
      </c>
    </row>
    <row r="766" spans="1:12" ht="15">
      <c r="A766" s="21">
        <v>41026</v>
      </c>
      <c r="B766" s="21">
        <v>41000</v>
      </c>
      <c r="C766" s="17">
        <v>43</v>
      </c>
      <c r="D766" s="17" t="s">
        <v>93</v>
      </c>
      <c r="E766" s="18">
        <v>41062</v>
      </c>
      <c r="F766" s="17" t="s">
        <v>91</v>
      </c>
      <c r="G766" s="14">
        <v>592092.80000000005</v>
      </c>
      <c r="H766" s="14">
        <v>611185.29999999993</v>
      </c>
      <c r="I766" s="14">
        <v>611185.29999999993</v>
      </c>
      <c r="J766" s="22">
        <f>H766*(1+Assumptions!$B$6+IF(F766="Yes",Assumptions!$C$6,0))</f>
        <v>629520.85899999994</v>
      </c>
      <c r="K766" s="22">
        <f>H766*(1+Assumptions!$B$7+IF(F766="Yes",Assumptions!$C$7,0))</f>
        <v>641744.56499999994</v>
      </c>
      <c r="L766" s="22">
        <f>H766*(1+Assumptions!$B$8+IF(F766="Yes",Assumptions!$C$8,0))</f>
        <v>617297.15299999993</v>
      </c>
    </row>
    <row r="767" spans="1:12" ht="15">
      <c r="A767" s="21">
        <v>41026</v>
      </c>
      <c r="B767" s="21">
        <v>41000</v>
      </c>
      <c r="C767" s="17">
        <v>44</v>
      </c>
      <c r="D767" s="17" t="s">
        <v>93</v>
      </c>
      <c r="E767" s="18">
        <v>39910</v>
      </c>
      <c r="F767" s="17" t="s">
        <v>91</v>
      </c>
      <c r="G767" s="14">
        <v>330235.11</v>
      </c>
      <c r="H767" s="14">
        <v>281072.23</v>
      </c>
      <c r="I767" s="14">
        <v>281072.23</v>
      </c>
      <c r="J767" s="22">
        <f>H767*(1+Assumptions!$B$6+IF(F767="Yes",Assumptions!$C$6,0))</f>
        <v>289504.39689999999</v>
      </c>
      <c r="K767" s="22">
        <f>H767*(1+Assumptions!$B$7+IF(F767="Yes",Assumptions!$C$7,0))</f>
        <v>295125.84149999998</v>
      </c>
      <c r="L767" s="22">
        <f>H767*(1+Assumptions!$B$8+IF(F767="Yes",Assumptions!$C$8,0))</f>
        <v>283882.9523</v>
      </c>
    </row>
    <row r="768" spans="1:12" ht="15">
      <c r="A768" s="21">
        <v>41026</v>
      </c>
      <c r="B768" s="21">
        <v>41000</v>
      </c>
      <c r="C768" s="17">
        <v>45</v>
      </c>
      <c r="D768" s="17" t="s">
        <v>92</v>
      </c>
      <c r="E768" s="18">
        <v>118221</v>
      </c>
      <c r="F768" s="17" t="s">
        <v>91</v>
      </c>
      <c r="G768" s="14">
        <v>711551.09</v>
      </c>
      <c r="H768" s="14">
        <v>786561.61</v>
      </c>
      <c r="I768" s="14">
        <v>786561.61</v>
      </c>
      <c r="J768" s="22">
        <f>H768*(1+Assumptions!$B$6+IF(F768="Yes",Assumptions!$C$6,0))</f>
        <v>810158.45830000006</v>
      </c>
      <c r="K768" s="22">
        <f>H768*(1+Assumptions!$B$7+IF(F768="Yes",Assumptions!$C$7,0))</f>
        <v>825889.69050000003</v>
      </c>
      <c r="L768" s="22">
        <f>H768*(1+Assumptions!$B$8+IF(F768="Yes",Assumptions!$C$8,0))</f>
        <v>794427.22609999997</v>
      </c>
    </row>
    <row r="769" spans="1:12" ht="15">
      <c r="A769" s="21">
        <v>41033</v>
      </c>
      <c r="B769" s="21">
        <v>41030</v>
      </c>
      <c r="C769" s="17">
        <v>1</v>
      </c>
      <c r="D769" s="17" t="s">
        <v>90</v>
      </c>
      <c r="E769" s="18">
        <v>151315</v>
      </c>
      <c r="F769" s="17" t="s">
        <v>91</v>
      </c>
      <c r="G769" s="14">
        <v>1684469.99</v>
      </c>
      <c r="H769" s="14">
        <v>1629365.48</v>
      </c>
      <c r="I769" s="14">
        <v>1629365.48</v>
      </c>
      <c r="J769" s="22">
        <f>H769*(1+Assumptions!$B$6+IF(F769="Yes",Assumptions!$C$6,0))</f>
        <v>1678246.4443999999</v>
      </c>
      <c r="K769" s="22">
        <f>H769*(1+Assumptions!$B$7+IF(F769="Yes",Assumptions!$C$7,0))</f>
        <v>1710833.754</v>
      </c>
      <c r="L769" s="22">
        <f>H769*(1+Assumptions!$B$8+IF(F769="Yes",Assumptions!$C$8,0))</f>
        <v>1645659.1347999999</v>
      </c>
    </row>
    <row r="770" spans="1:12" ht="15">
      <c r="A770" s="21">
        <v>41033</v>
      </c>
      <c r="B770" s="21">
        <v>41030</v>
      </c>
      <c r="C770" s="17">
        <v>2</v>
      </c>
      <c r="D770" s="17" t="s">
        <v>90</v>
      </c>
      <c r="E770" s="18">
        <v>202307</v>
      </c>
      <c r="F770" s="17" t="s">
        <v>91</v>
      </c>
      <c r="G770" s="14">
        <v>1923957.0899999999</v>
      </c>
      <c r="H770" s="14">
        <v>1836649.37</v>
      </c>
      <c r="I770" s="14">
        <v>1836649.37</v>
      </c>
      <c r="J770" s="22">
        <f>H770*(1+Assumptions!$B$6+IF(F770="Yes",Assumptions!$C$6,0))</f>
        <v>1891748.8511000001</v>
      </c>
      <c r="K770" s="22">
        <f>H770*(1+Assumptions!$B$7+IF(F770="Yes",Assumptions!$C$7,0))</f>
        <v>1928481.8385000003</v>
      </c>
      <c r="L770" s="22">
        <f>H770*(1+Assumptions!$B$8+IF(F770="Yes",Assumptions!$C$8,0))</f>
        <v>1855015.8637000001</v>
      </c>
    </row>
    <row r="771" spans="1:12" ht="15">
      <c r="A771" s="21">
        <v>41033</v>
      </c>
      <c r="B771" s="21">
        <v>41030</v>
      </c>
      <c r="C771" s="17">
        <v>3</v>
      </c>
      <c r="D771" s="17" t="s">
        <v>92</v>
      </c>
      <c r="E771" s="18">
        <v>37392</v>
      </c>
      <c r="F771" s="17" t="s">
        <v>91</v>
      </c>
      <c r="G771" s="14">
        <v>439886.84</v>
      </c>
      <c r="H771" s="14">
        <v>412139.68</v>
      </c>
      <c r="I771" s="14">
        <v>412139.68</v>
      </c>
      <c r="J771" s="22">
        <f>H771*(1+Assumptions!$B$6+IF(F771="Yes",Assumptions!$C$6,0))</f>
        <v>424503.87040000001</v>
      </c>
      <c r="K771" s="22">
        <f>H771*(1+Assumptions!$B$7+IF(F771="Yes",Assumptions!$C$7,0))</f>
        <v>432746.66399999999</v>
      </c>
      <c r="L771" s="22">
        <f>H771*(1+Assumptions!$B$8+IF(F771="Yes",Assumptions!$C$8,0))</f>
        <v>416261.07679999998</v>
      </c>
    </row>
    <row r="772" spans="1:12" ht="15">
      <c r="A772" s="21">
        <v>41033</v>
      </c>
      <c r="B772" s="21">
        <v>41030</v>
      </c>
      <c r="C772" s="17">
        <v>4</v>
      </c>
      <c r="D772" s="17" t="s">
        <v>90</v>
      </c>
      <c r="E772" s="18">
        <v>205863</v>
      </c>
      <c r="F772" s="17" t="s">
        <v>91</v>
      </c>
      <c r="G772" s="14">
        <v>2196968.33</v>
      </c>
      <c r="H772" s="14">
        <v>2063682.76</v>
      </c>
      <c r="I772" s="14">
        <v>2063682.76</v>
      </c>
      <c r="J772" s="22">
        <f>H772*(1+Assumptions!$B$6+IF(F772="Yes",Assumptions!$C$6,0))</f>
        <v>2125593.2428000001</v>
      </c>
      <c r="K772" s="22">
        <f>H772*(1+Assumptions!$B$7+IF(F772="Yes",Assumptions!$C$7,0))</f>
        <v>2166866.898</v>
      </c>
      <c r="L772" s="22">
        <f>H772*(1+Assumptions!$B$8+IF(F772="Yes",Assumptions!$C$8,0))</f>
        <v>2084319.5876</v>
      </c>
    </row>
    <row r="773" spans="1:12" ht="15">
      <c r="A773" s="21">
        <v>41033</v>
      </c>
      <c r="B773" s="21">
        <v>41030</v>
      </c>
      <c r="C773" s="17">
        <v>5</v>
      </c>
      <c r="D773" s="17" t="s">
        <v>92</v>
      </c>
      <c r="E773" s="18">
        <v>34875</v>
      </c>
      <c r="F773" s="17" t="s">
        <v>91</v>
      </c>
      <c r="G773" s="14">
        <v>360850.38</v>
      </c>
      <c r="H773" s="14">
        <v>321981.78999999998</v>
      </c>
      <c r="I773" s="14">
        <v>321981.78999999998</v>
      </c>
      <c r="J773" s="22">
        <f>H773*(1+Assumptions!$B$6+IF(F773="Yes",Assumptions!$C$6,0))</f>
        <v>331641.24369999999</v>
      </c>
      <c r="K773" s="22">
        <f>H773*(1+Assumptions!$B$7+IF(F773="Yes",Assumptions!$C$7,0))</f>
        <v>338080.87949999998</v>
      </c>
      <c r="L773" s="22">
        <f>H773*(1+Assumptions!$B$8+IF(F773="Yes",Assumptions!$C$8,0))</f>
        <v>325201.6079</v>
      </c>
    </row>
    <row r="774" spans="1:12" ht="15">
      <c r="A774" s="21">
        <v>41033</v>
      </c>
      <c r="B774" s="21">
        <v>41030</v>
      </c>
      <c r="C774" s="17">
        <v>6</v>
      </c>
      <c r="D774" s="17" t="s">
        <v>90</v>
      </c>
      <c r="E774" s="18">
        <v>202505</v>
      </c>
      <c r="F774" s="17" t="s">
        <v>91</v>
      </c>
      <c r="G774" s="14">
        <v>1543461.12</v>
      </c>
      <c r="H774" s="14">
        <v>1504640.1</v>
      </c>
      <c r="I774" s="14">
        <v>1504640.1</v>
      </c>
      <c r="J774" s="22">
        <f>H774*(1+Assumptions!$B$6+IF(F774="Yes",Assumptions!$C$6,0))</f>
        <v>1549779.3030000001</v>
      </c>
      <c r="K774" s="22">
        <f>H774*(1+Assumptions!$B$7+IF(F774="Yes",Assumptions!$C$7,0))</f>
        <v>1579872.1050000002</v>
      </c>
      <c r="L774" s="22">
        <f>H774*(1+Assumptions!$B$8+IF(F774="Yes",Assumptions!$C$8,0))</f>
        <v>1519686.5010000002</v>
      </c>
    </row>
    <row r="775" spans="1:12" ht="15">
      <c r="A775" s="21">
        <v>41033</v>
      </c>
      <c r="B775" s="21">
        <v>41030</v>
      </c>
      <c r="C775" s="17">
        <v>7</v>
      </c>
      <c r="D775" s="17" t="s">
        <v>92</v>
      </c>
      <c r="E775" s="18">
        <v>70713</v>
      </c>
      <c r="F775" s="17" t="s">
        <v>91</v>
      </c>
      <c r="G775" s="14">
        <v>465166.16000000003</v>
      </c>
      <c r="H775" s="14">
        <v>406935.12</v>
      </c>
      <c r="I775" s="14">
        <v>406935.12</v>
      </c>
      <c r="J775" s="22">
        <f>H775*(1+Assumptions!$B$6+IF(F775="Yes",Assumptions!$C$6,0))</f>
        <v>419143.17359999998</v>
      </c>
      <c r="K775" s="22">
        <f>H775*(1+Assumptions!$B$7+IF(F775="Yes",Assumptions!$C$7,0))</f>
        <v>427281.87599999999</v>
      </c>
      <c r="L775" s="22">
        <f>H775*(1+Assumptions!$B$8+IF(F775="Yes",Assumptions!$C$8,0))</f>
        <v>411004.47119999997</v>
      </c>
    </row>
    <row r="776" spans="1:12" ht="15">
      <c r="A776" s="21">
        <v>41033</v>
      </c>
      <c r="B776" s="21">
        <v>41030</v>
      </c>
      <c r="C776" s="17">
        <v>8</v>
      </c>
      <c r="D776" s="17" t="s">
        <v>90</v>
      </c>
      <c r="E776" s="18">
        <v>155078</v>
      </c>
      <c r="F776" s="17" t="s">
        <v>91</v>
      </c>
      <c r="G776" s="14">
        <v>937232.09</v>
      </c>
      <c r="H776" s="14">
        <v>941457.34</v>
      </c>
      <c r="I776" s="14">
        <v>941457.34</v>
      </c>
      <c r="J776" s="22">
        <f>H776*(1+Assumptions!$B$6+IF(F776="Yes",Assumptions!$C$6,0))</f>
        <v>969701.06019999995</v>
      </c>
      <c r="K776" s="22">
        <f>H776*(1+Assumptions!$B$7+IF(F776="Yes",Assumptions!$C$7,0))</f>
        <v>988530.20700000005</v>
      </c>
      <c r="L776" s="22">
        <f>H776*(1+Assumptions!$B$8+IF(F776="Yes",Assumptions!$C$8,0))</f>
        <v>950871.91339999996</v>
      </c>
    </row>
    <row r="777" spans="1:12" ht="15">
      <c r="A777" s="21">
        <v>41033</v>
      </c>
      <c r="B777" s="21">
        <v>41030</v>
      </c>
      <c r="C777" s="17">
        <v>9</v>
      </c>
      <c r="D777" s="17" t="s">
        <v>92</v>
      </c>
      <c r="E777" s="18">
        <v>125833</v>
      </c>
      <c r="F777" s="17" t="s">
        <v>91</v>
      </c>
      <c r="G777" s="14">
        <v>586234.5</v>
      </c>
      <c r="H777" s="14">
        <v>544700.79</v>
      </c>
      <c r="I777" s="14">
        <v>544700.79</v>
      </c>
      <c r="J777" s="22">
        <f>H777*(1+Assumptions!$B$6+IF(F777="Yes",Assumptions!$C$6,0))</f>
        <v>561041.81370000006</v>
      </c>
      <c r="K777" s="22">
        <f>H777*(1+Assumptions!$B$7+IF(F777="Yes",Assumptions!$C$7,0))</f>
        <v>571935.82950000011</v>
      </c>
      <c r="L777" s="22">
        <f>H777*(1+Assumptions!$B$8+IF(F777="Yes",Assumptions!$C$8,0))</f>
        <v>550147.79790000001</v>
      </c>
    </row>
    <row r="778" spans="1:12" ht="15">
      <c r="A778" s="21">
        <v>41033</v>
      </c>
      <c r="B778" s="21">
        <v>41030</v>
      </c>
      <c r="C778" s="17">
        <v>10</v>
      </c>
      <c r="D778" s="17" t="s">
        <v>92</v>
      </c>
      <c r="E778" s="18">
        <v>126512</v>
      </c>
      <c r="F778" s="17" t="s">
        <v>91</v>
      </c>
      <c r="G778" s="14">
        <v>1821364.42</v>
      </c>
      <c r="H778" s="14">
        <v>1840827.11</v>
      </c>
      <c r="I778" s="14">
        <v>1840827.11</v>
      </c>
      <c r="J778" s="22">
        <f>H778*(1+Assumptions!$B$6+IF(F778="Yes",Assumptions!$C$6,0))</f>
        <v>1896051.9233000001</v>
      </c>
      <c r="K778" s="22">
        <f>H778*(1+Assumptions!$B$7+IF(F778="Yes",Assumptions!$C$7,0))</f>
        <v>1932868.4655000002</v>
      </c>
      <c r="L778" s="22">
        <f>H778*(1+Assumptions!$B$8+IF(F778="Yes",Assumptions!$C$8,0))</f>
        <v>1859235.3811000001</v>
      </c>
    </row>
    <row r="779" spans="1:12" ht="15">
      <c r="A779" s="21">
        <v>41033</v>
      </c>
      <c r="B779" s="21">
        <v>41030</v>
      </c>
      <c r="C779" s="17">
        <v>11</v>
      </c>
      <c r="D779" s="17" t="s">
        <v>90</v>
      </c>
      <c r="E779" s="18">
        <v>207499</v>
      </c>
      <c r="F779" s="17" t="s">
        <v>91</v>
      </c>
      <c r="G779" s="14">
        <v>1368160.35</v>
      </c>
      <c r="H779" s="14">
        <v>1331436.78</v>
      </c>
      <c r="I779" s="14">
        <v>1331436.78</v>
      </c>
      <c r="J779" s="22">
        <f>H779*(1+Assumptions!$B$6+IF(F779="Yes",Assumptions!$C$6,0))</f>
        <v>1371379.8834000002</v>
      </c>
      <c r="K779" s="22">
        <f>H779*(1+Assumptions!$B$7+IF(F779="Yes",Assumptions!$C$7,0))</f>
        <v>1398008.6190000002</v>
      </c>
      <c r="L779" s="22">
        <f>H779*(1+Assumptions!$B$8+IF(F779="Yes",Assumptions!$C$8,0))</f>
        <v>1344751.1478000002</v>
      </c>
    </row>
    <row r="780" spans="1:12" ht="15">
      <c r="A780" s="21">
        <v>41033</v>
      </c>
      <c r="B780" s="21">
        <v>41030</v>
      </c>
      <c r="C780" s="17">
        <v>12</v>
      </c>
      <c r="D780" s="17" t="s">
        <v>92</v>
      </c>
      <c r="E780" s="18">
        <v>112238</v>
      </c>
      <c r="F780" s="17" t="s">
        <v>91</v>
      </c>
      <c r="G780" s="14">
        <v>1073353.3800000001</v>
      </c>
      <c r="H780" s="14">
        <v>1021154.48</v>
      </c>
      <c r="I780" s="14">
        <v>1021154.48</v>
      </c>
      <c r="J780" s="22">
        <f>H780*(1+Assumptions!$B$6+IF(F780="Yes",Assumptions!$C$6,0))</f>
        <v>1051789.1144000001</v>
      </c>
      <c r="K780" s="22">
        <f>H780*(1+Assumptions!$B$7+IF(F780="Yes",Assumptions!$C$7,0))</f>
        <v>1072212.2039999999</v>
      </c>
      <c r="L780" s="22">
        <f>H780*(1+Assumptions!$B$8+IF(F780="Yes",Assumptions!$C$8,0))</f>
        <v>1031366.0248</v>
      </c>
    </row>
    <row r="781" spans="1:12" ht="15">
      <c r="A781" s="21">
        <v>41033</v>
      </c>
      <c r="B781" s="21">
        <v>41030</v>
      </c>
      <c r="C781" s="17">
        <v>13</v>
      </c>
      <c r="D781" s="17" t="s">
        <v>90</v>
      </c>
      <c r="E781" s="18">
        <v>219622</v>
      </c>
      <c r="F781" s="17" t="s">
        <v>91</v>
      </c>
      <c r="G781" s="14">
        <v>1995994.51</v>
      </c>
      <c r="H781" s="14">
        <v>1986350.44</v>
      </c>
      <c r="I781" s="14">
        <v>1986350.44</v>
      </c>
      <c r="J781" s="22">
        <f>H781*(1+Assumptions!$B$6+IF(F781="Yes",Assumptions!$C$6,0))</f>
        <v>2045940.9532000001</v>
      </c>
      <c r="K781" s="22">
        <f>H781*(1+Assumptions!$B$7+IF(F781="Yes",Assumptions!$C$7,0))</f>
        <v>2085667.9620000001</v>
      </c>
      <c r="L781" s="22">
        <f>H781*(1+Assumptions!$B$8+IF(F781="Yes",Assumptions!$C$8,0))</f>
        <v>2006213.9443999999</v>
      </c>
    </row>
    <row r="782" spans="1:12" ht="15">
      <c r="A782" s="21">
        <v>41033</v>
      </c>
      <c r="B782" s="21">
        <v>41030</v>
      </c>
      <c r="C782" s="17">
        <v>14</v>
      </c>
      <c r="D782" s="17" t="s">
        <v>90</v>
      </c>
      <c r="E782" s="18">
        <v>200898</v>
      </c>
      <c r="F782" s="17" t="s">
        <v>91</v>
      </c>
      <c r="G782" s="14">
        <v>1949354.29</v>
      </c>
      <c r="H782" s="14">
        <v>2095599.93</v>
      </c>
      <c r="I782" s="14">
        <v>2095599.93</v>
      </c>
      <c r="J782" s="22">
        <f>H782*(1+Assumptions!$B$6+IF(F782="Yes",Assumptions!$C$6,0))</f>
        <v>2158467.9279</v>
      </c>
      <c r="K782" s="22">
        <f>H782*(1+Assumptions!$B$7+IF(F782="Yes",Assumptions!$C$7,0))</f>
        <v>2200379.9265000001</v>
      </c>
      <c r="L782" s="22">
        <f>H782*(1+Assumptions!$B$8+IF(F782="Yes",Assumptions!$C$8,0))</f>
        <v>2116555.9293</v>
      </c>
    </row>
    <row r="783" spans="1:12" ht="15">
      <c r="A783" s="21">
        <v>41033</v>
      </c>
      <c r="B783" s="21">
        <v>41030</v>
      </c>
      <c r="C783" s="17">
        <v>15</v>
      </c>
      <c r="D783" s="17" t="s">
        <v>92</v>
      </c>
      <c r="E783" s="18">
        <v>123737</v>
      </c>
      <c r="F783" s="17" t="s">
        <v>91</v>
      </c>
      <c r="G783" s="14">
        <v>577552.94999999995</v>
      </c>
      <c r="H783" s="14">
        <v>630522.67000000004</v>
      </c>
      <c r="I783" s="14">
        <v>630522.67000000004</v>
      </c>
      <c r="J783" s="22">
        <f>H783*(1+Assumptions!$B$6+IF(F783="Yes",Assumptions!$C$6,0))</f>
        <v>649438.35010000004</v>
      </c>
      <c r="K783" s="22">
        <f>H783*(1+Assumptions!$B$7+IF(F783="Yes",Assumptions!$C$7,0))</f>
        <v>662048.80350000004</v>
      </c>
      <c r="L783" s="22">
        <f>H783*(1+Assumptions!$B$8+IF(F783="Yes",Assumptions!$C$8,0))</f>
        <v>636827.89670000004</v>
      </c>
    </row>
    <row r="784" spans="1:12" ht="15">
      <c r="A784" s="21">
        <v>41033</v>
      </c>
      <c r="B784" s="21">
        <v>41030</v>
      </c>
      <c r="C784" s="17">
        <v>16</v>
      </c>
      <c r="D784" s="17" t="s">
        <v>92</v>
      </c>
      <c r="E784" s="18">
        <v>57197</v>
      </c>
      <c r="F784" s="17" t="s">
        <v>91</v>
      </c>
      <c r="G784" s="14">
        <v>422691.74</v>
      </c>
      <c r="H784" s="14">
        <v>423803.97</v>
      </c>
      <c r="I784" s="14">
        <v>423803.97</v>
      </c>
      <c r="J784" s="22">
        <f>H784*(1+Assumptions!$B$6+IF(F784="Yes",Assumptions!$C$6,0))</f>
        <v>436518.08909999998</v>
      </c>
      <c r="K784" s="22">
        <f>H784*(1+Assumptions!$B$7+IF(F784="Yes",Assumptions!$C$7,0))</f>
        <v>444994.16849999997</v>
      </c>
      <c r="L784" s="22">
        <f>H784*(1+Assumptions!$B$8+IF(F784="Yes",Assumptions!$C$8,0))</f>
        <v>428042.0097</v>
      </c>
    </row>
    <row r="785" spans="1:12" ht="15">
      <c r="A785" s="21">
        <v>41033</v>
      </c>
      <c r="B785" s="21">
        <v>41030</v>
      </c>
      <c r="C785" s="17">
        <v>17</v>
      </c>
      <c r="D785" s="17" t="s">
        <v>92</v>
      </c>
      <c r="E785" s="18">
        <v>93188</v>
      </c>
      <c r="F785" s="17" t="s">
        <v>91</v>
      </c>
      <c r="G785" s="14">
        <v>929330.94</v>
      </c>
      <c r="H785" s="14">
        <v>882123.28</v>
      </c>
      <c r="I785" s="14">
        <v>882123.28</v>
      </c>
      <c r="J785" s="22">
        <f>H785*(1+Assumptions!$B$6+IF(F785="Yes",Assumptions!$C$6,0))</f>
        <v>908586.97840000002</v>
      </c>
      <c r="K785" s="22">
        <f>H785*(1+Assumptions!$B$7+IF(F785="Yes",Assumptions!$C$7,0))</f>
        <v>926229.44400000002</v>
      </c>
      <c r="L785" s="22">
        <f>H785*(1+Assumptions!$B$8+IF(F785="Yes",Assumptions!$C$8,0))</f>
        <v>890944.51280000003</v>
      </c>
    </row>
    <row r="786" spans="1:12" ht="15">
      <c r="A786" s="21">
        <v>41033</v>
      </c>
      <c r="B786" s="21">
        <v>41030</v>
      </c>
      <c r="C786" s="17">
        <v>18</v>
      </c>
      <c r="D786" s="17" t="s">
        <v>92</v>
      </c>
      <c r="E786" s="18">
        <v>120653</v>
      </c>
      <c r="F786" s="17" t="s">
        <v>91</v>
      </c>
      <c r="G786" s="14">
        <v>1050027.8899999999</v>
      </c>
      <c r="H786" s="14">
        <v>1065425.8700000001</v>
      </c>
      <c r="I786" s="14">
        <v>1065425.8700000001</v>
      </c>
      <c r="J786" s="22">
        <f>H786*(1+Assumptions!$B$6+IF(F786="Yes",Assumptions!$C$6,0))</f>
        <v>1097388.6461000002</v>
      </c>
      <c r="K786" s="22">
        <f>H786*(1+Assumptions!$B$7+IF(F786="Yes",Assumptions!$C$7,0))</f>
        <v>1118697.1635000003</v>
      </c>
      <c r="L786" s="22">
        <f>H786*(1+Assumptions!$B$8+IF(F786="Yes",Assumptions!$C$8,0))</f>
        <v>1076080.1287000002</v>
      </c>
    </row>
    <row r="787" spans="1:12" ht="15">
      <c r="A787" s="21">
        <v>41033</v>
      </c>
      <c r="B787" s="21">
        <v>41030</v>
      </c>
      <c r="C787" s="17">
        <v>19</v>
      </c>
      <c r="D787" s="17" t="s">
        <v>90</v>
      </c>
      <c r="E787" s="18">
        <v>203819</v>
      </c>
      <c r="F787" s="17" t="s">
        <v>91</v>
      </c>
      <c r="G787" s="14">
        <v>1404952.56</v>
      </c>
      <c r="H787" s="14">
        <v>1451956.39</v>
      </c>
      <c r="I787" s="14">
        <v>1451956.39</v>
      </c>
      <c r="J787" s="22">
        <f>H787*(1+Assumptions!$B$6+IF(F787="Yes",Assumptions!$C$6,0))</f>
        <v>1495515.0817</v>
      </c>
      <c r="K787" s="22">
        <f>H787*(1+Assumptions!$B$7+IF(F787="Yes",Assumptions!$C$7,0))</f>
        <v>1524554.2094999999</v>
      </c>
      <c r="L787" s="22">
        <f>H787*(1+Assumptions!$B$8+IF(F787="Yes",Assumptions!$C$8,0))</f>
        <v>1466475.9538999998</v>
      </c>
    </row>
    <row r="788" spans="1:12" ht="15">
      <c r="A788" s="21">
        <v>41033</v>
      </c>
      <c r="B788" s="21">
        <v>41030</v>
      </c>
      <c r="C788" s="17">
        <v>20</v>
      </c>
      <c r="D788" s="17" t="s">
        <v>90</v>
      </c>
      <c r="E788" s="18">
        <v>203742</v>
      </c>
      <c r="F788" s="17" t="s">
        <v>91</v>
      </c>
      <c r="G788" s="14">
        <v>2163472.89</v>
      </c>
      <c r="H788" s="14">
        <v>2090817.5</v>
      </c>
      <c r="I788" s="14">
        <v>2090817.5</v>
      </c>
      <c r="J788" s="22">
        <f>H788*(1+Assumptions!$B$6+IF(F788="Yes",Assumptions!$C$6,0))</f>
        <v>2153542.0249999999</v>
      </c>
      <c r="K788" s="22">
        <f>H788*(1+Assumptions!$B$7+IF(F788="Yes",Assumptions!$C$7,0))</f>
        <v>2195358.375</v>
      </c>
      <c r="L788" s="22">
        <f>H788*(1+Assumptions!$B$8+IF(F788="Yes",Assumptions!$C$8,0))</f>
        <v>2111725.6749999998</v>
      </c>
    </row>
    <row r="789" spans="1:12" ht="15">
      <c r="A789" s="21">
        <v>41033</v>
      </c>
      <c r="B789" s="21">
        <v>41030</v>
      </c>
      <c r="C789" s="17">
        <v>21</v>
      </c>
      <c r="D789" s="17" t="s">
        <v>92</v>
      </c>
      <c r="E789" s="18">
        <v>140167</v>
      </c>
      <c r="F789" s="17" t="s">
        <v>91</v>
      </c>
      <c r="G789" s="14">
        <v>696045.32</v>
      </c>
      <c r="H789" s="14">
        <v>718678.80999999994</v>
      </c>
      <c r="I789" s="14">
        <v>718678.80999999994</v>
      </c>
      <c r="J789" s="22">
        <f>H789*(1+Assumptions!$B$6+IF(F789="Yes",Assumptions!$C$6,0))</f>
        <v>740239.17429999996</v>
      </c>
      <c r="K789" s="22">
        <f>H789*(1+Assumptions!$B$7+IF(F789="Yes",Assumptions!$C$7,0))</f>
        <v>754612.75049999997</v>
      </c>
      <c r="L789" s="22">
        <f>H789*(1+Assumptions!$B$8+IF(F789="Yes",Assumptions!$C$8,0))</f>
        <v>725865.59809999994</v>
      </c>
    </row>
    <row r="790" spans="1:12" ht="15">
      <c r="A790" s="21">
        <v>41033</v>
      </c>
      <c r="B790" s="21">
        <v>41030</v>
      </c>
      <c r="C790" s="17">
        <v>22</v>
      </c>
      <c r="D790" s="17" t="s">
        <v>92</v>
      </c>
      <c r="E790" s="18">
        <v>119557</v>
      </c>
      <c r="F790" s="17" t="s">
        <v>91</v>
      </c>
      <c r="G790" s="14">
        <v>1003874.92</v>
      </c>
      <c r="H790" s="14">
        <v>1031992.14</v>
      </c>
      <c r="I790" s="14">
        <v>1031992.14</v>
      </c>
      <c r="J790" s="22">
        <f>H790*(1+Assumptions!$B$6+IF(F790="Yes",Assumptions!$C$6,0))</f>
        <v>1062951.9042</v>
      </c>
      <c r="K790" s="22">
        <f>H790*(1+Assumptions!$B$7+IF(F790="Yes",Assumptions!$C$7,0))</f>
        <v>1083591.747</v>
      </c>
      <c r="L790" s="22">
        <f>H790*(1+Assumptions!$B$8+IF(F790="Yes",Assumptions!$C$8,0))</f>
        <v>1042312.0614</v>
      </c>
    </row>
    <row r="791" spans="1:12" ht="15">
      <c r="A791" s="21">
        <v>41033</v>
      </c>
      <c r="B791" s="21">
        <v>41030</v>
      </c>
      <c r="C791" s="17">
        <v>23</v>
      </c>
      <c r="D791" s="17" t="s">
        <v>92</v>
      </c>
      <c r="E791" s="18">
        <v>114533</v>
      </c>
      <c r="F791" s="17" t="s">
        <v>91</v>
      </c>
      <c r="G791" s="14">
        <v>1317379.68</v>
      </c>
      <c r="H791" s="14">
        <v>1358596.17</v>
      </c>
      <c r="I791" s="14">
        <v>1358596.17</v>
      </c>
      <c r="J791" s="22">
        <f>H791*(1+Assumptions!$B$6+IF(F791="Yes",Assumptions!$C$6,0))</f>
        <v>1399354.0551</v>
      </c>
      <c r="K791" s="22">
        <f>H791*(1+Assumptions!$B$7+IF(F791="Yes",Assumptions!$C$7,0))</f>
        <v>1426525.9785</v>
      </c>
      <c r="L791" s="22">
        <f>H791*(1+Assumptions!$B$8+IF(F791="Yes",Assumptions!$C$8,0))</f>
        <v>1372182.1317</v>
      </c>
    </row>
    <row r="792" spans="1:12" ht="15">
      <c r="A792" s="21">
        <v>41033</v>
      </c>
      <c r="B792" s="21">
        <v>41030</v>
      </c>
      <c r="C792" s="17">
        <v>24</v>
      </c>
      <c r="D792" s="17" t="s">
        <v>90</v>
      </c>
      <c r="E792" s="18">
        <v>203819</v>
      </c>
      <c r="F792" s="17" t="s">
        <v>91</v>
      </c>
      <c r="G792" s="14">
        <v>1306261.71</v>
      </c>
      <c r="H792" s="14">
        <v>1339630.3500000001</v>
      </c>
      <c r="I792" s="14">
        <v>1339630.3500000001</v>
      </c>
      <c r="J792" s="22">
        <f>H792*(1+Assumptions!$B$6+IF(F792="Yes",Assumptions!$C$6,0))</f>
        <v>1379819.2605000001</v>
      </c>
      <c r="K792" s="22">
        <f>H792*(1+Assumptions!$B$7+IF(F792="Yes",Assumptions!$C$7,0))</f>
        <v>1406611.8675000002</v>
      </c>
      <c r="L792" s="22">
        <f>H792*(1+Assumptions!$B$8+IF(F792="Yes",Assumptions!$C$8,0))</f>
        <v>1353026.6535</v>
      </c>
    </row>
    <row r="793" spans="1:12" ht="15">
      <c r="A793" s="21">
        <v>41033</v>
      </c>
      <c r="B793" s="21">
        <v>41030</v>
      </c>
      <c r="C793" s="17">
        <v>25</v>
      </c>
      <c r="D793" s="17" t="s">
        <v>92</v>
      </c>
      <c r="E793" s="18">
        <v>128107</v>
      </c>
      <c r="F793" s="17" t="s">
        <v>91</v>
      </c>
      <c r="G793" s="14">
        <v>696001.72</v>
      </c>
      <c r="H793" s="14">
        <v>658308.4</v>
      </c>
      <c r="I793" s="14">
        <v>658308.4</v>
      </c>
      <c r="J793" s="22">
        <f>H793*(1+Assumptions!$B$6+IF(F793="Yes",Assumptions!$C$6,0))</f>
        <v>678057.652</v>
      </c>
      <c r="K793" s="22">
        <f>H793*(1+Assumptions!$B$7+IF(F793="Yes",Assumptions!$C$7,0))</f>
        <v>691223.82000000007</v>
      </c>
      <c r="L793" s="22">
        <f>H793*(1+Assumptions!$B$8+IF(F793="Yes",Assumptions!$C$8,0))</f>
        <v>664891.48400000005</v>
      </c>
    </row>
    <row r="794" spans="1:12" ht="15">
      <c r="A794" s="21">
        <v>41033</v>
      </c>
      <c r="B794" s="21">
        <v>41030</v>
      </c>
      <c r="C794" s="17">
        <v>26</v>
      </c>
      <c r="D794" s="17" t="s">
        <v>90</v>
      </c>
      <c r="E794" s="18">
        <v>152513</v>
      </c>
      <c r="F794" s="17" t="s">
        <v>91</v>
      </c>
      <c r="G794" s="14">
        <v>946573.29</v>
      </c>
      <c r="H794" s="14">
        <v>1024755.29</v>
      </c>
      <c r="I794" s="14">
        <v>1024755.29</v>
      </c>
      <c r="J794" s="22">
        <f>H794*(1+Assumptions!$B$6+IF(F794="Yes",Assumptions!$C$6,0))</f>
        <v>1055497.9487000001</v>
      </c>
      <c r="K794" s="22">
        <f>H794*(1+Assumptions!$B$7+IF(F794="Yes",Assumptions!$C$7,0))</f>
        <v>1075993.0545000001</v>
      </c>
      <c r="L794" s="22">
        <f>H794*(1+Assumptions!$B$8+IF(F794="Yes",Assumptions!$C$8,0))</f>
        <v>1035002.8429</v>
      </c>
    </row>
    <row r="795" spans="1:12" ht="15">
      <c r="A795" s="21">
        <v>41033</v>
      </c>
      <c r="B795" s="21">
        <v>41030</v>
      </c>
      <c r="C795" s="17">
        <v>27</v>
      </c>
      <c r="D795" s="17" t="s">
        <v>90</v>
      </c>
      <c r="E795" s="18">
        <v>204184</v>
      </c>
      <c r="F795" s="17" t="s">
        <v>91</v>
      </c>
      <c r="G795" s="14">
        <v>1669388.45</v>
      </c>
      <c r="H795" s="14">
        <v>1757036.96</v>
      </c>
      <c r="I795" s="14">
        <v>1757036.96</v>
      </c>
      <c r="J795" s="22">
        <f>H795*(1+Assumptions!$B$6+IF(F795="Yes",Assumptions!$C$6,0))</f>
        <v>1809748.0688</v>
      </c>
      <c r="K795" s="22">
        <f>H795*(1+Assumptions!$B$7+IF(F795="Yes",Assumptions!$C$7,0))</f>
        <v>1844888.808</v>
      </c>
      <c r="L795" s="22">
        <f>H795*(1+Assumptions!$B$8+IF(F795="Yes",Assumptions!$C$8,0))</f>
        <v>1774607.3296000001</v>
      </c>
    </row>
    <row r="796" spans="1:12" ht="15">
      <c r="A796" s="21">
        <v>41033</v>
      </c>
      <c r="B796" s="21">
        <v>41030</v>
      </c>
      <c r="C796" s="17">
        <v>28</v>
      </c>
      <c r="D796" s="17" t="s">
        <v>90</v>
      </c>
      <c r="E796" s="18">
        <v>206302</v>
      </c>
      <c r="F796" s="17" t="s">
        <v>91</v>
      </c>
      <c r="G796" s="14">
        <v>1450276.88</v>
      </c>
      <c r="H796" s="14">
        <v>1515890.3800000001</v>
      </c>
      <c r="I796" s="14">
        <v>1515890.3800000001</v>
      </c>
      <c r="J796" s="22">
        <f>H796*(1+Assumptions!$B$6+IF(F796="Yes",Assumptions!$C$6,0))</f>
        <v>1561367.0914000003</v>
      </c>
      <c r="K796" s="22">
        <f>H796*(1+Assumptions!$B$7+IF(F796="Yes",Assumptions!$C$7,0))</f>
        <v>1591684.8990000002</v>
      </c>
      <c r="L796" s="22">
        <f>H796*(1+Assumptions!$B$8+IF(F796="Yes",Assumptions!$C$8,0))</f>
        <v>1531049.2838000001</v>
      </c>
    </row>
    <row r="797" spans="1:12" ht="15">
      <c r="A797" s="21">
        <v>41033</v>
      </c>
      <c r="B797" s="21">
        <v>41030</v>
      </c>
      <c r="C797" s="17">
        <v>29</v>
      </c>
      <c r="D797" s="17" t="s">
        <v>92</v>
      </c>
      <c r="E797" s="18">
        <v>93638</v>
      </c>
      <c r="F797" s="17" t="s">
        <v>91</v>
      </c>
      <c r="G797" s="14">
        <v>504660.72</v>
      </c>
      <c r="H797" s="14">
        <v>534304.53</v>
      </c>
      <c r="I797" s="14">
        <v>534304.53</v>
      </c>
      <c r="J797" s="22">
        <f>H797*(1+Assumptions!$B$6+IF(F797="Yes",Assumptions!$C$6,0))</f>
        <v>550333.66590000002</v>
      </c>
      <c r="K797" s="22">
        <f>H797*(1+Assumptions!$B$7+IF(F797="Yes",Assumptions!$C$7,0))</f>
        <v>561019.75650000002</v>
      </c>
      <c r="L797" s="22">
        <f>H797*(1+Assumptions!$B$8+IF(F797="Yes",Assumptions!$C$8,0))</f>
        <v>539647.57530000003</v>
      </c>
    </row>
    <row r="798" spans="1:12" ht="15">
      <c r="A798" s="21">
        <v>41033</v>
      </c>
      <c r="B798" s="21">
        <v>41030</v>
      </c>
      <c r="C798" s="17">
        <v>30</v>
      </c>
      <c r="D798" s="17" t="s">
        <v>93</v>
      </c>
      <c r="E798" s="18">
        <v>42988</v>
      </c>
      <c r="F798" s="17" t="s">
        <v>91</v>
      </c>
      <c r="G798" s="14">
        <v>454421.54</v>
      </c>
      <c r="H798" s="14">
        <v>438741.19</v>
      </c>
      <c r="I798" s="14">
        <v>438741.19</v>
      </c>
      <c r="J798" s="22">
        <f>H798*(1+Assumptions!$B$6+IF(F798="Yes",Assumptions!$C$6,0))</f>
        <v>451903.42570000002</v>
      </c>
      <c r="K798" s="22">
        <f>H798*(1+Assumptions!$B$7+IF(F798="Yes",Assumptions!$C$7,0))</f>
        <v>460678.24950000003</v>
      </c>
      <c r="L798" s="22">
        <f>H798*(1+Assumptions!$B$8+IF(F798="Yes",Assumptions!$C$8,0))</f>
        <v>443128.60190000001</v>
      </c>
    </row>
    <row r="799" spans="1:12" ht="15">
      <c r="A799" s="21">
        <v>41033</v>
      </c>
      <c r="B799" s="21">
        <v>41030</v>
      </c>
      <c r="C799" s="17">
        <v>31</v>
      </c>
      <c r="D799" s="17" t="s">
        <v>90</v>
      </c>
      <c r="E799" s="18">
        <v>203750</v>
      </c>
      <c r="F799" s="17" t="s">
        <v>91</v>
      </c>
      <c r="G799" s="14">
        <v>1391257.28</v>
      </c>
      <c r="H799" s="14">
        <v>1388585.69</v>
      </c>
      <c r="I799" s="14">
        <v>1388585.69</v>
      </c>
      <c r="J799" s="22">
        <f>H799*(1+Assumptions!$B$6+IF(F799="Yes",Assumptions!$C$6,0))</f>
        <v>1430243.2607</v>
      </c>
      <c r="K799" s="22">
        <f>H799*(1+Assumptions!$B$7+IF(F799="Yes",Assumptions!$C$7,0))</f>
        <v>1458014.9745</v>
      </c>
      <c r="L799" s="22">
        <f>H799*(1+Assumptions!$B$8+IF(F799="Yes",Assumptions!$C$8,0))</f>
        <v>1402471.5469</v>
      </c>
    </row>
    <row r="800" spans="1:12" ht="15">
      <c r="A800" s="21">
        <v>41033</v>
      </c>
      <c r="B800" s="21">
        <v>41030</v>
      </c>
      <c r="C800" s="17">
        <v>32</v>
      </c>
      <c r="D800" s="17" t="s">
        <v>90</v>
      </c>
      <c r="E800" s="18">
        <v>203007</v>
      </c>
      <c r="F800" s="17" t="s">
        <v>91</v>
      </c>
      <c r="G800" s="14">
        <v>1187361.6499999999</v>
      </c>
      <c r="H800" s="14">
        <v>1181793.55</v>
      </c>
      <c r="I800" s="14">
        <v>1181793.55</v>
      </c>
      <c r="J800" s="22">
        <f>H800*(1+Assumptions!$B$6+IF(F800="Yes",Assumptions!$C$6,0))</f>
        <v>1217247.3565</v>
      </c>
      <c r="K800" s="22">
        <f>H800*(1+Assumptions!$B$7+IF(F800="Yes",Assumptions!$C$7,0))</f>
        <v>1240883.2275</v>
      </c>
      <c r="L800" s="22">
        <f>H800*(1+Assumptions!$B$8+IF(F800="Yes",Assumptions!$C$8,0))</f>
        <v>1193611.4855</v>
      </c>
    </row>
    <row r="801" spans="1:12" ht="15">
      <c r="A801" s="21">
        <v>41033</v>
      </c>
      <c r="B801" s="21">
        <v>41030</v>
      </c>
      <c r="C801" s="17">
        <v>33</v>
      </c>
      <c r="D801" s="17" t="s">
        <v>90</v>
      </c>
      <c r="E801" s="18">
        <v>39690</v>
      </c>
      <c r="F801" s="17" t="s">
        <v>91</v>
      </c>
      <c r="G801" s="14">
        <v>270429.13</v>
      </c>
      <c r="H801" s="14">
        <v>256941.67</v>
      </c>
      <c r="I801" s="14">
        <v>256941.67</v>
      </c>
      <c r="J801" s="22">
        <f>H801*(1+Assumptions!$B$6+IF(F801="Yes",Assumptions!$C$6,0))</f>
        <v>264649.92010000005</v>
      </c>
      <c r="K801" s="22">
        <f>H801*(1+Assumptions!$B$7+IF(F801="Yes",Assumptions!$C$7,0))</f>
        <v>269788.75350000005</v>
      </c>
      <c r="L801" s="22">
        <f>H801*(1+Assumptions!$B$8+IF(F801="Yes",Assumptions!$C$8,0))</f>
        <v>259511.08670000001</v>
      </c>
    </row>
    <row r="802" spans="1:12" ht="15">
      <c r="A802" s="21">
        <v>41033</v>
      </c>
      <c r="B802" s="21">
        <v>41030</v>
      </c>
      <c r="C802" s="17">
        <v>34</v>
      </c>
      <c r="D802" s="17" t="s">
        <v>90</v>
      </c>
      <c r="E802" s="18">
        <v>158114</v>
      </c>
      <c r="F802" s="17" t="s">
        <v>91</v>
      </c>
      <c r="G802" s="14">
        <v>991104.4</v>
      </c>
      <c r="H802" s="14">
        <v>963249.43</v>
      </c>
      <c r="I802" s="14">
        <v>963249.43</v>
      </c>
      <c r="J802" s="22">
        <f>H802*(1+Assumptions!$B$6+IF(F802="Yes",Assumptions!$C$6,0))</f>
        <v>992146.91290000011</v>
      </c>
      <c r="K802" s="22">
        <f>H802*(1+Assumptions!$B$7+IF(F802="Yes",Assumptions!$C$7,0))</f>
        <v>1011411.9015000002</v>
      </c>
      <c r="L802" s="22">
        <f>H802*(1+Assumptions!$B$8+IF(F802="Yes",Assumptions!$C$8,0))</f>
        <v>972881.92430000007</v>
      </c>
    </row>
    <row r="803" spans="1:12" ht="15">
      <c r="A803" s="21">
        <v>41033</v>
      </c>
      <c r="B803" s="21">
        <v>41030</v>
      </c>
      <c r="C803" s="17">
        <v>35</v>
      </c>
      <c r="D803" s="17" t="s">
        <v>92</v>
      </c>
      <c r="E803" s="18">
        <v>103681</v>
      </c>
      <c r="F803" s="17" t="s">
        <v>91</v>
      </c>
      <c r="G803" s="14">
        <v>772027.69</v>
      </c>
      <c r="H803" s="14">
        <v>835181.18</v>
      </c>
      <c r="I803" s="14">
        <v>835181.18</v>
      </c>
      <c r="J803" s="22">
        <f>H803*(1+Assumptions!$B$6+IF(F803="Yes",Assumptions!$C$6,0))</f>
        <v>860236.61540000013</v>
      </c>
      <c r="K803" s="22">
        <f>H803*(1+Assumptions!$B$7+IF(F803="Yes",Assumptions!$C$7,0))</f>
        <v>876940.23900000006</v>
      </c>
      <c r="L803" s="22">
        <f>H803*(1+Assumptions!$B$8+IF(F803="Yes",Assumptions!$C$8,0))</f>
        <v>843532.99180000008</v>
      </c>
    </row>
    <row r="804" spans="1:12" ht="15">
      <c r="A804" s="21">
        <v>41033</v>
      </c>
      <c r="B804" s="21">
        <v>41030</v>
      </c>
      <c r="C804" s="17">
        <v>36</v>
      </c>
      <c r="D804" s="17" t="s">
        <v>90</v>
      </c>
      <c r="E804" s="18">
        <v>39910</v>
      </c>
      <c r="F804" s="17" t="s">
        <v>91</v>
      </c>
      <c r="G804" s="14">
        <v>312457.52</v>
      </c>
      <c r="H804" s="14">
        <v>393336.19</v>
      </c>
      <c r="I804" s="14">
        <v>393336.19</v>
      </c>
      <c r="J804" s="22">
        <f>H804*(1+Assumptions!$B$6+IF(F804="Yes",Assumptions!$C$6,0))</f>
        <v>405136.2757</v>
      </c>
      <c r="K804" s="22">
        <f>H804*(1+Assumptions!$B$7+IF(F804="Yes",Assumptions!$C$7,0))</f>
        <v>413002.99950000003</v>
      </c>
      <c r="L804" s="22">
        <f>H804*(1+Assumptions!$B$8+IF(F804="Yes",Assumptions!$C$8,0))</f>
        <v>397269.55190000002</v>
      </c>
    </row>
    <row r="805" spans="1:12" ht="15">
      <c r="A805" s="21">
        <v>41033</v>
      </c>
      <c r="B805" s="21">
        <v>41030</v>
      </c>
      <c r="C805" s="17">
        <v>37</v>
      </c>
      <c r="D805" s="17" t="s">
        <v>93</v>
      </c>
      <c r="E805" s="18">
        <v>39910</v>
      </c>
      <c r="F805" s="17" t="s">
        <v>91</v>
      </c>
      <c r="G805" s="14">
        <v>535122.69000000006</v>
      </c>
      <c r="H805" s="14">
        <v>547509.80000000005</v>
      </c>
      <c r="I805" s="14">
        <v>547509.80000000005</v>
      </c>
      <c r="J805" s="22">
        <f>H805*(1+Assumptions!$B$6+IF(F805="Yes",Assumptions!$C$6,0))</f>
        <v>563935.09400000004</v>
      </c>
      <c r="K805" s="22">
        <f>H805*(1+Assumptions!$B$7+IF(F805="Yes",Assumptions!$C$7,0))</f>
        <v>574885.29</v>
      </c>
      <c r="L805" s="22">
        <f>H805*(1+Assumptions!$B$8+IF(F805="Yes",Assumptions!$C$8,0))</f>
        <v>552984.89800000004</v>
      </c>
    </row>
    <row r="806" spans="1:12" ht="15">
      <c r="A806" s="21">
        <v>41033</v>
      </c>
      <c r="B806" s="21">
        <v>41030</v>
      </c>
      <c r="C806" s="17">
        <v>38</v>
      </c>
      <c r="D806" s="17" t="s">
        <v>93</v>
      </c>
      <c r="E806" s="18">
        <v>39690</v>
      </c>
      <c r="F806" s="17" t="s">
        <v>91</v>
      </c>
      <c r="G806" s="14">
        <v>491694.47000000003</v>
      </c>
      <c r="H806" s="14">
        <v>422110.14</v>
      </c>
      <c r="I806" s="14">
        <v>422110.14</v>
      </c>
      <c r="J806" s="22">
        <f>H806*(1+Assumptions!$B$6+IF(F806="Yes",Assumptions!$C$6,0))</f>
        <v>434773.44420000003</v>
      </c>
      <c r="K806" s="22">
        <f>H806*(1+Assumptions!$B$7+IF(F806="Yes",Assumptions!$C$7,0))</f>
        <v>443215.64700000006</v>
      </c>
      <c r="L806" s="22">
        <f>H806*(1+Assumptions!$B$8+IF(F806="Yes",Assumptions!$C$8,0))</f>
        <v>426331.2414</v>
      </c>
    </row>
    <row r="807" spans="1:12" ht="15">
      <c r="A807" s="21">
        <v>41033</v>
      </c>
      <c r="B807" s="21">
        <v>41030</v>
      </c>
      <c r="C807" s="17">
        <v>39</v>
      </c>
      <c r="D807" s="17" t="s">
        <v>90</v>
      </c>
      <c r="E807" s="18">
        <v>184109</v>
      </c>
      <c r="F807" s="17" t="s">
        <v>91</v>
      </c>
      <c r="G807" s="14">
        <v>1511759.34</v>
      </c>
      <c r="H807" s="14">
        <v>1370900.3499999999</v>
      </c>
      <c r="I807" s="14">
        <v>1370900.3499999999</v>
      </c>
      <c r="J807" s="22">
        <f>H807*(1+Assumptions!$B$6+IF(F807="Yes",Assumptions!$C$6,0))</f>
        <v>1412027.3605</v>
      </c>
      <c r="K807" s="22">
        <f>H807*(1+Assumptions!$B$7+IF(F807="Yes",Assumptions!$C$7,0))</f>
        <v>1439445.3674999999</v>
      </c>
      <c r="L807" s="22">
        <f>H807*(1+Assumptions!$B$8+IF(F807="Yes",Assumptions!$C$8,0))</f>
        <v>1384609.3535</v>
      </c>
    </row>
    <row r="808" spans="1:12" ht="15">
      <c r="A808" s="21">
        <v>41033</v>
      </c>
      <c r="B808" s="21">
        <v>41030</v>
      </c>
      <c r="C808" s="17">
        <v>40</v>
      </c>
      <c r="D808" s="17" t="s">
        <v>90</v>
      </c>
      <c r="E808" s="18">
        <v>155083</v>
      </c>
      <c r="F808" s="17" t="s">
        <v>91</v>
      </c>
      <c r="G808" s="14">
        <v>993034.58</v>
      </c>
      <c r="H808" s="14">
        <v>1016752.55</v>
      </c>
      <c r="I808" s="14">
        <v>1016752.55</v>
      </c>
      <c r="J808" s="22">
        <f>H808*(1+Assumptions!$B$6+IF(F808="Yes",Assumptions!$C$6,0))</f>
        <v>1047255.1265000001</v>
      </c>
      <c r="K808" s="22">
        <f>H808*(1+Assumptions!$B$7+IF(F808="Yes",Assumptions!$C$7,0))</f>
        <v>1067590.1775</v>
      </c>
      <c r="L808" s="22">
        <f>H808*(1+Assumptions!$B$8+IF(F808="Yes",Assumptions!$C$8,0))</f>
        <v>1026920.0755</v>
      </c>
    </row>
    <row r="809" spans="1:12" ht="15">
      <c r="A809" s="21">
        <v>41033</v>
      </c>
      <c r="B809" s="21">
        <v>41030</v>
      </c>
      <c r="C809" s="17">
        <v>41</v>
      </c>
      <c r="D809" s="17" t="s">
        <v>90</v>
      </c>
      <c r="E809" s="18">
        <v>196321</v>
      </c>
      <c r="F809" s="17" t="s">
        <v>91</v>
      </c>
      <c r="G809" s="14">
        <v>1358128.1</v>
      </c>
      <c r="H809" s="14">
        <v>1244998.33</v>
      </c>
      <c r="I809" s="14">
        <v>1244998.33</v>
      </c>
      <c r="J809" s="22">
        <f>H809*(1+Assumptions!$B$6+IF(F809="Yes",Assumptions!$C$6,0))</f>
        <v>1282348.2799000002</v>
      </c>
      <c r="K809" s="22">
        <f>H809*(1+Assumptions!$B$7+IF(F809="Yes",Assumptions!$C$7,0))</f>
        <v>1307248.2465000001</v>
      </c>
      <c r="L809" s="22">
        <f>H809*(1+Assumptions!$B$8+IF(F809="Yes",Assumptions!$C$8,0))</f>
        <v>1257448.3133</v>
      </c>
    </row>
    <row r="810" spans="1:12" ht="15">
      <c r="A810" s="21">
        <v>41033</v>
      </c>
      <c r="B810" s="21">
        <v>41030</v>
      </c>
      <c r="C810" s="17">
        <v>42</v>
      </c>
      <c r="D810" s="17" t="s">
        <v>93</v>
      </c>
      <c r="E810" s="18">
        <v>39690</v>
      </c>
      <c r="F810" s="17" t="s">
        <v>91</v>
      </c>
      <c r="G810" s="14">
        <v>609260.04</v>
      </c>
      <c r="H810" s="14">
        <v>612332.35</v>
      </c>
      <c r="I810" s="14">
        <v>612332.35</v>
      </c>
      <c r="J810" s="22">
        <f>H810*(1+Assumptions!$B$6+IF(F810="Yes",Assumptions!$C$6,0))</f>
        <v>630702.32050000003</v>
      </c>
      <c r="K810" s="22">
        <f>H810*(1+Assumptions!$B$7+IF(F810="Yes",Assumptions!$C$7,0))</f>
        <v>642948.96750000003</v>
      </c>
      <c r="L810" s="22">
        <f>H810*(1+Assumptions!$B$8+IF(F810="Yes",Assumptions!$C$8,0))</f>
        <v>618455.67350000003</v>
      </c>
    </row>
    <row r="811" spans="1:12" ht="15">
      <c r="A811" s="21">
        <v>41033</v>
      </c>
      <c r="B811" s="21">
        <v>41030</v>
      </c>
      <c r="C811" s="17">
        <v>43</v>
      </c>
      <c r="D811" s="17" t="s">
        <v>93</v>
      </c>
      <c r="E811" s="18">
        <v>41062</v>
      </c>
      <c r="F811" s="17" t="s">
        <v>91</v>
      </c>
      <c r="G811" s="14">
        <v>637015.02</v>
      </c>
      <c r="H811" s="14">
        <v>648956.1</v>
      </c>
      <c r="I811" s="14">
        <v>648956.1</v>
      </c>
      <c r="J811" s="22">
        <f>H811*(1+Assumptions!$B$6+IF(F811="Yes",Assumptions!$C$6,0))</f>
        <v>668424.78299999994</v>
      </c>
      <c r="K811" s="22">
        <f>H811*(1+Assumptions!$B$7+IF(F811="Yes",Assumptions!$C$7,0))</f>
        <v>681403.90500000003</v>
      </c>
      <c r="L811" s="22">
        <f>H811*(1+Assumptions!$B$8+IF(F811="Yes",Assumptions!$C$8,0))</f>
        <v>655445.66099999996</v>
      </c>
    </row>
    <row r="812" spans="1:12" ht="15">
      <c r="A812" s="21">
        <v>41033</v>
      </c>
      <c r="B812" s="21">
        <v>41030</v>
      </c>
      <c r="C812" s="17">
        <v>44</v>
      </c>
      <c r="D812" s="17" t="s">
        <v>93</v>
      </c>
      <c r="E812" s="18">
        <v>39910</v>
      </c>
      <c r="F812" s="17" t="s">
        <v>91</v>
      </c>
      <c r="G812" s="14">
        <v>325896.74</v>
      </c>
      <c r="H812" s="14">
        <v>299182.43</v>
      </c>
      <c r="I812" s="14">
        <v>299182.43</v>
      </c>
      <c r="J812" s="22">
        <f>H812*(1+Assumptions!$B$6+IF(F812="Yes",Assumptions!$C$6,0))</f>
        <v>308157.90289999999</v>
      </c>
      <c r="K812" s="22">
        <f>H812*(1+Assumptions!$B$7+IF(F812="Yes",Assumptions!$C$7,0))</f>
        <v>314141.5515</v>
      </c>
      <c r="L812" s="22">
        <f>H812*(1+Assumptions!$B$8+IF(F812="Yes",Assumptions!$C$8,0))</f>
        <v>302174.25429999997</v>
      </c>
    </row>
    <row r="813" spans="1:12" ht="15">
      <c r="A813" s="21">
        <v>41033</v>
      </c>
      <c r="B813" s="21">
        <v>41030</v>
      </c>
      <c r="C813" s="17">
        <v>45</v>
      </c>
      <c r="D813" s="17" t="s">
        <v>92</v>
      </c>
      <c r="E813" s="18">
        <v>118221</v>
      </c>
      <c r="F813" s="17" t="s">
        <v>91</v>
      </c>
      <c r="G813" s="14">
        <v>782279.89</v>
      </c>
      <c r="H813" s="14">
        <v>810123.88</v>
      </c>
      <c r="I813" s="14">
        <v>810123.88</v>
      </c>
      <c r="J813" s="22">
        <f>H813*(1+Assumptions!$B$6+IF(F813="Yes",Assumptions!$C$6,0))</f>
        <v>834427.59640000004</v>
      </c>
      <c r="K813" s="22">
        <f>H813*(1+Assumptions!$B$7+IF(F813="Yes",Assumptions!$C$7,0))</f>
        <v>850630.07400000002</v>
      </c>
      <c r="L813" s="22">
        <f>H813*(1+Assumptions!$B$8+IF(F813="Yes",Assumptions!$C$8,0))</f>
        <v>818225.11880000005</v>
      </c>
    </row>
    <row r="814" spans="1:12" ht="15">
      <c r="A814" s="21">
        <v>41040</v>
      </c>
      <c r="B814" s="21">
        <v>41030</v>
      </c>
      <c r="C814" s="17">
        <v>1</v>
      </c>
      <c r="D814" s="17" t="s">
        <v>90</v>
      </c>
      <c r="E814" s="18">
        <v>151315</v>
      </c>
      <c r="F814" s="17" t="s">
        <v>91</v>
      </c>
      <c r="G814" s="14">
        <v>1611096.05</v>
      </c>
      <c r="H814" s="14">
        <v>1604534.11</v>
      </c>
      <c r="I814" s="14">
        <v>1604534.11</v>
      </c>
      <c r="J814" s="22">
        <f>H814*(1+Assumptions!$B$6+IF(F814="Yes",Assumptions!$C$6,0))</f>
        <v>1652670.1333000001</v>
      </c>
      <c r="K814" s="22">
        <f>H814*(1+Assumptions!$B$7+IF(F814="Yes",Assumptions!$C$7,0))</f>
        <v>1684760.8155000003</v>
      </c>
      <c r="L814" s="22">
        <f>H814*(1+Assumptions!$B$8+IF(F814="Yes",Assumptions!$C$8,0))</f>
        <v>1620579.4511000002</v>
      </c>
    </row>
    <row r="815" spans="1:12" ht="15">
      <c r="A815" s="21">
        <v>41040</v>
      </c>
      <c r="B815" s="21">
        <v>41030</v>
      </c>
      <c r="C815" s="17">
        <v>2</v>
      </c>
      <c r="D815" s="17" t="s">
        <v>90</v>
      </c>
      <c r="E815" s="18">
        <v>202307</v>
      </c>
      <c r="F815" s="17" t="s">
        <v>91</v>
      </c>
      <c r="G815" s="14">
        <v>1917520.99</v>
      </c>
      <c r="H815" s="14">
        <v>1838490.13</v>
      </c>
      <c r="I815" s="14">
        <v>1838490.13</v>
      </c>
      <c r="J815" s="22">
        <f>H815*(1+Assumptions!$B$6+IF(F815="Yes",Assumptions!$C$6,0))</f>
        <v>1893644.8339</v>
      </c>
      <c r="K815" s="22">
        <f>H815*(1+Assumptions!$B$7+IF(F815="Yes",Assumptions!$C$7,0))</f>
        <v>1930414.6365</v>
      </c>
      <c r="L815" s="22">
        <f>H815*(1+Assumptions!$B$8+IF(F815="Yes",Assumptions!$C$8,0))</f>
        <v>1856875.0312999999</v>
      </c>
    </row>
    <row r="816" spans="1:12" ht="15">
      <c r="A816" s="21">
        <v>41040</v>
      </c>
      <c r="B816" s="21">
        <v>41030</v>
      </c>
      <c r="C816" s="17">
        <v>3</v>
      </c>
      <c r="D816" s="17" t="s">
        <v>92</v>
      </c>
      <c r="E816" s="18">
        <v>37392</v>
      </c>
      <c r="F816" s="17" t="s">
        <v>91</v>
      </c>
      <c r="G816" s="14">
        <v>431970.51</v>
      </c>
      <c r="H816" s="14">
        <v>386273.02</v>
      </c>
      <c r="I816" s="14">
        <v>386273.02</v>
      </c>
      <c r="J816" s="22">
        <f>H816*(1+Assumptions!$B$6+IF(F816="Yes",Assumptions!$C$6,0))</f>
        <v>397861.21060000005</v>
      </c>
      <c r="K816" s="22">
        <f>H816*(1+Assumptions!$B$7+IF(F816="Yes",Assumptions!$C$7,0))</f>
        <v>405586.67100000003</v>
      </c>
      <c r="L816" s="22">
        <f>H816*(1+Assumptions!$B$8+IF(F816="Yes",Assumptions!$C$8,0))</f>
        <v>390135.75020000001</v>
      </c>
    </row>
    <row r="817" spans="1:12" ht="15">
      <c r="A817" s="21">
        <v>41040</v>
      </c>
      <c r="B817" s="21">
        <v>41030</v>
      </c>
      <c r="C817" s="17">
        <v>4</v>
      </c>
      <c r="D817" s="17" t="s">
        <v>90</v>
      </c>
      <c r="E817" s="18">
        <v>205863</v>
      </c>
      <c r="F817" s="17" t="s">
        <v>91</v>
      </c>
      <c r="G817" s="14">
        <v>2127661.17</v>
      </c>
      <c r="H817" s="14">
        <v>2002351.9000000001</v>
      </c>
      <c r="I817" s="14">
        <v>2002351.9000000001</v>
      </c>
      <c r="J817" s="22">
        <f>H817*(1+Assumptions!$B$6+IF(F817="Yes",Assumptions!$C$6,0))</f>
        <v>2062422.4570000002</v>
      </c>
      <c r="K817" s="22">
        <f>H817*(1+Assumptions!$B$7+IF(F817="Yes",Assumptions!$C$7,0))</f>
        <v>2102469.4950000001</v>
      </c>
      <c r="L817" s="22">
        <f>H817*(1+Assumptions!$B$8+IF(F817="Yes",Assumptions!$C$8,0))</f>
        <v>2022375.4190000002</v>
      </c>
    </row>
    <row r="818" spans="1:12" ht="15">
      <c r="A818" s="21">
        <v>41040</v>
      </c>
      <c r="B818" s="21">
        <v>41030</v>
      </c>
      <c r="C818" s="17">
        <v>5</v>
      </c>
      <c r="D818" s="17" t="s">
        <v>92</v>
      </c>
      <c r="E818" s="18">
        <v>34875</v>
      </c>
      <c r="F818" s="17" t="s">
        <v>91</v>
      </c>
      <c r="G818" s="14">
        <v>333743.35999999999</v>
      </c>
      <c r="H818" s="14">
        <v>290833.14</v>
      </c>
      <c r="I818" s="14">
        <v>290833.14</v>
      </c>
      <c r="J818" s="22">
        <f>H818*(1+Assumptions!$B$6+IF(F818="Yes",Assumptions!$C$6,0))</f>
        <v>299558.13420000003</v>
      </c>
      <c r="K818" s="22">
        <f>H818*(1+Assumptions!$B$7+IF(F818="Yes",Assumptions!$C$7,0))</f>
        <v>305374.79700000002</v>
      </c>
      <c r="L818" s="22">
        <f>H818*(1+Assumptions!$B$8+IF(F818="Yes",Assumptions!$C$8,0))</f>
        <v>293741.47140000004</v>
      </c>
    </row>
    <row r="819" spans="1:12" ht="15">
      <c r="A819" s="21">
        <v>41040</v>
      </c>
      <c r="B819" s="21">
        <v>41030</v>
      </c>
      <c r="C819" s="17">
        <v>6</v>
      </c>
      <c r="D819" s="17" t="s">
        <v>90</v>
      </c>
      <c r="E819" s="18">
        <v>202505</v>
      </c>
      <c r="F819" s="17" t="s">
        <v>91</v>
      </c>
      <c r="G819" s="14">
        <v>1517075.67</v>
      </c>
      <c r="H819" s="14">
        <v>1453145.65</v>
      </c>
      <c r="I819" s="14">
        <v>1453145.65</v>
      </c>
      <c r="J819" s="22">
        <f>H819*(1+Assumptions!$B$6+IF(F819="Yes",Assumptions!$C$6,0))</f>
        <v>1496740.0194999999</v>
      </c>
      <c r="K819" s="22">
        <f>H819*(1+Assumptions!$B$7+IF(F819="Yes",Assumptions!$C$7,0))</f>
        <v>1525802.9324999999</v>
      </c>
      <c r="L819" s="22">
        <f>H819*(1+Assumptions!$B$8+IF(F819="Yes",Assumptions!$C$8,0))</f>
        <v>1467677.1065</v>
      </c>
    </row>
    <row r="820" spans="1:12" ht="15">
      <c r="A820" s="21">
        <v>41040</v>
      </c>
      <c r="B820" s="21">
        <v>41030</v>
      </c>
      <c r="C820" s="17">
        <v>7</v>
      </c>
      <c r="D820" s="17" t="s">
        <v>92</v>
      </c>
      <c r="E820" s="18">
        <v>70713</v>
      </c>
      <c r="F820" s="17" t="s">
        <v>91</v>
      </c>
      <c r="G820" s="14">
        <v>460367.56</v>
      </c>
      <c r="H820" s="14">
        <v>414028.88</v>
      </c>
      <c r="I820" s="14">
        <v>414028.88</v>
      </c>
      <c r="J820" s="22">
        <f>H820*(1+Assumptions!$B$6+IF(F820="Yes",Assumptions!$C$6,0))</f>
        <v>426449.7464</v>
      </c>
      <c r="K820" s="22">
        <f>H820*(1+Assumptions!$B$7+IF(F820="Yes",Assumptions!$C$7,0))</f>
        <v>434730.32400000002</v>
      </c>
      <c r="L820" s="22">
        <f>H820*(1+Assumptions!$B$8+IF(F820="Yes",Assumptions!$C$8,0))</f>
        <v>418169.16879999998</v>
      </c>
    </row>
    <row r="821" spans="1:12" ht="15">
      <c r="A821" s="21">
        <v>41040</v>
      </c>
      <c r="B821" s="21">
        <v>41030</v>
      </c>
      <c r="C821" s="17">
        <v>8</v>
      </c>
      <c r="D821" s="17" t="s">
        <v>90</v>
      </c>
      <c r="E821" s="18">
        <v>155078</v>
      </c>
      <c r="F821" s="17" t="s">
        <v>91</v>
      </c>
      <c r="G821" s="14">
        <v>918928.89</v>
      </c>
      <c r="H821" s="14">
        <v>895495.9</v>
      </c>
      <c r="I821" s="14">
        <v>895495.9</v>
      </c>
      <c r="J821" s="22">
        <f>H821*(1+Assumptions!$B$6+IF(F821="Yes",Assumptions!$C$6,0))</f>
        <v>922360.777</v>
      </c>
      <c r="K821" s="22">
        <f>H821*(1+Assumptions!$B$7+IF(F821="Yes",Assumptions!$C$7,0))</f>
        <v>940270.69500000007</v>
      </c>
      <c r="L821" s="22">
        <f>H821*(1+Assumptions!$B$8+IF(F821="Yes",Assumptions!$C$8,0))</f>
        <v>904450.85900000005</v>
      </c>
    </row>
    <row r="822" spans="1:12" ht="15">
      <c r="A822" s="21">
        <v>41040</v>
      </c>
      <c r="B822" s="21">
        <v>41030</v>
      </c>
      <c r="C822" s="17">
        <v>9</v>
      </c>
      <c r="D822" s="17" t="s">
        <v>92</v>
      </c>
      <c r="E822" s="18">
        <v>125833</v>
      </c>
      <c r="F822" s="17" t="s">
        <v>91</v>
      </c>
      <c r="G822" s="14">
        <v>592168.45000000007</v>
      </c>
      <c r="H822" s="14">
        <v>539055.89</v>
      </c>
      <c r="I822" s="14">
        <v>539055.89</v>
      </c>
      <c r="J822" s="22">
        <f>H822*(1+Assumptions!$B$6+IF(F822="Yes",Assumptions!$C$6,0))</f>
        <v>555227.56670000008</v>
      </c>
      <c r="K822" s="22">
        <f>H822*(1+Assumptions!$B$7+IF(F822="Yes",Assumptions!$C$7,0))</f>
        <v>566008.68450000009</v>
      </c>
      <c r="L822" s="22">
        <f>H822*(1+Assumptions!$B$8+IF(F822="Yes",Assumptions!$C$8,0))</f>
        <v>544446.44890000008</v>
      </c>
    </row>
    <row r="823" spans="1:12" ht="15">
      <c r="A823" s="21">
        <v>41040</v>
      </c>
      <c r="B823" s="21">
        <v>41030</v>
      </c>
      <c r="C823" s="17">
        <v>10</v>
      </c>
      <c r="D823" s="17" t="s">
        <v>92</v>
      </c>
      <c r="E823" s="18">
        <v>126512</v>
      </c>
      <c r="F823" s="17" t="s">
        <v>91</v>
      </c>
      <c r="G823" s="14">
        <v>1792345.3</v>
      </c>
      <c r="H823" s="14">
        <v>1712953.56</v>
      </c>
      <c r="I823" s="14">
        <v>1712953.56</v>
      </c>
      <c r="J823" s="22">
        <f>H823*(1+Assumptions!$B$6+IF(F823="Yes",Assumptions!$C$6,0))</f>
        <v>1764342.1668</v>
      </c>
      <c r="K823" s="22">
        <f>H823*(1+Assumptions!$B$7+IF(F823="Yes",Assumptions!$C$7,0))</f>
        <v>1798601.2380000001</v>
      </c>
      <c r="L823" s="22">
        <f>H823*(1+Assumptions!$B$8+IF(F823="Yes",Assumptions!$C$8,0))</f>
        <v>1730083.0956000001</v>
      </c>
    </row>
    <row r="824" spans="1:12" ht="15">
      <c r="A824" s="21">
        <v>41040</v>
      </c>
      <c r="B824" s="21">
        <v>41030</v>
      </c>
      <c r="C824" s="17">
        <v>11</v>
      </c>
      <c r="D824" s="17" t="s">
        <v>90</v>
      </c>
      <c r="E824" s="18">
        <v>207499</v>
      </c>
      <c r="F824" s="17" t="s">
        <v>91</v>
      </c>
      <c r="G824" s="14">
        <v>1298253.47</v>
      </c>
      <c r="H824" s="14">
        <v>1277959.42</v>
      </c>
      <c r="I824" s="14">
        <v>1277959.42</v>
      </c>
      <c r="J824" s="22">
        <f>H824*(1+Assumptions!$B$6+IF(F824="Yes",Assumptions!$C$6,0))</f>
        <v>1316298.2026</v>
      </c>
      <c r="K824" s="22">
        <f>H824*(1+Assumptions!$B$7+IF(F824="Yes",Assumptions!$C$7,0))</f>
        <v>1341857.3910000001</v>
      </c>
      <c r="L824" s="22">
        <f>H824*(1+Assumptions!$B$8+IF(F824="Yes",Assumptions!$C$8,0))</f>
        <v>1290739.0141999999</v>
      </c>
    </row>
    <row r="825" spans="1:12" ht="15">
      <c r="A825" s="21">
        <v>41040</v>
      </c>
      <c r="B825" s="21">
        <v>41030</v>
      </c>
      <c r="C825" s="17">
        <v>12</v>
      </c>
      <c r="D825" s="17" t="s">
        <v>92</v>
      </c>
      <c r="E825" s="18">
        <v>112238</v>
      </c>
      <c r="F825" s="17" t="s">
        <v>91</v>
      </c>
      <c r="G825" s="14">
        <v>1041869.48</v>
      </c>
      <c r="H825" s="14">
        <v>977012.56</v>
      </c>
      <c r="I825" s="14">
        <v>977012.56</v>
      </c>
      <c r="J825" s="22">
        <f>H825*(1+Assumptions!$B$6+IF(F825="Yes",Assumptions!$C$6,0))</f>
        <v>1006322.9368000001</v>
      </c>
      <c r="K825" s="22">
        <f>H825*(1+Assumptions!$B$7+IF(F825="Yes",Assumptions!$C$7,0))</f>
        <v>1025863.1880000001</v>
      </c>
      <c r="L825" s="22">
        <f>H825*(1+Assumptions!$B$8+IF(F825="Yes",Assumptions!$C$8,0))</f>
        <v>986782.68560000008</v>
      </c>
    </row>
    <row r="826" spans="1:12" ht="15">
      <c r="A826" s="21">
        <v>41040</v>
      </c>
      <c r="B826" s="21">
        <v>41030</v>
      </c>
      <c r="C826" s="17">
        <v>13</v>
      </c>
      <c r="D826" s="17" t="s">
        <v>90</v>
      </c>
      <c r="E826" s="18">
        <v>219622</v>
      </c>
      <c r="F826" s="17" t="s">
        <v>91</v>
      </c>
      <c r="G826" s="14">
        <v>2080764.17</v>
      </c>
      <c r="H826" s="14">
        <v>1958750.95</v>
      </c>
      <c r="I826" s="14">
        <v>1958750.95</v>
      </c>
      <c r="J826" s="22">
        <f>H826*(1+Assumptions!$B$6+IF(F826="Yes",Assumptions!$C$6,0))</f>
        <v>2017513.4785</v>
      </c>
      <c r="K826" s="22">
        <f>H826*(1+Assumptions!$B$7+IF(F826="Yes",Assumptions!$C$7,0))</f>
        <v>2056688.4975000001</v>
      </c>
      <c r="L826" s="22">
        <f>H826*(1+Assumptions!$B$8+IF(F826="Yes",Assumptions!$C$8,0))</f>
        <v>1978338.4594999999</v>
      </c>
    </row>
    <row r="827" spans="1:12" ht="15">
      <c r="A827" s="21">
        <v>41040</v>
      </c>
      <c r="B827" s="21">
        <v>41030</v>
      </c>
      <c r="C827" s="17">
        <v>14</v>
      </c>
      <c r="D827" s="17" t="s">
        <v>90</v>
      </c>
      <c r="E827" s="18">
        <v>200898</v>
      </c>
      <c r="F827" s="17" t="s">
        <v>91</v>
      </c>
      <c r="G827" s="14">
        <v>1987506.07</v>
      </c>
      <c r="H827" s="14">
        <v>2004330.3</v>
      </c>
      <c r="I827" s="14">
        <v>2004330.3</v>
      </c>
      <c r="J827" s="22">
        <f>H827*(1+Assumptions!$B$6+IF(F827="Yes",Assumptions!$C$6,0))</f>
        <v>2064460.209</v>
      </c>
      <c r="K827" s="22">
        <f>H827*(1+Assumptions!$B$7+IF(F827="Yes",Assumptions!$C$7,0))</f>
        <v>2104546.8149999999</v>
      </c>
      <c r="L827" s="22">
        <f>H827*(1+Assumptions!$B$8+IF(F827="Yes",Assumptions!$C$8,0))</f>
        <v>2024373.6030000001</v>
      </c>
    </row>
    <row r="828" spans="1:12" ht="15">
      <c r="A828" s="21">
        <v>41040</v>
      </c>
      <c r="B828" s="21">
        <v>41030</v>
      </c>
      <c r="C828" s="17">
        <v>15</v>
      </c>
      <c r="D828" s="17" t="s">
        <v>92</v>
      </c>
      <c r="E828" s="18">
        <v>123737</v>
      </c>
      <c r="F828" s="17" t="s">
        <v>91</v>
      </c>
      <c r="G828" s="14">
        <v>578999.94999999995</v>
      </c>
      <c r="H828" s="14">
        <v>630464.91</v>
      </c>
      <c r="I828" s="14">
        <v>630464.91</v>
      </c>
      <c r="J828" s="22">
        <f>H828*(1+Assumptions!$B$6+IF(F828="Yes",Assumptions!$C$6,0))</f>
        <v>649378.85730000003</v>
      </c>
      <c r="K828" s="22">
        <f>H828*(1+Assumptions!$B$7+IF(F828="Yes",Assumptions!$C$7,0))</f>
        <v>661988.15550000011</v>
      </c>
      <c r="L828" s="22">
        <f>H828*(1+Assumptions!$B$8+IF(F828="Yes",Assumptions!$C$8,0))</f>
        <v>636769.55910000007</v>
      </c>
    </row>
    <row r="829" spans="1:12" ht="15">
      <c r="A829" s="21">
        <v>41040</v>
      </c>
      <c r="B829" s="21">
        <v>41030</v>
      </c>
      <c r="C829" s="17">
        <v>16</v>
      </c>
      <c r="D829" s="17" t="s">
        <v>92</v>
      </c>
      <c r="E829" s="18">
        <v>57197</v>
      </c>
      <c r="F829" s="17" t="s">
        <v>91</v>
      </c>
      <c r="G829" s="14">
        <v>477825.55</v>
      </c>
      <c r="H829" s="14">
        <v>410287.35999999999</v>
      </c>
      <c r="I829" s="14">
        <v>410287.35999999999</v>
      </c>
      <c r="J829" s="22">
        <f>H829*(1+Assumptions!$B$6+IF(F829="Yes",Assumptions!$C$6,0))</f>
        <v>422595.98080000002</v>
      </c>
      <c r="K829" s="22">
        <f>H829*(1+Assumptions!$B$7+IF(F829="Yes",Assumptions!$C$7,0))</f>
        <v>430801.728</v>
      </c>
      <c r="L829" s="22">
        <f>H829*(1+Assumptions!$B$8+IF(F829="Yes",Assumptions!$C$8,0))</f>
        <v>414390.23359999998</v>
      </c>
    </row>
    <row r="830" spans="1:12" ht="15">
      <c r="A830" s="21">
        <v>41040</v>
      </c>
      <c r="B830" s="21">
        <v>41030</v>
      </c>
      <c r="C830" s="17">
        <v>17</v>
      </c>
      <c r="D830" s="17" t="s">
        <v>92</v>
      </c>
      <c r="E830" s="18">
        <v>93188</v>
      </c>
      <c r="F830" s="17" t="s">
        <v>91</v>
      </c>
      <c r="G830" s="14">
        <v>943353.75</v>
      </c>
      <c r="H830" s="14">
        <v>870625.49</v>
      </c>
      <c r="I830" s="14">
        <v>870625.49</v>
      </c>
      <c r="J830" s="22">
        <f>H830*(1+Assumptions!$B$6+IF(F830="Yes",Assumptions!$C$6,0))</f>
        <v>896744.25470000005</v>
      </c>
      <c r="K830" s="22">
        <f>H830*(1+Assumptions!$B$7+IF(F830="Yes",Assumptions!$C$7,0))</f>
        <v>914156.76450000005</v>
      </c>
      <c r="L830" s="22">
        <f>H830*(1+Assumptions!$B$8+IF(F830="Yes",Assumptions!$C$8,0))</f>
        <v>879331.74490000005</v>
      </c>
    </row>
    <row r="831" spans="1:12" ht="15">
      <c r="A831" s="21">
        <v>41040</v>
      </c>
      <c r="B831" s="21">
        <v>41030</v>
      </c>
      <c r="C831" s="17">
        <v>18</v>
      </c>
      <c r="D831" s="17" t="s">
        <v>92</v>
      </c>
      <c r="E831" s="18">
        <v>120653</v>
      </c>
      <c r="F831" s="17" t="s">
        <v>91</v>
      </c>
      <c r="G831" s="14">
        <v>1058341.69</v>
      </c>
      <c r="H831" s="14">
        <v>993146.98</v>
      </c>
      <c r="I831" s="14">
        <v>993146.98</v>
      </c>
      <c r="J831" s="22">
        <f>H831*(1+Assumptions!$B$6+IF(F831="Yes",Assumptions!$C$6,0))</f>
        <v>1022941.3894</v>
      </c>
      <c r="K831" s="22">
        <f>H831*(1+Assumptions!$B$7+IF(F831="Yes",Assumptions!$C$7,0))</f>
        <v>1042804.329</v>
      </c>
      <c r="L831" s="22">
        <f>H831*(1+Assumptions!$B$8+IF(F831="Yes",Assumptions!$C$8,0))</f>
        <v>1003078.4497999999</v>
      </c>
    </row>
    <row r="832" spans="1:12" ht="15">
      <c r="A832" s="21">
        <v>41040</v>
      </c>
      <c r="B832" s="21">
        <v>41030</v>
      </c>
      <c r="C832" s="17">
        <v>19</v>
      </c>
      <c r="D832" s="17" t="s">
        <v>90</v>
      </c>
      <c r="E832" s="18">
        <v>203819</v>
      </c>
      <c r="F832" s="17" t="s">
        <v>91</v>
      </c>
      <c r="G832" s="14">
        <v>1442828.22</v>
      </c>
      <c r="H832" s="14">
        <v>1429143.06</v>
      </c>
      <c r="I832" s="14">
        <v>1429143.06</v>
      </c>
      <c r="J832" s="22">
        <f>H832*(1+Assumptions!$B$6+IF(F832="Yes",Assumptions!$C$6,0))</f>
        <v>1472017.3518000001</v>
      </c>
      <c r="K832" s="22">
        <f>H832*(1+Assumptions!$B$7+IF(F832="Yes",Assumptions!$C$7,0))</f>
        <v>1500600.2130000002</v>
      </c>
      <c r="L832" s="22">
        <f>H832*(1+Assumptions!$B$8+IF(F832="Yes",Assumptions!$C$8,0))</f>
        <v>1443434.4906000001</v>
      </c>
    </row>
    <row r="833" spans="1:12" ht="15">
      <c r="A833" s="21">
        <v>41040</v>
      </c>
      <c r="B833" s="21">
        <v>41030</v>
      </c>
      <c r="C833" s="17">
        <v>20</v>
      </c>
      <c r="D833" s="17" t="s">
        <v>90</v>
      </c>
      <c r="E833" s="18">
        <v>203742</v>
      </c>
      <c r="F833" s="17" t="s">
        <v>91</v>
      </c>
      <c r="G833" s="14">
        <v>2167459.9</v>
      </c>
      <c r="H833" s="14">
        <v>2036716.53</v>
      </c>
      <c r="I833" s="14">
        <v>2036716.53</v>
      </c>
      <c r="J833" s="22">
        <f>H833*(1+Assumptions!$B$6+IF(F833="Yes",Assumptions!$C$6,0))</f>
        <v>2097818.0259000002</v>
      </c>
      <c r="K833" s="22">
        <f>H833*(1+Assumptions!$B$7+IF(F833="Yes",Assumptions!$C$7,0))</f>
        <v>2138552.3565000002</v>
      </c>
      <c r="L833" s="22">
        <f>H833*(1+Assumptions!$B$8+IF(F833="Yes",Assumptions!$C$8,0))</f>
        <v>2057083.6953</v>
      </c>
    </row>
    <row r="834" spans="1:12" ht="15">
      <c r="A834" s="21">
        <v>41040</v>
      </c>
      <c r="B834" s="21">
        <v>41030</v>
      </c>
      <c r="C834" s="17">
        <v>21</v>
      </c>
      <c r="D834" s="17" t="s">
        <v>92</v>
      </c>
      <c r="E834" s="18">
        <v>140167</v>
      </c>
      <c r="F834" s="17" t="s">
        <v>91</v>
      </c>
      <c r="G834" s="14">
        <v>649792.52</v>
      </c>
      <c r="H834" s="14">
        <v>753928.70000000007</v>
      </c>
      <c r="I834" s="14">
        <v>753928.70000000007</v>
      </c>
      <c r="J834" s="22">
        <f>H834*(1+Assumptions!$B$6+IF(F834="Yes",Assumptions!$C$6,0))</f>
        <v>776546.5610000001</v>
      </c>
      <c r="K834" s="22">
        <f>H834*(1+Assumptions!$B$7+IF(F834="Yes",Assumptions!$C$7,0))</f>
        <v>791625.13500000013</v>
      </c>
      <c r="L834" s="22">
        <f>H834*(1+Assumptions!$B$8+IF(F834="Yes",Assumptions!$C$8,0))</f>
        <v>761467.98700000008</v>
      </c>
    </row>
    <row r="835" spans="1:12" ht="15">
      <c r="A835" s="21">
        <v>41040</v>
      </c>
      <c r="B835" s="21">
        <v>41030</v>
      </c>
      <c r="C835" s="17">
        <v>22</v>
      </c>
      <c r="D835" s="17" t="s">
        <v>92</v>
      </c>
      <c r="E835" s="18">
        <v>119557</v>
      </c>
      <c r="F835" s="17" t="s">
        <v>91</v>
      </c>
      <c r="G835" s="14">
        <v>996020.32</v>
      </c>
      <c r="H835" s="14">
        <v>1001558.74</v>
      </c>
      <c r="I835" s="14">
        <v>1001558.74</v>
      </c>
      <c r="J835" s="22">
        <f>H835*(1+Assumptions!$B$6+IF(F835="Yes",Assumptions!$C$6,0))</f>
        <v>1031605.5022</v>
      </c>
      <c r="K835" s="22">
        <f>H835*(1+Assumptions!$B$7+IF(F835="Yes",Assumptions!$C$7,0))</f>
        <v>1051636.6770000001</v>
      </c>
      <c r="L835" s="22">
        <f>H835*(1+Assumptions!$B$8+IF(F835="Yes",Assumptions!$C$8,0))</f>
        <v>1011574.3274</v>
      </c>
    </row>
    <row r="836" spans="1:12" ht="15">
      <c r="A836" s="21">
        <v>41040</v>
      </c>
      <c r="B836" s="21">
        <v>41030</v>
      </c>
      <c r="C836" s="17">
        <v>23</v>
      </c>
      <c r="D836" s="17" t="s">
        <v>92</v>
      </c>
      <c r="E836" s="18">
        <v>114533</v>
      </c>
      <c r="F836" s="17" t="s">
        <v>91</v>
      </c>
      <c r="G836" s="14">
        <v>1321914.3400000001</v>
      </c>
      <c r="H836" s="14">
        <v>1254849.9099999999</v>
      </c>
      <c r="I836" s="14">
        <v>1254849.9099999999</v>
      </c>
      <c r="J836" s="22">
        <f>H836*(1+Assumptions!$B$6+IF(F836="Yes",Assumptions!$C$6,0))</f>
        <v>1292495.4072999998</v>
      </c>
      <c r="K836" s="22">
        <f>H836*(1+Assumptions!$B$7+IF(F836="Yes",Assumptions!$C$7,0))</f>
        <v>1317592.4054999999</v>
      </c>
      <c r="L836" s="22">
        <f>H836*(1+Assumptions!$B$8+IF(F836="Yes",Assumptions!$C$8,0))</f>
        <v>1267398.4090999998</v>
      </c>
    </row>
    <row r="837" spans="1:12" ht="15">
      <c r="A837" s="21">
        <v>41040</v>
      </c>
      <c r="B837" s="21">
        <v>41030</v>
      </c>
      <c r="C837" s="17">
        <v>24</v>
      </c>
      <c r="D837" s="17" t="s">
        <v>90</v>
      </c>
      <c r="E837" s="18">
        <v>203819</v>
      </c>
      <c r="F837" s="17" t="s">
        <v>91</v>
      </c>
      <c r="G837" s="14">
        <v>1355193.79</v>
      </c>
      <c r="H837" s="14">
        <v>1311927.1499999999</v>
      </c>
      <c r="I837" s="14">
        <v>1311927.1499999999</v>
      </c>
      <c r="J837" s="22">
        <f>H837*(1+Assumptions!$B$6+IF(F837="Yes",Assumptions!$C$6,0))</f>
        <v>1351284.9645</v>
      </c>
      <c r="K837" s="22">
        <f>H837*(1+Assumptions!$B$7+IF(F837="Yes",Assumptions!$C$7,0))</f>
        <v>1377523.5075000001</v>
      </c>
      <c r="L837" s="22">
        <f>H837*(1+Assumptions!$B$8+IF(F837="Yes",Assumptions!$C$8,0))</f>
        <v>1325046.4214999999</v>
      </c>
    </row>
    <row r="838" spans="1:12" ht="15">
      <c r="A838" s="21">
        <v>41040</v>
      </c>
      <c r="B838" s="21">
        <v>41030</v>
      </c>
      <c r="C838" s="17">
        <v>25</v>
      </c>
      <c r="D838" s="17" t="s">
        <v>92</v>
      </c>
      <c r="E838" s="18">
        <v>128107</v>
      </c>
      <c r="F838" s="17" t="s">
        <v>91</v>
      </c>
      <c r="G838" s="14">
        <v>738401.86</v>
      </c>
      <c r="H838" s="14">
        <v>684781.65</v>
      </c>
      <c r="I838" s="14">
        <v>684781.65</v>
      </c>
      <c r="J838" s="22">
        <f>H838*(1+Assumptions!$B$6+IF(F838="Yes",Assumptions!$C$6,0))</f>
        <v>705325.09950000001</v>
      </c>
      <c r="K838" s="22">
        <f>H838*(1+Assumptions!$B$7+IF(F838="Yes",Assumptions!$C$7,0))</f>
        <v>719020.73250000004</v>
      </c>
      <c r="L838" s="22">
        <f>H838*(1+Assumptions!$B$8+IF(F838="Yes",Assumptions!$C$8,0))</f>
        <v>691629.46649999998</v>
      </c>
    </row>
    <row r="839" spans="1:12" ht="15">
      <c r="A839" s="21">
        <v>41040</v>
      </c>
      <c r="B839" s="21">
        <v>41030</v>
      </c>
      <c r="C839" s="17">
        <v>26</v>
      </c>
      <c r="D839" s="17" t="s">
        <v>90</v>
      </c>
      <c r="E839" s="18">
        <v>152513</v>
      </c>
      <c r="F839" s="17" t="s">
        <v>91</v>
      </c>
      <c r="G839" s="14">
        <v>1062439.73</v>
      </c>
      <c r="H839" s="14">
        <v>940981.35</v>
      </c>
      <c r="I839" s="14">
        <v>940981.35</v>
      </c>
      <c r="J839" s="22">
        <f>H839*(1+Assumptions!$B$6+IF(F839="Yes",Assumptions!$C$6,0))</f>
        <v>969210.7905</v>
      </c>
      <c r="K839" s="22">
        <f>H839*(1+Assumptions!$B$7+IF(F839="Yes",Assumptions!$C$7,0))</f>
        <v>988030.41749999998</v>
      </c>
      <c r="L839" s="22">
        <f>H839*(1+Assumptions!$B$8+IF(F839="Yes",Assumptions!$C$8,0))</f>
        <v>950391.16350000002</v>
      </c>
    </row>
    <row r="840" spans="1:12" ht="15">
      <c r="A840" s="21">
        <v>41040</v>
      </c>
      <c r="B840" s="21">
        <v>41030</v>
      </c>
      <c r="C840" s="17">
        <v>27</v>
      </c>
      <c r="D840" s="17" t="s">
        <v>90</v>
      </c>
      <c r="E840" s="18">
        <v>204184</v>
      </c>
      <c r="F840" s="17" t="s">
        <v>91</v>
      </c>
      <c r="G840" s="14">
        <v>1674306.31</v>
      </c>
      <c r="H840" s="14">
        <v>1763430.32</v>
      </c>
      <c r="I840" s="14">
        <v>1763430.32</v>
      </c>
      <c r="J840" s="22">
        <f>H840*(1+Assumptions!$B$6+IF(F840="Yes",Assumptions!$C$6,0))</f>
        <v>1816333.2296000002</v>
      </c>
      <c r="K840" s="22">
        <f>H840*(1+Assumptions!$B$7+IF(F840="Yes",Assumptions!$C$7,0))</f>
        <v>1851601.8360000001</v>
      </c>
      <c r="L840" s="22">
        <f>H840*(1+Assumptions!$B$8+IF(F840="Yes",Assumptions!$C$8,0))</f>
        <v>1781064.6232</v>
      </c>
    </row>
    <row r="841" spans="1:12" ht="15">
      <c r="A841" s="21">
        <v>41040</v>
      </c>
      <c r="B841" s="21">
        <v>41030</v>
      </c>
      <c r="C841" s="17">
        <v>28</v>
      </c>
      <c r="D841" s="17" t="s">
        <v>90</v>
      </c>
      <c r="E841" s="18">
        <v>206302</v>
      </c>
      <c r="F841" s="17" t="s">
        <v>91</v>
      </c>
      <c r="G841" s="14">
        <v>1264539.27</v>
      </c>
      <c r="H841" s="14">
        <v>1253316.3</v>
      </c>
      <c r="I841" s="14">
        <v>1253316.3</v>
      </c>
      <c r="J841" s="22">
        <f>H841*(1+Assumptions!$B$6+IF(F841="Yes",Assumptions!$C$6,0))</f>
        <v>1290915.7890000001</v>
      </c>
      <c r="K841" s="22">
        <f>H841*(1+Assumptions!$B$7+IF(F841="Yes",Assumptions!$C$7,0))</f>
        <v>1315982.115</v>
      </c>
      <c r="L841" s="22">
        <f>H841*(1+Assumptions!$B$8+IF(F841="Yes",Assumptions!$C$8,0))</f>
        <v>1265849.463</v>
      </c>
    </row>
    <row r="842" spans="1:12" ht="15">
      <c r="A842" s="21">
        <v>41040</v>
      </c>
      <c r="B842" s="21">
        <v>41030</v>
      </c>
      <c r="C842" s="17">
        <v>29</v>
      </c>
      <c r="D842" s="17" t="s">
        <v>92</v>
      </c>
      <c r="E842" s="18">
        <v>93638</v>
      </c>
      <c r="F842" s="17" t="s">
        <v>91</v>
      </c>
      <c r="G842" s="14">
        <v>529309.47</v>
      </c>
      <c r="H842" s="14">
        <v>548283.06000000006</v>
      </c>
      <c r="I842" s="14">
        <v>548283.06000000006</v>
      </c>
      <c r="J842" s="22">
        <f>H842*(1+Assumptions!$B$6+IF(F842="Yes",Assumptions!$C$6,0))</f>
        <v>564731.55180000002</v>
      </c>
      <c r="K842" s="22">
        <f>H842*(1+Assumptions!$B$7+IF(F842="Yes",Assumptions!$C$7,0))</f>
        <v>575697.21300000011</v>
      </c>
      <c r="L842" s="22">
        <f>H842*(1+Assumptions!$B$8+IF(F842="Yes",Assumptions!$C$8,0))</f>
        <v>553765.89060000004</v>
      </c>
    </row>
    <row r="843" spans="1:12" ht="15">
      <c r="A843" s="21">
        <v>41040</v>
      </c>
      <c r="B843" s="21">
        <v>41030</v>
      </c>
      <c r="C843" s="17">
        <v>30</v>
      </c>
      <c r="D843" s="17" t="s">
        <v>93</v>
      </c>
      <c r="E843" s="18">
        <v>42988</v>
      </c>
      <c r="F843" s="17" t="s">
        <v>91</v>
      </c>
      <c r="G843" s="14">
        <v>436070.45</v>
      </c>
      <c r="H843" s="14">
        <v>424394.25</v>
      </c>
      <c r="I843" s="14">
        <v>424394.25</v>
      </c>
      <c r="J843" s="22">
        <f>H843*(1+Assumptions!$B$6+IF(F843="Yes",Assumptions!$C$6,0))</f>
        <v>437126.07750000001</v>
      </c>
      <c r="K843" s="22">
        <f>H843*(1+Assumptions!$B$7+IF(F843="Yes",Assumptions!$C$7,0))</f>
        <v>445613.96250000002</v>
      </c>
      <c r="L843" s="22">
        <f>H843*(1+Assumptions!$B$8+IF(F843="Yes",Assumptions!$C$8,0))</f>
        <v>428638.1925</v>
      </c>
    </row>
    <row r="844" spans="1:12" ht="15">
      <c r="A844" s="21">
        <v>41040</v>
      </c>
      <c r="B844" s="21">
        <v>41030</v>
      </c>
      <c r="C844" s="17">
        <v>31</v>
      </c>
      <c r="D844" s="17" t="s">
        <v>90</v>
      </c>
      <c r="E844" s="18">
        <v>203750</v>
      </c>
      <c r="F844" s="17" t="s">
        <v>91</v>
      </c>
      <c r="G844" s="14">
        <v>1392926.1199999999</v>
      </c>
      <c r="H844" s="14">
        <v>1408073.22</v>
      </c>
      <c r="I844" s="14">
        <v>1408073.22</v>
      </c>
      <c r="J844" s="22">
        <f>H844*(1+Assumptions!$B$6+IF(F844="Yes",Assumptions!$C$6,0))</f>
        <v>1450315.4166000001</v>
      </c>
      <c r="K844" s="22">
        <f>H844*(1+Assumptions!$B$7+IF(F844="Yes",Assumptions!$C$7,0))</f>
        <v>1478476.8810000001</v>
      </c>
      <c r="L844" s="22">
        <f>H844*(1+Assumptions!$B$8+IF(F844="Yes",Assumptions!$C$8,0))</f>
        <v>1422153.9521999999</v>
      </c>
    </row>
    <row r="845" spans="1:12" ht="15">
      <c r="A845" s="21">
        <v>41040</v>
      </c>
      <c r="B845" s="21">
        <v>41030</v>
      </c>
      <c r="C845" s="17">
        <v>32</v>
      </c>
      <c r="D845" s="17" t="s">
        <v>90</v>
      </c>
      <c r="E845" s="18">
        <v>203007</v>
      </c>
      <c r="F845" s="17" t="s">
        <v>91</v>
      </c>
      <c r="G845" s="14">
        <v>1186961.07</v>
      </c>
      <c r="H845" s="14">
        <v>1138101.76</v>
      </c>
      <c r="I845" s="14">
        <v>1138101.76</v>
      </c>
      <c r="J845" s="22">
        <f>H845*(1+Assumptions!$B$6+IF(F845="Yes",Assumptions!$C$6,0))</f>
        <v>1172244.8128</v>
      </c>
      <c r="K845" s="22">
        <f>H845*(1+Assumptions!$B$7+IF(F845="Yes",Assumptions!$C$7,0))</f>
        <v>1195006.848</v>
      </c>
      <c r="L845" s="22">
        <f>H845*(1+Assumptions!$B$8+IF(F845="Yes",Assumptions!$C$8,0))</f>
        <v>1149482.7775999999</v>
      </c>
    </row>
    <row r="846" spans="1:12" ht="15">
      <c r="A846" s="21">
        <v>41040</v>
      </c>
      <c r="B846" s="21">
        <v>41030</v>
      </c>
      <c r="C846" s="17">
        <v>33</v>
      </c>
      <c r="D846" s="17" t="s">
        <v>90</v>
      </c>
      <c r="E846" s="18">
        <v>39690</v>
      </c>
      <c r="F846" s="17" t="s">
        <v>91</v>
      </c>
      <c r="G846" s="14">
        <v>295762.24</v>
      </c>
      <c r="H846" s="14">
        <v>279416.45</v>
      </c>
      <c r="I846" s="14">
        <v>279416.45</v>
      </c>
      <c r="J846" s="22">
        <f>H846*(1+Assumptions!$B$6+IF(F846="Yes",Assumptions!$C$6,0))</f>
        <v>287798.94349999999</v>
      </c>
      <c r="K846" s="22">
        <f>H846*(1+Assumptions!$B$7+IF(F846="Yes",Assumptions!$C$7,0))</f>
        <v>293387.27250000002</v>
      </c>
      <c r="L846" s="22">
        <f>H846*(1+Assumptions!$B$8+IF(F846="Yes",Assumptions!$C$8,0))</f>
        <v>282210.61450000003</v>
      </c>
    </row>
    <row r="847" spans="1:12" ht="15">
      <c r="A847" s="21">
        <v>41040</v>
      </c>
      <c r="B847" s="21">
        <v>41030</v>
      </c>
      <c r="C847" s="17">
        <v>34</v>
      </c>
      <c r="D847" s="17" t="s">
        <v>90</v>
      </c>
      <c r="E847" s="18">
        <v>158114</v>
      </c>
      <c r="F847" s="17" t="s">
        <v>91</v>
      </c>
      <c r="G847" s="14">
        <v>949515.77</v>
      </c>
      <c r="H847" s="14">
        <v>963461.94000000006</v>
      </c>
      <c r="I847" s="14">
        <v>963461.94000000006</v>
      </c>
      <c r="J847" s="22">
        <f>H847*(1+Assumptions!$B$6+IF(F847="Yes",Assumptions!$C$6,0))</f>
        <v>992365.79820000008</v>
      </c>
      <c r="K847" s="22">
        <f>H847*(1+Assumptions!$B$7+IF(F847="Yes",Assumptions!$C$7,0))</f>
        <v>1011635.0370000001</v>
      </c>
      <c r="L847" s="22">
        <f>H847*(1+Assumptions!$B$8+IF(F847="Yes",Assumptions!$C$8,0))</f>
        <v>973096.55940000003</v>
      </c>
    </row>
    <row r="848" spans="1:12" ht="15">
      <c r="A848" s="21">
        <v>41040</v>
      </c>
      <c r="B848" s="21">
        <v>41030</v>
      </c>
      <c r="C848" s="17">
        <v>35</v>
      </c>
      <c r="D848" s="17" t="s">
        <v>92</v>
      </c>
      <c r="E848" s="18">
        <v>103681</v>
      </c>
      <c r="F848" s="17" t="s">
        <v>91</v>
      </c>
      <c r="G848" s="14">
        <v>802332.66</v>
      </c>
      <c r="H848" s="14">
        <v>826155.95</v>
      </c>
      <c r="I848" s="14">
        <v>826155.95</v>
      </c>
      <c r="J848" s="22">
        <f>H848*(1+Assumptions!$B$6+IF(F848="Yes",Assumptions!$C$6,0))</f>
        <v>850940.62849999999</v>
      </c>
      <c r="K848" s="22">
        <f>H848*(1+Assumptions!$B$7+IF(F848="Yes",Assumptions!$C$7,0))</f>
        <v>867463.74749999994</v>
      </c>
      <c r="L848" s="22">
        <f>H848*(1+Assumptions!$B$8+IF(F848="Yes",Assumptions!$C$8,0))</f>
        <v>834417.50949999993</v>
      </c>
    </row>
    <row r="849" spans="1:12" ht="15">
      <c r="A849" s="21">
        <v>41040</v>
      </c>
      <c r="B849" s="21">
        <v>41030</v>
      </c>
      <c r="C849" s="17">
        <v>36</v>
      </c>
      <c r="D849" s="17" t="s">
        <v>90</v>
      </c>
      <c r="E849" s="18">
        <v>39910</v>
      </c>
      <c r="F849" s="17" t="s">
        <v>91</v>
      </c>
      <c r="G849" s="14">
        <v>330668.46999999997</v>
      </c>
      <c r="H849" s="14">
        <v>395313.65</v>
      </c>
      <c r="I849" s="14">
        <v>395313.65</v>
      </c>
      <c r="J849" s="22">
        <f>H849*(1+Assumptions!$B$6+IF(F849="Yes",Assumptions!$C$6,0))</f>
        <v>407173.05950000003</v>
      </c>
      <c r="K849" s="22">
        <f>H849*(1+Assumptions!$B$7+IF(F849="Yes",Assumptions!$C$7,0))</f>
        <v>415079.33250000002</v>
      </c>
      <c r="L849" s="22">
        <f>H849*(1+Assumptions!$B$8+IF(F849="Yes",Assumptions!$C$8,0))</f>
        <v>399266.78650000005</v>
      </c>
    </row>
    <row r="850" spans="1:12" ht="15">
      <c r="A850" s="21">
        <v>41040</v>
      </c>
      <c r="B850" s="21">
        <v>41030</v>
      </c>
      <c r="C850" s="17">
        <v>37</v>
      </c>
      <c r="D850" s="17" t="s">
        <v>93</v>
      </c>
      <c r="E850" s="18">
        <v>39910</v>
      </c>
      <c r="F850" s="17" t="s">
        <v>91</v>
      </c>
      <c r="G850" s="14">
        <v>527797.22</v>
      </c>
      <c r="H850" s="14">
        <v>511853.41</v>
      </c>
      <c r="I850" s="14">
        <v>511853.41</v>
      </c>
      <c r="J850" s="22">
        <f>H850*(1+Assumptions!$B$6+IF(F850="Yes",Assumptions!$C$6,0))</f>
        <v>527209.01229999994</v>
      </c>
      <c r="K850" s="22">
        <f>H850*(1+Assumptions!$B$7+IF(F850="Yes",Assumptions!$C$7,0))</f>
        <v>537446.08050000004</v>
      </c>
      <c r="L850" s="22">
        <f>H850*(1+Assumptions!$B$8+IF(F850="Yes",Assumptions!$C$8,0))</f>
        <v>516971.94409999996</v>
      </c>
    </row>
    <row r="851" spans="1:12" ht="15">
      <c r="A851" s="21">
        <v>41040</v>
      </c>
      <c r="B851" s="21">
        <v>41030</v>
      </c>
      <c r="C851" s="17">
        <v>38</v>
      </c>
      <c r="D851" s="17" t="s">
        <v>93</v>
      </c>
      <c r="E851" s="18">
        <v>39690</v>
      </c>
      <c r="F851" s="17" t="s">
        <v>91</v>
      </c>
      <c r="G851" s="14">
        <v>429832.99</v>
      </c>
      <c r="H851" s="14">
        <v>366964.94</v>
      </c>
      <c r="I851" s="14">
        <v>366964.94</v>
      </c>
      <c r="J851" s="22">
        <f>H851*(1+Assumptions!$B$6+IF(F851="Yes",Assumptions!$C$6,0))</f>
        <v>377973.88819999999</v>
      </c>
      <c r="K851" s="22">
        <f>H851*(1+Assumptions!$B$7+IF(F851="Yes",Assumptions!$C$7,0))</f>
        <v>385313.18700000003</v>
      </c>
      <c r="L851" s="22">
        <f>H851*(1+Assumptions!$B$8+IF(F851="Yes",Assumptions!$C$8,0))</f>
        <v>370634.5894</v>
      </c>
    </row>
    <row r="852" spans="1:12" ht="15">
      <c r="A852" s="21">
        <v>41040</v>
      </c>
      <c r="B852" s="21">
        <v>41030</v>
      </c>
      <c r="C852" s="17">
        <v>39</v>
      </c>
      <c r="D852" s="17" t="s">
        <v>90</v>
      </c>
      <c r="E852" s="18">
        <v>184109</v>
      </c>
      <c r="F852" s="17" t="s">
        <v>91</v>
      </c>
      <c r="G852" s="14">
        <v>1470108.41</v>
      </c>
      <c r="H852" s="14">
        <v>1324926.25</v>
      </c>
      <c r="I852" s="14">
        <v>1324926.25</v>
      </c>
      <c r="J852" s="22">
        <f>H852*(1+Assumptions!$B$6+IF(F852="Yes",Assumptions!$C$6,0))</f>
        <v>1364674.0375000001</v>
      </c>
      <c r="K852" s="22">
        <f>H852*(1+Assumptions!$B$7+IF(F852="Yes",Assumptions!$C$7,0))</f>
        <v>1391172.5625</v>
      </c>
      <c r="L852" s="22">
        <f>H852*(1+Assumptions!$B$8+IF(F852="Yes",Assumptions!$C$8,0))</f>
        <v>1338175.5125</v>
      </c>
    </row>
    <row r="853" spans="1:12" ht="15">
      <c r="A853" s="21">
        <v>41040</v>
      </c>
      <c r="B853" s="21">
        <v>41030</v>
      </c>
      <c r="C853" s="17">
        <v>40</v>
      </c>
      <c r="D853" s="17" t="s">
        <v>90</v>
      </c>
      <c r="E853" s="18">
        <v>155083</v>
      </c>
      <c r="F853" s="17" t="s">
        <v>91</v>
      </c>
      <c r="G853" s="14">
        <v>967686.68</v>
      </c>
      <c r="H853" s="14">
        <v>903864.02</v>
      </c>
      <c r="I853" s="14">
        <v>903864.02</v>
      </c>
      <c r="J853" s="22">
        <f>H853*(1+Assumptions!$B$6+IF(F853="Yes",Assumptions!$C$6,0))</f>
        <v>930979.94060000009</v>
      </c>
      <c r="K853" s="22">
        <f>H853*(1+Assumptions!$B$7+IF(F853="Yes",Assumptions!$C$7,0))</f>
        <v>949057.22100000002</v>
      </c>
      <c r="L853" s="22">
        <f>H853*(1+Assumptions!$B$8+IF(F853="Yes",Assumptions!$C$8,0))</f>
        <v>912902.66020000004</v>
      </c>
    </row>
    <row r="854" spans="1:12" ht="15">
      <c r="A854" s="21">
        <v>41040</v>
      </c>
      <c r="B854" s="21">
        <v>41030</v>
      </c>
      <c r="C854" s="17">
        <v>41</v>
      </c>
      <c r="D854" s="17" t="s">
        <v>90</v>
      </c>
      <c r="E854" s="18">
        <v>196321</v>
      </c>
      <c r="F854" s="17" t="s">
        <v>91</v>
      </c>
      <c r="G854" s="14">
        <v>1351821.34</v>
      </c>
      <c r="H854" s="14">
        <v>1270025.74</v>
      </c>
      <c r="I854" s="14">
        <v>1270025.74</v>
      </c>
      <c r="J854" s="22">
        <f>H854*(1+Assumptions!$B$6+IF(F854="Yes",Assumptions!$C$6,0))</f>
        <v>1308126.5122</v>
      </c>
      <c r="K854" s="22">
        <f>H854*(1+Assumptions!$B$7+IF(F854="Yes",Assumptions!$C$7,0))</f>
        <v>1333527.027</v>
      </c>
      <c r="L854" s="22">
        <f>H854*(1+Assumptions!$B$8+IF(F854="Yes",Assumptions!$C$8,0))</f>
        <v>1282725.9974</v>
      </c>
    </row>
    <row r="855" spans="1:12" ht="15">
      <c r="A855" s="21">
        <v>41040</v>
      </c>
      <c r="B855" s="21">
        <v>41030</v>
      </c>
      <c r="C855" s="17">
        <v>42</v>
      </c>
      <c r="D855" s="17" t="s">
        <v>93</v>
      </c>
      <c r="E855" s="18">
        <v>39690</v>
      </c>
      <c r="F855" s="17" t="s">
        <v>91</v>
      </c>
      <c r="G855" s="14">
        <v>643647.15999999992</v>
      </c>
      <c r="H855" s="14">
        <v>602994.84</v>
      </c>
      <c r="I855" s="14">
        <v>602994.84</v>
      </c>
      <c r="J855" s="22">
        <f>H855*(1+Assumptions!$B$6+IF(F855="Yes",Assumptions!$C$6,0))</f>
        <v>621084.68519999995</v>
      </c>
      <c r="K855" s="22">
        <f>H855*(1+Assumptions!$B$7+IF(F855="Yes",Assumptions!$C$7,0))</f>
        <v>633144.58199999994</v>
      </c>
      <c r="L855" s="22">
        <f>H855*(1+Assumptions!$B$8+IF(F855="Yes",Assumptions!$C$8,0))</f>
        <v>609024.78839999996</v>
      </c>
    </row>
    <row r="856" spans="1:12" ht="15">
      <c r="A856" s="21">
        <v>41040</v>
      </c>
      <c r="B856" s="21">
        <v>41030</v>
      </c>
      <c r="C856" s="17">
        <v>43</v>
      </c>
      <c r="D856" s="17" t="s">
        <v>93</v>
      </c>
      <c r="E856" s="18">
        <v>41062</v>
      </c>
      <c r="F856" s="17" t="s">
        <v>91</v>
      </c>
      <c r="G856" s="14">
        <v>639363.29999999993</v>
      </c>
      <c r="H856" s="14">
        <v>684454.15</v>
      </c>
      <c r="I856" s="14">
        <v>684454.15</v>
      </c>
      <c r="J856" s="22">
        <f>H856*(1+Assumptions!$B$6+IF(F856="Yes",Assumptions!$C$6,0))</f>
        <v>704987.77450000006</v>
      </c>
      <c r="K856" s="22">
        <f>H856*(1+Assumptions!$B$7+IF(F856="Yes",Assumptions!$C$7,0))</f>
        <v>718676.85750000004</v>
      </c>
      <c r="L856" s="22">
        <f>H856*(1+Assumptions!$B$8+IF(F856="Yes",Assumptions!$C$8,0))</f>
        <v>691298.69150000007</v>
      </c>
    </row>
    <row r="857" spans="1:12" ht="15">
      <c r="A857" s="21">
        <v>41040</v>
      </c>
      <c r="B857" s="21">
        <v>41030</v>
      </c>
      <c r="C857" s="17">
        <v>44</v>
      </c>
      <c r="D857" s="17" t="s">
        <v>93</v>
      </c>
      <c r="E857" s="18">
        <v>39910</v>
      </c>
      <c r="F857" s="17" t="s">
        <v>91</v>
      </c>
      <c r="G857" s="14">
        <v>341251.88</v>
      </c>
      <c r="H857" s="14">
        <v>306970.09999999998</v>
      </c>
      <c r="I857" s="14">
        <v>306970.09999999998</v>
      </c>
      <c r="J857" s="22">
        <f>H857*(1+Assumptions!$B$6+IF(F857="Yes",Assumptions!$C$6,0))</f>
        <v>316179.20299999998</v>
      </c>
      <c r="K857" s="22">
        <f>H857*(1+Assumptions!$B$7+IF(F857="Yes",Assumptions!$C$7,0))</f>
        <v>322318.60499999998</v>
      </c>
      <c r="L857" s="22">
        <f>H857*(1+Assumptions!$B$8+IF(F857="Yes",Assumptions!$C$8,0))</f>
        <v>310039.80099999998</v>
      </c>
    </row>
    <row r="858" spans="1:12" ht="15">
      <c r="A858" s="21">
        <v>41040</v>
      </c>
      <c r="B858" s="21">
        <v>41030</v>
      </c>
      <c r="C858" s="17">
        <v>45</v>
      </c>
      <c r="D858" s="17" t="s">
        <v>92</v>
      </c>
      <c r="E858" s="18">
        <v>118221</v>
      </c>
      <c r="F858" s="17" t="s">
        <v>91</v>
      </c>
      <c r="G858" s="14">
        <v>770472.52</v>
      </c>
      <c r="H858" s="14">
        <v>793869.1</v>
      </c>
      <c r="I858" s="14">
        <v>793869.1</v>
      </c>
      <c r="J858" s="22">
        <f>H858*(1+Assumptions!$B$6+IF(F858="Yes",Assumptions!$C$6,0))</f>
        <v>817685.17299999995</v>
      </c>
      <c r="K858" s="22">
        <f>H858*(1+Assumptions!$B$7+IF(F858="Yes",Assumptions!$C$7,0))</f>
        <v>833562.55500000005</v>
      </c>
      <c r="L858" s="22">
        <f>H858*(1+Assumptions!$B$8+IF(F858="Yes",Assumptions!$C$8,0))</f>
        <v>801807.79099999997</v>
      </c>
    </row>
    <row r="859" spans="1:12" ht="15">
      <c r="A859" s="21">
        <v>41047</v>
      </c>
      <c r="B859" s="21">
        <v>41030</v>
      </c>
      <c r="C859" s="17">
        <v>1</v>
      </c>
      <c r="D859" s="17" t="s">
        <v>90</v>
      </c>
      <c r="E859" s="18">
        <v>151315</v>
      </c>
      <c r="F859" s="17" t="s">
        <v>91</v>
      </c>
      <c r="G859" s="14">
        <v>1595901.87</v>
      </c>
      <c r="H859" s="14">
        <v>1428206</v>
      </c>
      <c r="I859" s="14">
        <v>1428206</v>
      </c>
      <c r="J859" s="22">
        <f>H859*(1+Assumptions!$B$6+IF(F859="Yes",Assumptions!$C$6,0))</f>
        <v>1471052.18</v>
      </c>
      <c r="K859" s="22">
        <f>H859*(1+Assumptions!$B$7+IF(F859="Yes",Assumptions!$C$7,0))</f>
        <v>1499616.3</v>
      </c>
      <c r="L859" s="22">
        <f>H859*(1+Assumptions!$B$8+IF(F859="Yes",Assumptions!$C$8,0))</f>
        <v>1442488.06</v>
      </c>
    </row>
    <row r="860" spans="1:12" ht="15">
      <c r="A860" s="21">
        <v>41047</v>
      </c>
      <c r="B860" s="21">
        <v>41030</v>
      </c>
      <c r="C860" s="17">
        <v>2</v>
      </c>
      <c r="D860" s="17" t="s">
        <v>90</v>
      </c>
      <c r="E860" s="18">
        <v>202307</v>
      </c>
      <c r="F860" s="17" t="s">
        <v>91</v>
      </c>
      <c r="G860" s="14">
        <v>2000940.57</v>
      </c>
      <c r="H860" s="14">
        <v>1688281.8599999999</v>
      </c>
      <c r="I860" s="14">
        <v>1688281.8599999999</v>
      </c>
      <c r="J860" s="22">
        <f>H860*(1+Assumptions!$B$6+IF(F860="Yes",Assumptions!$C$6,0))</f>
        <v>1738930.3158</v>
      </c>
      <c r="K860" s="22">
        <f>H860*(1+Assumptions!$B$7+IF(F860="Yes",Assumptions!$C$7,0))</f>
        <v>1772695.953</v>
      </c>
      <c r="L860" s="22">
        <f>H860*(1+Assumptions!$B$8+IF(F860="Yes",Assumptions!$C$8,0))</f>
        <v>1705164.6786</v>
      </c>
    </row>
    <row r="861" spans="1:12" ht="15">
      <c r="A861" s="21">
        <v>41047</v>
      </c>
      <c r="B861" s="21">
        <v>41030</v>
      </c>
      <c r="C861" s="17">
        <v>3</v>
      </c>
      <c r="D861" s="17" t="s">
        <v>92</v>
      </c>
      <c r="E861" s="18">
        <v>37392</v>
      </c>
      <c r="F861" s="17" t="s">
        <v>91</v>
      </c>
      <c r="G861" s="14">
        <v>418054.82</v>
      </c>
      <c r="H861" s="14">
        <v>364577.78</v>
      </c>
      <c r="I861" s="14">
        <v>364577.78</v>
      </c>
      <c r="J861" s="22">
        <f>H861*(1+Assumptions!$B$6+IF(F861="Yes",Assumptions!$C$6,0))</f>
        <v>375515.11340000003</v>
      </c>
      <c r="K861" s="22">
        <f>H861*(1+Assumptions!$B$7+IF(F861="Yes",Assumptions!$C$7,0))</f>
        <v>382806.66900000005</v>
      </c>
      <c r="L861" s="22">
        <f>H861*(1+Assumptions!$B$8+IF(F861="Yes",Assumptions!$C$8,0))</f>
        <v>368223.55780000001</v>
      </c>
    </row>
    <row r="862" spans="1:12" ht="15">
      <c r="A862" s="21">
        <v>41047</v>
      </c>
      <c r="B862" s="21">
        <v>41030</v>
      </c>
      <c r="C862" s="17">
        <v>4</v>
      </c>
      <c r="D862" s="17" t="s">
        <v>90</v>
      </c>
      <c r="E862" s="18">
        <v>205863</v>
      </c>
      <c r="F862" s="17" t="s">
        <v>91</v>
      </c>
      <c r="G862" s="14">
        <v>2207214.81</v>
      </c>
      <c r="H862" s="14">
        <v>2015559.98</v>
      </c>
      <c r="I862" s="14">
        <v>2015559.98</v>
      </c>
      <c r="J862" s="22">
        <f>H862*(1+Assumptions!$B$6+IF(F862="Yes",Assumptions!$C$6,0))</f>
        <v>2076026.7794000001</v>
      </c>
      <c r="K862" s="22">
        <f>H862*(1+Assumptions!$B$7+IF(F862="Yes",Assumptions!$C$7,0))</f>
        <v>2116337.9790000003</v>
      </c>
      <c r="L862" s="22">
        <f>H862*(1+Assumptions!$B$8+IF(F862="Yes",Assumptions!$C$8,0))</f>
        <v>2035715.5797999999</v>
      </c>
    </row>
    <row r="863" spans="1:12" ht="15">
      <c r="A863" s="21">
        <v>41047</v>
      </c>
      <c r="B863" s="21">
        <v>41030</v>
      </c>
      <c r="C863" s="17">
        <v>5</v>
      </c>
      <c r="D863" s="17" t="s">
        <v>92</v>
      </c>
      <c r="E863" s="18">
        <v>34875</v>
      </c>
      <c r="F863" s="17" t="s">
        <v>91</v>
      </c>
      <c r="G863" s="14">
        <v>336097.26</v>
      </c>
      <c r="H863" s="14">
        <v>299359.13</v>
      </c>
      <c r="I863" s="14">
        <v>299359.13</v>
      </c>
      <c r="J863" s="22">
        <f>H863*(1+Assumptions!$B$6+IF(F863="Yes",Assumptions!$C$6,0))</f>
        <v>308339.90390000003</v>
      </c>
      <c r="K863" s="22">
        <f>H863*(1+Assumptions!$B$7+IF(F863="Yes",Assumptions!$C$7,0))</f>
        <v>314327.08650000003</v>
      </c>
      <c r="L863" s="22">
        <f>H863*(1+Assumptions!$B$8+IF(F863="Yes",Assumptions!$C$8,0))</f>
        <v>302352.72130000003</v>
      </c>
    </row>
    <row r="864" spans="1:12" ht="15">
      <c r="A864" s="21">
        <v>41047</v>
      </c>
      <c r="B864" s="21">
        <v>41030</v>
      </c>
      <c r="C864" s="17">
        <v>6</v>
      </c>
      <c r="D864" s="17" t="s">
        <v>90</v>
      </c>
      <c r="E864" s="18">
        <v>202505</v>
      </c>
      <c r="F864" s="17" t="s">
        <v>91</v>
      </c>
      <c r="G864" s="14">
        <v>1513635.64</v>
      </c>
      <c r="H864" s="14">
        <v>1382783.83</v>
      </c>
      <c r="I864" s="14">
        <v>1382783.83</v>
      </c>
      <c r="J864" s="22">
        <f>H864*(1+Assumptions!$B$6+IF(F864="Yes",Assumptions!$C$6,0))</f>
        <v>1424267.3449000001</v>
      </c>
      <c r="K864" s="22">
        <f>H864*(1+Assumptions!$B$7+IF(F864="Yes",Assumptions!$C$7,0))</f>
        <v>1451923.0215</v>
      </c>
      <c r="L864" s="22">
        <f>H864*(1+Assumptions!$B$8+IF(F864="Yes",Assumptions!$C$8,0))</f>
        <v>1396611.6683</v>
      </c>
    </row>
    <row r="865" spans="1:12" ht="15">
      <c r="A865" s="21">
        <v>41047</v>
      </c>
      <c r="B865" s="21">
        <v>41030</v>
      </c>
      <c r="C865" s="17">
        <v>7</v>
      </c>
      <c r="D865" s="17" t="s">
        <v>92</v>
      </c>
      <c r="E865" s="18">
        <v>70713</v>
      </c>
      <c r="F865" s="17" t="s">
        <v>91</v>
      </c>
      <c r="G865" s="14">
        <v>468410.48</v>
      </c>
      <c r="H865" s="14">
        <v>424386.17</v>
      </c>
      <c r="I865" s="14">
        <v>424386.17</v>
      </c>
      <c r="J865" s="22">
        <f>H865*(1+Assumptions!$B$6+IF(F865="Yes",Assumptions!$C$6,0))</f>
        <v>437117.75510000001</v>
      </c>
      <c r="K865" s="22">
        <f>H865*(1+Assumptions!$B$7+IF(F865="Yes",Assumptions!$C$7,0))</f>
        <v>445605.47850000003</v>
      </c>
      <c r="L865" s="22">
        <f>H865*(1+Assumptions!$B$8+IF(F865="Yes",Assumptions!$C$8,0))</f>
        <v>428630.03169999999</v>
      </c>
    </row>
    <row r="866" spans="1:12" ht="15">
      <c r="A866" s="21">
        <v>41047</v>
      </c>
      <c r="B866" s="21">
        <v>41030</v>
      </c>
      <c r="C866" s="17">
        <v>8</v>
      </c>
      <c r="D866" s="17" t="s">
        <v>90</v>
      </c>
      <c r="E866" s="18">
        <v>155078</v>
      </c>
      <c r="F866" s="17" t="s">
        <v>91</v>
      </c>
      <c r="G866" s="14">
        <v>913919.30999999994</v>
      </c>
      <c r="H866" s="14">
        <v>836049.89</v>
      </c>
      <c r="I866" s="14">
        <v>836049.89</v>
      </c>
      <c r="J866" s="22">
        <f>H866*(1+Assumptions!$B$6+IF(F866="Yes",Assumptions!$C$6,0))</f>
        <v>861131.38670000003</v>
      </c>
      <c r="K866" s="22">
        <f>H866*(1+Assumptions!$B$7+IF(F866="Yes",Assumptions!$C$7,0))</f>
        <v>877852.38450000004</v>
      </c>
      <c r="L866" s="22">
        <f>H866*(1+Assumptions!$B$8+IF(F866="Yes",Assumptions!$C$8,0))</f>
        <v>844410.38890000002</v>
      </c>
    </row>
    <row r="867" spans="1:12" ht="15">
      <c r="A867" s="21">
        <v>41047</v>
      </c>
      <c r="B867" s="21">
        <v>41030</v>
      </c>
      <c r="C867" s="17">
        <v>9</v>
      </c>
      <c r="D867" s="17" t="s">
        <v>92</v>
      </c>
      <c r="E867" s="18">
        <v>125833</v>
      </c>
      <c r="F867" s="17" t="s">
        <v>91</v>
      </c>
      <c r="G867" s="14">
        <v>564599.65</v>
      </c>
      <c r="H867" s="14">
        <v>518249.33</v>
      </c>
      <c r="I867" s="14">
        <v>518249.33</v>
      </c>
      <c r="J867" s="22">
        <f>H867*(1+Assumptions!$B$6+IF(F867="Yes",Assumptions!$C$6,0))</f>
        <v>533796.80989999999</v>
      </c>
      <c r="K867" s="22">
        <f>H867*(1+Assumptions!$B$7+IF(F867="Yes",Assumptions!$C$7,0))</f>
        <v>544161.79650000005</v>
      </c>
      <c r="L867" s="22">
        <f>H867*(1+Assumptions!$B$8+IF(F867="Yes",Assumptions!$C$8,0))</f>
        <v>523431.82330000005</v>
      </c>
    </row>
    <row r="868" spans="1:12" ht="15">
      <c r="A868" s="21">
        <v>41047</v>
      </c>
      <c r="B868" s="21">
        <v>41030</v>
      </c>
      <c r="C868" s="17">
        <v>10</v>
      </c>
      <c r="D868" s="17" t="s">
        <v>92</v>
      </c>
      <c r="E868" s="18">
        <v>126512</v>
      </c>
      <c r="F868" s="17" t="s">
        <v>91</v>
      </c>
      <c r="G868" s="14">
        <v>1795154.7</v>
      </c>
      <c r="H868" s="14">
        <v>1720897.54</v>
      </c>
      <c r="I868" s="14">
        <v>1720897.54</v>
      </c>
      <c r="J868" s="22">
        <f>H868*(1+Assumptions!$B$6+IF(F868="Yes",Assumptions!$C$6,0))</f>
        <v>1772524.4662000001</v>
      </c>
      <c r="K868" s="22">
        <f>H868*(1+Assumptions!$B$7+IF(F868="Yes",Assumptions!$C$7,0))</f>
        <v>1806942.4170000001</v>
      </c>
      <c r="L868" s="22">
        <f>H868*(1+Assumptions!$B$8+IF(F868="Yes",Assumptions!$C$8,0))</f>
        <v>1738106.5154000001</v>
      </c>
    </row>
    <row r="869" spans="1:12" ht="15">
      <c r="A869" s="21">
        <v>41047</v>
      </c>
      <c r="B869" s="21">
        <v>41030</v>
      </c>
      <c r="C869" s="17">
        <v>11</v>
      </c>
      <c r="D869" s="17" t="s">
        <v>90</v>
      </c>
      <c r="E869" s="18">
        <v>207499</v>
      </c>
      <c r="F869" s="17" t="s">
        <v>91</v>
      </c>
      <c r="G869" s="14">
        <v>1350967.5</v>
      </c>
      <c r="H869" s="14">
        <v>1239446.03</v>
      </c>
      <c r="I869" s="14">
        <v>1239446.03</v>
      </c>
      <c r="J869" s="22">
        <f>H869*(1+Assumptions!$B$6+IF(F869="Yes",Assumptions!$C$6,0))</f>
        <v>1276629.4109</v>
      </c>
      <c r="K869" s="22">
        <f>H869*(1+Assumptions!$B$7+IF(F869="Yes",Assumptions!$C$7,0))</f>
        <v>1301418.3315000001</v>
      </c>
      <c r="L869" s="22">
        <f>H869*(1+Assumptions!$B$8+IF(F869="Yes",Assumptions!$C$8,0))</f>
        <v>1251840.4902999999</v>
      </c>
    </row>
    <row r="870" spans="1:12" ht="15">
      <c r="A870" s="21">
        <v>41047</v>
      </c>
      <c r="B870" s="21">
        <v>41030</v>
      </c>
      <c r="C870" s="17">
        <v>12</v>
      </c>
      <c r="D870" s="17" t="s">
        <v>92</v>
      </c>
      <c r="E870" s="18">
        <v>112238</v>
      </c>
      <c r="F870" s="17" t="s">
        <v>91</v>
      </c>
      <c r="G870" s="14">
        <v>1017249.0499999999</v>
      </c>
      <c r="H870" s="14">
        <v>924103.58000000007</v>
      </c>
      <c r="I870" s="14">
        <v>924103.58000000007</v>
      </c>
      <c r="J870" s="22">
        <f>H870*(1+Assumptions!$B$6+IF(F870="Yes",Assumptions!$C$6,0))</f>
        <v>951826.68740000005</v>
      </c>
      <c r="K870" s="22">
        <f>H870*(1+Assumptions!$B$7+IF(F870="Yes",Assumptions!$C$7,0))</f>
        <v>970308.75900000008</v>
      </c>
      <c r="L870" s="22">
        <f>H870*(1+Assumptions!$B$8+IF(F870="Yes",Assumptions!$C$8,0))</f>
        <v>933344.61580000003</v>
      </c>
    </row>
    <row r="871" spans="1:12" ht="15">
      <c r="A871" s="21">
        <v>41047</v>
      </c>
      <c r="B871" s="21">
        <v>41030</v>
      </c>
      <c r="C871" s="17">
        <v>13</v>
      </c>
      <c r="D871" s="17" t="s">
        <v>90</v>
      </c>
      <c r="E871" s="18">
        <v>219622</v>
      </c>
      <c r="F871" s="17" t="s">
        <v>91</v>
      </c>
      <c r="G871" s="14">
        <v>2131871.58</v>
      </c>
      <c r="H871" s="14">
        <v>1860305.55</v>
      </c>
      <c r="I871" s="14">
        <v>1860305.55</v>
      </c>
      <c r="J871" s="22">
        <f>H871*(1+Assumptions!$B$6+IF(F871="Yes",Assumptions!$C$6,0))</f>
        <v>1916114.7165000001</v>
      </c>
      <c r="K871" s="22">
        <f>H871*(1+Assumptions!$B$7+IF(F871="Yes",Assumptions!$C$7,0))</f>
        <v>1953320.8275000001</v>
      </c>
      <c r="L871" s="22">
        <f>H871*(1+Assumptions!$B$8+IF(F871="Yes",Assumptions!$C$8,0))</f>
        <v>1878908.6055000001</v>
      </c>
    </row>
    <row r="872" spans="1:12" ht="15">
      <c r="A872" s="21">
        <v>41047</v>
      </c>
      <c r="B872" s="21">
        <v>41030</v>
      </c>
      <c r="C872" s="17">
        <v>14</v>
      </c>
      <c r="D872" s="17" t="s">
        <v>90</v>
      </c>
      <c r="E872" s="18">
        <v>200898</v>
      </c>
      <c r="F872" s="17" t="s">
        <v>91</v>
      </c>
      <c r="G872" s="14">
        <v>1932245.17</v>
      </c>
      <c r="H872" s="14">
        <v>1960165.8</v>
      </c>
      <c r="I872" s="14">
        <v>1960165.8</v>
      </c>
      <c r="J872" s="22">
        <f>H872*(1+Assumptions!$B$6+IF(F872="Yes",Assumptions!$C$6,0))</f>
        <v>2018970.7740000002</v>
      </c>
      <c r="K872" s="22">
        <f>H872*(1+Assumptions!$B$7+IF(F872="Yes",Assumptions!$C$7,0))</f>
        <v>2058174.09</v>
      </c>
      <c r="L872" s="22">
        <f>H872*(1+Assumptions!$B$8+IF(F872="Yes",Assumptions!$C$8,0))</f>
        <v>1979767.4580000001</v>
      </c>
    </row>
    <row r="873" spans="1:12" ht="15">
      <c r="A873" s="21">
        <v>41047</v>
      </c>
      <c r="B873" s="21">
        <v>41030</v>
      </c>
      <c r="C873" s="17">
        <v>15</v>
      </c>
      <c r="D873" s="17" t="s">
        <v>92</v>
      </c>
      <c r="E873" s="18">
        <v>123737</v>
      </c>
      <c r="F873" s="17" t="s">
        <v>91</v>
      </c>
      <c r="G873" s="14">
        <v>599711.32999999996</v>
      </c>
      <c r="H873" s="14">
        <v>593940.4</v>
      </c>
      <c r="I873" s="14">
        <v>593940.4</v>
      </c>
      <c r="J873" s="22">
        <f>H873*(1+Assumptions!$B$6+IF(F873="Yes",Assumptions!$C$6,0))</f>
        <v>611758.61200000008</v>
      </c>
      <c r="K873" s="22">
        <f>H873*(1+Assumptions!$B$7+IF(F873="Yes",Assumptions!$C$7,0))</f>
        <v>623637.42000000004</v>
      </c>
      <c r="L873" s="22">
        <f>H873*(1+Assumptions!$B$8+IF(F873="Yes",Assumptions!$C$8,0))</f>
        <v>599879.804</v>
      </c>
    </row>
    <row r="874" spans="1:12" ht="15">
      <c r="A874" s="21">
        <v>41047</v>
      </c>
      <c r="B874" s="21">
        <v>41030</v>
      </c>
      <c r="C874" s="17">
        <v>16</v>
      </c>
      <c r="D874" s="17" t="s">
        <v>92</v>
      </c>
      <c r="E874" s="18">
        <v>57197</v>
      </c>
      <c r="F874" s="17" t="s">
        <v>91</v>
      </c>
      <c r="G874" s="14">
        <v>491821.02</v>
      </c>
      <c r="H874" s="14">
        <v>435334.83</v>
      </c>
      <c r="I874" s="14">
        <v>435334.83</v>
      </c>
      <c r="J874" s="22">
        <f>H874*(1+Assumptions!$B$6+IF(F874="Yes",Assumptions!$C$6,0))</f>
        <v>448394.87490000005</v>
      </c>
      <c r="K874" s="22">
        <f>H874*(1+Assumptions!$B$7+IF(F874="Yes",Assumptions!$C$7,0))</f>
        <v>457101.57150000002</v>
      </c>
      <c r="L874" s="22">
        <f>H874*(1+Assumptions!$B$8+IF(F874="Yes",Assumptions!$C$8,0))</f>
        <v>439688.17830000003</v>
      </c>
    </row>
    <row r="875" spans="1:12" ht="15">
      <c r="A875" s="21">
        <v>41047</v>
      </c>
      <c r="B875" s="21">
        <v>41030</v>
      </c>
      <c r="C875" s="17">
        <v>17</v>
      </c>
      <c r="D875" s="17" t="s">
        <v>92</v>
      </c>
      <c r="E875" s="18">
        <v>93188</v>
      </c>
      <c r="F875" s="17" t="s">
        <v>91</v>
      </c>
      <c r="G875" s="14">
        <v>967460.91</v>
      </c>
      <c r="H875" s="14">
        <v>843965.43</v>
      </c>
      <c r="I875" s="14">
        <v>843965.43</v>
      </c>
      <c r="J875" s="22">
        <f>H875*(1+Assumptions!$B$6+IF(F875="Yes",Assumptions!$C$6,0))</f>
        <v>869284.39290000009</v>
      </c>
      <c r="K875" s="22">
        <f>H875*(1+Assumptions!$B$7+IF(F875="Yes",Assumptions!$C$7,0))</f>
        <v>886163.70150000008</v>
      </c>
      <c r="L875" s="22">
        <f>H875*(1+Assumptions!$B$8+IF(F875="Yes",Assumptions!$C$8,0))</f>
        <v>852405.0843000001</v>
      </c>
    </row>
    <row r="876" spans="1:12" ht="15">
      <c r="A876" s="21">
        <v>41047</v>
      </c>
      <c r="B876" s="21">
        <v>41030</v>
      </c>
      <c r="C876" s="17">
        <v>18</v>
      </c>
      <c r="D876" s="17" t="s">
        <v>92</v>
      </c>
      <c r="E876" s="18">
        <v>120653</v>
      </c>
      <c r="F876" s="17" t="s">
        <v>91</v>
      </c>
      <c r="G876" s="14">
        <v>1047444.59</v>
      </c>
      <c r="H876" s="14">
        <v>994598.93</v>
      </c>
      <c r="I876" s="14">
        <v>994598.93</v>
      </c>
      <c r="J876" s="22">
        <f>H876*(1+Assumptions!$B$6+IF(F876="Yes",Assumptions!$C$6,0))</f>
        <v>1024436.8979000001</v>
      </c>
      <c r="K876" s="22">
        <f>H876*(1+Assumptions!$B$7+IF(F876="Yes",Assumptions!$C$7,0))</f>
        <v>1044328.8765000001</v>
      </c>
      <c r="L876" s="22">
        <f>H876*(1+Assumptions!$B$8+IF(F876="Yes",Assumptions!$C$8,0))</f>
        <v>1004544.9193000001</v>
      </c>
    </row>
    <row r="877" spans="1:12" ht="15">
      <c r="A877" s="21">
        <v>41047</v>
      </c>
      <c r="B877" s="21">
        <v>41030</v>
      </c>
      <c r="C877" s="17">
        <v>19</v>
      </c>
      <c r="D877" s="17" t="s">
        <v>90</v>
      </c>
      <c r="E877" s="18">
        <v>203819</v>
      </c>
      <c r="F877" s="17" t="s">
        <v>91</v>
      </c>
      <c r="G877" s="14">
        <v>1366927.1</v>
      </c>
      <c r="H877" s="14">
        <v>1355229.3</v>
      </c>
      <c r="I877" s="14">
        <v>1355229.3</v>
      </c>
      <c r="J877" s="22">
        <f>H877*(1+Assumptions!$B$6+IF(F877="Yes",Assumptions!$C$6,0))</f>
        <v>1395886.179</v>
      </c>
      <c r="K877" s="22">
        <f>H877*(1+Assumptions!$B$7+IF(F877="Yes",Assumptions!$C$7,0))</f>
        <v>1422990.7650000001</v>
      </c>
      <c r="L877" s="22">
        <f>H877*(1+Assumptions!$B$8+IF(F877="Yes",Assumptions!$C$8,0))</f>
        <v>1368781.5930000001</v>
      </c>
    </row>
    <row r="878" spans="1:12" ht="15">
      <c r="A878" s="21">
        <v>41047</v>
      </c>
      <c r="B878" s="21">
        <v>41030</v>
      </c>
      <c r="C878" s="17">
        <v>20</v>
      </c>
      <c r="D878" s="17" t="s">
        <v>90</v>
      </c>
      <c r="E878" s="18">
        <v>203742</v>
      </c>
      <c r="F878" s="17" t="s">
        <v>91</v>
      </c>
      <c r="G878" s="14">
        <v>2039151.76</v>
      </c>
      <c r="H878" s="14">
        <v>1953416.06</v>
      </c>
      <c r="I878" s="14">
        <v>1953416.06</v>
      </c>
      <c r="J878" s="22">
        <f>H878*(1+Assumptions!$B$6+IF(F878="Yes",Assumptions!$C$6,0))</f>
        <v>2012018.5418</v>
      </c>
      <c r="K878" s="22">
        <f>H878*(1+Assumptions!$B$7+IF(F878="Yes",Assumptions!$C$7,0))</f>
        <v>2051086.8630000001</v>
      </c>
      <c r="L878" s="22">
        <f>H878*(1+Assumptions!$B$8+IF(F878="Yes",Assumptions!$C$8,0))</f>
        <v>1972950.2206000001</v>
      </c>
    </row>
    <row r="879" spans="1:12" ht="15">
      <c r="A879" s="21">
        <v>41047</v>
      </c>
      <c r="B879" s="21">
        <v>41030</v>
      </c>
      <c r="C879" s="17">
        <v>21</v>
      </c>
      <c r="D879" s="17" t="s">
        <v>92</v>
      </c>
      <c r="E879" s="18">
        <v>140167</v>
      </c>
      <c r="F879" s="17" t="s">
        <v>91</v>
      </c>
      <c r="G879" s="14">
        <v>700550.61</v>
      </c>
      <c r="H879" s="14">
        <v>744836.56</v>
      </c>
      <c r="I879" s="14">
        <v>744836.56</v>
      </c>
      <c r="J879" s="22">
        <f>H879*(1+Assumptions!$B$6+IF(F879="Yes",Assumptions!$C$6,0))</f>
        <v>767181.65680000011</v>
      </c>
      <c r="K879" s="22">
        <f>H879*(1+Assumptions!$B$7+IF(F879="Yes",Assumptions!$C$7,0))</f>
        <v>782078.38800000004</v>
      </c>
      <c r="L879" s="22">
        <f>H879*(1+Assumptions!$B$8+IF(F879="Yes",Assumptions!$C$8,0))</f>
        <v>752284.92560000008</v>
      </c>
    </row>
    <row r="880" spans="1:12" ht="15">
      <c r="A880" s="21">
        <v>41047</v>
      </c>
      <c r="B880" s="21">
        <v>41030</v>
      </c>
      <c r="C880" s="17">
        <v>22</v>
      </c>
      <c r="D880" s="17" t="s">
        <v>92</v>
      </c>
      <c r="E880" s="18">
        <v>119557</v>
      </c>
      <c r="F880" s="17" t="s">
        <v>91</v>
      </c>
      <c r="G880" s="14">
        <v>985180.03</v>
      </c>
      <c r="H880" s="14">
        <v>970307.83</v>
      </c>
      <c r="I880" s="14">
        <v>970307.83</v>
      </c>
      <c r="J880" s="22">
        <f>H880*(1+Assumptions!$B$6+IF(F880="Yes",Assumptions!$C$6,0))</f>
        <v>999417.0649</v>
      </c>
      <c r="K880" s="22">
        <f>H880*(1+Assumptions!$B$7+IF(F880="Yes",Assumptions!$C$7,0))</f>
        <v>1018823.2215</v>
      </c>
      <c r="L880" s="22">
        <f>H880*(1+Assumptions!$B$8+IF(F880="Yes",Assumptions!$C$8,0))</f>
        <v>980010.90830000001</v>
      </c>
    </row>
    <row r="881" spans="1:12" ht="15">
      <c r="A881" s="21">
        <v>41047</v>
      </c>
      <c r="B881" s="21">
        <v>41030</v>
      </c>
      <c r="C881" s="17">
        <v>23</v>
      </c>
      <c r="D881" s="17" t="s">
        <v>92</v>
      </c>
      <c r="E881" s="18">
        <v>114533</v>
      </c>
      <c r="F881" s="17" t="s">
        <v>91</v>
      </c>
      <c r="G881" s="14">
        <v>1330769.33</v>
      </c>
      <c r="H881" s="14">
        <v>1337557.6300000001</v>
      </c>
      <c r="I881" s="14">
        <v>1337557.6300000001</v>
      </c>
      <c r="J881" s="22">
        <f>H881*(1+Assumptions!$B$6+IF(F881="Yes",Assumptions!$C$6,0))</f>
        <v>1377684.3589000001</v>
      </c>
      <c r="K881" s="22">
        <f>H881*(1+Assumptions!$B$7+IF(F881="Yes",Assumptions!$C$7,0))</f>
        <v>1404435.5115000003</v>
      </c>
      <c r="L881" s="22">
        <f>H881*(1+Assumptions!$B$8+IF(F881="Yes",Assumptions!$C$8,0))</f>
        <v>1350933.2063000002</v>
      </c>
    </row>
    <row r="882" spans="1:12" ht="15">
      <c r="A882" s="21">
        <v>41047</v>
      </c>
      <c r="B882" s="21">
        <v>41030</v>
      </c>
      <c r="C882" s="17">
        <v>24</v>
      </c>
      <c r="D882" s="17" t="s">
        <v>90</v>
      </c>
      <c r="E882" s="18">
        <v>203819</v>
      </c>
      <c r="F882" s="17" t="s">
        <v>91</v>
      </c>
      <c r="G882" s="14">
        <v>1298599.83</v>
      </c>
      <c r="H882" s="14">
        <v>1234214.94</v>
      </c>
      <c r="I882" s="14">
        <v>1234214.94</v>
      </c>
      <c r="J882" s="22">
        <f>H882*(1+Assumptions!$B$6+IF(F882="Yes",Assumptions!$C$6,0))</f>
        <v>1271241.3881999999</v>
      </c>
      <c r="K882" s="22">
        <f>H882*(1+Assumptions!$B$7+IF(F882="Yes",Assumptions!$C$7,0))</f>
        <v>1295925.6869999999</v>
      </c>
      <c r="L882" s="22">
        <f>H882*(1+Assumptions!$B$8+IF(F882="Yes",Assumptions!$C$8,0))</f>
        <v>1246557.0893999999</v>
      </c>
    </row>
    <row r="883" spans="1:12" ht="15">
      <c r="A883" s="21">
        <v>41047</v>
      </c>
      <c r="B883" s="21">
        <v>41030</v>
      </c>
      <c r="C883" s="17">
        <v>25</v>
      </c>
      <c r="D883" s="17" t="s">
        <v>92</v>
      </c>
      <c r="E883" s="18">
        <v>128107</v>
      </c>
      <c r="F883" s="17" t="s">
        <v>91</v>
      </c>
      <c r="G883" s="14">
        <v>715562.31</v>
      </c>
      <c r="H883" s="14">
        <v>677971.33</v>
      </c>
      <c r="I883" s="14">
        <v>677971.33</v>
      </c>
      <c r="J883" s="22">
        <f>H883*(1+Assumptions!$B$6+IF(F883="Yes",Assumptions!$C$6,0))</f>
        <v>698310.46990000003</v>
      </c>
      <c r="K883" s="22">
        <f>H883*(1+Assumptions!$B$7+IF(F883="Yes",Assumptions!$C$7,0))</f>
        <v>711869.89650000003</v>
      </c>
      <c r="L883" s="22">
        <f>H883*(1+Assumptions!$B$8+IF(F883="Yes",Assumptions!$C$8,0))</f>
        <v>684751.04330000002</v>
      </c>
    </row>
    <row r="884" spans="1:12" ht="15">
      <c r="A884" s="21">
        <v>41047</v>
      </c>
      <c r="B884" s="21">
        <v>41030</v>
      </c>
      <c r="C884" s="17">
        <v>26</v>
      </c>
      <c r="D884" s="17" t="s">
        <v>90</v>
      </c>
      <c r="E884" s="18">
        <v>152513</v>
      </c>
      <c r="F884" s="17" t="s">
        <v>91</v>
      </c>
      <c r="G884" s="14">
        <v>977728.84000000008</v>
      </c>
      <c r="H884" s="14">
        <v>938317.15</v>
      </c>
      <c r="I884" s="14">
        <v>938317.15</v>
      </c>
      <c r="J884" s="22">
        <f>H884*(1+Assumptions!$B$6+IF(F884="Yes",Assumptions!$C$6,0))</f>
        <v>966466.66450000007</v>
      </c>
      <c r="K884" s="22">
        <f>H884*(1+Assumptions!$B$7+IF(F884="Yes",Assumptions!$C$7,0))</f>
        <v>985233.00750000007</v>
      </c>
      <c r="L884" s="22">
        <f>H884*(1+Assumptions!$B$8+IF(F884="Yes",Assumptions!$C$8,0))</f>
        <v>947700.32150000008</v>
      </c>
    </row>
    <row r="885" spans="1:12" ht="15">
      <c r="A885" s="21">
        <v>41047</v>
      </c>
      <c r="B885" s="21">
        <v>41030</v>
      </c>
      <c r="C885" s="17">
        <v>27</v>
      </c>
      <c r="D885" s="17" t="s">
        <v>90</v>
      </c>
      <c r="E885" s="18">
        <v>204184</v>
      </c>
      <c r="F885" s="17" t="s">
        <v>91</v>
      </c>
      <c r="G885" s="14">
        <v>1706983.82</v>
      </c>
      <c r="H885" s="14">
        <v>1725268.56</v>
      </c>
      <c r="I885" s="14">
        <v>1725268.56</v>
      </c>
      <c r="J885" s="22">
        <f>H885*(1+Assumptions!$B$6+IF(F885="Yes",Assumptions!$C$6,0))</f>
        <v>1777026.6168000002</v>
      </c>
      <c r="K885" s="22">
        <f>H885*(1+Assumptions!$B$7+IF(F885="Yes",Assumptions!$C$7,0))</f>
        <v>1811531.9880000001</v>
      </c>
      <c r="L885" s="22">
        <f>H885*(1+Assumptions!$B$8+IF(F885="Yes",Assumptions!$C$8,0))</f>
        <v>1742521.2456</v>
      </c>
    </row>
    <row r="886" spans="1:12" ht="15">
      <c r="A886" s="21">
        <v>41047</v>
      </c>
      <c r="B886" s="21">
        <v>41030</v>
      </c>
      <c r="C886" s="17">
        <v>28</v>
      </c>
      <c r="D886" s="17" t="s">
        <v>90</v>
      </c>
      <c r="E886" s="18">
        <v>206302</v>
      </c>
      <c r="F886" s="17" t="s">
        <v>91</v>
      </c>
      <c r="G886" s="14">
        <v>1213310.45</v>
      </c>
      <c r="H886" s="14">
        <v>1151282.31</v>
      </c>
      <c r="I886" s="14">
        <v>1151282.31</v>
      </c>
      <c r="J886" s="22">
        <f>H886*(1+Assumptions!$B$6+IF(F886="Yes",Assumptions!$C$6,0))</f>
        <v>1185820.7793000001</v>
      </c>
      <c r="K886" s="22">
        <f>H886*(1+Assumptions!$B$7+IF(F886="Yes",Assumptions!$C$7,0))</f>
        <v>1208846.4255000001</v>
      </c>
      <c r="L886" s="22">
        <f>H886*(1+Assumptions!$B$8+IF(F886="Yes",Assumptions!$C$8,0))</f>
        <v>1162795.1331</v>
      </c>
    </row>
    <row r="887" spans="1:12" ht="15">
      <c r="A887" s="21">
        <v>41047</v>
      </c>
      <c r="B887" s="21">
        <v>41030</v>
      </c>
      <c r="C887" s="17">
        <v>29</v>
      </c>
      <c r="D887" s="17" t="s">
        <v>92</v>
      </c>
      <c r="E887" s="18">
        <v>93638</v>
      </c>
      <c r="F887" s="17" t="s">
        <v>91</v>
      </c>
      <c r="G887" s="14">
        <v>540798.36</v>
      </c>
      <c r="H887" s="14">
        <v>492500.51</v>
      </c>
      <c r="I887" s="14">
        <v>492500.51</v>
      </c>
      <c r="J887" s="22">
        <f>H887*(1+Assumptions!$B$6+IF(F887="Yes",Assumptions!$C$6,0))</f>
        <v>507275.52530000004</v>
      </c>
      <c r="K887" s="22">
        <f>H887*(1+Assumptions!$B$7+IF(F887="Yes",Assumptions!$C$7,0))</f>
        <v>517125.53550000006</v>
      </c>
      <c r="L887" s="22">
        <f>H887*(1+Assumptions!$B$8+IF(F887="Yes",Assumptions!$C$8,0))</f>
        <v>497425.51510000002</v>
      </c>
    </row>
    <row r="888" spans="1:12" ht="15">
      <c r="A888" s="21">
        <v>41047</v>
      </c>
      <c r="B888" s="21">
        <v>41030</v>
      </c>
      <c r="C888" s="17">
        <v>30</v>
      </c>
      <c r="D888" s="17" t="s">
        <v>93</v>
      </c>
      <c r="E888" s="18">
        <v>42988</v>
      </c>
      <c r="F888" s="17" t="s">
        <v>91</v>
      </c>
      <c r="G888" s="14">
        <v>460838.26</v>
      </c>
      <c r="H888" s="14">
        <v>434920.67</v>
      </c>
      <c r="I888" s="14">
        <v>434920.67</v>
      </c>
      <c r="J888" s="22">
        <f>H888*(1+Assumptions!$B$6+IF(F888="Yes",Assumptions!$C$6,0))</f>
        <v>447968.29009999998</v>
      </c>
      <c r="K888" s="22">
        <f>H888*(1+Assumptions!$B$7+IF(F888="Yes",Assumptions!$C$7,0))</f>
        <v>456666.7035</v>
      </c>
      <c r="L888" s="22">
        <f>H888*(1+Assumptions!$B$8+IF(F888="Yes",Assumptions!$C$8,0))</f>
        <v>439269.87669999996</v>
      </c>
    </row>
    <row r="889" spans="1:12" ht="15">
      <c r="A889" s="21">
        <v>41047</v>
      </c>
      <c r="B889" s="21">
        <v>41030</v>
      </c>
      <c r="C889" s="17">
        <v>31</v>
      </c>
      <c r="D889" s="17" t="s">
        <v>90</v>
      </c>
      <c r="E889" s="18">
        <v>203750</v>
      </c>
      <c r="F889" s="17" t="s">
        <v>91</v>
      </c>
      <c r="G889" s="14">
        <v>1441473.81</v>
      </c>
      <c r="H889" s="14">
        <v>1387364.44</v>
      </c>
      <c r="I889" s="14">
        <v>1387364.44</v>
      </c>
      <c r="J889" s="22">
        <f>H889*(1+Assumptions!$B$6+IF(F889="Yes",Assumptions!$C$6,0))</f>
        <v>1428985.3732</v>
      </c>
      <c r="K889" s="22">
        <f>H889*(1+Assumptions!$B$7+IF(F889="Yes",Assumptions!$C$7,0))</f>
        <v>1456732.662</v>
      </c>
      <c r="L889" s="22">
        <f>H889*(1+Assumptions!$B$8+IF(F889="Yes",Assumptions!$C$8,0))</f>
        <v>1401238.0844000001</v>
      </c>
    </row>
    <row r="890" spans="1:12" ht="15">
      <c r="A890" s="21">
        <v>41047</v>
      </c>
      <c r="B890" s="21">
        <v>41030</v>
      </c>
      <c r="C890" s="17">
        <v>32</v>
      </c>
      <c r="D890" s="17" t="s">
        <v>90</v>
      </c>
      <c r="E890" s="18">
        <v>203007</v>
      </c>
      <c r="F890" s="17" t="s">
        <v>91</v>
      </c>
      <c r="G890" s="14">
        <v>1177361.71</v>
      </c>
      <c r="H890" s="14">
        <v>1145076.76</v>
      </c>
      <c r="I890" s="14">
        <v>1145076.76</v>
      </c>
      <c r="J890" s="22">
        <f>H890*(1+Assumptions!$B$6+IF(F890="Yes",Assumptions!$C$6,0))</f>
        <v>1179429.0628</v>
      </c>
      <c r="K890" s="22">
        <f>H890*(1+Assumptions!$B$7+IF(F890="Yes",Assumptions!$C$7,0))</f>
        <v>1202330.598</v>
      </c>
      <c r="L890" s="22">
        <f>H890*(1+Assumptions!$B$8+IF(F890="Yes",Assumptions!$C$8,0))</f>
        <v>1156527.5275999999</v>
      </c>
    </row>
    <row r="891" spans="1:12" ht="15">
      <c r="A891" s="21">
        <v>41047</v>
      </c>
      <c r="B891" s="21">
        <v>41030</v>
      </c>
      <c r="C891" s="17">
        <v>33</v>
      </c>
      <c r="D891" s="17" t="s">
        <v>90</v>
      </c>
      <c r="E891" s="18">
        <v>39690</v>
      </c>
      <c r="F891" s="17" t="s">
        <v>91</v>
      </c>
      <c r="G891" s="14">
        <v>276832.95</v>
      </c>
      <c r="H891" s="14">
        <v>239101.05</v>
      </c>
      <c r="I891" s="14">
        <v>239101.05</v>
      </c>
      <c r="J891" s="22">
        <f>H891*(1+Assumptions!$B$6+IF(F891="Yes",Assumptions!$C$6,0))</f>
        <v>246274.0815</v>
      </c>
      <c r="K891" s="22">
        <f>H891*(1+Assumptions!$B$7+IF(F891="Yes",Assumptions!$C$7,0))</f>
        <v>251056.10250000001</v>
      </c>
      <c r="L891" s="22">
        <f>H891*(1+Assumptions!$B$8+IF(F891="Yes",Assumptions!$C$8,0))</f>
        <v>241492.06049999999</v>
      </c>
    </row>
    <row r="892" spans="1:12" ht="15">
      <c r="A892" s="21">
        <v>41047</v>
      </c>
      <c r="B892" s="21">
        <v>41030</v>
      </c>
      <c r="C892" s="17">
        <v>34</v>
      </c>
      <c r="D892" s="17" t="s">
        <v>90</v>
      </c>
      <c r="E892" s="18">
        <v>158114</v>
      </c>
      <c r="F892" s="17" t="s">
        <v>91</v>
      </c>
      <c r="G892" s="14">
        <v>996963.85</v>
      </c>
      <c r="H892" s="14">
        <v>944154.83</v>
      </c>
      <c r="I892" s="14">
        <v>944154.83</v>
      </c>
      <c r="J892" s="22">
        <f>H892*(1+Assumptions!$B$6+IF(F892="Yes",Assumptions!$C$6,0))</f>
        <v>972479.47490000003</v>
      </c>
      <c r="K892" s="22">
        <f>H892*(1+Assumptions!$B$7+IF(F892="Yes",Assumptions!$C$7,0))</f>
        <v>991362.57149999996</v>
      </c>
      <c r="L892" s="22">
        <f>H892*(1+Assumptions!$B$8+IF(F892="Yes",Assumptions!$C$8,0))</f>
        <v>953596.37829999998</v>
      </c>
    </row>
    <row r="893" spans="1:12" ht="15">
      <c r="A893" s="21">
        <v>41047</v>
      </c>
      <c r="B893" s="21">
        <v>41030</v>
      </c>
      <c r="C893" s="17">
        <v>35</v>
      </c>
      <c r="D893" s="17" t="s">
        <v>92</v>
      </c>
      <c r="E893" s="18">
        <v>103681</v>
      </c>
      <c r="F893" s="17" t="s">
        <v>91</v>
      </c>
      <c r="G893" s="14">
        <v>819137.82</v>
      </c>
      <c r="H893" s="14">
        <v>776834.33</v>
      </c>
      <c r="I893" s="14">
        <v>776834.33</v>
      </c>
      <c r="J893" s="22">
        <f>H893*(1+Assumptions!$B$6+IF(F893="Yes",Assumptions!$C$6,0))</f>
        <v>800139.35989999992</v>
      </c>
      <c r="K893" s="22">
        <f>H893*(1+Assumptions!$B$7+IF(F893="Yes",Assumptions!$C$7,0))</f>
        <v>815676.04649999994</v>
      </c>
      <c r="L893" s="22">
        <f>H893*(1+Assumptions!$B$8+IF(F893="Yes",Assumptions!$C$8,0))</f>
        <v>784602.67329999991</v>
      </c>
    </row>
    <row r="894" spans="1:12" ht="15">
      <c r="A894" s="21">
        <v>41047</v>
      </c>
      <c r="B894" s="21">
        <v>41030</v>
      </c>
      <c r="C894" s="17">
        <v>36</v>
      </c>
      <c r="D894" s="17" t="s">
        <v>90</v>
      </c>
      <c r="E894" s="18">
        <v>39910</v>
      </c>
      <c r="F894" s="17" t="s">
        <v>91</v>
      </c>
      <c r="G894" s="14">
        <v>324801.13</v>
      </c>
      <c r="H894" s="14">
        <v>376175.7</v>
      </c>
      <c r="I894" s="14">
        <v>376175.7</v>
      </c>
      <c r="J894" s="22">
        <f>H894*(1+Assumptions!$B$6+IF(F894="Yes",Assumptions!$C$6,0))</f>
        <v>387460.97100000002</v>
      </c>
      <c r="K894" s="22">
        <f>H894*(1+Assumptions!$B$7+IF(F894="Yes",Assumptions!$C$7,0))</f>
        <v>394984.48500000004</v>
      </c>
      <c r="L894" s="22">
        <f>H894*(1+Assumptions!$B$8+IF(F894="Yes",Assumptions!$C$8,0))</f>
        <v>379937.45699999999</v>
      </c>
    </row>
    <row r="895" spans="1:12" ht="15">
      <c r="A895" s="21">
        <v>41047</v>
      </c>
      <c r="B895" s="21">
        <v>41030</v>
      </c>
      <c r="C895" s="17">
        <v>37</v>
      </c>
      <c r="D895" s="17" t="s">
        <v>93</v>
      </c>
      <c r="E895" s="18">
        <v>39910</v>
      </c>
      <c r="F895" s="17" t="s">
        <v>91</v>
      </c>
      <c r="G895" s="14">
        <v>534647.04999999993</v>
      </c>
      <c r="H895" s="14">
        <v>533552.73</v>
      </c>
      <c r="I895" s="14">
        <v>533552.73</v>
      </c>
      <c r="J895" s="22">
        <f>H895*(1+Assumptions!$B$6+IF(F895="Yes",Assumptions!$C$6,0))</f>
        <v>549559.31189999997</v>
      </c>
      <c r="K895" s="22">
        <f>H895*(1+Assumptions!$B$7+IF(F895="Yes",Assumptions!$C$7,0))</f>
        <v>560230.3665</v>
      </c>
      <c r="L895" s="22">
        <f>H895*(1+Assumptions!$B$8+IF(F895="Yes",Assumptions!$C$8,0))</f>
        <v>538888.25729999994</v>
      </c>
    </row>
    <row r="896" spans="1:12" ht="15">
      <c r="A896" s="21">
        <v>41047</v>
      </c>
      <c r="B896" s="21">
        <v>41030</v>
      </c>
      <c r="C896" s="17">
        <v>38</v>
      </c>
      <c r="D896" s="17" t="s">
        <v>93</v>
      </c>
      <c r="E896" s="18">
        <v>39690</v>
      </c>
      <c r="F896" s="17" t="s">
        <v>91</v>
      </c>
      <c r="G896" s="14">
        <v>412274.84</v>
      </c>
      <c r="H896" s="14">
        <v>365698.32</v>
      </c>
      <c r="I896" s="14">
        <v>365698.32</v>
      </c>
      <c r="J896" s="22">
        <f>H896*(1+Assumptions!$B$6+IF(F896="Yes",Assumptions!$C$6,0))</f>
        <v>376669.2696</v>
      </c>
      <c r="K896" s="22">
        <f>H896*(1+Assumptions!$B$7+IF(F896="Yes",Assumptions!$C$7,0))</f>
        <v>383983.23600000003</v>
      </c>
      <c r="L896" s="22">
        <f>H896*(1+Assumptions!$B$8+IF(F896="Yes",Assumptions!$C$8,0))</f>
        <v>369355.30320000002</v>
      </c>
    </row>
    <row r="897" spans="1:12" ht="15">
      <c r="A897" s="21">
        <v>41047</v>
      </c>
      <c r="B897" s="21">
        <v>41030</v>
      </c>
      <c r="C897" s="17">
        <v>39</v>
      </c>
      <c r="D897" s="17" t="s">
        <v>90</v>
      </c>
      <c r="E897" s="18">
        <v>184109</v>
      </c>
      <c r="F897" s="17" t="s">
        <v>91</v>
      </c>
      <c r="G897" s="14">
        <v>1522978.54</v>
      </c>
      <c r="H897" s="14">
        <v>1373852.86</v>
      </c>
      <c r="I897" s="14">
        <v>1373852.86</v>
      </c>
      <c r="J897" s="22">
        <f>H897*(1+Assumptions!$B$6+IF(F897="Yes",Assumptions!$C$6,0))</f>
        <v>1415068.4458000001</v>
      </c>
      <c r="K897" s="22">
        <f>H897*(1+Assumptions!$B$7+IF(F897="Yes",Assumptions!$C$7,0))</f>
        <v>1442545.5030000003</v>
      </c>
      <c r="L897" s="22">
        <f>H897*(1+Assumptions!$B$8+IF(F897="Yes",Assumptions!$C$8,0))</f>
        <v>1387591.3886000002</v>
      </c>
    </row>
    <row r="898" spans="1:12" ht="15">
      <c r="A898" s="21">
        <v>41047</v>
      </c>
      <c r="B898" s="21">
        <v>41030</v>
      </c>
      <c r="C898" s="17">
        <v>40</v>
      </c>
      <c r="D898" s="17" t="s">
        <v>90</v>
      </c>
      <c r="E898" s="18">
        <v>155083</v>
      </c>
      <c r="F898" s="17" t="s">
        <v>91</v>
      </c>
      <c r="G898" s="14">
        <v>896258.68</v>
      </c>
      <c r="H898" s="14">
        <v>906750.83000000007</v>
      </c>
      <c r="I898" s="14">
        <v>906750.83000000007</v>
      </c>
      <c r="J898" s="22">
        <f>H898*(1+Assumptions!$B$6+IF(F898="Yes",Assumptions!$C$6,0))</f>
        <v>933953.35490000015</v>
      </c>
      <c r="K898" s="22">
        <f>H898*(1+Assumptions!$B$7+IF(F898="Yes",Assumptions!$C$7,0))</f>
        <v>952088.37150000012</v>
      </c>
      <c r="L898" s="22">
        <f>H898*(1+Assumptions!$B$8+IF(F898="Yes",Assumptions!$C$8,0))</f>
        <v>915818.33830000006</v>
      </c>
    </row>
    <row r="899" spans="1:12" ht="15">
      <c r="A899" s="21">
        <v>41047</v>
      </c>
      <c r="B899" s="21">
        <v>41030</v>
      </c>
      <c r="C899" s="17">
        <v>41</v>
      </c>
      <c r="D899" s="17" t="s">
        <v>90</v>
      </c>
      <c r="E899" s="18">
        <v>196321</v>
      </c>
      <c r="F899" s="17" t="s">
        <v>91</v>
      </c>
      <c r="G899" s="14">
        <v>1330138.29</v>
      </c>
      <c r="H899" s="14">
        <v>1244524.92</v>
      </c>
      <c r="I899" s="14">
        <v>1244524.92</v>
      </c>
      <c r="J899" s="22">
        <f>H899*(1+Assumptions!$B$6+IF(F899="Yes",Assumptions!$C$6,0))</f>
        <v>1281860.6676</v>
      </c>
      <c r="K899" s="22">
        <f>H899*(1+Assumptions!$B$7+IF(F899="Yes",Assumptions!$C$7,0))</f>
        <v>1306751.166</v>
      </c>
      <c r="L899" s="22">
        <f>H899*(1+Assumptions!$B$8+IF(F899="Yes",Assumptions!$C$8,0))</f>
        <v>1256970.1691999999</v>
      </c>
    </row>
    <row r="900" spans="1:12" ht="15">
      <c r="A900" s="21">
        <v>41047</v>
      </c>
      <c r="B900" s="21">
        <v>41030</v>
      </c>
      <c r="C900" s="17">
        <v>42</v>
      </c>
      <c r="D900" s="17" t="s">
        <v>93</v>
      </c>
      <c r="E900" s="18">
        <v>39690</v>
      </c>
      <c r="F900" s="17" t="s">
        <v>91</v>
      </c>
      <c r="G900" s="14">
        <v>590965.59</v>
      </c>
      <c r="H900" s="14">
        <v>524559.94999999995</v>
      </c>
      <c r="I900" s="14">
        <v>524559.94999999995</v>
      </c>
      <c r="J900" s="22">
        <f>H900*(1+Assumptions!$B$6+IF(F900="Yes",Assumptions!$C$6,0))</f>
        <v>540296.74849999999</v>
      </c>
      <c r="K900" s="22">
        <f>H900*(1+Assumptions!$B$7+IF(F900="Yes",Assumptions!$C$7,0))</f>
        <v>550787.94750000001</v>
      </c>
      <c r="L900" s="22">
        <f>H900*(1+Assumptions!$B$8+IF(F900="Yes",Assumptions!$C$8,0))</f>
        <v>529805.54949999996</v>
      </c>
    </row>
    <row r="901" spans="1:12" ht="15">
      <c r="A901" s="21">
        <v>41047</v>
      </c>
      <c r="B901" s="21">
        <v>41030</v>
      </c>
      <c r="C901" s="17">
        <v>43</v>
      </c>
      <c r="D901" s="17" t="s">
        <v>93</v>
      </c>
      <c r="E901" s="18">
        <v>41062</v>
      </c>
      <c r="F901" s="17" t="s">
        <v>91</v>
      </c>
      <c r="G901" s="14">
        <v>647682.38</v>
      </c>
      <c r="H901" s="14">
        <v>648118.80000000005</v>
      </c>
      <c r="I901" s="14">
        <v>648118.80000000005</v>
      </c>
      <c r="J901" s="22">
        <f>H901*(1+Assumptions!$B$6+IF(F901="Yes",Assumptions!$C$6,0))</f>
        <v>667562.36400000006</v>
      </c>
      <c r="K901" s="22">
        <f>H901*(1+Assumptions!$B$7+IF(F901="Yes",Assumptions!$C$7,0))</f>
        <v>680524.74000000011</v>
      </c>
      <c r="L901" s="22">
        <f>H901*(1+Assumptions!$B$8+IF(F901="Yes",Assumptions!$C$8,0))</f>
        <v>654599.98800000001</v>
      </c>
    </row>
    <row r="902" spans="1:12" ht="15">
      <c r="A902" s="21">
        <v>41047</v>
      </c>
      <c r="B902" s="21">
        <v>41030</v>
      </c>
      <c r="C902" s="17">
        <v>44</v>
      </c>
      <c r="D902" s="17" t="s">
        <v>93</v>
      </c>
      <c r="E902" s="18">
        <v>39910</v>
      </c>
      <c r="F902" s="17" t="s">
        <v>91</v>
      </c>
      <c r="G902" s="14">
        <v>333879.25</v>
      </c>
      <c r="H902" s="14">
        <v>303537.68</v>
      </c>
      <c r="I902" s="14">
        <v>303537.68</v>
      </c>
      <c r="J902" s="22">
        <f>H902*(1+Assumptions!$B$6+IF(F902="Yes",Assumptions!$C$6,0))</f>
        <v>312643.81040000002</v>
      </c>
      <c r="K902" s="22">
        <f>H902*(1+Assumptions!$B$7+IF(F902="Yes",Assumptions!$C$7,0))</f>
        <v>318714.56400000001</v>
      </c>
      <c r="L902" s="22">
        <f>H902*(1+Assumptions!$B$8+IF(F902="Yes",Assumptions!$C$8,0))</f>
        <v>306573.05680000002</v>
      </c>
    </row>
    <row r="903" spans="1:12" ht="15">
      <c r="A903" s="21">
        <v>41047</v>
      </c>
      <c r="B903" s="21">
        <v>41030</v>
      </c>
      <c r="C903" s="17">
        <v>45</v>
      </c>
      <c r="D903" s="17" t="s">
        <v>92</v>
      </c>
      <c r="E903" s="18">
        <v>118221</v>
      </c>
      <c r="F903" s="17" t="s">
        <v>91</v>
      </c>
      <c r="G903" s="14">
        <v>800846.25</v>
      </c>
      <c r="H903" s="14">
        <v>727163.67</v>
      </c>
      <c r="I903" s="14">
        <v>727163.67</v>
      </c>
      <c r="J903" s="22">
        <f>H903*(1+Assumptions!$B$6+IF(F903="Yes",Assumptions!$C$6,0))</f>
        <v>748978.58010000002</v>
      </c>
      <c r="K903" s="22">
        <f>H903*(1+Assumptions!$B$7+IF(F903="Yes",Assumptions!$C$7,0))</f>
        <v>763521.85350000008</v>
      </c>
      <c r="L903" s="22">
        <f>H903*(1+Assumptions!$B$8+IF(F903="Yes",Assumptions!$C$8,0))</f>
        <v>734435.30670000007</v>
      </c>
    </row>
    <row r="904" spans="1:12" ht="15">
      <c r="A904" s="21">
        <v>41054</v>
      </c>
      <c r="B904" s="21">
        <v>41030</v>
      </c>
      <c r="C904" s="17">
        <v>1</v>
      </c>
      <c r="D904" s="17" t="s">
        <v>90</v>
      </c>
      <c r="E904" s="18">
        <v>151315</v>
      </c>
      <c r="F904" s="17" t="s">
        <v>91</v>
      </c>
      <c r="G904" s="14">
        <v>1555369.63</v>
      </c>
      <c r="H904" s="14">
        <v>1466035.2</v>
      </c>
      <c r="I904" s="14">
        <v>1466035.2</v>
      </c>
      <c r="J904" s="22">
        <f>H904*(1+Assumptions!$B$6+IF(F904="Yes",Assumptions!$C$6,0))</f>
        <v>1510016.2560000001</v>
      </c>
      <c r="K904" s="22">
        <f>H904*(1+Assumptions!$B$7+IF(F904="Yes",Assumptions!$C$7,0))</f>
        <v>1539336.96</v>
      </c>
      <c r="L904" s="22">
        <f>H904*(1+Assumptions!$B$8+IF(F904="Yes",Assumptions!$C$8,0))</f>
        <v>1480695.5519999999</v>
      </c>
    </row>
    <row r="905" spans="1:12" ht="15">
      <c r="A905" s="21">
        <v>41054</v>
      </c>
      <c r="B905" s="21">
        <v>41030</v>
      </c>
      <c r="C905" s="17">
        <v>2</v>
      </c>
      <c r="D905" s="17" t="s">
        <v>90</v>
      </c>
      <c r="E905" s="18">
        <v>202307</v>
      </c>
      <c r="F905" s="17" t="s">
        <v>91</v>
      </c>
      <c r="G905" s="14">
        <v>1912791.09</v>
      </c>
      <c r="H905" s="14">
        <v>1797709.6199999999</v>
      </c>
      <c r="I905" s="14">
        <v>1797709.6199999999</v>
      </c>
      <c r="J905" s="22">
        <f>H905*(1+Assumptions!$B$6+IF(F905="Yes",Assumptions!$C$6,0))</f>
        <v>1851640.9086</v>
      </c>
      <c r="K905" s="22">
        <f>H905*(1+Assumptions!$B$7+IF(F905="Yes",Assumptions!$C$7,0))</f>
        <v>1887595.101</v>
      </c>
      <c r="L905" s="22">
        <f>H905*(1+Assumptions!$B$8+IF(F905="Yes",Assumptions!$C$8,0))</f>
        <v>1815686.7161999999</v>
      </c>
    </row>
    <row r="906" spans="1:12" ht="15">
      <c r="A906" s="21">
        <v>41054</v>
      </c>
      <c r="B906" s="21">
        <v>41030</v>
      </c>
      <c r="C906" s="17">
        <v>3</v>
      </c>
      <c r="D906" s="17" t="s">
        <v>92</v>
      </c>
      <c r="E906" s="18">
        <v>37392</v>
      </c>
      <c r="F906" s="17" t="s">
        <v>91</v>
      </c>
      <c r="G906" s="14">
        <v>413648.08999999997</v>
      </c>
      <c r="H906" s="14">
        <v>369023.96</v>
      </c>
      <c r="I906" s="14">
        <v>369023.96</v>
      </c>
      <c r="J906" s="22">
        <f>H906*(1+Assumptions!$B$6+IF(F906="Yes",Assumptions!$C$6,0))</f>
        <v>380094.67880000005</v>
      </c>
      <c r="K906" s="22">
        <f>H906*(1+Assumptions!$B$7+IF(F906="Yes",Assumptions!$C$7,0))</f>
        <v>387475.15800000005</v>
      </c>
      <c r="L906" s="22">
        <f>H906*(1+Assumptions!$B$8+IF(F906="Yes",Assumptions!$C$8,0))</f>
        <v>372714.19960000005</v>
      </c>
    </row>
    <row r="907" spans="1:12" ht="15">
      <c r="A907" s="21">
        <v>41054</v>
      </c>
      <c r="B907" s="21">
        <v>41030</v>
      </c>
      <c r="C907" s="17">
        <v>4</v>
      </c>
      <c r="D907" s="17" t="s">
        <v>90</v>
      </c>
      <c r="E907" s="18">
        <v>205863</v>
      </c>
      <c r="F907" s="17" t="s">
        <v>91</v>
      </c>
      <c r="G907" s="14">
        <v>2154137.67</v>
      </c>
      <c r="H907" s="14">
        <v>1986597.95</v>
      </c>
      <c r="I907" s="14">
        <v>1986597.95</v>
      </c>
      <c r="J907" s="22">
        <f>H907*(1+Assumptions!$B$6+IF(F907="Yes",Assumptions!$C$6,0))</f>
        <v>2046195.8885000001</v>
      </c>
      <c r="K907" s="22">
        <f>H907*(1+Assumptions!$B$7+IF(F907="Yes",Assumptions!$C$7,0))</f>
        <v>2085927.8475000001</v>
      </c>
      <c r="L907" s="22">
        <f>H907*(1+Assumptions!$B$8+IF(F907="Yes",Assumptions!$C$8,0))</f>
        <v>2006463.9295000001</v>
      </c>
    </row>
    <row r="908" spans="1:12" ht="15">
      <c r="A908" s="21">
        <v>41054</v>
      </c>
      <c r="B908" s="21">
        <v>41030</v>
      </c>
      <c r="C908" s="17">
        <v>5</v>
      </c>
      <c r="D908" s="17" t="s">
        <v>92</v>
      </c>
      <c r="E908" s="18">
        <v>34875</v>
      </c>
      <c r="F908" s="17" t="s">
        <v>91</v>
      </c>
      <c r="G908" s="14">
        <v>341899.93</v>
      </c>
      <c r="H908" s="14">
        <v>297130.14</v>
      </c>
      <c r="I908" s="14">
        <v>297130.14</v>
      </c>
      <c r="J908" s="22">
        <f>H908*(1+Assumptions!$B$6+IF(F908="Yes",Assumptions!$C$6,0))</f>
        <v>306044.0442</v>
      </c>
      <c r="K908" s="22">
        <f>H908*(1+Assumptions!$B$7+IF(F908="Yes",Assumptions!$C$7,0))</f>
        <v>311986.64700000006</v>
      </c>
      <c r="L908" s="22">
        <f>H908*(1+Assumptions!$B$8+IF(F908="Yes",Assumptions!$C$8,0))</f>
        <v>300101.44140000001</v>
      </c>
    </row>
    <row r="909" spans="1:12" ht="15">
      <c r="A909" s="21">
        <v>41054</v>
      </c>
      <c r="B909" s="21">
        <v>41030</v>
      </c>
      <c r="C909" s="17">
        <v>6</v>
      </c>
      <c r="D909" s="17" t="s">
        <v>90</v>
      </c>
      <c r="E909" s="18">
        <v>202505</v>
      </c>
      <c r="F909" s="17" t="s">
        <v>91</v>
      </c>
      <c r="G909" s="14">
        <v>1603793.42</v>
      </c>
      <c r="H909" s="14">
        <v>1523943.5</v>
      </c>
      <c r="I909" s="14">
        <v>1523943.5</v>
      </c>
      <c r="J909" s="22">
        <f>H909*(1+Assumptions!$B$6+IF(F909="Yes",Assumptions!$C$6,0))</f>
        <v>1569661.8049999999</v>
      </c>
      <c r="K909" s="22">
        <f>H909*(1+Assumptions!$B$7+IF(F909="Yes",Assumptions!$C$7,0))</f>
        <v>1600140.675</v>
      </c>
      <c r="L909" s="22">
        <f>H909*(1+Assumptions!$B$8+IF(F909="Yes",Assumptions!$C$8,0))</f>
        <v>1539182.9350000001</v>
      </c>
    </row>
    <row r="910" spans="1:12" ht="15">
      <c r="A910" s="21">
        <v>41054</v>
      </c>
      <c r="B910" s="21">
        <v>41030</v>
      </c>
      <c r="C910" s="17">
        <v>7</v>
      </c>
      <c r="D910" s="17" t="s">
        <v>92</v>
      </c>
      <c r="E910" s="18">
        <v>70713</v>
      </c>
      <c r="F910" s="17" t="s">
        <v>91</v>
      </c>
      <c r="G910" s="14">
        <v>531798.65</v>
      </c>
      <c r="H910" s="14">
        <v>457210.99</v>
      </c>
      <c r="I910" s="14">
        <v>457210.99</v>
      </c>
      <c r="J910" s="22">
        <f>H910*(1+Assumptions!$B$6+IF(F910="Yes",Assumptions!$C$6,0))</f>
        <v>470927.31969999999</v>
      </c>
      <c r="K910" s="22">
        <f>H910*(1+Assumptions!$B$7+IF(F910="Yes",Assumptions!$C$7,0))</f>
        <v>480071.53950000001</v>
      </c>
      <c r="L910" s="22">
        <f>H910*(1+Assumptions!$B$8+IF(F910="Yes",Assumptions!$C$8,0))</f>
        <v>461783.09989999997</v>
      </c>
    </row>
    <row r="911" spans="1:12" ht="15">
      <c r="A911" s="21">
        <v>41054</v>
      </c>
      <c r="B911" s="21">
        <v>41030</v>
      </c>
      <c r="C911" s="17">
        <v>8</v>
      </c>
      <c r="D911" s="17" t="s">
        <v>90</v>
      </c>
      <c r="E911" s="18">
        <v>155078</v>
      </c>
      <c r="F911" s="17" t="s">
        <v>91</v>
      </c>
      <c r="G911" s="14">
        <v>895157.44000000006</v>
      </c>
      <c r="H911" s="14">
        <v>857937.67</v>
      </c>
      <c r="I911" s="14">
        <v>857937.67</v>
      </c>
      <c r="J911" s="22">
        <f>H911*(1+Assumptions!$B$6+IF(F911="Yes",Assumptions!$C$6,0))</f>
        <v>883675.80010000011</v>
      </c>
      <c r="K911" s="22">
        <f>H911*(1+Assumptions!$B$7+IF(F911="Yes",Assumptions!$C$7,0))</f>
        <v>900834.55350000004</v>
      </c>
      <c r="L911" s="22">
        <f>H911*(1+Assumptions!$B$8+IF(F911="Yes",Assumptions!$C$8,0))</f>
        <v>866517.04670000006</v>
      </c>
    </row>
    <row r="912" spans="1:12" ht="15">
      <c r="A912" s="21">
        <v>41054</v>
      </c>
      <c r="B912" s="21">
        <v>41030</v>
      </c>
      <c r="C912" s="17">
        <v>9</v>
      </c>
      <c r="D912" s="17" t="s">
        <v>92</v>
      </c>
      <c r="E912" s="18">
        <v>125833</v>
      </c>
      <c r="F912" s="17" t="s">
        <v>91</v>
      </c>
      <c r="G912" s="14">
        <v>547165.82999999996</v>
      </c>
      <c r="H912" s="14">
        <v>553833.54</v>
      </c>
      <c r="I912" s="14">
        <v>553833.54</v>
      </c>
      <c r="J912" s="22">
        <f>H912*(1+Assumptions!$B$6+IF(F912="Yes",Assumptions!$C$6,0))</f>
        <v>570448.5462000001</v>
      </c>
      <c r="K912" s="22">
        <f>H912*(1+Assumptions!$B$7+IF(F912="Yes",Assumptions!$C$7,0))</f>
        <v>581525.21700000006</v>
      </c>
      <c r="L912" s="22">
        <f>H912*(1+Assumptions!$B$8+IF(F912="Yes",Assumptions!$C$8,0))</f>
        <v>559371.87540000002</v>
      </c>
    </row>
    <row r="913" spans="1:12" ht="15">
      <c r="A913" s="21">
        <v>41054</v>
      </c>
      <c r="B913" s="21">
        <v>41030</v>
      </c>
      <c r="C913" s="17">
        <v>10</v>
      </c>
      <c r="D913" s="17" t="s">
        <v>92</v>
      </c>
      <c r="E913" s="18">
        <v>126512</v>
      </c>
      <c r="F913" s="17" t="s">
        <v>91</v>
      </c>
      <c r="G913" s="14">
        <v>1830636.1</v>
      </c>
      <c r="H913" s="14">
        <v>1742757.54</v>
      </c>
      <c r="I913" s="14">
        <v>1742757.54</v>
      </c>
      <c r="J913" s="22">
        <f>H913*(1+Assumptions!$B$6+IF(F913="Yes",Assumptions!$C$6,0))</f>
        <v>1795040.2662000002</v>
      </c>
      <c r="K913" s="22">
        <f>H913*(1+Assumptions!$B$7+IF(F913="Yes",Assumptions!$C$7,0))</f>
        <v>1829895.4170000001</v>
      </c>
      <c r="L913" s="22">
        <f>H913*(1+Assumptions!$B$8+IF(F913="Yes",Assumptions!$C$8,0))</f>
        <v>1760185.1154</v>
      </c>
    </row>
    <row r="914" spans="1:12" ht="15">
      <c r="A914" s="21">
        <v>41054</v>
      </c>
      <c r="B914" s="21">
        <v>41030</v>
      </c>
      <c r="C914" s="17">
        <v>11</v>
      </c>
      <c r="D914" s="17" t="s">
        <v>90</v>
      </c>
      <c r="E914" s="18">
        <v>207499</v>
      </c>
      <c r="F914" s="17" t="s">
        <v>91</v>
      </c>
      <c r="G914" s="14">
        <v>1295371.57</v>
      </c>
      <c r="H914" s="14">
        <v>1216844.6399999999</v>
      </c>
      <c r="I914" s="14">
        <v>1216844.6399999999</v>
      </c>
      <c r="J914" s="22">
        <f>H914*(1+Assumptions!$B$6+IF(F914="Yes",Assumptions!$C$6,0))</f>
        <v>1253349.9791999999</v>
      </c>
      <c r="K914" s="22">
        <f>H914*(1+Assumptions!$B$7+IF(F914="Yes",Assumptions!$C$7,0))</f>
        <v>1277686.872</v>
      </c>
      <c r="L914" s="22">
        <f>H914*(1+Assumptions!$B$8+IF(F914="Yes",Assumptions!$C$8,0))</f>
        <v>1229013.0863999999</v>
      </c>
    </row>
    <row r="915" spans="1:12" ht="15">
      <c r="A915" s="21">
        <v>41054</v>
      </c>
      <c r="B915" s="21">
        <v>41030</v>
      </c>
      <c r="C915" s="17">
        <v>12</v>
      </c>
      <c r="D915" s="17" t="s">
        <v>92</v>
      </c>
      <c r="E915" s="18">
        <v>112238</v>
      </c>
      <c r="F915" s="17" t="s">
        <v>91</v>
      </c>
      <c r="G915" s="14">
        <v>991390.4</v>
      </c>
      <c r="H915" s="14">
        <v>962930.9</v>
      </c>
      <c r="I915" s="14">
        <v>962930.9</v>
      </c>
      <c r="J915" s="22">
        <f>H915*(1+Assumptions!$B$6+IF(F915="Yes",Assumptions!$C$6,0))</f>
        <v>991818.82700000005</v>
      </c>
      <c r="K915" s="22">
        <f>H915*(1+Assumptions!$B$7+IF(F915="Yes",Assumptions!$C$7,0))</f>
        <v>1011077.4450000001</v>
      </c>
      <c r="L915" s="22">
        <f>H915*(1+Assumptions!$B$8+IF(F915="Yes",Assumptions!$C$8,0))</f>
        <v>972560.20900000003</v>
      </c>
    </row>
    <row r="916" spans="1:12" ht="15">
      <c r="A916" s="21">
        <v>41054</v>
      </c>
      <c r="B916" s="21">
        <v>41030</v>
      </c>
      <c r="C916" s="17">
        <v>13</v>
      </c>
      <c r="D916" s="17" t="s">
        <v>90</v>
      </c>
      <c r="E916" s="18">
        <v>219622</v>
      </c>
      <c r="F916" s="17" t="s">
        <v>91</v>
      </c>
      <c r="G916" s="14">
        <v>2043349.41</v>
      </c>
      <c r="H916" s="14">
        <v>1866363.96</v>
      </c>
      <c r="I916" s="14">
        <v>1866363.96</v>
      </c>
      <c r="J916" s="22">
        <f>H916*(1+Assumptions!$B$6+IF(F916="Yes",Assumptions!$C$6,0))</f>
        <v>1922354.8788000001</v>
      </c>
      <c r="K916" s="22">
        <f>H916*(1+Assumptions!$B$7+IF(F916="Yes",Assumptions!$C$7,0))</f>
        <v>1959682.1580000001</v>
      </c>
      <c r="L916" s="22">
        <f>H916*(1+Assumptions!$B$8+IF(F916="Yes",Assumptions!$C$8,0))</f>
        <v>1885027.5996000001</v>
      </c>
    </row>
    <row r="917" spans="1:12" ht="15">
      <c r="A917" s="21">
        <v>41054</v>
      </c>
      <c r="B917" s="21">
        <v>41030</v>
      </c>
      <c r="C917" s="17">
        <v>14</v>
      </c>
      <c r="D917" s="17" t="s">
        <v>90</v>
      </c>
      <c r="E917" s="18">
        <v>200898</v>
      </c>
      <c r="F917" s="17" t="s">
        <v>91</v>
      </c>
      <c r="G917" s="14">
        <v>2030869.61</v>
      </c>
      <c r="H917" s="14">
        <v>2080696.24</v>
      </c>
      <c r="I917" s="14">
        <v>2080696.24</v>
      </c>
      <c r="J917" s="22">
        <f>H917*(1+Assumptions!$B$6+IF(F917="Yes",Assumptions!$C$6,0))</f>
        <v>2143117.1272</v>
      </c>
      <c r="K917" s="22">
        <f>H917*(1+Assumptions!$B$7+IF(F917="Yes",Assumptions!$C$7,0))</f>
        <v>2184731.0520000001</v>
      </c>
      <c r="L917" s="22">
        <f>H917*(1+Assumptions!$B$8+IF(F917="Yes",Assumptions!$C$8,0))</f>
        <v>2101503.2023999998</v>
      </c>
    </row>
    <row r="918" spans="1:12" ht="15">
      <c r="A918" s="21">
        <v>41054</v>
      </c>
      <c r="B918" s="21">
        <v>41030</v>
      </c>
      <c r="C918" s="17">
        <v>15</v>
      </c>
      <c r="D918" s="17" t="s">
        <v>92</v>
      </c>
      <c r="E918" s="18">
        <v>123737</v>
      </c>
      <c r="F918" s="17" t="s">
        <v>91</v>
      </c>
      <c r="G918" s="14">
        <v>693733.24</v>
      </c>
      <c r="H918" s="14">
        <v>636119.31999999995</v>
      </c>
      <c r="I918" s="14">
        <v>636119.31999999995</v>
      </c>
      <c r="J918" s="22">
        <f>H918*(1+Assumptions!$B$6+IF(F918="Yes",Assumptions!$C$6,0))</f>
        <v>655202.8996</v>
      </c>
      <c r="K918" s="22">
        <f>H918*(1+Assumptions!$B$7+IF(F918="Yes",Assumptions!$C$7,0))</f>
        <v>667925.28599999996</v>
      </c>
      <c r="L918" s="22">
        <f>H918*(1+Assumptions!$B$8+IF(F918="Yes",Assumptions!$C$8,0))</f>
        <v>642480.51319999993</v>
      </c>
    </row>
    <row r="919" spans="1:12" ht="15">
      <c r="A919" s="21">
        <v>41054</v>
      </c>
      <c r="B919" s="21">
        <v>41030</v>
      </c>
      <c r="C919" s="17">
        <v>16</v>
      </c>
      <c r="D919" s="17" t="s">
        <v>92</v>
      </c>
      <c r="E919" s="18">
        <v>57197</v>
      </c>
      <c r="F919" s="17" t="s">
        <v>91</v>
      </c>
      <c r="G919" s="14">
        <v>515208.72</v>
      </c>
      <c r="H919" s="14">
        <v>444717.18</v>
      </c>
      <c r="I919" s="14">
        <v>444717.18</v>
      </c>
      <c r="J919" s="22">
        <f>H919*(1+Assumptions!$B$6+IF(F919="Yes",Assumptions!$C$6,0))</f>
        <v>458058.69540000003</v>
      </c>
      <c r="K919" s="22">
        <f>H919*(1+Assumptions!$B$7+IF(F919="Yes",Assumptions!$C$7,0))</f>
        <v>466953.03899999999</v>
      </c>
      <c r="L919" s="22">
        <f>H919*(1+Assumptions!$B$8+IF(F919="Yes",Assumptions!$C$8,0))</f>
        <v>449164.3518</v>
      </c>
    </row>
    <row r="920" spans="1:12" ht="15">
      <c r="A920" s="21">
        <v>41054</v>
      </c>
      <c r="B920" s="21">
        <v>41030</v>
      </c>
      <c r="C920" s="17">
        <v>17</v>
      </c>
      <c r="D920" s="17" t="s">
        <v>92</v>
      </c>
      <c r="E920" s="18">
        <v>93188</v>
      </c>
      <c r="F920" s="17" t="s">
        <v>91</v>
      </c>
      <c r="G920" s="14">
        <v>982875.51</v>
      </c>
      <c r="H920" s="14">
        <v>892051.68</v>
      </c>
      <c r="I920" s="14">
        <v>892051.68</v>
      </c>
      <c r="J920" s="22">
        <f>H920*(1+Assumptions!$B$6+IF(F920="Yes",Assumptions!$C$6,0))</f>
        <v>918813.23040000012</v>
      </c>
      <c r="K920" s="22">
        <f>H920*(1+Assumptions!$B$7+IF(F920="Yes",Assumptions!$C$7,0))</f>
        <v>936654.26400000008</v>
      </c>
      <c r="L920" s="22">
        <f>H920*(1+Assumptions!$B$8+IF(F920="Yes",Assumptions!$C$8,0))</f>
        <v>900972.19680000003</v>
      </c>
    </row>
    <row r="921" spans="1:12" ht="15">
      <c r="A921" s="21">
        <v>41054</v>
      </c>
      <c r="B921" s="21">
        <v>41030</v>
      </c>
      <c r="C921" s="17">
        <v>18</v>
      </c>
      <c r="D921" s="17" t="s">
        <v>92</v>
      </c>
      <c r="E921" s="18">
        <v>120653</v>
      </c>
      <c r="F921" s="17" t="s">
        <v>91</v>
      </c>
      <c r="G921" s="14">
        <v>1086229.53</v>
      </c>
      <c r="H921" s="14">
        <v>1065212.6399999999</v>
      </c>
      <c r="I921" s="14">
        <v>1065212.6399999999</v>
      </c>
      <c r="J921" s="22">
        <f>H921*(1+Assumptions!$B$6+IF(F921="Yes",Assumptions!$C$6,0))</f>
        <v>1097169.0192</v>
      </c>
      <c r="K921" s="22">
        <f>H921*(1+Assumptions!$B$7+IF(F921="Yes",Assumptions!$C$7,0))</f>
        <v>1118473.2719999999</v>
      </c>
      <c r="L921" s="22">
        <f>H921*(1+Assumptions!$B$8+IF(F921="Yes",Assumptions!$C$8,0))</f>
        <v>1075864.7663999998</v>
      </c>
    </row>
    <row r="922" spans="1:12" ht="15">
      <c r="A922" s="21">
        <v>41054</v>
      </c>
      <c r="B922" s="21">
        <v>41030</v>
      </c>
      <c r="C922" s="17">
        <v>19</v>
      </c>
      <c r="D922" s="17" t="s">
        <v>90</v>
      </c>
      <c r="E922" s="18">
        <v>203819</v>
      </c>
      <c r="F922" s="17" t="s">
        <v>91</v>
      </c>
      <c r="G922" s="14">
        <v>1485540.28</v>
      </c>
      <c r="H922" s="14">
        <v>1388548.11</v>
      </c>
      <c r="I922" s="14">
        <v>1388548.11</v>
      </c>
      <c r="J922" s="22">
        <f>H922*(1+Assumptions!$B$6+IF(F922="Yes",Assumptions!$C$6,0))</f>
        <v>1430204.5533</v>
      </c>
      <c r="K922" s="22">
        <f>H922*(1+Assumptions!$B$7+IF(F922="Yes",Assumptions!$C$7,0))</f>
        <v>1457975.5155000002</v>
      </c>
      <c r="L922" s="22">
        <f>H922*(1+Assumptions!$B$8+IF(F922="Yes",Assumptions!$C$8,0))</f>
        <v>1402433.5911000001</v>
      </c>
    </row>
    <row r="923" spans="1:12" ht="15">
      <c r="A923" s="21">
        <v>41054</v>
      </c>
      <c r="B923" s="21">
        <v>41030</v>
      </c>
      <c r="C923" s="17">
        <v>20</v>
      </c>
      <c r="D923" s="17" t="s">
        <v>90</v>
      </c>
      <c r="E923" s="18">
        <v>203742</v>
      </c>
      <c r="F923" s="17" t="s">
        <v>91</v>
      </c>
      <c r="G923" s="14">
        <v>2114989</v>
      </c>
      <c r="H923" s="14">
        <v>1944435.83</v>
      </c>
      <c r="I923" s="14">
        <v>1944435.83</v>
      </c>
      <c r="J923" s="22">
        <f>H923*(1+Assumptions!$B$6+IF(F923="Yes",Assumptions!$C$6,0))</f>
        <v>2002768.9049000002</v>
      </c>
      <c r="K923" s="22">
        <f>H923*(1+Assumptions!$B$7+IF(F923="Yes",Assumptions!$C$7,0))</f>
        <v>2041657.6215000001</v>
      </c>
      <c r="L923" s="22">
        <f>H923*(1+Assumptions!$B$8+IF(F923="Yes",Assumptions!$C$8,0))</f>
        <v>1963880.1883</v>
      </c>
    </row>
    <row r="924" spans="1:12" ht="15">
      <c r="A924" s="21">
        <v>41054</v>
      </c>
      <c r="B924" s="21">
        <v>41030</v>
      </c>
      <c r="C924" s="17">
        <v>21</v>
      </c>
      <c r="D924" s="17" t="s">
        <v>92</v>
      </c>
      <c r="E924" s="18">
        <v>140167</v>
      </c>
      <c r="F924" s="17" t="s">
        <v>91</v>
      </c>
      <c r="G924" s="14">
        <v>722208.66</v>
      </c>
      <c r="H924" s="14">
        <v>744390.78</v>
      </c>
      <c r="I924" s="14">
        <v>744390.78</v>
      </c>
      <c r="J924" s="22">
        <f>H924*(1+Assumptions!$B$6+IF(F924="Yes",Assumptions!$C$6,0))</f>
        <v>766722.50340000005</v>
      </c>
      <c r="K924" s="22">
        <f>H924*(1+Assumptions!$B$7+IF(F924="Yes",Assumptions!$C$7,0))</f>
        <v>781610.31900000002</v>
      </c>
      <c r="L924" s="22">
        <f>H924*(1+Assumptions!$B$8+IF(F924="Yes",Assumptions!$C$8,0))</f>
        <v>751834.68780000007</v>
      </c>
    </row>
    <row r="925" spans="1:12" ht="15">
      <c r="A925" s="21">
        <v>41054</v>
      </c>
      <c r="B925" s="21">
        <v>41030</v>
      </c>
      <c r="C925" s="17">
        <v>22</v>
      </c>
      <c r="D925" s="17" t="s">
        <v>92</v>
      </c>
      <c r="E925" s="18">
        <v>119557</v>
      </c>
      <c r="F925" s="17" t="s">
        <v>91</v>
      </c>
      <c r="G925" s="14">
        <v>1046319.73</v>
      </c>
      <c r="H925" s="14">
        <v>1021372.3</v>
      </c>
      <c r="I925" s="14">
        <v>1021372.3</v>
      </c>
      <c r="J925" s="22">
        <f>H925*(1+Assumptions!$B$6+IF(F925="Yes",Assumptions!$C$6,0))</f>
        <v>1052013.469</v>
      </c>
      <c r="K925" s="22">
        <f>H925*(1+Assumptions!$B$7+IF(F925="Yes",Assumptions!$C$7,0))</f>
        <v>1072440.915</v>
      </c>
      <c r="L925" s="22">
        <f>H925*(1+Assumptions!$B$8+IF(F925="Yes",Assumptions!$C$8,0))</f>
        <v>1031586.023</v>
      </c>
    </row>
    <row r="926" spans="1:12" ht="15">
      <c r="A926" s="21">
        <v>41054</v>
      </c>
      <c r="B926" s="21">
        <v>41030</v>
      </c>
      <c r="C926" s="17">
        <v>23</v>
      </c>
      <c r="D926" s="17" t="s">
        <v>92</v>
      </c>
      <c r="E926" s="18">
        <v>114533</v>
      </c>
      <c r="F926" s="17" t="s">
        <v>91</v>
      </c>
      <c r="G926" s="14">
        <v>1552637.54</v>
      </c>
      <c r="H926" s="14">
        <v>1361975.14</v>
      </c>
      <c r="I926" s="14">
        <v>1361975.14</v>
      </c>
      <c r="J926" s="22">
        <f>H926*(1+Assumptions!$B$6+IF(F926="Yes",Assumptions!$C$6,0))</f>
        <v>1402834.3942</v>
      </c>
      <c r="K926" s="22">
        <f>H926*(1+Assumptions!$B$7+IF(F926="Yes",Assumptions!$C$7,0))</f>
        <v>1430073.8969999999</v>
      </c>
      <c r="L926" s="22">
        <f>H926*(1+Assumptions!$B$8+IF(F926="Yes",Assumptions!$C$8,0))</f>
        <v>1375594.8913999998</v>
      </c>
    </row>
    <row r="927" spans="1:12" ht="15">
      <c r="A927" s="21">
        <v>41054</v>
      </c>
      <c r="B927" s="21">
        <v>41030</v>
      </c>
      <c r="C927" s="17">
        <v>24</v>
      </c>
      <c r="D927" s="17" t="s">
        <v>90</v>
      </c>
      <c r="E927" s="18">
        <v>203819</v>
      </c>
      <c r="F927" s="17" t="s">
        <v>91</v>
      </c>
      <c r="G927" s="14">
        <v>1407897.57</v>
      </c>
      <c r="H927" s="14">
        <v>1309580.75</v>
      </c>
      <c r="I927" s="14">
        <v>1309580.75</v>
      </c>
      <c r="J927" s="22">
        <f>H927*(1+Assumptions!$B$6+IF(F927="Yes",Assumptions!$C$6,0))</f>
        <v>1348868.1725000001</v>
      </c>
      <c r="K927" s="22">
        <f>H927*(1+Assumptions!$B$7+IF(F927="Yes",Assumptions!$C$7,0))</f>
        <v>1375059.7875000001</v>
      </c>
      <c r="L927" s="22">
        <f>H927*(1+Assumptions!$B$8+IF(F927="Yes",Assumptions!$C$8,0))</f>
        <v>1322676.5575000001</v>
      </c>
    </row>
    <row r="928" spans="1:12" ht="15">
      <c r="A928" s="21">
        <v>41054</v>
      </c>
      <c r="B928" s="21">
        <v>41030</v>
      </c>
      <c r="C928" s="17">
        <v>25</v>
      </c>
      <c r="D928" s="17" t="s">
        <v>92</v>
      </c>
      <c r="E928" s="18">
        <v>128107</v>
      </c>
      <c r="F928" s="17" t="s">
        <v>91</v>
      </c>
      <c r="G928" s="14">
        <v>781946.24</v>
      </c>
      <c r="H928" s="14">
        <v>718357.22</v>
      </c>
      <c r="I928" s="14">
        <v>718357.22</v>
      </c>
      <c r="J928" s="22">
        <f>H928*(1+Assumptions!$B$6+IF(F928="Yes",Assumptions!$C$6,0))</f>
        <v>739907.93660000002</v>
      </c>
      <c r="K928" s="22">
        <f>H928*(1+Assumptions!$B$7+IF(F928="Yes",Assumptions!$C$7,0))</f>
        <v>754275.08100000001</v>
      </c>
      <c r="L928" s="22">
        <f>H928*(1+Assumptions!$B$8+IF(F928="Yes",Assumptions!$C$8,0))</f>
        <v>725540.79220000003</v>
      </c>
    </row>
    <row r="929" spans="1:12" ht="15">
      <c r="A929" s="21">
        <v>41054</v>
      </c>
      <c r="B929" s="21">
        <v>41030</v>
      </c>
      <c r="C929" s="17">
        <v>26</v>
      </c>
      <c r="D929" s="17" t="s">
        <v>90</v>
      </c>
      <c r="E929" s="18">
        <v>152513</v>
      </c>
      <c r="F929" s="17" t="s">
        <v>91</v>
      </c>
      <c r="G929" s="14">
        <v>1067310.74</v>
      </c>
      <c r="H929" s="14">
        <v>996723.58</v>
      </c>
      <c r="I929" s="14">
        <v>996723.58</v>
      </c>
      <c r="J929" s="22">
        <f>H929*(1+Assumptions!$B$6+IF(F929="Yes",Assumptions!$C$6,0))</f>
        <v>1026625.2874</v>
      </c>
      <c r="K929" s="22">
        <f>H929*(1+Assumptions!$B$7+IF(F929="Yes",Assumptions!$C$7,0))</f>
        <v>1046559.759</v>
      </c>
      <c r="L929" s="22">
        <f>H929*(1+Assumptions!$B$8+IF(F929="Yes",Assumptions!$C$8,0))</f>
        <v>1006690.8158</v>
      </c>
    </row>
    <row r="930" spans="1:12" ht="15">
      <c r="A930" s="21">
        <v>41054</v>
      </c>
      <c r="B930" s="21">
        <v>41030</v>
      </c>
      <c r="C930" s="17">
        <v>27</v>
      </c>
      <c r="D930" s="17" t="s">
        <v>90</v>
      </c>
      <c r="E930" s="18">
        <v>204184</v>
      </c>
      <c r="F930" s="17" t="s">
        <v>91</v>
      </c>
      <c r="G930" s="14">
        <v>1818906.73</v>
      </c>
      <c r="H930" s="14">
        <v>1820710.69</v>
      </c>
      <c r="I930" s="14">
        <v>1820710.69</v>
      </c>
      <c r="J930" s="22">
        <f>H930*(1+Assumptions!$B$6+IF(F930="Yes",Assumptions!$C$6,0))</f>
        <v>1875332.0107</v>
      </c>
      <c r="K930" s="22">
        <f>H930*(1+Assumptions!$B$7+IF(F930="Yes",Assumptions!$C$7,0))</f>
        <v>1911746.2245</v>
      </c>
      <c r="L930" s="22">
        <f>H930*(1+Assumptions!$B$8+IF(F930="Yes",Assumptions!$C$8,0))</f>
        <v>1838917.7969</v>
      </c>
    </row>
    <row r="931" spans="1:12" ht="15">
      <c r="A931" s="21">
        <v>41054</v>
      </c>
      <c r="B931" s="21">
        <v>41030</v>
      </c>
      <c r="C931" s="17">
        <v>28</v>
      </c>
      <c r="D931" s="17" t="s">
        <v>90</v>
      </c>
      <c r="E931" s="18">
        <v>206302</v>
      </c>
      <c r="F931" s="17" t="s">
        <v>91</v>
      </c>
      <c r="G931" s="14">
        <v>1151214.4099999999</v>
      </c>
      <c r="H931" s="14">
        <v>1160028.04</v>
      </c>
      <c r="I931" s="14">
        <v>1160028.04</v>
      </c>
      <c r="J931" s="22">
        <f>H931*(1+Assumptions!$B$6+IF(F931="Yes",Assumptions!$C$6,0))</f>
        <v>1194828.8812000002</v>
      </c>
      <c r="K931" s="22">
        <f>H931*(1+Assumptions!$B$7+IF(F931="Yes",Assumptions!$C$7,0))</f>
        <v>1218029.442</v>
      </c>
      <c r="L931" s="22">
        <f>H931*(1+Assumptions!$B$8+IF(F931="Yes",Assumptions!$C$8,0))</f>
        <v>1171628.3204000001</v>
      </c>
    </row>
    <row r="932" spans="1:12" ht="15">
      <c r="A932" s="21">
        <v>41054</v>
      </c>
      <c r="B932" s="21">
        <v>41030</v>
      </c>
      <c r="C932" s="17">
        <v>29</v>
      </c>
      <c r="D932" s="17" t="s">
        <v>92</v>
      </c>
      <c r="E932" s="18">
        <v>93638</v>
      </c>
      <c r="F932" s="17" t="s">
        <v>91</v>
      </c>
      <c r="G932" s="14">
        <v>549653.79</v>
      </c>
      <c r="H932" s="14">
        <v>550696.74</v>
      </c>
      <c r="I932" s="14">
        <v>550696.74</v>
      </c>
      <c r="J932" s="22">
        <f>H932*(1+Assumptions!$B$6+IF(F932="Yes",Assumptions!$C$6,0))</f>
        <v>567217.6422</v>
      </c>
      <c r="K932" s="22">
        <f>H932*(1+Assumptions!$B$7+IF(F932="Yes",Assumptions!$C$7,0))</f>
        <v>578231.57700000005</v>
      </c>
      <c r="L932" s="22">
        <f>H932*(1+Assumptions!$B$8+IF(F932="Yes",Assumptions!$C$8,0))</f>
        <v>556203.70739999996</v>
      </c>
    </row>
    <row r="933" spans="1:12" ht="15">
      <c r="A933" s="21">
        <v>41054</v>
      </c>
      <c r="B933" s="21">
        <v>41030</v>
      </c>
      <c r="C933" s="17">
        <v>30</v>
      </c>
      <c r="D933" s="17" t="s">
        <v>93</v>
      </c>
      <c r="E933" s="18">
        <v>42988</v>
      </c>
      <c r="F933" s="17" t="s">
        <v>91</v>
      </c>
      <c r="G933" s="14">
        <v>449355.91</v>
      </c>
      <c r="H933" s="14">
        <v>429001.81</v>
      </c>
      <c r="I933" s="14">
        <v>429001.81</v>
      </c>
      <c r="J933" s="22">
        <f>H933*(1+Assumptions!$B$6+IF(F933="Yes",Assumptions!$C$6,0))</f>
        <v>441871.86430000002</v>
      </c>
      <c r="K933" s="22">
        <f>H933*(1+Assumptions!$B$7+IF(F933="Yes",Assumptions!$C$7,0))</f>
        <v>450451.90049999999</v>
      </c>
      <c r="L933" s="22">
        <f>H933*(1+Assumptions!$B$8+IF(F933="Yes",Assumptions!$C$8,0))</f>
        <v>433291.82809999998</v>
      </c>
    </row>
    <row r="934" spans="1:12" ht="15">
      <c r="A934" s="21">
        <v>41054</v>
      </c>
      <c r="B934" s="21">
        <v>41030</v>
      </c>
      <c r="C934" s="17">
        <v>31</v>
      </c>
      <c r="D934" s="17" t="s">
        <v>90</v>
      </c>
      <c r="E934" s="18">
        <v>203750</v>
      </c>
      <c r="F934" s="17" t="s">
        <v>91</v>
      </c>
      <c r="G934" s="14">
        <v>1397094.25</v>
      </c>
      <c r="H934" s="14">
        <v>1342179.56</v>
      </c>
      <c r="I934" s="14">
        <v>1342179.56</v>
      </c>
      <c r="J934" s="22">
        <f>H934*(1+Assumptions!$B$6+IF(F934="Yes",Assumptions!$C$6,0))</f>
        <v>1382444.9468</v>
      </c>
      <c r="K934" s="22">
        <f>H934*(1+Assumptions!$B$7+IF(F934="Yes",Assumptions!$C$7,0))</f>
        <v>1409288.5380000002</v>
      </c>
      <c r="L934" s="22">
        <f>H934*(1+Assumptions!$B$8+IF(F934="Yes",Assumptions!$C$8,0))</f>
        <v>1355601.3556000001</v>
      </c>
    </row>
    <row r="935" spans="1:12" ht="15">
      <c r="A935" s="21">
        <v>41054</v>
      </c>
      <c r="B935" s="21">
        <v>41030</v>
      </c>
      <c r="C935" s="17">
        <v>32</v>
      </c>
      <c r="D935" s="17" t="s">
        <v>90</v>
      </c>
      <c r="E935" s="18">
        <v>203007</v>
      </c>
      <c r="F935" s="17" t="s">
        <v>91</v>
      </c>
      <c r="G935" s="14">
        <v>1232784.22</v>
      </c>
      <c r="H935" s="14">
        <v>1175433.8899999999</v>
      </c>
      <c r="I935" s="14">
        <v>1175433.8899999999</v>
      </c>
      <c r="J935" s="22">
        <f>H935*(1+Assumptions!$B$6+IF(F935="Yes",Assumptions!$C$6,0))</f>
        <v>1210696.9066999999</v>
      </c>
      <c r="K935" s="22">
        <f>H935*(1+Assumptions!$B$7+IF(F935="Yes",Assumptions!$C$7,0))</f>
        <v>1234205.5844999999</v>
      </c>
      <c r="L935" s="22">
        <f>H935*(1+Assumptions!$B$8+IF(F935="Yes",Assumptions!$C$8,0))</f>
        <v>1187188.2289</v>
      </c>
    </row>
    <row r="936" spans="1:12" ht="15">
      <c r="A936" s="21">
        <v>41054</v>
      </c>
      <c r="B936" s="21">
        <v>41030</v>
      </c>
      <c r="C936" s="17">
        <v>33</v>
      </c>
      <c r="D936" s="17" t="s">
        <v>90</v>
      </c>
      <c r="E936" s="18">
        <v>39690</v>
      </c>
      <c r="F936" s="17" t="s">
        <v>91</v>
      </c>
      <c r="G936" s="14">
        <v>261713.22</v>
      </c>
      <c r="H936" s="14">
        <v>239359.68</v>
      </c>
      <c r="I936" s="14">
        <v>239359.68</v>
      </c>
      <c r="J936" s="22">
        <f>H936*(1+Assumptions!$B$6+IF(F936="Yes",Assumptions!$C$6,0))</f>
        <v>246540.47039999999</v>
      </c>
      <c r="K936" s="22">
        <f>H936*(1+Assumptions!$B$7+IF(F936="Yes",Assumptions!$C$7,0))</f>
        <v>251327.66399999999</v>
      </c>
      <c r="L936" s="22">
        <f>H936*(1+Assumptions!$B$8+IF(F936="Yes",Assumptions!$C$8,0))</f>
        <v>241753.27679999999</v>
      </c>
    </row>
    <row r="937" spans="1:12" ht="15">
      <c r="A937" s="21">
        <v>41054</v>
      </c>
      <c r="B937" s="21">
        <v>41030</v>
      </c>
      <c r="C937" s="17">
        <v>34</v>
      </c>
      <c r="D937" s="17" t="s">
        <v>90</v>
      </c>
      <c r="E937" s="18">
        <v>158114</v>
      </c>
      <c r="F937" s="17" t="s">
        <v>91</v>
      </c>
      <c r="G937" s="14">
        <v>1015737.61</v>
      </c>
      <c r="H937" s="14">
        <v>939242.88</v>
      </c>
      <c r="I937" s="14">
        <v>939242.88</v>
      </c>
      <c r="J937" s="22">
        <f>H937*(1+Assumptions!$B$6+IF(F937="Yes",Assumptions!$C$6,0))</f>
        <v>967420.16639999999</v>
      </c>
      <c r="K937" s="22">
        <f>H937*(1+Assumptions!$B$7+IF(F937="Yes",Assumptions!$C$7,0))</f>
        <v>986205.02400000009</v>
      </c>
      <c r="L937" s="22">
        <f>H937*(1+Assumptions!$B$8+IF(F937="Yes",Assumptions!$C$8,0))</f>
        <v>948635.3088</v>
      </c>
    </row>
    <row r="938" spans="1:12" ht="15">
      <c r="A938" s="21">
        <v>41054</v>
      </c>
      <c r="B938" s="21">
        <v>41030</v>
      </c>
      <c r="C938" s="17">
        <v>35</v>
      </c>
      <c r="D938" s="17" t="s">
        <v>92</v>
      </c>
      <c r="E938" s="18">
        <v>103681</v>
      </c>
      <c r="F938" s="17" t="s">
        <v>91</v>
      </c>
      <c r="G938" s="14">
        <v>822247.20000000007</v>
      </c>
      <c r="H938" s="14">
        <v>850628.19000000006</v>
      </c>
      <c r="I938" s="14">
        <v>850628.19000000006</v>
      </c>
      <c r="J938" s="22">
        <f>H938*(1+Assumptions!$B$6+IF(F938="Yes",Assumptions!$C$6,0))</f>
        <v>876147.03570000012</v>
      </c>
      <c r="K938" s="22">
        <f>H938*(1+Assumptions!$B$7+IF(F938="Yes",Assumptions!$C$7,0))</f>
        <v>893159.59950000013</v>
      </c>
      <c r="L938" s="22">
        <f>H938*(1+Assumptions!$B$8+IF(F938="Yes",Assumptions!$C$8,0))</f>
        <v>859134.47190000012</v>
      </c>
    </row>
    <row r="939" spans="1:12" ht="15">
      <c r="A939" s="21">
        <v>41054</v>
      </c>
      <c r="B939" s="21">
        <v>41030</v>
      </c>
      <c r="C939" s="17">
        <v>36</v>
      </c>
      <c r="D939" s="17" t="s">
        <v>90</v>
      </c>
      <c r="E939" s="18">
        <v>39910</v>
      </c>
      <c r="F939" s="17" t="s">
        <v>91</v>
      </c>
      <c r="G939" s="14">
        <v>306116.11</v>
      </c>
      <c r="H939" s="14">
        <v>348683.72000000003</v>
      </c>
      <c r="I939" s="14">
        <v>348683.72000000003</v>
      </c>
      <c r="J939" s="22">
        <f>H939*(1+Assumptions!$B$6+IF(F939="Yes",Assumptions!$C$6,0))</f>
        <v>359144.23160000006</v>
      </c>
      <c r="K939" s="22">
        <f>H939*(1+Assumptions!$B$7+IF(F939="Yes",Assumptions!$C$7,0))</f>
        <v>366117.90600000008</v>
      </c>
      <c r="L939" s="22">
        <f>H939*(1+Assumptions!$B$8+IF(F939="Yes",Assumptions!$C$8,0))</f>
        <v>352170.55720000004</v>
      </c>
    </row>
    <row r="940" spans="1:12" ht="15">
      <c r="A940" s="21">
        <v>41054</v>
      </c>
      <c r="B940" s="21">
        <v>41030</v>
      </c>
      <c r="C940" s="17">
        <v>37</v>
      </c>
      <c r="D940" s="17" t="s">
        <v>93</v>
      </c>
      <c r="E940" s="18">
        <v>39910</v>
      </c>
      <c r="F940" s="17" t="s">
        <v>91</v>
      </c>
      <c r="G940" s="14">
        <v>540317.91</v>
      </c>
      <c r="H940" s="14">
        <v>507077.75</v>
      </c>
      <c r="I940" s="14">
        <v>507077.75</v>
      </c>
      <c r="J940" s="22">
        <f>H940*(1+Assumptions!$B$6+IF(F940="Yes",Assumptions!$C$6,0))</f>
        <v>522290.08250000002</v>
      </c>
      <c r="K940" s="22">
        <f>H940*(1+Assumptions!$B$7+IF(F940="Yes",Assumptions!$C$7,0))</f>
        <v>532431.63750000007</v>
      </c>
      <c r="L940" s="22">
        <f>H940*(1+Assumptions!$B$8+IF(F940="Yes",Assumptions!$C$8,0))</f>
        <v>512148.52750000003</v>
      </c>
    </row>
    <row r="941" spans="1:12" ht="15">
      <c r="A941" s="21">
        <v>41054</v>
      </c>
      <c r="B941" s="21">
        <v>41030</v>
      </c>
      <c r="C941" s="17">
        <v>38</v>
      </c>
      <c r="D941" s="17" t="s">
        <v>93</v>
      </c>
      <c r="E941" s="18">
        <v>39690</v>
      </c>
      <c r="F941" s="17" t="s">
        <v>91</v>
      </c>
      <c r="G941" s="14">
        <v>422764.16</v>
      </c>
      <c r="H941" s="14">
        <v>356878.63</v>
      </c>
      <c r="I941" s="14">
        <v>356878.63</v>
      </c>
      <c r="J941" s="22">
        <f>H941*(1+Assumptions!$B$6+IF(F941="Yes",Assumptions!$C$6,0))</f>
        <v>367584.9889</v>
      </c>
      <c r="K941" s="22">
        <f>H941*(1+Assumptions!$B$7+IF(F941="Yes",Assumptions!$C$7,0))</f>
        <v>374722.56150000001</v>
      </c>
      <c r="L941" s="22">
        <f>H941*(1+Assumptions!$B$8+IF(F941="Yes",Assumptions!$C$8,0))</f>
        <v>360447.41629999998</v>
      </c>
    </row>
    <row r="942" spans="1:12" ht="15">
      <c r="A942" s="21">
        <v>41054</v>
      </c>
      <c r="B942" s="21">
        <v>41030</v>
      </c>
      <c r="C942" s="17">
        <v>39</v>
      </c>
      <c r="D942" s="17" t="s">
        <v>90</v>
      </c>
      <c r="E942" s="18">
        <v>184109</v>
      </c>
      <c r="F942" s="17" t="s">
        <v>91</v>
      </c>
      <c r="G942" s="14">
        <v>1596036.66</v>
      </c>
      <c r="H942" s="14">
        <v>1406077.29</v>
      </c>
      <c r="I942" s="14">
        <v>1406077.29</v>
      </c>
      <c r="J942" s="22">
        <f>H942*(1+Assumptions!$B$6+IF(F942="Yes",Assumptions!$C$6,0))</f>
        <v>1448259.6087</v>
      </c>
      <c r="K942" s="22">
        <f>H942*(1+Assumptions!$B$7+IF(F942="Yes",Assumptions!$C$7,0))</f>
        <v>1476381.1545000002</v>
      </c>
      <c r="L942" s="22">
        <f>H942*(1+Assumptions!$B$8+IF(F942="Yes",Assumptions!$C$8,0))</f>
        <v>1420138.0629</v>
      </c>
    </row>
    <row r="943" spans="1:12" ht="15">
      <c r="A943" s="21">
        <v>41054</v>
      </c>
      <c r="B943" s="21">
        <v>41030</v>
      </c>
      <c r="C943" s="17">
        <v>40</v>
      </c>
      <c r="D943" s="17" t="s">
        <v>90</v>
      </c>
      <c r="E943" s="18">
        <v>155083</v>
      </c>
      <c r="F943" s="17" t="s">
        <v>91</v>
      </c>
      <c r="G943" s="14">
        <v>991031.67</v>
      </c>
      <c r="H943" s="14">
        <v>972363.34</v>
      </c>
      <c r="I943" s="14">
        <v>972363.34</v>
      </c>
      <c r="J943" s="22">
        <f>H943*(1+Assumptions!$B$6+IF(F943="Yes",Assumptions!$C$6,0))</f>
        <v>1001534.2402</v>
      </c>
      <c r="K943" s="22">
        <f>H943*(1+Assumptions!$B$7+IF(F943="Yes",Assumptions!$C$7,0))</f>
        <v>1020981.507</v>
      </c>
      <c r="L943" s="22">
        <f>H943*(1+Assumptions!$B$8+IF(F943="Yes",Assumptions!$C$8,0))</f>
        <v>982086.97340000002</v>
      </c>
    </row>
    <row r="944" spans="1:12" ht="15">
      <c r="A944" s="21">
        <v>41054</v>
      </c>
      <c r="B944" s="21">
        <v>41030</v>
      </c>
      <c r="C944" s="17">
        <v>41</v>
      </c>
      <c r="D944" s="17" t="s">
        <v>90</v>
      </c>
      <c r="E944" s="18">
        <v>196321</v>
      </c>
      <c r="F944" s="17" t="s">
        <v>91</v>
      </c>
      <c r="G944" s="14">
        <v>1421619.77</v>
      </c>
      <c r="H944" s="14">
        <v>1278292.8899999999</v>
      </c>
      <c r="I944" s="14">
        <v>1278292.8899999999</v>
      </c>
      <c r="J944" s="22">
        <f>H944*(1+Assumptions!$B$6+IF(F944="Yes",Assumptions!$C$6,0))</f>
        <v>1316641.6767</v>
      </c>
      <c r="K944" s="22">
        <f>H944*(1+Assumptions!$B$7+IF(F944="Yes",Assumptions!$C$7,0))</f>
        <v>1342207.5344999998</v>
      </c>
      <c r="L944" s="22">
        <f>H944*(1+Assumptions!$B$8+IF(F944="Yes",Assumptions!$C$8,0))</f>
        <v>1291075.8188999998</v>
      </c>
    </row>
    <row r="945" spans="1:12" ht="15">
      <c r="A945" s="21">
        <v>41054</v>
      </c>
      <c r="B945" s="21">
        <v>41030</v>
      </c>
      <c r="C945" s="17">
        <v>42</v>
      </c>
      <c r="D945" s="17" t="s">
        <v>93</v>
      </c>
      <c r="E945" s="18">
        <v>39690</v>
      </c>
      <c r="F945" s="17" t="s">
        <v>91</v>
      </c>
      <c r="G945" s="14">
        <v>535747.25</v>
      </c>
      <c r="H945" s="14">
        <v>503295.29</v>
      </c>
      <c r="I945" s="14">
        <v>503295.29</v>
      </c>
      <c r="J945" s="22">
        <f>H945*(1+Assumptions!$B$6+IF(F945="Yes",Assumptions!$C$6,0))</f>
        <v>518394.14870000002</v>
      </c>
      <c r="K945" s="22">
        <f>H945*(1+Assumptions!$B$7+IF(F945="Yes",Assumptions!$C$7,0))</f>
        <v>528460.05449999997</v>
      </c>
      <c r="L945" s="22">
        <f>H945*(1+Assumptions!$B$8+IF(F945="Yes",Assumptions!$C$8,0))</f>
        <v>508328.24290000001</v>
      </c>
    </row>
    <row r="946" spans="1:12" ht="15">
      <c r="A946" s="21">
        <v>41054</v>
      </c>
      <c r="B946" s="21">
        <v>41030</v>
      </c>
      <c r="C946" s="17">
        <v>43</v>
      </c>
      <c r="D946" s="17" t="s">
        <v>93</v>
      </c>
      <c r="E946" s="18">
        <v>41062</v>
      </c>
      <c r="F946" s="17" t="s">
        <v>91</v>
      </c>
      <c r="G946" s="14">
        <v>596637.69000000006</v>
      </c>
      <c r="H946" s="14">
        <v>578033.51</v>
      </c>
      <c r="I946" s="14">
        <v>578033.51</v>
      </c>
      <c r="J946" s="22">
        <f>H946*(1+Assumptions!$B$6+IF(F946="Yes",Assumptions!$C$6,0))</f>
        <v>595374.51529999997</v>
      </c>
      <c r="K946" s="22">
        <f>H946*(1+Assumptions!$B$7+IF(F946="Yes",Assumptions!$C$7,0))</f>
        <v>606935.18550000002</v>
      </c>
      <c r="L946" s="22">
        <f>H946*(1+Assumptions!$B$8+IF(F946="Yes",Assumptions!$C$8,0))</f>
        <v>583813.84510000004</v>
      </c>
    </row>
    <row r="947" spans="1:12" ht="15">
      <c r="A947" s="21">
        <v>41054</v>
      </c>
      <c r="B947" s="21">
        <v>41030</v>
      </c>
      <c r="C947" s="17">
        <v>44</v>
      </c>
      <c r="D947" s="17" t="s">
        <v>93</v>
      </c>
      <c r="E947" s="18">
        <v>39910</v>
      </c>
      <c r="F947" s="17" t="s">
        <v>91</v>
      </c>
      <c r="G947" s="14">
        <v>343157.75</v>
      </c>
      <c r="H947" s="14">
        <v>308324.64</v>
      </c>
      <c r="I947" s="14">
        <v>308324.64</v>
      </c>
      <c r="J947" s="22">
        <f>H947*(1+Assumptions!$B$6+IF(F947="Yes",Assumptions!$C$6,0))</f>
        <v>317574.37920000002</v>
      </c>
      <c r="K947" s="22">
        <f>H947*(1+Assumptions!$B$7+IF(F947="Yes",Assumptions!$C$7,0))</f>
        <v>323740.87200000003</v>
      </c>
      <c r="L947" s="22">
        <f>H947*(1+Assumptions!$B$8+IF(F947="Yes",Assumptions!$C$8,0))</f>
        <v>311407.88640000002</v>
      </c>
    </row>
    <row r="948" spans="1:12" ht="15">
      <c r="A948" s="21">
        <v>41054</v>
      </c>
      <c r="B948" s="21">
        <v>41030</v>
      </c>
      <c r="C948" s="17">
        <v>45</v>
      </c>
      <c r="D948" s="17" t="s">
        <v>92</v>
      </c>
      <c r="E948" s="18">
        <v>118221</v>
      </c>
      <c r="F948" s="17" t="s">
        <v>91</v>
      </c>
      <c r="G948" s="14">
        <v>817746.14</v>
      </c>
      <c r="H948" s="14">
        <v>817650.43</v>
      </c>
      <c r="I948" s="14">
        <v>817650.43</v>
      </c>
      <c r="J948" s="22">
        <f>H948*(1+Assumptions!$B$6+IF(F948="Yes",Assumptions!$C$6,0))</f>
        <v>842179.94290000002</v>
      </c>
      <c r="K948" s="22">
        <f>H948*(1+Assumptions!$B$7+IF(F948="Yes",Assumptions!$C$7,0))</f>
        <v>858532.95150000008</v>
      </c>
      <c r="L948" s="22">
        <f>H948*(1+Assumptions!$B$8+IF(F948="Yes",Assumptions!$C$8,0))</f>
        <v>825826.93430000008</v>
      </c>
    </row>
    <row r="949" spans="1:12" ht="15">
      <c r="A949" s="21">
        <v>41061</v>
      </c>
      <c r="B949" s="21">
        <v>41061</v>
      </c>
      <c r="C949" s="17">
        <v>1</v>
      </c>
      <c r="D949" s="17" t="s">
        <v>90</v>
      </c>
      <c r="E949" s="18">
        <v>151315</v>
      </c>
      <c r="F949" s="17" t="s">
        <v>91</v>
      </c>
      <c r="G949" s="14">
        <v>1624477.38</v>
      </c>
      <c r="H949" s="14">
        <v>1635078.41</v>
      </c>
      <c r="I949" s="14">
        <v>1635078.41</v>
      </c>
      <c r="J949" s="22">
        <f>H949*(1+Assumptions!$B$6+IF(F949="Yes",Assumptions!$C$6,0))</f>
        <v>1684130.7623000001</v>
      </c>
      <c r="K949" s="22">
        <f>H949*(1+Assumptions!$B$7+IF(F949="Yes",Assumptions!$C$7,0))</f>
        <v>1716832.3304999999</v>
      </c>
      <c r="L949" s="22">
        <f>H949*(1+Assumptions!$B$8+IF(F949="Yes",Assumptions!$C$8,0))</f>
        <v>1651429.1941</v>
      </c>
    </row>
    <row r="950" spans="1:12" ht="15">
      <c r="A950" s="21">
        <v>41061</v>
      </c>
      <c r="B950" s="21">
        <v>41061</v>
      </c>
      <c r="C950" s="17">
        <v>2</v>
      </c>
      <c r="D950" s="17" t="s">
        <v>90</v>
      </c>
      <c r="E950" s="18">
        <v>202307</v>
      </c>
      <c r="F950" s="17" t="s">
        <v>91</v>
      </c>
      <c r="G950" s="14">
        <v>1910092.3699999999</v>
      </c>
      <c r="H950" s="14">
        <v>1933764.74</v>
      </c>
      <c r="I950" s="14">
        <v>1933764.74</v>
      </c>
      <c r="J950" s="22">
        <f>H950*(1+Assumptions!$B$6+IF(F950="Yes",Assumptions!$C$6,0))</f>
        <v>1991777.6822000002</v>
      </c>
      <c r="K950" s="22">
        <f>H950*(1+Assumptions!$B$7+IF(F950="Yes",Assumptions!$C$7,0))</f>
        <v>2030452.9770000002</v>
      </c>
      <c r="L950" s="22">
        <f>H950*(1+Assumptions!$B$8+IF(F950="Yes",Assumptions!$C$8,0))</f>
        <v>1953102.3874000001</v>
      </c>
    </row>
    <row r="951" spans="1:12" ht="15">
      <c r="A951" s="21">
        <v>41061</v>
      </c>
      <c r="B951" s="21">
        <v>41061</v>
      </c>
      <c r="C951" s="17">
        <v>3</v>
      </c>
      <c r="D951" s="17" t="s">
        <v>92</v>
      </c>
      <c r="E951" s="18">
        <v>37392</v>
      </c>
      <c r="F951" s="17" t="s">
        <v>91</v>
      </c>
      <c r="G951" s="14">
        <v>432201.21</v>
      </c>
      <c r="H951" s="14">
        <v>394498.36000000004</v>
      </c>
      <c r="I951" s="14">
        <v>394498.36000000004</v>
      </c>
      <c r="J951" s="22">
        <f>H951*(1+Assumptions!$B$6+IF(F951="Yes",Assumptions!$C$6,0))</f>
        <v>406333.31080000004</v>
      </c>
      <c r="K951" s="22">
        <f>H951*(1+Assumptions!$B$7+IF(F951="Yes",Assumptions!$C$7,0))</f>
        <v>414223.27800000005</v>
      </c>
      <c r="L951" s="22">
        <f>H951*(1+Assumptions!$B$8+IF(F951="Yes",Assumptions!$C$8,0))</f>
        <v>398443.34360000002</v>
      </c>
    </row>
    <row r="952" spans="1:12" ht="15">
      <c r="A952" s="21">
        <v>41061</v>
      </c>
      <c r="B952" s="21">
        <v>41061</v>
      </c>
      <c r="C952" s="17">
        <v>4</v>
      </c>
      <c r="D952" s="17" t="s">
        <v>90</v>
      </c>
      <c r="E952" s="18">
        <v>205863</v>
      </c>
      <c r="F952" s="17" t="s">
        <v>91</v>
      </c>
      <c r="G952" s="14">
        <v>2179347.08</v>
      </c>
      <c r="H952" s="14">
        <v>2065318.9100000001</v>
      </c>
      <c r="I952" s="14">
        <v>2065318.9100000001</v>
      </c>
      <c r="J952" s="22">
        <f>H952*(1+Assumptions!$B$6+IF(F952="Yes",Assumptions!$C$6,0))</f>
        <v>2127278.4773000004</v>
      </c>
      <c r="K952" s="22">
        <f>H952*(1+Assumptions!$B$7+IF(F952="Yes",Assumptions!$C$7,0))</f>
        <v>2168584.8555000001</v>
      </c>
      <c r="L952" s="22">
        <f>H952*(1+Assumptions!$B$8+IF(F952="Yes",Assumptions!$C$8,0))</f>
        <v>2085972.0991000002</v>
      </c>
    </row>
    <row r="953" spans="1:12" ht="15">
      <c r="A953" s="21">
        <v>41061</v>
      </c>
      <c r="B953" s="21">
        <v>41061</v>
      </c>
      <c r="C953" s="17">
        <v>5</v>
      </c>
      <c r="D953" s="17" t="s">
        <v>92</v>
      </c>
      <c r="E953" s="18">
        <v>34875</v>
      </c>
      <c r="F953" s="17" t="s">
        <v>91</v>
      </c>
      <c r="G953" s="14">
        <v>359821.25</v>
      </c>
      <c r="H953" s="14">
        <v>329183.92</v>
      </c>
      <c r="I953" s="14">
        <v>329183.92</v>
      </c>
      <c r="J953" s="22">
        <f>H953*(1+Assumptions!$B$6+IF(F953="Yes",Assumptions!$C$6,0))</f>
        <v>339059.4376</v>
      </c>
      <c r="K953" s="22">
        <f>H953*(1+Assumptions!$B$7+IF(F953="Yes",Assumptions!$C$7,0))</f>
        <v>345643.11599999998</v>
      </c>
      <c r="L953" s="22">
        <f>H953*(1+Assumptions!$B$8+IF(F953="Yes",Assumptions!$C$8,0))</f>
        <v>332475.75919999997</v>
      </c>
    </row>
    <row r="954" spans="1:12" ht="15">
      <c r="A954" s="21">
        <v>41061</v>
      </c>
      <c r="B954" s="21">
        <v>41061</v>
      </c>
      <c r="C954" s="17">
        <v>6</v>
      </c>
      <c r="D954" s="17" t="s">
        <v>90</v>
      </c>
      <c r="E954" s="18">
        <v>202505</v>
      </c>
      <c r="F954" s="17" t="s">
        <v>91</v>
      </c>
      <c r="G954" s="14">
        <v>1681121.38</v>
      </c>
      <c r="H954" s="14">
        <v>1705471.88</v>
      </c>
      <c r="I954" s="14">
        <v>1705471.88</v>
      </c>
      <c r="J954" s="22">
        <f>H954*(1+Assumptions!$B$6+IF(F954="Yes",Assumptions!$C$6,0))</f>
        <v>1756636.0363999999</v>
      </c>
      <c r="K954" s="22">
        <f>H954*(1+Assumptions!$B$7+IF(F954="Yes",Assumptions!$C$7,0))</f>
        <v>1790745.4739999999</v>
      </c>
      <c r="L954" s="22">
        <f>H954*(1+Assumptions!$B$8+IF(F954="Yes",Assumptions!$C$8,0))</f>
        <v>1722526.5987999998</v>
      </c>
    </row>
    <row r="955" spans="1:12" ht="15">
      <c r="A955" s="21">
        <v>41061</v>
      </c>
      <c r="B955" s="21">
        <v>41061</v>
      </c>
      <c r="C955" s="17">
        <v>7</v>
      </c>
      <c r="D955" s="17" t="s">
        <v>92</v>
      </c>
      <c r="E955" s="18">
        <v>70713</v>
      </c>
      <c r="F955" s="17" t="s">
        <v>91</v>
      </c>
      <c r="G955" s="14">
        <v>593875.92000000004</v>
      </c>
      <c r="H955" s="14">
        <v>542292.53</v>
      </c>
      <c r="I955" s="14">
        <v>542292.53</v>
      </c>
      <c r="J955" s="22">
        <f>H955*(1+Assumptions!$B$6+IF(F955="Yes",Assumptions!$C$6,0))</f>
        <v>558561.30590000004</v>
      </c>
      <c r="K955" s="22">
        <f>H955*(1+Assumptions!$B$7+IF(F955="Yes",Assumptions!$C$7,0))</f>
        <v>569407.15650000004</v>
      </c>
      <c r="L955" s="22">
        <f>H955*(1+Assumptions!$B$8+IF(F955="Yes",Assumptions!$C$8,0))</f>
        <v>547715.45530000003</v>
      </c>
    </row>
    <row r="956" spans="1:12" ht="15">
      <c r="A956" s="21">
        <v>41061</v>
      </c>
      <c r="B956" s="21">
        <v>41061</v>
      </c>
      <c r="C956" s="17">
        <v>8</v>
      </c>
      <c r="D956" s="17" t="s">
        <v>90</v>
      </c>
      <c r="E956" s="18">
        <v>155078</v>
      </c>
      <c r="F956" s="17" t="s">
        <v>91</v>
      </c>
      <c r="G956" s="14">
        <v>921161.2</v>
      </c>
      <c r="H956" s="14">
        <v>929210.69000000006</v>
      </c>
      <c r="I956" s="14">
        <v>929210.69000000006</v>
      </c>
      <c r="J956" s="22">
        <f>H956*(1+Assumptions!$B$6+IF(F956="Yes",Assumptions!$C$6,0))</f>
        <v>957087.0107000001</v>
      </c>
      <c r="K956" s="22">
        <f>H956*(1+Assumptions!$B$7+IF(F956="Yes",Assumptions!$C$7,0))</f>
        <v>975671.22450000013</v>
      </c>
      <c r="L956" s="22">
        <f>H956*(1+Assumptions!$B$8+IF(F956="Yes",Assumptions!$C$8,0))</f>
        <v>938502.79690000007</v>
      </c>
    </row>
    <row r="957" spans="1:12" ht="15">
      <c r="A957" s="21">
        <v>41061</v>
      </c>
      <c r="B957" s="21">
        <v>41061</v>
      </c>
      <c r="C957" s="17">
        <v>9</v>
      </c>
      <c r="D957" s="17" t="s">
        <v>92</v>
      </c>
      <c r="E957" s="18">
        <v>125833</v>
      </c>
      <c r="F957" s="17" t="s">
        <v>91</v>
      </c>
      <c r="G957" s="14">
        <v>583639.68000000005</v>
      </c>
      <c r="H957" s="14">
        <v>587004.29</v>
      </c>
      <c r="I957" s="14">
        <v>587004.29</v>
      </c>
      <c r="J957" s="22">
        <f>H957*(1+Assumptions!$B$6+IF(F957="Yes",Assumptions!$C$6,0))</f>
        <v>604614.41870000004</v>
      </c>
      <c r="K957" s="22">
        <f>H957*(1+Assumptions!$B$7+IF(F957="Yes",Assumptions!$C$7,0))</f>
        <v>616354.50450000004</v>
      </c>
      <c r="L957" s="22">
        <f>H957*(1+Assumptions!$B$8+IF(F957="Yes",Assumptions!$C$8,0))</f>
        <v>592874.33290000004</v>
      </c>
    </row>
    <row r="958" spans="1:12" ht="15">
      <c r="A958" s="21">
        <v>41061</v>
      </c>
      <c r="B958" s="21">
        <v>41061</v>
      </c>
      <c r="C958" s="17">
        <v>10</v>
      </c>
      <c r="D958" s="17" t="s">
        <v>92</v>
      </c>
      <c r="E958" s="18">
        <v>126512</v>
      </c>
      <c r="F958" s="17" t="s">
        <v>91</v>
      </c>
      <c r="G958" s="14">
        <v>1767483.48</v>
      </c>
      <c r="H958" s="14">
        <v>1792181.45</v>
      </c>
      <c r="I958" s="14">
        <v>1792181.45</v>
      </c>
      <c r="J958" s="22">
        <f>H958*(1+Assumptions!$B$6+IF(F958="Yes",Assumptions!$C$6,0))</f>
        <v>1845946.8935</v>
      </c>
      <c r="K958" s="22">
        <f>H958*(1+Assumptions!$B$7+IF(F958="Yes",Assumptions!$C$7,0))</f>
        <v>1881790.5225</v>
      </c>
      <c r="L958" s="22">
        <f>H958*(1+Assumptions!$B$8+IF(F958="Yes",Assumptions!$C$8,0))</f>
        <v>1810103.2645</v>
      </c>
    </row>
    <row r="959" spans="1:12" ht="15">
      <c r="A959" s="21">
        <v>41061</v>
      </c>
      <c r="B959" s="21">
        <v>41061</v>
      </c>
      <c r="C959" s="17">
        <v>11</v>
      </c>
      <c r="D959" s="17" t="s">
        <v>90</v>
      </c>
      <c r="E959" s="18">
        <v>207499</v>
      </c>
      <c r="F959" s="17" t="s">
        <v>91</v>
      </c>
      <c r="G959" s="14">
        <v>1359970.7</v>
      </c>
      <c r="H959" s="14">
        <v>1343632</v>
      </c>
      <c r="I959" s="14">
        <v>1343632</v>
      </c>
      <c r="J959" s="22">
        <f>H959*(1+Assumptions!$B$6+IF(F959="Yes",Assumptions!$C$6,0))</f>
        <v>1383940.96</v>
      </c>
      <c r="K959" s="22">
        <f>H959*(1+Assumptions!$B$7+IF(F959="Yes",Assumptions!$C$7,0))</f>
        <v>1410813.6</v>
      </c>
      <c r="L959" s="22">
        <f>H959*(1+Assumptions!$B$8+IF(F959="Yes",Assumptions!$C$8,0))</f>
        <v>1357068.32</v>
      </c>
    </row>
    <row r="960" spans="1:12" ht="15">
      <c r="A960" s="21">
        <v>41061</v>
      </c>
      <c r="B960" s="21">
        <v>41061</v>
      </c>
      <c r="C960" s="17">
        <v>12</v>
      </c>
      <c r="D960" s="17" t="s">
        <v>92</v>
      </c>
      <c r="E960" s="18">
        <v>112238</v>
      </c>
      <c r="F960" s="17" t="s">
        <v>91</v>
      </c>
      <c r="G960" s="14">
        <v>981230</v>
      </c>
      <c r="H960" s="14">
        <v>970252.6</v>
      </c>
      <c r="I960" s="14">
        <v>970252.6</v>
      </c>
      <c r="J960" s="22">
        <f>H960*(1+Assumptions!$B$6+IF(F960="Yes",Assumptions!$C$6,0))</f>
        <v>999360.17799999996</v>
      </c>
      <c r="K960" s="22">
        <f>H960*(1+Assumptions!$B$7+IF(F960="Yes",Assumptions!$C$7,0))</f>
        <v>1018765.23</v>
      </c>
      <c r="L960" s="22">
        <f>H960*(1+Assumptions!$B$8+IF(F960="Yes",Assumptions!$C$8,0))</f>
        <v>979955.12599999993</v>
      </c>
    </row>
    <row r="961" spans="1:12" ht="15">
      <c r="A961" s="21">
        <v>41061</v>
      </c>
      <c r="B961" s="21">
        <v>41061</v>
      </c>
      <c r="C961" s="17">
        <v>13</v>
      </c>
      <c r="D961" s="17" t="s">
        <v>90</v>
      </c>
      <c r="E961" s="18">
        <v>219622</v>
      </c>
      <c r="F961" s="17" t="s">
        <v>91</v>
      </c>
      <c r="G961" s="14">
        <v>2035431.39</v>
      </c>
      <c r="H961" s="14">
        <v>1935566.52</v>
      </c>
      <c r="I961" s="14">
        <v>1935566.52</v>
      </c>
      <c r="J961" s="22">
        <f>H961*(1+Assumptions!$B$6+IF(F961="Yes",Assumptions!$C$6,0))</f>
        <v>1993633.5156</v>
      </c>
      <c r="K961" s="22">
        <f>H961*(1+Assumptions!$B$7+IF(F961="Yes",Assumptions!$C$7,0))</f>
        <v>2032344.8460000001</v>
      </c>
      <c r="L961" s="22">
        <f>H961*(1+Assumptions!$B$8+IF(F961="Yes",Assumptions!$C$8,0))</f>
        <v>1954922.1851999999</v>
      </c>
    </row>
    <row r="962" spans="1:12" ht="15">
      <c r="A962" s="21">
        <v>41061</v>
      </c>
      <c r="B962" s="21">
        <v>41061</v>
      </c>
      <c r="C962" s="17">
        <v>14</v>
      </c>
      <c r="D962" s="17" t="s">
        <v>90</v>
      </c>
      <c r="E962" s="18">
        <v>200898</v>
      </c>
      <c r="F962" s="17" t="s">
        <v>91</v>
      </c>
      <c r="G962" s="14">
        <v>2049485.49</v>
      </c>
      <c r="H962" s="14">
        <v>2079899.37</v>
      </c>
      <c r="I962" s="14">
        <v>2079899.37</v>
      </c>
      <c r="J962" s="22">
        <f>H962*(1+Assumptions!$B$6+IF(F962="Yes",Assumptions!$C$6,0))</f>
        <v>2142296.3511000001</v>
      </c>
      <c r="K962" s="22">
        <f>H962*(1+Assumptions!$B$7+IF(F962="Yes",Assumptions!$C$7,0))</f>
        <v>2183894.3385000001</v>
      </c>
      <c r="L962" s="22">
        <f>H962*(1+Assumptions!$B$8+IF(F962="Yes",Assumptions!$C$8,0))</f>
        <v>2100698.3637000001</v>
      </c>
    </row>
    <row r="963" spans="1:12" ht="15">
      <c r="A963" s="21">
        <v>41061</v>
      </c>
      <c r="B963" s="21">
        <v>41061</v>
      </c>
      <c r="C963" s="17">
        <v>15</v>
      </c>
      <c r="D963" s="17" t="s">
        <v>92</v>
      </c>
      <c r="E963" s="18">
        <v>123737</v>
      </c>
      <c r="F963" s="17" t="s">
        <v>91</v>
      </c>
      <c r="G963" s="14">
        <v>663971.26</v>
      </c>
      <c r="H963" s="14">
        <v>695394.44</v>
      </c>
      <c r="I963" s="14">
        <v>695394.44</v>
      </c>
      <c r="J963" s="22">
        <f>H963*(1+Assumptions!$B$6+IF(F963="Yes",Assumptions!$C$6,0))</f>
        <v>716256.27319999994</v>
      </c>
      <c r="K963" s="22">
        <f>H963*(1+Assumptions!$B$7+IF(F963="Yes",Assumptions!$C$7,0))</f>
        <v>730164.16200000001</v>
      </c>
      <c r="L963" s="22">
        <f>H963*(1+Assumptions!$B$8+IF(F963="Yes",Assumptions!$C$8,0))</f>
        <v>702348.38439999998</v>
      </c>
    </row>
    <row r="964" spans="1:12" ht="15">
      <c r="A964" s="21">
        <v>41061</v>
      </c>
      <c r="B964" s="21">
        <v>41061</v>
      </c>
      <c r="C964" s="17">
        <v>16</v>
      </c>
      <c r="D964" s="17" t="s">
        <v>92</v>
      </c>
      <c r="E964" s="18">
        <v>57197</v>
      </c>
      <c r="F964" s="17" t="s">
        <v>91</v>
      </c>
      <c r="G964" s="14">
        <v>529759.30000000005</v>
      </c>
      <c r="H964" s="14">
        <v>531080.31000000006</v>
      </c>
      <c r="I964" s="14">
        <v>531080.31000000006</v>
      </c>
      <c r="J964" s="22">
        <f>H964*(1+Assumptions!$B$6+IF(F964="Yes",Assumptions!$C$6,0))</f>
        <v>547012.71930000011</v>
      </c>
      <c r="K964" s="22">
        <f>H964*(1+Assumptions!$B$7+IF(F964="Yes",Assumptions!$C$7,0))</f>
        <v>557634.32550000004</v>
      </c>
      <c r="L964" s="22">
        <f>H964*(1+Assumptions!$B$8+IF(F964="Yes",Assumptions!$C$8,0))</f>
        <v>536391.11310000008</v>
      </c>
    </row>
    <row r="965" spans="1:12" ht="15">
      <c r="A965" s="21">
        <v>41061</v>
      </c>
      <c r="B965" s="21">
        <v>41061</v>
      </c>
      <c r="C965" s="17">
        <v>17</v>
      </c>
      <c r="D965" s="17" t="s">
        <v>92</v>
      </c>
      <c r="E965" s="18">
        <v>93188</v>
      </c>
      <c r="F965" s="17" t="s">
        <v>91</v>
      </c>
      <c r="G965" s="14">
        <v>937701.25</v>
      </c>
      <c r="H965" s="14">
        <v>894981.19000000006</v>
      </c>
      <c r="I965" s="14">
        <v>894981.19000000006</v>
      </c>
      <c r="J965" s="22">
        <f>H965*(1+Assumptions!$B$6+IF(F965="Yes",Assumptions!$C$6,0))</f>
        <v>921830.62570000009</v>
      </c>
      <c r="K965" s="22">
        <f>H965*(1+Assumptions!$B$7+IF(F965="Yes",Assumptions!$C$7,0))</f>
        <v>939730.24950000015</v>
      </c>
      <c r="L965" s="22">
        <f>H965*(1+Assumptions!$B$8+IF(F965="Yes",Assumptions!$C$8,0))</f>
        <v>903931.00190000003</v>
      </c>
    </row>
    <row r="966" spans="1:12" ht="15">
      <c r="A966" s="21">
        <v>41061</v>
      </c>
      <c r="B966" s="21">
        <v>41061</v>
      </c>
      <c r="C966" s="17">
        <v>18</v>
      </c>
      <c r="D966" s="17" t="s">
        <v>92</v>
      </c>
      <c r="E966" s="18">
        <v>120653</v>
      </c>
      <c r="F966" s="17" t="s">
        <v>91</v>
      </c>
      <c r="G966" s="14">
        <v>1118321.71</v>
      </c>
      <c r="H966" s="14">
        <v>1178039</v>
      </c>
      <c r="I966" s="14">
        <v>1178039</v>
      </c>
      <c r="J966" s="22">
        <f>H966*(1+Assumptions!$B$6+IF(F966="Yes",Assumptions!$C$6,0))</f>
        <v>1213380.17</v>
      </c>
      <c r="K966" s="22">
        <f>H966*(1+Assumptions!$B$7+IF(F966="Yes",Assumptions!$C$7,0))</f>
        <v>1236940.95</v>
      </c>
      <c r="L966" s="22">
        <f>H966*(1+Assumptions!$B$8+IF(F966="Yes",Assumptions!$C$8,0))</f>
        <v>1189819.3899999999</v>
      </c>
    </row>
    <row r="967" spans="1:12" ht="15">
      <c r="A967" s="21">
        <v>41061</v>
      </c>
      <c r="B967" s="21">
        <v>41061</v>
      </c>
      <c r="C967" s="17">
        <v>19</v>
      </c>
      <c r="D967" s="17" t="s">
        <v>90</v>
      </c>
      <c r="E967" s="18">
        <v>203819</v>
      </c>
      <c r="F967" s="17" t="s">
        <v>91</v>
      </c>
      <c r="G967" s="14">
        <v>1450732.54</v>
      </c>
      <c r="H967" s="14">
        <v>1457266.75</v>
      </c>
      <c r="I967" s="14">
        <v>1457266.75</v>
      </c>
      <c r="J967" s="22">
        <f>H967*(1+Assumptions!$B$6+IF(F967="Yes",Assumptions!$C$6,0))</f>
        <v>1500984.7524999999</v>
      </c>
      <c r="K967" s="22">
        <f>H967*(1+Assumptions!$B$7+IF(F967="Yes",Assumptions!$C$7,0))</f>
        <v>1530130.0875000001</v>
      </c>
      <c r="L967" s="22">
        <f>H967*(1+Assumptions!$B$8+IF(F967="Yes",Assumptions!$C$8,0))</f>
        <v>1471839.4175</v>
      </c>
    </row>
    <row r="968" spans="1:12" ht="15">
      <c r="A968" s="21">
        <v>41061</v>
      </c>
      <c r="B968" s="21">
        <v>41061</v>
      </c>
      <c r="C968" s="17">
        <v>20</v>
      </c>
      <c r="D968" s="17" t="s">
        <v>90</v>
      </c>
      <c r="E968" s="18">
        <v>203742</v>
      </c>
      <c r="F968" s="17" t="s">
        <v>91</v>
      </c>
      <c r="G968" s="14">
        <v>2143062.59</v>
      </c>
      <c r="H968" s="14">
        <v>2182247.59</v>
      </c>
      <c r="I968" s="14">
        <v>2182247.59</v>
      </c>
      <c r="J968" s="22">
        <f>H968*(1+Assumptions!$B$6+IF(F968="Yes",Assumptions!$C$6,0))</f>
        <v>2247715.0176999997</v>
      </c>
      <c r="K968" s="22">
        <f>H968*(1+Assumptions!$B$7+IF(F968="Yes",Assumptions!$C$7,0))</f>
        <v>2291359.9695000001</v>
      </c>
      <c r="L968" s="22">
        <f>H968*(1+Assumptions!$B$8+IF(F968="Yes",Assumptions!$C$8,0))</f>
        <v>2204070.0658999998</v>
      </c>
    </row>
    <row r="969" spans="1:12" ht="15">
      <c r="A969" s="21">
        <v>41061</v>
      </c>
      <c r="B969" s="21">
        <v>41061</v>
      </c>
      <c r="C969" s="17">
        <v>21</v>
      </c>
      <c r="D969" s="17" t="s">
        <v>92</v>
      </c>
      <c r="E969" s="18">
        <v>140167</v>
      </c>
      <c r="F969" s="17" t="s">
        <v>91</v>
      </c>
      <c r="G969" s="14">
        <v>694978.77</v>
      </c>
      <c r="H969" s="14">
        <v>773878.58</v>
      </c>
      <c r="I969" s="14">
        <v>773878.58</v>
      </c>
      <c r="J969" s="22">
        <f>H969*(1+Assumptions!$B$6+IF(F969="Yes",Assumptions!$C$6,0))</f>
        <v>797094.93739999994</v>
      </c>
      <c r="K969" s="22">
        <f>H969*(1+Assumptions!$B$7+IF(F969="Yes",Assumptions!$C$7,0))</f>
        <v>812572.50899999996</v>
      </c>
      <c r="L969" s="22">
        <f>H969*(1+Assumptions!$B$8+IF(F969="Yes",Assumptions!$C$8,0))</f>
        <v>781617.36579999991</v>
      </c>
    </row>
    <row r="970" spans="1:12" ht="15">
      <c r="A970" s="21">
        <v>41061</v>
      </c>
      <c r="B970" s="21">
        <v>41061</v>
      </c>
      <c r="C970" s="17">
        <v>22</v>
      </c>
      <c r="D970" s="17" t="s">
        <v>92</v>
      </c>
      <c r="E970" s="18">
        <v>119557</v>
      </c>
      <c r="F970" s="17" t="s">
        <v>91</v>
      </c>
      <c r="G970" s="14">
        <v>1101519.3400000001</v>
      </c>
      <c r="H970" s="14">
        <v>1125147.78</v>
      </c>
      <c r="I970" s="14">
        <v>1125147.78</v>
      </c>
      <c r="J970" s="22">
        <f>H970*(1+Assumptions!$B$6+IF(F970="Yes",Assumptions!$C$6,0))</f>
        <v>1158902.2134</v>
      </c>
      <c r="K970" s="22">
        <f>H970*(1+Assumptions!$B$7+IF(F970="Yes",Assumptions!$C$7,0))</f>
        <v>1181405.169</v>
      </c>
      <c r="L970" s="22">
        <f>H970*(1+Assumptions!$B$8+IF(F970="Yes",Assumptions!$C$8,0))</f>
        <v>1136399.2578</v>
      </c>
    </row>
    <row r="971" spans="1:12" ht="15">
      <c r="A971" s="21">
        <v>41061</v>
      </c>
      <c r="B971" s="21">
        <v>41061</v>
      </c>
      <c r="C971" s="17">
        <v>23</v>
      </c>
      <c r="D971" s="17" t="s">
        <v>92</v>
      </c>
      <c r="E971" s="18">
        <v>114533</v>
      </c>
      <c r="F971" s="17" t="s">
        <v>91</v>
      </c>
      <c r="G971" s="14">
        <v>1475986.24</v>
      </c>
      <c r="H971" s="14">
        <v>1562012.17</v>
      </c>
      <c r="I971" s="14">
        <v>1562012.17</v>
      </c>
      <c r="J971" s="22">
        <f>H971*(1+Assumptions!$B$6+IF(F971="Yes",Assumptions!$C$6,0))</f>
        <v>1608872.5351</v>
      </c>
      <c r="K971" s="22">
        <f>H971*(1+Assumptions!$B$7+IF(F971="Yes",Assumptions!$C$7,0))</f>
        <v>1640112.7785</v>
      </c>
      <c r="L971" s="22">
        <f>H971*(1+Assumptions!$B$8+IF(F971="Yes",Assumptions!$C$8,0))</f>
        <v>1577632.2916999999</v>
      </c>
    </row>
    <row r="972" spans="1:12" ht="15">
      <c r="A972" s="21">
        <v>41061</v>
      </c>
      <c r="B972" s="21">
        <v>41061</v>
      </c>
      <c r="C972" s="17">
        <v>24</v>
      </c>
      <c r="D972" s="17" t="s">
        <v>90</v>
      </c>
      <c r="E972" s="18">
        <v>203819</v>
      </c>
      <c r="F972" s="17" t="s">
        <v>91</v>
      </c>
      <c r="G972" s="14">
        <v>1467722.19</v>
      </c>
      <c r="H972" s="14">
        <v>1554824.65</v>
      </c>
      <c r="I972" s="14">
        <v>1554824.65</v>
      </c>
      <c r="J972" s="22">
        <f>H972*(1+Assumptions!$B$6+IF(F972="Yes",Assumptions!$C$6,0))</f>
        <v>1601469.3895</v>
      </c>
      <c r="K972" s="22">
        <f>H972*(1+Assumptions!$B$7+IF(F972="Yes",Assumptions!$C$7,0))</f>
        <v>1632565.8825000001</v>
      </c>
      <c r="L972" s="22">
        <f>H972*(1+Assumptions!$B$8+IF(F972="Yes",Assumptions!$C$8,0))</f>
        <v>1570372.8965</v>
      </c>
    </row>
    <row r="973" spans="1:12" ht="15">
      <c r="A973" s="21">
        <v>41061</v>
      </c>
      <c r="B973" s="21">
        <v>41061</v>
      </c>
      <c r="C973" s="17">
        <v>25</v>
      </c>
      <c r="D973" s="17" t="s">
        <v>92</v>
      </c>
      <c r="E973" s="18">
        <v>128107</v>
      </c>
      <c r="F973" s="17" t="s">
        <v>91</v>
      </c>
      <c r="G973" s="14">
        <v>694853.53</v>
      </c>
      <c r="H973" s="14">
        <v>737551.74</v>
      </c>
      <c r="I973" s="14">
        <v>737551.74</v>
      </c>
      <c r="J973" s="22">
        <f>H973*(1+Assumptions!$B$6+IF(F973="Yes",Assumptions!$C$6,0))</f>
        <v>759678.29220000003</v>
      </c>
      <c r="K973" s="22">
        <f>H973*(1+Assumptions!$B$7+IF(F973="Yes",Assumptions!$C$7,0))</f>
        <v>774429.32700000005</v>
      </c>
      <c r="L973" s="22">
        <f>H973*(1+Assumptions!$B$8+IF(F973="Yes",Assumptions!$C$8,0))</f>
        <v>744927.2574</v>
      </c>
    </row>
    <row r="974" spans="1:12" ht="15">
      <c r="A974" s="21">
        <v>41061</v>
      </c>
      <c r="B974" s="21">
        <v>41061</v>
      </c>
      <c r="C974" s="17">
        <v>26</v>
      </c>
      <c r="D974" s="17" t="s">
        <v>90</v>
      </c>
      <c r="E974" s="18">
        <v>152513</v>
      </c>
      <c r="F974" s="17" t="s">
        <v>91</v>
      </c>
      <c r="G974" s="14">
        <v>1015314.06</v>
      </c>
      <c r="H974" s="14">
        <v>1054454.3</v>
      </c>
      <c r="I974" s="14">
        <v>1054454.3</v>
      </c>
      <c r="J974" s="22">
        <f>H974*(1+Assumptions!$B$6+IF(F974="Yes",Assumptions!$C$6,0))</f>
        <v>1086087.929</v>
      </c>
      <c r="K974" s="22">
        <f>H974*(1+Assumptions!$B$7+IF(F974="Yes",Assumptions!$C$7,0))</f>
        <v>1107177.0150000001</v>
      </c>
      <c r="L974" s="22">
        <f>H974*(1+Assumptions!$B$8+IF(F974="Yes",Assumptions!$C$8,0))</f>
        <v>1064998.8430000001</v>
      </c>
    </row>
    <row r="975" spans="1:12" ht="15">
      <c r="A975" s="21">
        <v>41061</v>
      </c>
      <c r="B975" s="21">
        <v>41061</v>
      </c>
      <c r="C975" s="17">
        <v>27</v>
      </c>
      <c r="D975" s="17" t="s">
        <v>90</v>
      </c>
      <c r="E975" s="18">
        <v>204184</v>
      </c>
      <c r="F975" s="17" t="s">
        <v>91</v>
      </c>
      <c r="G975" s="14">
        <v>1900638.6</v>
      </c>
      <c r="H975" s="14">
        <v>2053708.01</v>
      </c>
      <c r="I975" s="14">
        <v>2053708.01</v>
      </c>
      <c r="J975" s="22">
        <f>H975*(1+Assumptions!$B$6+IF(F975="Yes",Assumptions!$C$6,0))</f>
        <v>2115319.2503</v>
      </c>
      <c r="K975" s="22">
        <f>H975*(1+Assumptions!$B$7+IF(F975="Yes",Assumptions!$C$7,0))</f>
        <v>2156393.4105000002</v>
      </c>
      <c r="L975" s="22">
        <f>H975*(1+Assumptions!$B$8+IF(F975="Yes",Assumptions!$C$8,0))</f>
        <v>2074245.0900999999</v>
      </c>
    </row>
    <row r="976" spans="1:12" ht="15">
      <c r="A976" s="21">
        <v>41061</v>
      </c>
      <c r="B976" s="21">
        <v>41061</v>
      </c>
      <c r="C976" s="17">
        <v>28</v>
      </c>
      <c r="D976" s="17" t="s">
        <v>90</v>
      </c>
      <c r="E976" s="18">
        <v>206302</v>
      </c>
      <c r="F976" s="17" t="s">
        <v>91</v>
      </c>
      <c r="G976" s="14">
        <v>1245474.3500000001</v>
      </c>
      <c r="H976" s="14">
        <v>1403664.45</v>
      </c>
      <c r="I976" s="14">
        <v>1403664.45</v>
      </c>
      <c r="J976" s="22">
        <f>H976*(1+Assumptions!$B$6+IF(F976="Yes",Assumptions!$C$6,0))</f>
        <v>1445774.3835</v>
      </c>
      <c r="K976" s="22">
        <f>H976*(1+Assumptions!$B$7+IF(F976="Yes",Assumptions!$C$7,0))</f>
        <v>1473847.6725000001</v>
      </c>
      <c r="L976" s="22">
        <f>H976*(1+Assumptions!$B$8+IF(F976="Yes",Assumptions!$C$8,0))</f>
        <v>1417701.0944999999</v>
      </c>
    </row>
    <row r="977" spans="1:12" ht="15">
      <c r="A977" s="21">
        <v>41061</v>
      </c>
      <c r="B977" s="21">
        <v>41061</v>
      </c>
      <c r="C977" s="17">
        <v>29</v>
      </c>
      <c r="D977" s="17" t="s">
        <v>92</v>
      </c>
      <c r="E977" s="18">
        <v>93638</v>
      </c>
      <c r="F977" s="17" t="s">
        <v>91</v>
      </c>
      <c r="G977" s="14">
        <v>575547.67000000004</v>
      </c>
      <c r="H977" s="14">
        <v>598229.57000000007</v>
      </c>
      <c r="I977" s="14">
        <v>598229.57000000007</v>
      </c>
      <c r="J977" s="22">
        <f>H977*(1+Assumptions!$B$6+IF(F977="Yes",Assumptions!$C$6,0))</f>
        <v>616176.45710000012</v>
      </c>
      <c r="K977" s="22">
        <f>H977*(1+Assumptions!$B$7+IF(F977="Yes",Assumptions!$C$7,0))</f>
        <v>628141.04850000015</v>
      </c>
      <c r="L977" s="22">
        <f>H977*(1+Assumptions!$B$8+IF(F977="Yes",Assumptions!$C$8,0))</f>
        <v>604211.86570000008</v>
      </c>
    </row>
    <row r="978" spans="1:12" ht="15">
      <c r="A978" s="21">
        <v>41061</v>
      </c>
      <c r="B978" s="21">
        <v>41061</v>
      </c>
      <c r="C978" s="17">
        <v>30</v>
      </c>
      <c r="D978" s="17" t="s">
        <v>93</v>
      </c>
      <c r="E978" s="18">
        <v>42988</v>
      </c>
      <c r="F978" s="17" t="s">
        <v>91</v>
      </c>
      <c r="G978" s="14">
        <v>426985.18</v>
      </c>
      <c r="H978" s="14">
        <v>432783.71</v>
      </c>
      <c r="I978" s="14">
        <v>432783.71</v>
      </c>
      <c r="J978" s="22">
        <f>H978*(1+Assumptions!$B$6+IF(F978="Yes",Assumptions!$C$6,0))</f>
        <v>445767.22130000003</v>
      </c>
      <c r="K978" s="22">
        <f>H978*(1+Assumptions!$B$7+IF(F978="Yes",Assumptions!$C$7,0))</f>
        <v>454422.89550000004</v>
      </c>
      <c r="L978" s="22">
        <f>H978*(1+Assumptions!$B$8+IF(F978="Yes",Assumptions!$C$8,0))</f>
        <v>437111.54710000003</v>
      </c>
    </row>
    <row r="979" spans="1:12" ht="15">
      <c r="A979" s="21">
        <v>41061</v>
      </c>
      <c r="B979" s="21">
        <v>41061</v>
      </c>
      <c r="C979" s="17">
        <v>31</v>
      </c>
      <c r="D979" s="17" t="s">
        <v>90</v>
      </c>
      <c r="E979" s="18">
        <v>203750</v>
      </c>
      <c r="F979" s="17" t="s">
        <v>91</v>
      </c>
      <c r="G979" s="14">
        <v>1404516.27</v>
      </c>
      <c r="H979" s="14">
        <v>1430327.16</v>
      </c>
      <c r="I979" s="14">
        <v>1430327.16</v>
      </c>
      <c r="J979" s="22">
        <f>H979*(1+Assumptions!$B$6+IF(F979="Yes",Assumptions!$C$6,0))</f>
        <v>1473236.9748</v>
      </c>
      <c r="K979" s="22">
        <f>H979*(1+Assumptions!$B$7+IF(F979="Yes",Assumptions!$C$7,0))</f>
        <v>1501843.5179999999</v>
      </c>
      <c r="L979" s="22">
        <f>H979*(1+Assumptions!$B$8+IF(F979="Yes",Assumptions!$C$8,0))</f>
        <v>1444630.4316</v>
      </c>
    </row>
    <row r="980" spans="1:12" ht="15">
      <c r="A980" s="21">
        <v>41061</v>
      </c>
      <c r="B980" s="21">
        <v>41061</v>
      </c>
      <c r="C980" s="17">
        <v>32</v>
      </c>
      <c r="D980" s="17" t="s">
        <v>90</v>
      </c>
      <c r="E980" s="18">
        <v>203007</v>
      </c>
      <c r="F980" s="17" t="s">
        <v>91</v>
      </c>
      <c r="G980" s="14">
        <v>1157555.0900000001</v>
      </c>
      <c r="H980" s="14">
        <v>1167796.5900000001</v>
      </c>
      <c r="I980" s="14">
        <v>1167796.5900000001</v>
      </c>
      <c r="J980" s="22">
        <f>H980*(1+Assumptions!$B$6+IF(F980="Yes",Assumptions!$C$6,0))</f>
        <v>1202830.4877000002</v>
      </c>
      <c r="K980" s="22">
        <f>H980*(1+Assumptions!$B$7+IF(F980="Yes",Assumptions!$C$7,0))</f>
        <v>1226186.4195000001</v>
      </c>
      <c r="L980" s="22">
        <f>H980*(1+Assumptions!$B$8+IF(F980="Yes",Assumptions!$C$8,0))</f>
        <v>1179474.5559</v>
      </c>
    </row>
    <row r="981" spans="1:12" ht="15">
      <c r="A981" s="21">
        <v>41061</v>
      </c>
      <c r="B981" s="21">
        <v>41061</v>
      </c>
      <c r="C981" s="17">
        <v>33</v>
      </c>
      <c r="D981" s="17" t="s">
        <v>90</v>
      </c>
      <c r="E981" s="18">
        <v>39690</v>
      </c>
      <c r="F981" s="17" t="s">
        <v>91</v>
      </c>
      <c r="G981" s="14">
        <v>261051.09</v>
      </c>
      <c r="H981" s="14">
        <v>243431.69999999998</v>
      </c>
      <c r="I981" s="14">
        <v>243431.69999999998</v>
      </c>
      <c r="J981" s="22">
        <f>H981*(1+Assumptions!$B$6+IF(F981="Yes",Assumptions!$C$6,0))</f>
        <v>250734.65099999998</v>
      </c>
      <c r="K981" s="22">
        <f>H981*(1+Assumptions!$B$7+IF(F981="Yes",Assumptions!$C$7,0))</f>
        <v>255603.285</v>
      </c>
      <c r="L981" s="22">
        <f>H981*(1+Assumptions!$B$8+IF(F981="Yes",Assumptions!$C$8,0))</f>
        <v>245866.01699999999</v>
      </c>
    </row>
    <row r="982" spans="1:12" ht="15">
      <c r="A982" s="21">
        <v>41061</v>
      </c>
      <c r="B982" s="21">
        <v>41061</v>
      </c>
      <c r="C982" s="17">
        <v>34</v>
      </c>
      <c r="D982" s="17" t="s">
        <v>90</v>
      </c>
      <c r="E982" s="18">
        <v>158114</v>
      </c>
      <c r="F982" s="17" t="s">
        <v>91</v>
      </c>
      <c r="G982" s="14">
        <v>976464.97</v>
      </c>
      <c r="H982" s="14">
        <v>946890.08</v>
      </c>
      <c r="I982" s="14">
        <v>946890.08</v>
      </c>
      <c r="J982" s="22">
        <f>H982*(1+Assumptions!$B$6+IF(F982="Yes",Assumptions!$C$6,0))</f>
        <v>975296.78240000003</v>
      </c>
      <c r="K982" s="22">
        <f>H982*(1+Assumptions!$B$7+IF(F982="Yes",Assumptions!$C$7,0))</f>
        <v>994234.58400000003</v>
      </c>
      <c r="L982" s="22">
        <f>H982*(1+Assumptions!$B$8+IF(F982="Yes",Assumptions!$C$8,0))</f>
        <v>956358.98080000002</v>
      </c>
    </row>
    <row r="983" spans="1:12" ht="15">
      <c r="A983" s="21">
        <v>41061</v>
      </c>
      <c r="B983" s="21">
        <v>41061</v>
      </c>
      <c r="C983" s="17">
        <v>35</v>
      </c>
      <c r="D983" s="17" t="s">
        <v>92</v>
      </c>
      <c r="E983" s="18">
        <v>103681</v>
      </c>
      <c r="F983" s="17" t="s">
        <v>91</v>
      </c>
      <c r="G983" s="14">
        <v>932220.52</v>
      </c>
      <c r="H983" s="14">
        <v>955233.8</v>
      </c>
      <c r="I983" s="14">
        <v>955233.8</v>
      </c>
      <c r="J983" s="22">
        <f>H983*(1+Assumptions!$B$6+IF(F983="Yes",Assumptions!$C$6,0))</f>
        <v>983890.81400000013</v>
      </c>
      <c r="K983" s="22">
        <f>H983*(1+Assumptions!$B$7+IF(F983="Yes",Assumptions!$C$7,0))</f>
        <v>1002995.4900000001</v>
      </c>
      <c r="L983" s="22">
        <f>H983*(1+Assumptions!$B$8+IF(F983="Yes",Assumptions!$C$8,0))</f>
        <v>964786.13800000004</v>
      </c>
    </row>
    <row r="984" spans="1:12" ht="15">
      <c r="A984" s="21">
        <v>41061</v>
      </c>
      <c r="B984" s="21">
        <v>41061</v>
      </c>
      <c r="C984" s="17">
        <v>36</v>
      </c>
      <c r="D984" s="17" t="s">
        <v>90</v>
      </c>
      <c r="E984" s="18">
        <v>39910</v>
      </c>
      <c r="F984" s="17" t="s">
        <v>91</v>
      </c>
      <c r="G984" s="14">
        <v>306005.52999999997</v>
      </c>
      <c r="H984" s="14">
        <v>373516.99</v>
      </c>
      <c r="I984" s="14">
        <v>373516.99</v>
      </c>
      <c r="J984" s="22">
        <f>H984*(1+Assumptions!$B$6+IF(F984="Yes",Assumptions!$C$6,0))</f>
        <v>384722.49969999999</v>
      </c>
      <c r="K984" s="22">
        <f>H984*(1+Assumptions!$B$7+IF(F984="Yes",Assumptions!$C$7,0))</f>
        <v>392192.8395</v>
      </c>
      <c r="L984" s="22">
        <f>H984*(1+Assumptions!$B$8+IF(F984="Yes",Assumptions!$C$8,0))</f>
        <v>377252.15989999997</v>
      </c>
    </row>
    <row r="985" spans="1:12" ht="15">
      <c r="A985" s="21">
        <v>41061</v>
      </c>
      <c r="B985" s="21">
        <v>41061</v>
      </c>
      <c r="C985" s="17">
        <v>37</v>
      </c>
      <c r="D985" s="17" t="s">
        <v>93</v>
      </c>
      <c r="E985" s="18">
        <v>39910</v>
      </c>
      <c r="F985" s="17" t="s">
        <v>91</v>
      </c>
      <c r="G985" s="14">
        <v>531630.13</v>
      </c>
      <c r="H985" s="14">
        <v>500381.23</v>
      </c>
      <c r="I985" s="14">
        <v>500381.23</v>
      </c>
      <c r="J985" s="22">
        <f>H985*(1+Assumptions!$B$6+IF(F985="Yes",Assumptions!$C$6,0))</f>
        <v>515392.66690000001</v>
      </c>
      <c r="K985" s="22">
        <f>H985*(1+Assumptions!$B$7+IF(F985="Yes",Assumptions!$C$7,0))</f>
        <v>525400.29150000005</v>
      </c>
      <c r="L985" s="22">
        <f>H985*(1+Assumptions!$B$8+IF(F985="Yes",Assumptions!$C$8,0))</f>
        <v>505385.04229999997</v>
      </c>
    </row>
    <row r="986" spans="1:12" ht="15">
      <c r="A986" s="21">
        <v>41061</v>
      </c>
      <c r="B986" s="21">
        <v>41061</v>
      </c>
      <c r="C986" s="17">
        <v>38</v>
      </c>
      <c r="D986" s="17" t="s">
        <v>93</v>
      </c>
      <c r="E986" s="18">
        <v>39690</v>
      </c>
      <c r="F986" s="17" t="s">
        <v>91</v>
      </c>
      <c r="G986" s="14">
        <v>435518.68000000005</v>
      </c>
      <c r="H986" s="14">
        <v>396791.98</v>
      </c>
      <c r="I986" s="14">
        <v>396791.98</v>
      </c>
      <c r="J986" s="22">
        <f>H986*(1+Assumptions!$B$6+IF(F986="Yes",Assumptions!$C$6,0))</f>
        <v>408695.73940000002</v>
      </c>
      <c r="K986" s="22">
        <f>H986*(1+Assumptions!$B$7+IF(F986="Yes",Assumptions!$C$7,0))</f>
        <v>416631.57900000003</v>
      </c>
      <c r="L986" s="22">
        <f>H986*(1+Assumptions!$B$8+IF(F986="Yes",Assumptions!$C$8,0))</f>
        <v>400759.89980000001</v>
      </c>
    </row>
    <row r="987" spans="1:12" ht="15">
      <c r="A987" s="21">
        <v>41061</v>
      </c>
      <c r="B987" s="21">
        <v>41061</v>
      </c>
      <c r="C987" s="17">
        <v>39</v>
      </c>
      <c r="D987" s="17" t="s">
        <v>90</v>
      </c>
      <c r="E987" s="18">
        <v>184109</v>
      </c>
      <c r="F987" s="17" t="s">
        <v>91</v>
      </c>
      <c r="G987" s="14">
        <v>1640476.77</v>
      </c>
      <c r="H987" s="14">
        <v>1541723.45</v>
      </c>
      <c r="I987" s="14">
        <v>1541723.45</v>
      </c>
      <c r="J987" s="22">
        <f>H987*(1+Assumptions!$B$6+IF(F987="Yes",Assumptions!$C$6,0))</f>
        <v>1587975.1535</v>
      </c>
      <c r="K987" s="22">
        <f>H987*(1+Assumptions!$B$7+IF(F987="Yes",Assumptions!$C$7,0))</f>
        <v>1618809.6225000001</v>
      </c>
      <c r="L987" s="22">
        <f>H987*(1+Assumptions!$B$8+IF(F987="Yes",Assumptions!$C$8,0))</f>
        <v>1557140.6845</v>
      </c>
    </row>
    <row r="988" spans="1:12" ht="15">
      <c r="A988" s="21">
        <v>41061</v>
      </c>
      <c r="B988" s="21">
        <v>41061</v>
      </c>
      <c r="C988" s="17">
        <v>40</v>
      </c>
      <c r="D988" s="17" t="s">
        <v>90</v>
      </c>
      <c r="E988" s="18">
        <v>155083</v>
      </c>
      <c r="F988" s="17" t="s">
        <v>91</v>
      </c>
      <c r="G988" s="14">
        <v>1037368.9</v>
      </c>
      <c r="H988" s="14">
        <v>1075687.74</v>
      </c>
      <c r="I988" s="14">
        <v>1075687.74</v>
      </c>
      <c r="J988" s="22">
        <f>H988*(1+Assumptions!$B$6+IF(F988="Yes",Assumptions!$C$6,0))</f>
        <v>1107958.3722000001</v>
      </c>
      <c r="K988" s="22">
        <f>H988*(1+Assumptions!$B$7+IF(F988="Yes",Assumptions!$C$7,0))</f>
        <v>1129472.1270000001</v>
      </c>
      <c r="L988" s="22">
        <f>H988*(1+Assumptions!$B$8+IF(F988="Yes",Assumptions!$C$8,0))</f>
        <v>1086444.6174000001</v>
      </c>
    </row>
    <row r="989" spans="1:12" ht="15">
      <c r="A989" s="21">
        <v>41061</v>
      </c>
      <c r="B989" s="21">
        <v>41061</v>
      </c>
      <c r="C989" s="17">
        <v>41</v>
      </c>
      <c r="D989" s="17" t="s">
        <v>90</v>
      </c>
      <c r="E989" s="18">
        <v>196321</v>
      </c>
      <c r="F989" s="17" t="s">
        <v>91</v>
      </c>
      <c r="G989" s="14">
        <v>1373042.53</v>
      </c>
      <c r="H989" s="14">
        <v>1297584.95</v>
      </c>
      <c r="I989" s="14">
        <v>1297584.95</v>
      </c>
      <c r="J989" s="22">
        <f>H989*(1+Assumptions!$B$6+IF(F989="Yes",Assumptions!$C$6,0))</f>
        <v>1336512.4985</v>
      </c>
      <c r="K989" s="22">
        <f>H989*(1+Assumptions!$B$7+IF(F989="Yes",Assumptions!$C$7,0))</f>
        <v>1362464.1975</v>
      </c>
      <c r="L989" s="22">
        <f>H989*(1+Assumptions!$B$8+IF(F989="Yes",Assumptions!$C$8,0))</f>
        <v>1310560.7995</v>
      </c>
    </row>
    <row r="990" spans="1:12" ht="15">
      <c r="A990" s="21">
        <v>41061</v>
      </c>
      <c r="B990" s="21">
        <v>41061</v>
      </c>
      <c r="C990" s="17">
        <v>42</v>
      </c>
      <c r="D990" s="17" t="s">
        <v>93</v>
      </c>
      <c r="E990" s="18">
        <v>39690</v>
      </c>
      <c r="F990" s="17" t="s">
        <v>91</v>
      </c>
      <c r="G990" s="14">
        <v>521938.99</v>
      </c>
      <c r="H990" s="14">
        <v>545109.30000000005</v>
      </c>
      <c r="I990" s="14">
        <v>545109.30000000005</v>
      </c>
      <c r="J990" s="22">
        <f>H990*(1+Assumptions!$B$6+IF(F990="Yes",Assumptions!$C$6,0))</f>
        <v>561462.57900000003</v>
      </c>
      <c r="K990" s="22">
        <f>H990*(1+Assumptions!$B$7+IF(F990="Yes",Assumptions!$C$7,0))</f>
        <v>572364.76500000013</v>
      </c>
      <c r="L990" s="22">
        <f>H990*(1+Assumptions!$B$8+IF(F990="Yes",Assumptions!$C$8,0))</f>
        <v>550560.39300000004</v>
      </c>
    </row>
    <row r="991" spans="1:12" ht="15">
      <c r="A991" s="21">
        <v>41061</v>
      </c>
      <c r="B991" s="21">
        <v>41061</v>
      </c>
      <c r="C991" s="17">
        <v>43</v>
      </c>
      <c r="D991" s="17" t="s">
        <v>93</v>
      </c>
      <c r="E991" s="18">
        <v>41062</v>
      </c>
      <c r="F991" s="17" t="s">
        <v>91</v>
      </c>
      <c r="G991" s="14">
        <v>604046.65</v>
      </c>
      <c r="H991" s="14">
        <v>630722.36</v>
      </c>
      <c r="I991" s="14">
        <v>630722.36</v>
      </c>
      <c r="J991" s="22">
        <f>H991*(1+Assumptions!$B$6+IF(F991="Yes",Assumptions!$C$6,0))</f>
        <v>649644.03079999995</v>
      </c>
      <c r="K991" s="22">
        <f>H991*(1+Assumptions!$B$7+IF(F991="Yes",Assumptions!$C$7,0))</f>
        <v>662258.478</v>
      </c>
      <c r="L991" s="22">
        <f>H991*(1+Assumptions!$B$8+IF(F991="Yes",Assumptions!$C$8,0))</f>
        <v>637029.58360000001</v>
      </c>
    </row>
    <row r="992" spans="1:12" ht="15">
      <c r="A992" s="21">
        <v>41061</v>
      </c>
      <c r="B992" s="21">
        <v>41061</v>
      </c>
      <c r="C992" s="17">
        <v>44</v>
      </c>
      <c r="D992" s="17" t="s">
        <v>93</v>
      </c>
      <c r="E992" s="18">
        <v>39910</v>
      </c>
      <c r="F992" s="17" t="s">
        <v>91</v>
      </c>
      <c r="G992" s="14">
        <v>323319.99</v>
      </c>
      <c r="H992" s="14">
        <v>308940.09999999998</v>
      </c>
      <c r="I992" s="14">
        <v>308940.09999999998</v>
      </c>
      <c r="J992" s="22">
        <f>H992*(1+Assumptions!$B$6+IF(F992="Yes",Assumptions!$C$6,0))</f>
        <v>318208.30299999996</v>
      </c>
      <c r="K992" s="22">
        <f>H992*(1+Assumptions!$B$7+IF(F992="Yes",Assumptions!$C$7,0))</f>
        <v>324387.10499999998</v>
      </c>
      <c r="L992" s="22">
        <f>H992*(1+Assumptions!$B$8+IF(F992="Yes",Assumptions!$C$8,0))</f>
        <v>312029.50099999999</v>
      </c>
    </row>
    <row r="993" spans="1:12" ht="15">
      <c r="A993" s="21">
        <v>41061</v>
      </c>
      <c r="B993" s="21">
        <v>41061</v>
      </c>
      <c r="C993" s="17">
        <v>45</v>
      </c>
      <c r="D993" s="17" t="s">
        <v>92</v>
      </c>
      <c r="E993" s="18">
        <v>118221</v>
      </c>
      <c r="F993" s="17" t="s">
        <v>91</v>
      </c>
      <c r="G993" s="14">
        <v>837134.92</v>
      </c>
      <c r="H993" s="14">
        <v>877420.45</v>
      </c>
      <c r="I993" s="14">
        <v>877420.45</v>
      </c>
      <c r="J993" s="22">
        <f>H993*(1+Assumptions!$B$6+IF(F993="Yes",Assumptions!$C$6,0))</f>
        <v>903743.06349999993</v>
      </c>
      <c r="K993" s="22">
        <f>H993*(1+Assumptions!$B$7+IF(F993="Yes",Assumptions!$C$7,0))</f>
        <v>921291.47250000003</v>
      </c>
      <c r="L993" s="22">
        <f>H993*(1+Assumptions!$B$8+IF(F993="Yes",Assumptions!$C$8,0))</f>
        <v>886194.65449999995</v>
      </c>
    </row>
    <row r="994" spans="1:12" ht="15">
      <c r="A994" s="21">
        <v>41068</v>
      </c>
      <c r="B994" s="21">
        <v>41061</v>
      </c>
      <c r="C994" s="17">
        <v>1</v>
      </c>
      <c r="D994" s="17" t="s">
        <v>90</v>
      </c>
      <c r="E994" s="18">
        <v>151315</v>
      </c>
      <c r="F994" s="17" t="s">
        <v>91</v>
      </c>
      <c r="G994" s="14">
        <v>1695911.96</v>
      </c>
      <c r="H994" s="14">
        <v>1588925.3800000001</v>
      </c>
      <c r="I994" s="14">
        <v>1588925.3800000001</v>
      </c>
      <c r="J994" s="22">
        <f>H994*(1+Assumptions!$B$6+IF(F994="Yes",Assumptions!$C$6,0))</f>
        <v>1636593.1414000001</v>
      </c>
      <c r="K994" s="22">
        <f>H994*(1+Assumptions!$B$7+IF(F994="Yes",Assumptions!$C$7,0))</f>
        <v>1668371.6490000002</v>
      </c>
      <c r="L994" s="22">
        <f>H994*(1+Assumptions!$B$8+IF(F994="Yes",Assumptions!$C$8,0))</f>
        <v>1604814.6338000002</v>
      </c>
    </row>
    <row r="995" spans="1:12" ht="15">
      <c r="A995" s="21">
        <v>41068</v>
      </c>
      <c r="B995" s="21">
        <v>41061</v>
      </c>
      <c r="C995" s="17">
        <v>2</v>
      </c>
      <c r="D995" s="17" t="s">
        <v>90</v>
      </c>
      <c r="E995" s="18">
        <v>202307</v>
      </c>
      <c r="F995" s="17" t="s">
        <v>91</v>
      </c>
      <c r="G995" s="14">
        <v>2010121.49</v>
      </c>
      <c r="H995" s="14">
        <v>1929147.3900000001</v>
      </c>
      <c r="I995" s="14">
        <v>1929147.3900000001</v>
      </c>
      <c r="J995" s="22">
        <f>H995*(1+Assumptions!$B$6+IF(F995="Yes",Assumptions!$C$6,0))</f>
        <v>1987021.8117000002</v>
      </c>
      <c r="K995" s="22">
        <f>H995*(1+Assumptions!$B$7+IF(F995="Yes",Assumptions!$C$7,0))</f>
        <v>2025604.7595000002</v>
      </c>
      <c r="L995" s="22">
        <f>H995*(1+Assumptions!$B$8+IF(F995="Yes",Assumptions!$C$8,0))</f>
        <v>1948438.8639000002</v>
      </c>
    </row>
    <row r="996" spans="1:12" ht="15">
      <c r="A996" s="21">
        <v>41068</v>
      </c>
      <c r="B996" s="21">
        <v>41061</v>
      </c>
      <c r="C996" s="17">
        <v>3</v>
      </c>
      <c r="D996" s="17" t="s">
        <v>92</v>
      </c>
      <c r="E996" s="18">
        <v>37392</v>
      </c>
      <c r="F996" s="17" t="s">
        <v>91</v>
      </c>
      <c r="G996" s="14">
        <v>446318.98</v>
      </c>
      <c r="H996" s="14">
        <v>391533.83</v>
      </c>
      <c r="I996" s="14">
        <v>391533.83</v>
      </c>
      <c r="J996" s="22">
        <f>H996*(1+Assumptions!$B$6+IF(F996="Yes",Assumptions!$C$6,0))</f>
        <v>403279.84490000003</v>
      </c>
      <c r="K996" s="22">
        <f>H996*(1+Assumptions!$B$7+IF(F996="Yes",Assumptions!$C$7,0))</f>
        <v>411110.52150000003</v>
      </c>
      <c r="L996" s="22">
        <f>H996*(1+Assumptions!$B$8+IF(F996="Yes",Assumptions!$C$8,0))</f>
        <v>395449.16830000002</v>
      </c>
    </row>
    <row r="997" spans="1:12" ht="15">
      <c r="A997" s="21">
        <v>41068</v>
      </c>
      <c r="B997" s="21">
        <v>41061</v>
      </c>
      <c r="C997" s="17">
        <v>4</v>
      </c>
      <c r="D997" s="17" t="s">
        <v>90</v>
      </c>
      <c r="E997" s="18">
        <v>205863</v>
      </c>
      <c r="F997" s="17" t="s">
        <v>91</v>
      </c>
      <c r="G997" s="14">
        <v>2245020.17</v>
      </c>
      <c r="H997" s="14">
        <v>2073951.38</v>
      </c>
      <c r="I997" s="14">
        <v>2073951.38</v>
      </c>
      <c r="J997" s="22">
        <f>H997*(1+Assumptions!$B$6+IF(F997="Yes",Assumptions!$C$6,0))</f>
        <v>2136169.9213999999</v>
      </c>
      <c r="K997" s="22">
        <f>H997*(1+Assumptions!$B$7+IF(F997="Yes",Assumptions!$C$7,0))</f>
        <v>2177648.949</v>
      </c>
      <c r="L997" s="22">
        <f>H997*(1+Assumptions!$B$8+IF(F997="Yes",Assumptions!$C$8,0))</f>
        <v>2094690.8938</v>
      </c>
    </row>
    <row r="998" spans="1:12" ht="15">
      <c r="A998" s="21">
        <v>41068</v>
      </c>
      <c r="B998" s="21">
        <v>41061</v>
      </c>
      <c r="C998" s="17">
        <v>5</v>
      </c>
      <c r="D998" s="17" t="s">
        <v>92</v>
      </c>
      <c r="E998" s="18">
        <v>34875</v>
      </c>
      <c r="F998" s="17" t="s">
        <v>91</v>
      </c>
      <c r="G998" s="14">
        <v>341547.34</v>
      </c>
      <c r="H998" s="14">
        <v>304984.14</v>
      </c>
      <c r="I998" s="14">
        <v>304984.14</v>
      </c>
      <c r="J998" s="22">
        <f>H998*(1+Assumptions!$B$6+IF(F998="Yes",Assumptions!$C$6,0))</f>
        <v>314133.6642</v>
      </c>
      <c r="K998" s="22">
        <f>H998*(1+Assumptions!$B$7+IF(F998="Yes",Assumptions!$C$7,0))</f>
        <v>320233.34700000001</v>
      </c>
      <c r="L998" s="22">
        <f>H998*(1+Assumptions!$B$8+IF(F998="Yes",Assumptions!$C$8,0))</f>
        <v>308033.98139999999</v>
      </c>
    </row>
    <row r="999" spans="1:12" ht="15">
      <c r="A999" s="21">
        <v>41068</v>
      </c>
      <c r="B999" s="21">
        <v>41061</v>
      </c>
      <c r="C999" s="17">
        <v>6</v>
      </c>
      <c r="D999" s="17" t="s">
        <v>90</v>
      </c>
      <c r="E999" s="18">
        <v>202505</v>
      </c>
      <c r="F999" s="17" t="s">
        <v>91</v>
      </c>
      <c r="G999" s="14">
        <v>1696124.52</v>
      </c>
      <c r="H999" s="14">
        <v>1598632.18</v>
      </c>
      <c r="I999" s="14">
        <v>1598632.18</v>
      </c>
      <c r="J999" s="22">
        <f>H999*(1+Assumptions!$B$6+IF(F999="Yes",Assumptions!$C$6,0))</f>
        <v>1646591.1454</v>
      </c>
      <c r="K999" s="22">
        <f>H999*(1+Assumptions!$B$7+IF(F999="Yes",Assumptions!$C$7,0))</f>
        <v>1678563.7890000001</v>
      </c>
      <c r="L999" s="22">
        <f>H999*(1+Assumptions!$B$8+IF(F999="Yes",Assumptions!$C$8,0))</f>
        <v>1614618.5018</v>
      </c>
    </row>
    <row r="1000" spans="1:12" ht="15">
      <c r="A1000" s="21">
        <v>41068</v>
      </c>
      <c r="B1000" s="21">
        <v>41061</v>
      </c>
      <c r="C1000" s="17">
        <v>7</v>
      </c>
      <c r="D1000" s="17" t="s">
        <v>92</v>
      </c>
      <c r="E1000" s="18">
        <v>70713</v>
      </c>
      <c r="F1000" s="17" t="s">
        <v>91</v>
      </c>
      <c r="G1000" s="14">
        <v>642930.34</v>
      </c>
      <c r="H1000" s="14">
        <v>621099.85</v>
      </c>
      <c r="I1000" s="14">
        <v>621099.85</v>
      </c>
      <c r="J1000" s="22">
        <f>H1000*(1+Assumptions!$B$6+IF(F1000="Yes",Assumptions!$C$6,0))</f>
        <v>639732.84549999994</v>
      </c>
      <c r="K1000" s="22">
        <f>H1000*(1+Assumptions!$B$7+IF(F1000="Yes",Assumptions!$C$7,0))</f>
        <v>652154.84250000003</v>
      </c>
      <c r="L1000" s="22">
        <f>H1000*(1+Assumptions!$B$8+IF(F1000="Yes",Assumptions!$C$8,0))</f>
        <v>627310.84849999996</v>
      </c>
    </row>
    <row r="1001" spans="1:12" ht="15">
      <c r="A1001" s="21">
        <v>41068</v>
      </c>
      <c r="B1001" s="21">
        <v>41061</v>
      </c>
      <c r="C1001" s="17">
        <v>8</v>
      </c>
      <c r="D1001" s="17" t="s">
        <v>90</v>
      </c>
      <c r="E1001" s="18">
        <v>155078</v>
      </c>
      <c r="F1001" s="17" t="s">
        <v>91</v>
      </c>
      <c r="G1001" s="14">
        <v>928820</v>
      </c>
      <c r="H1001" s="14">
        <v>897308.91</v>
      </c>
      <c r="I1001" s="14">
        <v>897308.91</v>
      </c>
      <c r="J1001" s="22">
        <f>H1001*(1+Assumptions!$B$6+IF(F1001="Yes",Assumptions!$C$6,0))</f>
        <v>924228.1773000001</v>
      </c>
      <c r="K1001" s="22">
        <f>H1001*(1+Assumptions!$B$7+IF(F1001="Yes",Assumptions!$C$7,0))</f>
        <v>942174.35550000006</v>
      </c>
      <c r="L1001" s="22">
        <f>H1001*(1+Assumptions!$B$8+IF(F1001="Yes",Assumptions!$C$8,0))</f>
        <v>906281.99910000002</v>
      </c>
    </row>
    <row r="1002" spans="1:12" ht="15">
      <c r="A1002" s="21">
        <v>41068</v>
      </c>
      <c r="B1002" s="21">
        <v>41061</v>
      </c>
      <c r="C1002" s="17">
        <v>9</v>
      </c>
      <c r="D1002" s="17" t="s">
        <v>92</v>
      </c>
      <c r="E1002" s="18">
        <v>125833</v>
      </c>
      <c r="F1002" s="17" t="s">
        <v>91</v>
      </c>
      <c r="G1002" s="14">
        <v>582498.68999999994</v>
      </c>
      <c r="H1002" s="14">
        <v>549998.93000000005</v>
      </c>
      <c r="I1002" s="14">
        <v>549998.93000000005</v>
      </c>
      <c r="J1002" s="22">
        <f>H1002*(1+Assumptions!$B$6+IF(F1002="Yes",Assumptions!$C$6,0))</f>
        <v>566498.8979000001</v>
      </c>
      <c r="K1002" s="22">
        <f>H1002*(1+Assumptions!$B$7+IF(F1002="Yes",Assumptions!$C$7,0))</f>
        <v>577498.87650000013</v>
      </c>
      <c r="L1002" s="22">
        <f>H1002*(1+Assumptions!$B$8+IF(F1002="Yes",Assumptions!$C$8,0))</f>
        <v>555498.91930000007</v>
      </c>
    </row>
    <row r="1003" spans="1:12" ht="15">
      <c r="A1003" s="21">
        <v>41068</v>
      </c>
      <c r="B1003" s="21">
        <v>41061</v>
      </c>
      <c r="C1003" s="17">
        <v>10</v>
      </c>
      <c r="D1003" s="17" t="s">
        <v>92</v>
      </c>
      <c r="E1003" s="18">
        <v>126512</v>
      </c>
      <c r="F1003" s="17" t="s">
        <v>91</v>
      </c>
      <c r="G1003" s="14">
        <v>1840491.41</v>
      </c>
      <c r="H1003" s="14">
        <v>1740051.79</v>
      </c>
      <c r="I1003" s="14">
        <v>1740051.79</v>
      </c>
      <c r="J1003" s="22">
        <f>H1003*(1+Assumptions!$B$6+IF(F1003="Yes",Assumptions!$C$6,0))</f>
        <v>1792253.3437000001</v>
      </c>
      <c r="K1003" s="22">
        <f>H1003*(1+Assumptions!$B$7+IF(F1003="Yes",Assumptions!$C$7,0))</f>
        <v>1827054.3795</v>
      </c>
      <c r="L1003" s="22">
        <f>H1003*(1+Assumptions!$B$8+IF(F1003="Yes",Assumptions!$C$8,0))</f>
        <v>1757452.3079000001</v>
      </c>
    </row>
    <row r="1004" spans="1:12" ht="15">
      <c r="A1004" s="21">
        <v>41068</v>
      </c>
      <c r="B1004" s="21">
        <v>41061</v>
      </c>
      <c r="C1004" s="17">
        <v>11</v>
      </c>
      <c r="D1004" s="17" t="s">
        <v>90</v>
      </c>
      <c r="E1004" s="18">
        <v>207499</v>
      </c>
      <c r="F1004" s="17" t="s">
        <v>91</v>
      </c>
      <c r="G1004" s="14">
        <v>1412069.48</v>
      </c>
      <c r="H1004" s="14">
        <v>1314563.93</v>
      </c>
      <c r="I1004" s="14">
        <v>1314563.93</v>
      </c>
      <c r="J1004" s="22">
        <f>H1004*(1+Assumptions!$B$6+IF(F1004="Yes",Assumptions!$C$6,0))</f>
        <v>1354000.8478999999</v>
      </c>
      <c r="K1004" s="22">
        <f>H1004*(1+Assumptions!$B$7+IF(F1004="Yes",Assumptions!$C$7,0))</f>
        <v>1380292.1265</v>
      </c>
      <c r="L1004" s="22">
        <f>H1004*(1+Assumptions!$B$8+IF(F1004="Yes",Assumptions!$C$8,0))</f>
        <v>1327709.5692999999</v>
      </c>
    </row>
    <row r="1005" spans="1:12" ht="15">
      <c r="A1005" s="21">
        <v>41068</v>
      </c>
      <c r="B1005" s="21">
        <v>41061</v>
      </c>
      <c r="C1005" s="17">
        <v>12</v>
      </c>
      <c r="D1005" s="17" t="s">
        <v>92</v>
      </c>
      <c r="E1005" s="18">
        <v>112238</v>
      </c>
      <c r="F1005" s="17" t="s">
        <v>91</v>
      </c>
      <c r="G1005" s="14">
        <v>1086166.03</v>
      </c>
      <c r="H1005" s="14">
        <v>996917.01</v>
      </c>
      <c r="I1005" s="14">
        <v>996917.01</v>
      </c>
      <c r="J1005" s="22">
        <f>H1005*(1+Assumptions!$B$6+IF(F1005="Yes",Assumptions!$C$6,0))</f>
        <v>1026824.5203000001</v>
      </c>
      <c r="K1005" s="22">
        <f>H1005*(1+Assumptions!$B$7+IF(F1005="Yes",Assumptions!$C$7,0))</f>
        <v>1046762.8605000001</v>
      </c>
      <c r="L1005" s="22">
        <f>H1005*(1+Assumptions!$B$8+IF(F1005="Yes",Assumptions!$C$8,0))</f>
        <v>1006886.1801</v>
      </c>
    </row>
    <row r="1006" spans="1:12" ht="15">
      <c r="A1006" s="21">
        <v>41068</v>
      </c>
      <c r="B1006" s="21">
        <v>41061</v>
      </c>
      <c r="C1006" s="17">
        <v>13</v>
      </c>
      <c r="D1006" s="17" t="s">
        <v>90</v>
      </c>
      <c r="E1006" s="18">
        <v>219622</v>
      </c>
      <c r="F1006" s="17" t="s">
        <v>91</v>
      </c>
      <c r="G1006" s="14">
        <v>2182391.5499999998</v>
      </c>
      <c r="H1006" s="14">
        <v>1997703.44</v>
      </c>
      <c r="I1006" s="14">
        <v>1997703.44</v>
      </c>
      <c r="J1006" s="22">
        <f>H1006*(1+Assumptions!$B$6+IF(F1006="Yes",Assumptions!$C$6,0))</f>
        <v>2057634.5432</v>
      </c>
      <c r="K1006" s="22">
        <f>H1006*(1+Assumptions!$B$7+IF(F1006="Yes",Assumptions!$C$7,0))</f>
        <v>2097588.6120000002</v>
      </c>
      <c r="L1006" s="22">
        <f>H1006*(1+Assumptions!$B$8+IF(F1006="Yes",Assumptions!$C$8,0))</f>
        <v>2017680.4743999999</v>
      </c>
    </row>
    <row r="1007" spans="1:12" ht="15">
      <c r="A1007" s="21">
        <v>41068</v>
      </c>
      <c r="B1007" s="21">
        <v>41061</v>
      </c>
      <c r="C1007" s="17">
        <v>14</v>
      </c>
      <c r="D1007" s="17" t="s">
        <v>90</v>
      </c>
      <c r="E1007" s="18">
        <v>200898</v>
      </c>
      <c r="F1007" s="17" t="s">
        <v>91</v>
      </c>
      <c r="G1007" s="14">
        <v>2099488.14</v>
      </c>
      <c r="H1007" s="14">
        <v>2132347.08</v>
      </c>
      <c r="I1007" s="14">
        <v>2132347.08</v>
      </c>
      <c r="J1007" s="22">
        <f>H1007*(1+Assumptions!$B$6+IF(F1007="Yes",Assumptions!$C$6,0))</f>
        <v>2196317.4924000003</v>
      </c>
      <c r="K1007" s="22">
        <f>H1007*(1+Assumptions!$B$7+IF(F1007="Yes",Assumptions!$C$7,0))</f>
        <v>2238964.4340000004</v>
      </c>
      <c r="L1007" s="22">
        <f>H1007*(1+Assumptions!$B$8+IF(F1007="Yes",Assumptions!$C$8,0))</f>
        <v>2153670.5508000003</v>
      </c>
    </row>
    <row r="1008" spans="1:12" ht="15">
      <c r="A1008" s="21">
        <v>41068</v>
      </c>
      <c r="B1008" s="21">
        <v>41061</v>
      </c>
      <c r="C1008" s="17">
        <v>15</v>
      </c>
      <c r="D1008" s="17" t="s">
        <v>92</v>
      </c>
      <c r="E1008" s="18">
        <v>123737</v>
      </c>
      <c r="F1008" s="17" t="s">
        <v>91</v>
      </c>
      <c r="G1008" s="14">
        <v>611240.41</v>
      </c>
      <c r="H1008" s="14">
        <v>642684.21</v>
      </c>
      <c r="I1008" s="14">
        <v>642684.21</v>
      </c>
      <c r="J1008" s="22">
        <f>H1008*(1+Assumptions!$B$6+IF(F1008="Yes",Assumptions!$C$6,0))</f>
        <v>661964.73629999999</v>
      </c>
      <c r="K1008" s="22">
        <f>H1008*(1+Assumptions!$B$7+IF(F1008="Yes",Assumptions!$C$7,0))</f>
        <v>674818.42050000001</v>
      </c>
      <c r="L1008" s="22">
        <f>H1008*(1+Assumptions!$B$8+IF(F1008="Yes",Assumptions!$C$8,0))</f>
        <v>649111.05209999997</v>
      </c>
    </row>
    <row r="1009" spans="1:12" ht="15">
      <c r="A1009" s="21">
        <v>41068</v>
      </c>
      <c r="B1009" s="21">
        <v>41061</v>
      </c>
      <c r="C1009" s="17">
        <v>16</v>
      </c>
      <c r="D1009" s="17" t="s">
        <v>92</v>
      </c>
      <c r="E1009" s="18">
        <v>57197</v>
      </c>
      <c r="F1009" s="17" t="s">
        <v>91</v>
      </c>
      <c r="G1009" s="14">
        <v>601334.64</v>
      </c>
      <c r="H1009" s="14">
        <v>600886.26</v>
      </c>
      <c r="I1009" s="14">
        <v>600886.26</v>
      </c>
      <c r="J1009" s="22">
        <f>H1009*(1+Assumptions!$B$6+IF(F1009="Yes",Assumptions!$C$6,0))</f>
        <v>618912.84779999999</v>
      </c>
      <c r="K1009" s="22">
        <f>H1009*(1+Assumptions!$B$7+IF(F1009="Yes",Assumptions!$C$7,0))</f>
        <v>630930.57300000009</v>
      </c>
      <c r="L1009" s="22">
        <f>H1009*(1+Assumptions!$B$8+IF(F1009="Yes",Assumptions!$C$8,0))</f>
        <v>606895.1226</v>
      </c>
    </row>
    <row r="1010" spans="1:12" ht="15">
      <c r="A1010" s="21">
        <v>41068</v>
      </c>
      <c r="B1010" s="21">
        <v>41061</v>
      </c>
      <c r="C1010" s="17">
        <v>17</v>
      </c>
      <c r="D1010" s="17" t="s">
        <v>92</v>
      </c>
      <c r="E1010" s="18">
        <v>93188</v>
      </c>
      <c r="F1010" s="17" t="s">
        <v>91</v>
      </c>
      <c r="G1010" s="14">
        <v>987086.44</v>
      </c>
      <c r="H1010" s="14">
        <v>881175.23</v>
      </c>
      <c r="I1010" s="14">
        <v>881175.23</v>
      </c>
      <c r="J1010" s="22">
        <f>H1010*(1+Assumptions!$B$6+IF(F1010="Yes",Assumptions!$C$6,0))</f>
        <v>907610.48690000002</v>
      </c>
      <c r="K1010" s="22">
        <f>H1010*(1+Assumptions!$B$7+IF(F1010="Yes",Assumptions!$C$7,0))</f>
        <v>925233.9915</v>
      </c>
      <c r="L1010" s="22">
        <f>H1010*(1+Assumptions!$B$8+IF(F1010="Yes",Assumptions!$C$8,0))</f>
        <v>889986.98230000003</v>
      </c>
    </row>
    <row r="1011" spans="1:12" ht="15">
      <c r="A1011" s="21">
        <v>41068</v>
      </c>
      <c r="B1011" s="21">
        <v>41061</v>
      </c>
      <c r="C1011" s="17">
        <v>18</v>
      </c>
      <c r="D1011" s="17" t="s">
        <v>92</v>
      </c>
      <c r="E1011" s="18">
        <v>120653</v>
      </c>
      <c r="F1011" s="17" t="s">
        <v>91</v>
      </c>
      <c r="G1011" s="14">
        <v>1110482.3799999999</v>
      </c>
      <c r="H1011" s="14">
        <v>1044075.89</v>
      </c>
      <c r="I1011" s="14">
        <v>1044075.89</v>
      </c>
      <c r="J1011" s="22">
        <f>H1011*(1+Assumptions!$B$6+IF(F1011="Yes",Assumptions!$C$6,0))</f>
        <v>1075398.1666999999</v>
      </c>
      <c r="K1011" s="22">
        <f>H1011*(1+Assumptions!$B$7+IF(F1011="Yes",Assumptions!$C$7,0))</f>
        <v>1096279.6845</v>
      </c>
      <c r="L1011" s="22">
        <f>H1011*(1+Assumptions!$B$8+IF(F1011="Yes",Assumptions!$C$8,0))</f>
        <v>1054516.6488999999</v>
      </c>
    </row>
    <row r="1012" spans="1:12" ht="15">
      <c r="A1012" s="21">
        <v>41068</v>
      </c>
      <c r="B1012" s="21">
        <v>41061</v>
      </c>
      <c r="C1012" s="17">
        <v>19</v>
      </c>
      <c r="D1012" s="17" t="s">
        <v>90</v>
      </c>
      <c r="E1012" s="18">
        <v>203819</v>
      </c>
      <c r="F1012" s="17" t="s">
        <v>91</v>
      </c>
      <c r="G1012" s="14">
        <v>1390124.05</v>
      </c>
      <c r="H1012" s="14">
        <v>1467472.1300000001</v>
      </c>
      <c r="I1012" s="14">
        <v>1467472.1300000001</v>
      </c>
      <c r="J1012" s="22">
        <f>H1012*(1+Assumptions!$B$6+IF(F1012="Yes",Assumptions!$C$6,0))</f>
        <v>1511496.2939000002</v>
      </c>
      <c r="K1012" s="22">
        <f>H1012*(1+Assumptions!$B$7+IF(F1012="Yes",Assumptions!$C$7,0))</f>
        <v>1540845.7365000001</v>
      </c>
      <c r="L1012" s="22">
        <f>H1012*(1+Assumptions!$B$8+IF(F1012="Yes",Assumptions!$C$8,0))</f>
        <v>1482146.8513000002</v>
      </c>
    </row>
    <row r="1013" spans="1:12" ht="15">
      <c r="A1013" s="21">
        <v>41068</v>
      </c>
      <c r="B1013" s="21">
        <v>41061</v>
      </c>
      <c r="C1013" s="17">
        <v>20</v>
      </c>
      <c r="D1013" s="17" t="s">
        <v>90</v>
      </c>
      <c r="E1013" s="18">
        <v>203742</v>
      </c>
      <c r="F1013" s="17" t="s">
        <v>91</v>
      </c>
      <c r="G1013" s="14">
        <v>2228540.25</v>
      </c>
      <c r="H1013" s="14">
        <v>2135061.54</v>
      </c>
      <c r="I1013" s="14">
        <v>2135061.54</v>
      </c>
      <c r="J1013" s="22">
        <f>H1013*(1+Assumptions!$B$6+IF(F1013="Yes",Assumptions!$C$6,0))</f>
        <v>2199113.3862000001</v>
      </c>
      <c r="K1013" s="22">
        <f>H1013*(1+Assumptions!$B$7+IF(F1013="Yes",Assumptions!$C$7,0))</f>
        <v>2241814.6170000001</v>
      </c>
      <c r="L1013" s="22">
        <f>H1013*(1+Assumptions!$B$8+IF(F1013="Yes",Assumptions!$C$8,0))</f>
        <v>2156412.1554</v>
      </c>
    </row>
    <row r="1014" spans="1:12" ht="15">
      <c r="A1014" s="21">
        <v>41068</v>
      </c>
      <c r="B1014" s="21">
        <v>41061</v>
      </c>
      <c r="C1014" s="17">
        <v>21</v>
      </c>
      <c r="D1014" s="17" t="s">
        <v>92</v>
      </c>
      <c r="E1014" s="18">
        <v>140167</v>
      </c>
      <c r="F1014" s="17" t="s">
        <v>91</v>
      </c>
      <c r="G1014" s="14">
        <v>707772.26</v>
      </c>
      <c r="H1014" s="14">
        <v>794397.89</v>
      </c>
      <c r="I1014" s="14">
        <v>794397.89</v>
      </c>
      <c r="J1014" s="22">
        <f>H1014*(1+Assumptions!$B$6+IF(F1014="Yes",Assumptions!$C$6,0))</f>
        <v>818229.82670000009</v>
      </c>
      <c r="K1014" s="22">
        <f>H1014*(1+Assumptions!$B$7+IF(F1014="Yes",Assumptions!$C$7,0))</f>
        <v>834117.78450000007</v>
      </c>
      <c r="L1014" s="22">
        <f>H1014*(1+Assumptions!$B$8+IF(F1014="Yes",Assumptions!$C$8,0))</f>
        <v>802341.8689</v>
      </c>
    </row>
    <row r="1015" spans="1:12" ht="15">
      <c r="A1015" s="21">
        <v>41068</v>
      </c>
      <c r="B1015" s="21">
        <v>41061</v>
      </c>
      <c r="C1015" s="17">
        <v>22</v>
      </c>
      <c r="D1015" s="17" t="s">
        <v>92</v>
      </c>
      <c r="E1015" s="18">
        <v>119557</v>
      </c>
      <c r="F1015" s="17" t="s">
        <v>91</v>
      </c>
      <c r="G1015" s="14">
        <v>1061110.43</v>
      </c>
      <c r="H1015" s="14">
        <v>1060873.49</v>
      </c>
      <c r="I1015" s="14">
        <v>1060873.49</v>
      </c>
      <c r="J1015" s="22">
        <f>H1015*(1+Assumptions!$B$6+IF(F1015="Yes",Assumptions!$C$6,0))</f>
        <v>1092699.6947000001</v>
      </c>
      <c r="K1015" s="22">
        <f>H1015*(1+Assumptions!$B$7+IF(F1015="Yes",Assumptions!$C$7,0))</f>
        <v>1113917.1645</v>
      </c>
      <c r="L1015" s="22">
        <f>H1015*(1+Assumptions!$B$8+IF(F1015="Yes",Assumptions!$C$8,0))</f>
        <v>1071482.2249</v>
      </c>
    </row>
    <row r="1016" spans="1:12" ht="15">
      <c r="A1016" s="21">
        <v>41068</v>
      </c>
      <c r="B1016" s="21">
        <v>41061</v>
      </c>
      <c r="C1016" s="17">
        <v>23</v>
      </c>
      <c r="D1016" s="17" t="s">
        <v>92</v>
      </c>
      <c r="E1016" s="18">
        <v>114533</v>
      </c>
      <c r="F1016" s="17" t="s">
        <v>91</v>
      </c>
      <c r="G1016" s="14">
        <v>1568048.04</v>
      </c>
      <c r="H1016" s="14">
        <v>1446968.14</v>
      </c>
      <c r="I1016" s="14">
        <v>1446968.14</v>
      </c>
      <c r="J1016" s="22">
        <f>H1016*(1+Assumptions!$B$6+IF(F1016="Yes",Assumptions!$C$6,0))</f>
        <v>1490377.1842</v>
      </c>
      <c r="K1016" s="22">
        <f>H1016*(1+Assumptions!$B$7+IF(F1016="Yes",Assumptions!$C$7,0))</f>
        <v>1519316.547</v>
      </c>
      <c r="L1016" s="22">
        <f>H1016*(1+Assumptions!$B$8+IF(F1016="Yes",Assumptions!$C$8,0))</f>
        <v>1461437.8214</v>
      </c>
    </row>
    <row r="1017" spans="1:12" ht="15">
      <c r="A1017" s="21">
        <v>41068</v>
      </c>
      <c r="B1017" s="21">
        <v>41061</v>
      </c>
      <c r="C1017" s="17">
        <v>24</v>
      </c>
      <c r="D1017" s="17" t="s">
        <v>90</v>
      </c>
      <c r="E1017" s="18">
        <v>203819</v>
      </c>
      <c r="F1017" s="17" t="s">
        <v>91</v>
      </c>
      <c r="G1017" s="14">
        <v>1406226.16</v>
      </c>
      <c r="H1017" s="14">
        <v>1373841.91</v>
      </c>
      <c r="I1017" s="14">
        <v>1373841.91</v>
      </c>
      <c r="J1017" s="22">
        <f>H1017*(1+Assumptions!$B$6+IF(F1017="Yes",Assumptions!$C$6,0))</f>
        <v>1415057.1672999999</v>
      </c>
      <c r="K1017" s="22">
        <f>H1017*(1+Assumptions!$B$7+IF(F1017="Yes",Assumptions!$C$7,0))</f>
        <v>1442534.0055</v>
      </c>
      <c r="L1017" s="22">
        <f>H1017*(1+Assumptions!$B$8+IF(F1017="Yes",Assumptions!$C$8,0))</f>
        <v>1387580.3291</v>
      </c>
    </row>
    <row r="1018" spans="1:12" ht="15">
      <c r="A1018" s="21">
        <v>41068</v>
      </c>
      <c r="B1018" s="21">
        <v>41061</v>
      </c>
      <c r="C1018" s="17">
        <v>25</v>
      </c>
      <c r="D1018" s="17" t="s">
        <v>92</v>
      </c>
      <c r="E1018" s="18">
        <v>128107</v>
      </c>
      <c r="F1018" s="17" t="s">
        <v>91</v>
      </c>
      <c r="G1018" s="14">
        <v>730254.19</v>
      </c>
      <c r="H1018" s="14">
        <v>740249.63</v>
      </c>
      <c r="I1018" s="14">
        <v>740249.63</v>
      </c>
      <c r="J1018" s="22">
        <f>H1018*(1+Assumptions!$B$6+IF(F1018="Yes",Assumptions!$C$6,0))</f>
        <v>762457.1189</v>
      </c>
      <c r="K1018" s="22">
        <f>H1018*(1+Assumptions!$B$7+IF(F1018="Yes",Assumptions!$C$7,0))</f>
        <v>777262.1115</v>
      </c>
      <c r="L1018" s="22">
        <f>H1018*(1+Assumptions!$B$8+IF(F1018="Yes",Assumptions!$C$8,0))</f>
        <v>747652.1263</v>
      </c>
    </row>
    <row r="1019" spans="1:12" ht="15">
      <c r="A1019" s="21">
        <v>41068</v>
      </c>
      <c r="B1019" s="21">
        <v>41061</v>
      </c>
      <c r="C1019" s="17">
        <v>26</v>
      </c>
      <c r="D1019" s="17" t="s">
        <v>90</v>
      </c>
      <c r="E1019" s="18">
        <v>152513</v>
      </c>
      <c r="F1019" s="17" t="s">
        <v>91</v>
      </c>
      <c r="G1019" s="14">
        <v>1106091.68</v>
      </c>
      <c r="H1019" s="14">
        <v>1094058.68</v>
      </c>
      <c r="I1019" s="14">
        <v>1094058.68</v>
      </c>
      <c r="J1019" s="22">
        <f>H1019*(1+Assumptions!$B$6+IF(F1019="Yes",Assumptions!$C$6,0))</f>
        <v>1126880.4404</v>
      </c>
      <c r="K1019" s="22">
        <f>H1019*(1+Assumptions!$B$7+IF(F1019="Yes",Assumptions!$C$7,0))</f>
        <v>1148761.6140000001</v>
      </c>
      <c r="L1019" s="22">
        <f>H1019*(1+Assumptions!$B$8+IF(F1019="Yes",Assumptions!$C$8,0))</f>
        <v>1104999.2667999999</v>
      </c>
    </row>
    <row r="1020" spans="1:12" ht="15">
      <c r="A1020" s="21">
        <v>41068</v>
      </c>
      <c r="B1020" s="21">
        <v>41061</v>
      </c>
      <c r="C1020" s="17">
        <v>27</v>
      </c>
      <c r="D1020" s="17" t="s">
        <v>90</v>
      </c>
      <c r="E1020" s="18">
        <v>204184</v>
      </c>
      <c r="F1020" s="17" t="s">
        <v>91</v>
      </c>
      <c r="G1020" s="14">
        <v>1764561.31</v>
      </c>
      <c r="H1020" s="14">
        <v>1816244.71</v>
      </c>
      <c r="I1020" s="14">
        <v>1816244.71</v>
      </c>
      <c r="J1020" s="22">
        <f>H1020*(1+Assumptions!$B$6+IF(F1020="Yes",Assumptions!$C$6,0))</f>
        <v>1870732.0512999999</v>
      </c>
      <c r="K1020" s="22">
        <f>H1020*(1+Assumptions!$B$7+IF(F1020="Yes",Assumptions!$C$7,0))</f>
        <v>1907056.9455000001</v>
      </c>
      <c r="L1020" s="22">
        <f>H1020*(1+Assumptions!$B$8+IF(F1020="Yes",Assumptions!$C$8,0))</f>
        <v>1834407.1571</v>
      </c>
    </row>
    <row r="1021" spans="1:12" ht="15">
      <c r="A1021" s="21">
        <v>41068</v>
      </c>
      <c r="B1021" s="21">
        <v>41061</v>
      </c>
      <c r="C1021" s="17">
        <v>28</v>
      </c>
      <c r="D1021" s="17" t="s">
        <v>90</v>
      </c>
      <c r="E1021" s="18">
        <v>206302</v>
      </c>
      <c r="F1021" s="17" t="s">
        <v>91</v>
      </c>
      <c r="G1021" s="14">
        <v>1440361.24</v>
      </c>
      <c r="H1021" s="14">
        <v>1339972.83</v>
      </c>
      <c r="I1021" s="14">
        <v>1339972.83</v>
      </c>
      <c r="J1021" s="22">
        <f>H1021*(1+Assumptions!$B$6+IF(F1021="Yes",Assumptions!$C$6,0))</f>
        <v>1380172.0149000001</v>
      </c>
      <c r="K1021" s="22">
        <f>H1021*(1+Assumptions!$B$7+IF(F1021="Yes",Assumptions!$C$7,0))</f>
        <v>1406971.4715000002</v>
      </c>
      <c r="L1021" s="22">
        <f>H1021*(1+Assumptions!$B$8+IF(F1021="Yes",Assumptions!$C$8,0))</f>
        <v>1353372.5583000001</v>
      </c>
    </row>
    <row r="1022" spans="1:12" ht="15">
      <c r="A1022" s="21">
        <v>41068</v>
      </c>
      <c r="B1022" s="21">
        <v>41061</v>
      </c>
      <c r="C1022" s="17">
        <v>29</v>
      </c>
      <c r="D1022" s="17" t="s">
        <v>92</v>
      </c>
      <c r="E1022" s="18">
        <v>93638</v>
      </c>
      <c r="F1022" s="17" t="s">
        <v>91</v>
      </c>
      <c r="G1022" s="14">
        <v>554007.42000000004</v>
      </c>
      <c r="H1022" s="14">
        <v>553719.12</v>
      </c>
      <c r="I1022" s="14">
        <v>553719.12</v>
      </c>
      <c r="J1022" s="22">
        <f>H1022*(1+Assumptions!$B$6+IF(F1022="Yes",Assumptions!$C$6,0))</f>
        <v>570330.6936</v>
      </c>
      <c r="K1022" s="22">
        <f>H1022*(1+Assumptions!$B$7+IF(F1022="Yes",Assumptions!$C$7,0))</f>
        <v>581405.076</v>
      </c>
      <c r="L1022" s="22">
        <f>H1022*(1+Assumptions!$B$8+IF(F1022="Yes",Assumptions!$C$8,0))</f>
        <v>559256.3112</v>
      </c>
    </row>
    <row r="1023" spans="1:12" ht="15">
      <c r="A1023" s="21">
        <v>41068</v>
      </c>
      <c r="B1023" s="21">
        <v>41061</v>
      </c>
      <c r="C1023" s="17">
        <v>30</v>
      </c>
      <c r="D1023" s="17" t="s">
        <v>93</v>
      </c>
      <c r="E1023" s="18">
        <v>42988</v>
      </c>
      <c r="F1023" s="17" t="s">
        <v>91</v>
      </c>
      <c r="G1023" s="14">
        <v>437152.81</v>
      </c>
      <c r="H1023" s="14">
        <v>424516.31</v>
      </c>
      <c r="I1023" s="14">
        <v>424516.31</v>
      </c>
      <c r="J1023" s="22">
        <f>H1023*(1+Assumptions!$B$6+IF(F1023="Yes",Assumptions!$C$6,0))</f>
        <v>437251.79930000001</v>
      </c>
      <c r="K1023" s="22">
        <f>H1023*(1+Assumptions!$B$7+IF(F1023="Yes",Assumptions!$C$7,0))</f>
        <v>445742.12550000002</v>
      </c>
      <c r="L1023" s="22">
        <f>H1023*(1+Assumptions!$B$8+IF(F1023="Yes",Assumptions!$C$8,0))</f>
        <v>428761.4731</v>
      </c>
    </row>
    <row r="1024" spans="1:12" ht="15">
      <c r="A1024" s="21">
        <v>41068</v>
      </c>
      <c r="B1024" s="21">
        <v>41061</v>
      </c>
      <c r="C1024" s="17">
        <v>31</v>
      </c>
      <c r="D1024" s="17" t="s">
        <v>90</v>
      </c>
      <c r="E1024" s="18">
        <v>203750</v>
      </c>
      <c r="F1024" s="17" t="s">
        <v>91</v>
      </c>
      <c r="G1024" s="14">
        <v>1443260.79</v>
      </c>
      <c r="H1024" s="14">
        <v>1425263.17</v>
      </c>
      <c r="I1024" s="14">
        <v>1425263.17</v>
      </c>
      <c r="J1024" s="22">
        <f>H1024*(1+Assumptions!$B$6+IF(F1024="Yes",Assumptions!$C$6,0))</f>
        <v>1468021.0651</v>
      </c>
      <c r="K1024" s="22">
        <f>H1024*(1+Assumptions!$B$7+IF(F1024="Yes",Assumptions!$C$7,0))</f>
        <v>1496526.3285000001</v>
      </c>
      <c r="L1024" s="22">
        <f>H1024*(1+Assumptions!$B$8+IF(F1024="Yes",Assumptions!$C$8,0))</f>
        <v>1439515.8017</v>
      </c>
    </row>
    <row r="1025" spans="1:12" ht="15">
      <c r="A1025" s="21">
        <v>41068</v>
      </c>
      <c r="B1025" s="21">
        <v>41061</v>
      </c>
      <c r="C1025" s="17">
        <v>32</v>
      </c>
      <c r="D1025" s="17" t="s">
        <v>90</v>
      </c>
      <c r="E1025" s="18">
        <v>203007</v>
      </c>
      <c r="F1025" s="17" t="s">
        <v>91</v>
      </c>
      <c r="G1025" s="14">
        <v>1246272.44</v>
      </c>
      <c r="H1025" s="14">
        <v>1239682.42</v>
      </c>
      <c r="I1025" s="14">
        <v>1239682.42</v>
      </c>
      <c r="J1025" s="22">
        <f>H1025*(1+Assumptions!$B$6+IF(F1025="Yes",Assumptions!$C$6,0))</f>
        <v>1276872.8925999999</v>
      </c>
      <c r="K1025" s="22">
        <f>H1025*(1+Assumptions!$B$7+IF(F1025="Yes",Assumptions!$C$7,0))</f>
        <v>1301666.541</v>
      </c>
      <c r="L1025" s="22">
        <f>H1025*(1+Assumptions!$B$8+IF(F1025="Yes",Assumptions!$C$8,0))</f>
        <v>1252079.2441999998</v>
      </c>
    </row>
    <row r="1026" spans="1:12" ht="15">
      <c r="A1026" s="21">
        <v>41068</v>
      </c>
      <c r="B1026" s="21">
        <v>41061</v>
      </c>
      <c r="C1026" s="17">
        <v>33</v>
      </c>
      <c r="D1026" s="17" t="s">
        <v>90</v>
      </c>
      <c r="E1026" s="18">
        <v>39690</v>
      </c>
      <c r="F1026" s="17" t="s">
        <v>91</v>
      </c>
      <c r="G1026" s="14">
        <v>285962.92</v>
      </c>
      <c r="H1026" s="14">
        <v>258420.72</v>
      </c>
      <c r="I1026" s="14">
        <v>258420.72</v>
      </c>
      <c r="J1026" s="22">
        <f>H1026*(1+Assumptions!$B$6+IF(F1026="Yes",Assumptions!$C$6,0))</f>
        <v>266173.34159999999</v>
      </c>
      <c r="K1026" s="22">
        <f>H1026*(1+Assumptions!$B$7+IF(F1026="Yes",Assumptions!$C$7,0))</f>
        <v>271341.75599999999</v>
      </c>
      <c r="L1026" s="22">
        <f>H1026*(1+Assumptions!$B$8+IF(F1026="Yes",Assumptions!$C$8,0))</f>
        <v>261004.92720000001</v>
      </c>
    </row>
    <row r="1027" spans="1:12" ht="15">
      <c r="A1027" s="21">
        <v>41068</v>
      </c>
      <c r="B1027" s="21">
        <v>41061</v>
      </c>
      <c r="C1027" s="17">
        <v>34</v>
      </c>
      <c r="D1027" s="17" t="s">
        <v>90</v>
      </c>
      <c r="E1027" s="18">
        <v>158114</v>
      </c>
      <c r="F1027" s="17" t="s">
        <v>91</v>
      </c>
      <c r="G1027" s="14">
        <v>999503.37</v>
      </c>
      <c r="H1027" s="14">
        <v>942243.27</v>
      </c>
      <c r="I1027" s="14">
        <v>942243.27</v>
      </c>
      <c r="J1027" s="22">
        <f>H1027*(1+Assumptions!$B$6+IF(F1027="Yes",Assumptions!$C$6,0))</f>
        <v>970510.56810000003</v>
      </c>
      <c r="K1027" s="22">
        <f>H1027*(1+Assumptions!$B$7+IF(F1027="Yes",Assumptions!$C$7,0))</f>
        <v>989355.43350000004</v>
      </c>
      <c r="L1027" s="22">
        <f>H1027*(1+Assumptions!$B$8+IF(F1027="Yes",Assumptions!$C$8,0))</f>
        <v>951665.70270000002</v>
      </c>
    </row>
    <row r="1028" spans="1:12" ht="15">
      <c r="A1028" s="21">
        <v>41068</v>
      </c>
      <c r="B1028" s="21">
        <v>41061</v>
      </c>
      <c r="C1028" s="17">
        <v>35</v>
      </c>
      <c r="D1028" s="17" t="s">
        <v>92</v>
      </c>
      <c r="E1028" s="18">
        <v>103681</v>
      </c>
      <c r="F1028" s="17" t="s">
        <v>91</v>
      </c>
      <c r="G1028" s="14">
        <v>873400.13</v>
      </c>
      <c r="H1028" s="14">
        <v>855130.21</v>
      </c>
      <c r="I1028" s="14">
        <v>855130.21</v>
      </c>
      <c r="J1028" s="22">
        <f>H1028*(1+Assumptions!$B$6+IF(F1028="Yes",Assumptions!$C$6,0))</f>
        <v>880784.11629999999</v>
      </c>
      <c r="K1028" s="22">
        <f>H1028*(1+Assumptions!$B$7+IF(F1028="Yes",Assumptions!$C$7,0))</f>
        <v>897886.72050000005</v>
      </c>
      <c r="L1028" s="22">
        <f>H1028*(1+Assumptions!$B$8+IF(F1028="Yes",Assumptions!$C$8,0))</f>
        <v>863681.51209999993</v>
      </c>
    </row>
    <row r="1029" spans="1:12" ht="15">
      <c r="A1029" s="21">
        <v>41068</v>
      </c>
      <c r="B1029" s="21">
        <v>41061</v>
      </c>
      <c r="C1029" s="17">
        <v>36</v>
      </c>
      <c r="D1029" s="17" t="s">
        <v>90</v>
      </c>
      <c r="E1029" s="18">
        <v>39910</v>
      </c>
      <c r="F1029" s="17" t="s">
        <v>91</v>
      </c>
      <c r="G1029" s="14">
        <v>338270.38</v>
      </c>
      <c r="H1029" s="14">
        <v>374182.04</v>
      </c>
      <c r="I1029" s="14">
        <v>374182.04</v>
      </c>
      <c r="J1029" s="22">
        <f>H1029*(1+Assumptions!$B$6+IF(F1029="Yes",Assumptions!$C$6,0))</f>
        <v>385407.5012</v>
      </c>
      <c r="K1029" s="22">
        <f>H1029*(1+Assumptions!$B$7+IF(F1029="Yes",Assumptions!$C$7,0))</f>
        <v>392891.14199999999</v>
      </c>
      <c r="L1029" s="22">
        <f>H1029*(1+Assumptions!$B$8+IF(F1029="Yes",Assumptions!$C$8,0))</f>
        <v>377923.86040000001</v>
      </c>
    </row>
    <row r="1030" spans="1:12" ht="15">
      <c r="A1030" s="21">
        <v>41068</v>
      </c>
      <c r="B1030" s="21">
        <v>41061</v>
      </c>
      <c r="C1030" s="17">
        <v>37</v>
      </c>
      <c r="D1030" s="17" t="s">
        <v>93</v>
      </c>
      <c r="E1030" s="18">
        <v>39910</v>
      </c>
      <c r="F1030" s="17" t="s">
        <v>91</v>
      </c>
      <c r="G1030" s="14">
        <v>528622.93000000005</v>
      </c>
      <c r="H1030" s="14">
        <v>509628.60000000003</v>
      </c>
      <c r="I1030" s="14">
        <v>509628.60000000003</v>
      </c>
      <c r="J1030" s="22">
        <f>H1030*(1+Assumptions!$B$6+IF(F1030="Yes",Assumptions!$C$6,0))</f>
        <v>524917.4580000001</v>
      </c>
      <c r="K1030" s="22">
        <f>H1030*(1+Assumptions!$B$7+IF(F1030="Yes",Assumptions!$C$7,0))</f>
        <v>535110.03</v>
      </c>
      <c r="L1030" s="22">
        <f>H1030*(1+Assumptions!$B$8+IF(F1030="Yes",Assumptions!$C$8,0))</f>
        <v>514724.88600000006</v>
      </c>
    </row>
    <row r="1031" spans="1:12" ht="15">
      <c r="A1031" s="21">
        <v>41068</v>
      </c>
      <c r="B1031" s="21">
        <v>41061</v>
      </c>
      <c r="C1031" s="17">
        <v>38</v>
      </c>
      <c r="D1031" s="17" t="s">
        <v>93</v>
      </c>
      <c r="E1031" s="18">
        <v>39690</v>
      </c>
      <c r="F1031" s="17" t="s">
        <v>91</v>
      </c>
      <c r="G1031" s="14">
        <v>448074.06</v>
      </c>
      <c r="H1031" s="14">
        <v>381724.17000000004</v>
      </c>
      <c r="I1031" s="14">
        <v>381724.17000000004</v>
      </c>
      <c r="J1031" s="22">
        <f>H1031*(1+Assumptions!$B$6+IF(F1031="Yes",Assumptions!$C$6,0))</f>
        <v>393175.89510000008</v>
      </c>
      <c r="K1031" s="22">
        <f>H1031*(1+Assumptions!$B$7+IF(F1031="Yes",Assumptions!$C$7,0))</f>
        <v>400810.37850000005</v>
      </c>
      <c r="L1031" s="22">
        <f>H1031*(1+Assumptions!$B$8+IF(F1031="Yes",Assumptions!$C$8,0))</f>
        <v>385541.41170000006</v>
      </c>
    </row>
    <row r="1032" spans="1:12" ht="15">
      <c r="A1032" s="21">
        <v>41068</v>
      </c>
      <c r="B1032" s="21">
        <v>41061</v>
      </c>
      <c r="C1032" s="17">
        <v>39</v>
      </c>
      <c r="D1032" s="17" t="s">
        <v>90</v>
      </c>
      <c r="E1032" s="18">
        <v>184109</v>
      </c>
      <c r="F1032" s="17" t="s">
        <v>91</v>
      </c>
      <c r="G1032" s="14">
        <v>1622992.24</v>
      </c>
      <c r="H1032" s="14">
        <v>1442061.68</v>
      </c>
      <c r="I1032" s="14">
        <v>1442061.68</v>
      </c>
      <c r="J1032" s="22">
        <f>H1032*(1+Assumptions!$B$6+IF(F1032="Yes",Assumptions!$C$6,0))</f>
        <v>1485323.5304</v>
      </c>
      <c r="K1032" s="22">
        <f>H1032*(1+Assumptions!$B$7+IF(F1032="Yes",Assumptions!$C$7,0))</f>
        <v>1514164.764</v>
      </c>
      <c r="L1032" s="22">
        <f>H1032*(1+Assumptions!$B$8+IF(F1032="Yes",Assumptions!$C$8,0))</f>
        <v>1456482.2967999999</v>
      </c>
    </row>
    <row r="1033" spans="1:12" ht="15">
      <c r="A1033" s="21">
        <v>41068</v>
      </c>
      <c r="B1033" s="21">
        <v>41061</v>
      </c>
      <c r="C1033" s="17">
        <v>40</v>
      </c>
      <c r="D1033" s="17" t="s">
        <v>90</v>
      </c>
      <c r="E1033" s="18">
        <v>155083</v>
      </c>
      <c r="F1033" s="17" t="s">
        <v>91</v>
      </c>
      <c r="G1033" s="14">
        <v>1079211.6099999999</v>
      </c>
      <c r="H1033" s="14">
        <v>984336.04</v>
      </c>
      <c r="I1033" s="14">
        <v>984336.04</v>
      </c>
      <c r="J1033" s="22">
        <f>H1033*(1+Assumptions!$B$6+IF(F1033="Yes",Assumptions!$C$6,0))</f>
        <v>1013866.1212000001</v>
      </c>
      <c r="K1033" s="22">
        <f>H1033*(1+Assumptions!$B$7+IF(F1033="Yes",Assumptions!$C$7,0))</f>
        <v>1033552.8420000001</v>
      </c>
      <c r="L1033" s="22">
        <f>H1033*(1+Assumptions!$B$8+IF(F1033="Yes",Assumptions!$C$8,0))</f>
        <v>994179.40040000004</v>
      </c>
    </row>
    <row r="1034" spans="1:12" ht="15">
      <c r="A1034" s="21">
        <v>41068</v>
      </c>
      <c r="B1034" s="21">
        <v>41061</v>
      </c>
      <c r="C1034" s="17">
        <v>41</v>
      </c>
      <c r="D1034" s="17" t="s">
        <v>90</v>
      </c>
      <c r="E1034" s="18">
        <v>196321</v>
      </c>
      <c r="F1034" s="17" t="s">
        <v>91</v>
      </c>
      <c r="G1034" s="14">
        <v>1434627.1400000001</v>
      </c>
      <c r="H1034" s="14">
        <v>1311625.19</v>
      </c>
      <c r="I1034" s="14">
        <v>1311625.19</v>
      </c>
      <c r="J1034" s="22">
        <f>H1034*(1+Assumptions!$B$6+IF(F1034="Yes",Assumptions!$C$6,0))</f>
        <v>1350973.9457</v>
      </c>
      <c r="K1034" s="22">
        <f>H1034*(1+Assumptions!$B$7+IF(F1034="Yes",Assumptions!$C$7,0))</f>
        <v>1377206.4495000001</v>
      </c>
      <c r="L1034" s="22">
        <f>H1034*(1+Assumptions!$B$8+IF(F1034="Yes",Assumptions!$C$8,0))</f>
        <v>1324741.4419</v>
      </c>
    </row>
    <row r="1035" spans="1:12" ht="15">
      <c r="A1035" s="21">
        <v>41068</v>
      </c>
      <c r="B1035" s="21">
        <v>41061</v>
      </c>
      <c r="C1035" s="17">
        <v>42</v>
      </c>
      <c r="D1035" s="17" t="s">
        <v>93</v>
      </c>
      <c r="E1035" s="18">
        <v>39690</v>
      </c>
      <c r="F1035" s="17" t="s">
        <v>91</v>
      </c>
      <c r="G1035" s="14">
        <v>642530.70000000007</v>
      </c>
      <c r="H1035" s="14">
        <v>616701.99</v>
      </c>
      <c r="I1035" s="14">
        <v>616701.99</v>
      </c>
      <c r="J1035" s="22">
        <f>H1035*(1+Assumptions!$B$6+IF(F1035="Yes",Assumptions!$C$6,0))</f>
        <v>635203.04969999997</v>
      </c>
      <c r="K1035" s="22">
        <f>H1035*(1+Assumptions!$B$7+IF(F1035="Yes",Assumptions!$C$7,0))</f>
        <v>647537.0895</v>
      </c>
      <c r="L1035" s="22">
        <f>H1035*(1+Assumptions!$B$8+IF(F1035="Yes",Assumptions!$C$8,0))</f>
        <v>622869.00989999995</v>
      </c>
    </row>
    <row r="1036" spans="1:12" ht="15">
      <c r="A1036" s="21">
        <v>41068</v>
      </c>
      <c r="B1036" s="21">
        <v>41061</v>
      </c>
      <c r="C1036" s="17">
        <v>43</v>
      </c>
      <c r="D1036" s="17" t="s">
        <v>93</v>
      </c>
      <c r="E1036" s="18">
        <v>41062</v>
      </c>
      <c r="F1036" s="17" t="s">
        <v>91</v>
      </c>
      <c r="G1036" s="14">
        <v>642028.5</v>
      </c>
      <c r="H1036" s="14">
        <v>642921.67000000004</v>
      </c>
      <c r="I1036" s="14">
        <v>642921.67000000004</v>
      </c>
      <c r="J1036" s="22">
        <f>H1036*(1+Assumptions!$B$6+IF(F1036="Yes",Assumptions!$C$6,0))</f>
        <v>662209.32010000001</v>
      </c>
      <c r="K1036" s="22">
        <f>H1036*(1+Assumptions!$B$7+IF(F1036="Yes",Assumptions!$C$7,0))</f>
        <v>675067.75350000011</v>
      </c>
      <c r="L1036" s="22">
        <f>H1036*(1+Assumptions!$B$8+IF(F1036="Yes",Assumptions!$C$8,0))</f>
        <v>649350.88670000003</v>
      </c>
    </row>
    <row r="1037" spans="1:12" ht="15">
      <c r="A1037" s="21">
        <v>41068</v>
      </c>
      <c r="B1037" s="21">
        <v>41061</v>
      </c>
      <c r="C1037" s="17">
        <v>44</v>
      </c>
      <c r="D1037" s="17" t="s">
        <v>93</v>
      </c>
      <c r="E1037" s="18">
        <v>39910</v>
      </c>
      <c r="F1037" s="17" t="s">
        <v>91</v>
      </c>
      <c r="G1037" s="14">
        <v>340078.97000000003</v>
      </c>
      <c r="H1037" s="14">
        <v>308770.42</v>
      </c>
      <c r="I1037" s="14">
        <v>308770.42</v>
      </c>
      <c r="J1037" s="22">
        <f>H1037*(1+Assumptions!$B$6+IF(F1037="Yes",Assumptions!$C$6,0))</f>
        <v>318033.53259999998</v>
      </c>
      <c r="K1037" s="22">
        <f>H1037*(1+Assumptions!$B$7+IF(F1037="Yes",Assumptions!$C$7,0))</f>
        <v>324208.94099999999</v>
      </c>
      <c r="L1037" s="22">
        <f>H1037*(1+Assumptions!$B$8+IF(F1037="Yes",Assumptions!$C$8,0))</f>
        <v>311858.12419999996</v>
      </c>
    </row>
    <row r="1038" spans="1:12" ht="15">
      <c r="A1038" s="21">
        <v>41068</v>
      </c>
      <c r="B1038" s="21">
        <v>41061</v>
      </c>
      <c r="C1038" s="17">
        <v>45</v>
      </c>
      <c r="D1038" s="17" t="s">
        <v>92</v>
      </c>
      <c r="E1038" s="18">
        <v>118221</v>
      </c>
      <c r="F1038" s="17" t="s">
        <v>91</v>
      </c>
      <c r="G1038" s="14">
        <v>795133</v>
      </c>
      <c r="H1038" s="14">
        <v>814360.37</v>
      </c>
      <c r="I1038" s="14">
        <v>814360.37</v>
      </c>
      <c r="J1038" s="22">
        <f>H1038*(1+Assumptions!$B$6+IF(F1038="Yes",Assumptions!$C$6,0))</f>
        <v>838791.18110000005</v>
      </c>
      <c r="K1038" s="22">
        <f>H1038*(1+Assumptions!$B$7+IF(F1038="Yes",Assumptions!$C$7,0))</f>
        <v>855078.3885</v>
      </c>
      <c r="L1038" s="22">
        <f>H1038*(1+Assumptions!$B$8+IF(F1038="Yes",Assumptions!$C$8,0))</f>
        <v>822503.97369999997</v>
      </c>
    </row>
    <row r="1039" spans="1:12" ht="15">
      <c r="A1039" s="21">
        <v>41075</v>
      </c>
      <c r="B1039" s="21">
        <v>41061</v>
      </c>
      <c r="C1039" s="17">
        <v>1</v>
      </c>
      <c r="D1039" s="17" t="s">
        <v>90</v>
      </c>
      <c r="E1039" s="18">
        <v>151315</v>
      </c>
      <c r="F1039" s="17" t="s">
        <v>91</v>
      </c>
      <c r="G1039" s="14">
        <v>1630607</v>
      </c>
      <c r="H1039" s="14">
        <v>1532112.86</v>
      </c>
      <c r="I1039" s="14">
        <v>1532112.86</v>
      </c>
      <c r="J1039" s="22">
        <f>H1039*(1+Assumptions!$B$6+IF(F1039="Yes",Assumptions!$C$6,0))</f>
        <v>1578076.2458000001</v>
      </c>
      <c r="K1039" s="22">
        <f>H1039*(1+Assumptions!$B$7+IF(F1039="Yes",Assumptions!$C$7,0))</f>
        <v>1608718.5030000003</v>
      </c>
      <c r="L1039" s="22">
        <f>H1039*(1+Assumptions!$B$8+IF(F1039="Yes",Assumptions!$C$8,0))</f>
        <v>1547433.9886</v>
      </c>
    </row>
    <row r="1040" spans="1:12" ht="15">
      <c r="A1040" s="21">
        <v>41075</v>
      </c>
      <c r="B1040" s="21">
        <v>41061</v>
      </c>
      <c r="C1040" s="17">
        <v>2</v>
      </c>
      <c r="D1040" s="17" t="s">
        <v>90</v>
      </c>
      <c r="E1040" s="18">
        <v>202307</v>
      </c>
      <c r="F1040" s="17" t="s">
        <v>91</v>
      </c>
      <c r="G1040" s="14">
        <v>1962924.3</v>
      </c>
      <c r="H1040" s="14">
        <v>1953091.64</v>
      </c>
      <c r="I1040" s="14">
        <v>1953091.64</v>
      </c>
      <c r="J1040" s="22">
        <f>H1040*(1+Assumptions!$B$6+IF(F1040="Yes",Assumptions!$C$6,0))</f>
        <v>2011684.3891999999</v>
      </c>
      <c r="K1040" s="22">
        <f>H1040*(1+Assumptions!$B$7+IF(F1040="Yes",Assumptions!$C$7,0))</f>
        <v>2050746.2220000001</v>
      </c>
      <c r="L1040" s="22">
        <f>H1040*(1+Assumptions!$B$8+IF(F1040="Yes",Assumptions!$C$8,0))</f>
        <v>1972622.5563999999</v>
      </c>
    </row>
    <row r="1041" spans="1:12" ht="15">
      <c r="A1041" s="21">
        <v>41075</v>
      </c>
      <c r="B1041" s="21">
        <v>41061</v>
      </c>
      <c r="C1041" s="17">
        <v>3</v>
      </c>
      <c r="D1041" s="17" t="s">
        <v>92</v>
      </c>
      <c r="E1041" s="18">
        <v>37392</v>
      </c>
      <c r="F1041" s="17" t="s">
        <v>91</v>
      </c>
      <c r="G1041" s="14">
        <v>442032.43</v>
      </c>
      <c r="H1041" s="14">
        <v>403421.68</v>
      </c>
      <c r="I1041" s="14">
        <v>403421.68</v>
      </c>
      <c r="J1041" s="22">
        <f>H1041*(1+Assumptions!$B$6+IF(F1041="Yes",Assumptions!$C$6,0))</f>
        <v>415524.33039999998</v>
      </c>
      <c r="K1041" s="22">
        <f>H1041*(1+Assumptions!$B$7+IF(F1041="Yes",Assumptions!$C$7,0))</f>
        <v>423592.76400000002</v>
      </c>
      <c r="L1041" s="22">
        <f>H1041*(1+Assumptions!$B$8+IF(F1041="Yes",Assumptions!$C$8,0))</f>
        <v>407455.89679999999</v>
      </c>
    </row>
    <row r="1042" spans="1:12" ht="15">
      <c r="A1042" s="21">
        <v>41075</v>
      </c>
      <c r="B1042" s="21">
        <v>41061</v>
      </c>
      <c r="C1042" s="17">
        <v>4</v>
      </c>
      <c r="D1042" s="17" t="s">
        <v>90</v>
      </c>
      <c r="E1042" s="18">
        <v>205863</v>
      </c>
      <c r="F1042" s="17" t="s">
        <v>91</v>
      </c>
      <c r="G1042" s="14">
        <v>2234181.0299999998</v>
      </c>
      <c r="H1042" s="14">
        <v>2141210.62</v>
      </c>
      <c r="I1042" s="14">
        <v>2141210.62</v>
      </c>
      <c r="J1042" s="22">
        <f>H1042*(1+Assumptions!$B$6+IF(F1042="Yes",Assumptions!$C$6,0))</f>
        <v>2205446.9386</v>
      </c>
      <c r="K1042" s="22">
        <f>H1042*(1+Assumptions!$B$7+IF(F1042="Yes",Assumptions!$C$7,0))</f>
        <v>2248271.1510000001</v>
      </c>
      <c r="L1042" s="22">
        <f>H1042*(1+Assumptions!$B$8+IF(F1042="Yes",Assumptions!$C$8,0))</f>
        <v>2162622.7261999999</v>
      </c>
    </row>
    <row r="1043" spans="1:12" ht="15">
      <c r="A1043" s="21">
        <v>41075</v>
      </c>
      <c r="B1043" s="21">
        <v>41061</v>
      </c>
      <c r="C1043" s="17">
        <v>5</v>
      </c>
      <c r="D1043" s="17" t="s">
        <v>92</v>
      </c>
      <c r="E1043" s="18">
        <v>34875</v>
      </c>
      <c r="F1043" s="17" t="s">
        <v>91</v>
      </c>
      <c r="G1043" s="14">
        <v>327338.12</v>
      </c>
      <c r="H1043" s="14">
        <v>304039.34000000003</v>
      </c>
      <c r="I1043" s="14">
        <v>304039.34000000003</v>
      </c>
      <c r="J1043" s="22">
        <f>H1043*(1+Assumptions!$B$6+IF(F1043="Yes",Assumptions!$C$6,0))</f>
        <v>313160.52020000003</v>
      </c>
      <c r="K1043" s="22">
        <f>H1043*(1+Assumptions!$B$7+IF(F1043="Yes",Assumptions!$C$7,0))</f>
        <v>319241.30700000003</v>
      </c>
      <c r="L1043" s="22">
        <f>H1043*(1+Assumptions!$B$8+IF(F1043="Yes",Assumptions!$C$8,0))</f>
        <v>307079.73340000003</v>
      </c>
    </row>
    <row r="1044" spans="1:12" ht="15">
      <c r="A1044" s="21">
        <v>41075</v>
      </c>
      <c r="B1044" s="21">
        <v>41061</v>
      </c>
      <c r="C1044" s="17">
        <v>6</v>
      </c>
      <c r="D1044" s="17" t="s">
        <v>90</v>
      </c>
      <c r="E1044" s="18">
        <v>202505</v>
      </c>
      <c r="F1044" s="17" t="s">
        <v>91</v>
      </c>
      <c r="G1044" s="14">
        <v>1642247.48</v>
      </c>
      <c r="H1044" s="14">
        <v>1622150.13</v>
      </c>
      <c r="I1044" s="14">
        <v>1622150.13</v>
      </c>
      <c r="J1044" s="22">
        <f>H1044*(1+Assumptions!$B$6+IF(F1044="Yes",Assumptions!$C$6,0))</f>
        <v>1670814.6339</v>
      </c>
      <c r="K1044" s="22">
        <f>H1044*(1+Assumptions!$B$7+IF(F1044="Yes",Assumptions!$C$7,0))</f>
        <v>1703257.6365</v>
      </c>
      <c r="L1044" s="22">
        <f>H1044*(1+Assumptions!$B$8+IF(F1044="Yes",Assumptions!$C$8,0))</f>
        <v>1638371.6313</v>
      </c>
    </row>
    <row r="1045" spans="1:12" ht="15">
      <c r="A1045" s="21">
        <v>41075</v>
      </c>
      <c r="B1045" s="21">
        <v>41061</v>
      </c>
      <c r="C1045" s="17">
        <v>7</v>
      </c>
      <c r="D1045" s="17" t="s">
        <v>92</v>
      </c>
      <c r="E1045" s="18">
        <v>70713</v>
      </c>
      <c r="F1045" s="17" t="s">
        <v>91</v>
      </c>
      <c r="G1045" s="14">
        <v>666942.02</v>
      </c>
      <c r="H1045" s="14">
        <v>610991.35</v>
      </c>
      <c r="I1045" s="14">
        <v>610991.35</v>
      </c>
      <c r="J1045" s="22">
        <f>H1045*(1+Assumptions!$B$6+IF(F1045="Yes",Assumptions!$C$6,0))</f>
        <v>629321.09050000005</v>
      </c>
      <c r="K1045" s="22">
        <f>H1045*(1+Assumptions!$B$7+IF(F1045="Yes",Assumptions!$C$7,0))</f>
        <v>641540.91749999998</v>
      </c>
      <c r="L1045" s="22">
        <f>H1045*(1+Assumptions!$B$8+IF(F1045="Yes",Assumptions!$C$8,0))</f>
        <v>617101.2635</v>
      </c>
    </row>
    <row r="1046" spans="1:12" ht="15">
      <c r="A1046" s="21">
        <v>41075</v>
      </c>
      <c r="B1046" s="21">
        <v>41061</v>
      </c>
      <c r="C1046" s="17">
        <v>8</v>
      </c>
      <c r="D1046" s="17" t="s">
        <v>90</v>
      </c>
      <c r="E1046" s="18">
        <v>155078</v>
      </c>
      <c r="F1046" s="17" t="s">
        <v>91</v>
      </c>
      <c r="G1046" s="14">
        <v>916693.7</v>
      </c>
      <c r="H1046" s="14">
        <v>922048.31</v>
      </c>
      <c r="I1046" s="14">
        <v>922048.31</v>
      </c>
      <c r="J1046" s="22">
        <f>H1046*(1+Assumptions!$B$6+IF(F1046="Yes",Assumptions!$C$6,0))</f>
        <v>949709.75930000003</v>
      </c>
      <c r="K1046" s="22">
        <f>H1046*(1+Assumptions!$B$7+IF(F1046="Yes",Assumptions!$C$7,0))</f>
        <v>968150.72550000006</v>
      </c>
      <c r="L1046" s="22">
        <f>H1046*(1+Assumptions!$B$8+IF(F1046="Yes",Assumptions!$C$8,0))</f>
        <v>931268.79310000001</v>
      </c>
    </row>
    <row r="1047" spans="1:12" ht="15">
      <c r="A1047" s="21">
        <v>41075</v>
      </c>
      <c r="B1047" s="21">
        <v>41061</v>
      </c>
      <c r="C1047" s="17">
        <v>9</v>
      </c>
      <c r="D1047" s="17" t="s">
        <v>92</v>
      </c>
      <c r="E1047" s="18">
        <v>125833</v>
      </c>
      <c r="F1047" s="17" t="s">
        <v>91</v>
      </c>
      <c r="G1047" s="14">
        <v>564586.25</v>
      </c>
      <c r="H1047" s="14">
        <v>558673.59</v>
      </c>
      <c r="I1047" s="14">
        <v>558673.59</v>
      </c>
      <c r="J1047" s="22">
        <f>H1047*(1+Assumptions!$B$6+IF(F1047="Yes",Assumptions!$C$6,0))</f>
        <v>575433.7977</v>
      </c>
      <c r="K1047" s="22">
        <f>H1047*(1+Assumptions!$B$7+IF(F1047="Yes",Assumptions!$C$7,0))</f>
        <v>586607.26949999994</v>
      </c>
      <c r="L1047" s="22">
        <f>H1047*(1+Assumptions!$B$8+IF(F1047="Yes",Assumptions!$C$8,0))</f>
        <v>564260.32589999994</v>
      </c>
    </row>
    <row r="1048" spans="1:12" ht="15">
      <c r="A1048" s="21">
        <v>41075</v>
      </c>
      <c r="B1048" s="21">
        <v>41061</v>
      </c>
      <c r="C1048" s="17">
        <v>10</v>
      </c>
      <c r="D1048" s="17" t="s">
        <v>92</v>
      </c>
      <c r="E1048" s="18">
        <v>126512</v>
      </c>
      <c r="F1048" s="17" t="s">
        <v>91</v>
      </c>
      <c r="G1048" s="14">
        <v>1811562.88</v>
      </c>
      <c r="H1048" s="14">
        <v>1817926.17</v>
      </c>
      <c r="I1048" s="14">
        <v>1817926.17</v>
      </c>
      <c r="J1048" s="22">
        <f>H1048*(1+Assumptions!$B$6+IF(F1048="Yes",Assumptions!$C$6,0))</f>
        <v>1872463.9550999999</v>
      </c>
      <c r="K1048" s="22">
        <f>H1048*(1+Assumptions!$B$7+IF(F1048="Yes",Assumptions!$C$7,0))</f>
        <v>1908822.4785</v>
      </c>
      <c r="L1048" s="22">
        <f>H1048*(1+Assumptions!$B$8+IF(F1048="Yes",Assumptions!$C$8,0))</f>
        <v>1836105.4316999998</v>
      </c>
    </row>
    <row r="1049" spans="1:12" ht="15">
      <c r="A1049" s="21">
        <v>41075</v>
      </c>
      <c r="B1049" s="21">
        <v>41061</v>
      </c>
      <c r="C1049" s="17">
        <v>11</v>
      </c>
      <c r="D1049" s="17" t="s">
        <v>90</v>
      </c>
      <c r="E1049" s="18">
        <v>207499</v>
      </c>
      <c r="F1049" s="17" t="s">
        <v>91</v>
      </c>
      <c r="G1049" s="14">
        <v>1415602.58</v>
      </c>
      <c r="H1049" s="14">
        <v>1337496.27</v>
      </c>
      <c r="I1049" s="14">
        <v>1337496.27</v>
      </c>
      <c r="J1049" s="22">
        <f>H1049*(1+Assumptions!$B$6+IF(F1049="Yes",Assumptions!$C$6,0))</f>
        <v>1377621.1581000001</v>
      </c>
      <c r="K1049" s="22">
        <f>H1049*(1+Assumptions!$B$7+IF(F1049="Yes",Assumptions!$C$7,0))</f>
        <v>1404371.0835000002</v>
      </c>
      <c r="L1049" s="22">
        <f>H1049*(1+Assumptions!$B$8+IF(F1049="Yes",Assumptions!$C$8,0))</f>
        <v>1350871.2327000001</v>
      </c>
    </row>
    <row r="1050" spans="1:12" ht="15">
      <c r="A1050" s="21">
        <v>41075</v>
      </c>
      <c r="B1050" s="21">
        <v>41061</v>
      </c>
      <c r="C1050" s="17">
        <v>12</v>
      </c>
      <c r="D1050" s="17" t="s">
        <v>92</v>
      </c>
      <c r="E1050" s="18">
        <v>112238</v>
      </c>
      <c r="F1050" s="17" t="s">
        <v>91</v>
      </c>
      <c r="G1050" s="14">
        <v>1019355.02</v>
      </c>
      <c r="H1050" s="14">
        <v>986394.25</v>
      </c>
      <c r="I1050" s="14">
        <v>986394.25</v>
      </c>
      <c r="J1050" s="22">
        <f>H1050*(1+Assumptions!$B$6+IF(F1050="Yes",Assumptions!$C$6,0))</f>
        <v>1015986.0775</v>
      </c>
      <c r="K1050" s="22">
        <f>H1050*(1+Assumptions!$B$7+IF(F1050="Yes",Assumptions!$C$7,0))</f>
        <v>1035713.9625</v>
      </c>
      <c r="L1050" s="22">
        <f>H1050*(1+Assumptions!$B$8+IF(F1050="Yes",Assumptions!$C$8,0))</f>
        <v>996258.1925</v>
      </c>
    </row>
    <row r="1051" spans="1:12" ht="15">
      <c r="A1051" s="21">
        <v>41075</v>
      </c>
      <c r="B1051" s="21">
        <v>41061</v>
      </c>
      <c r="C1051" s="17">
        <v>13</v>
      </c>
      <c r="D1051" s="17" t="s">
        <v>90</v>
      </c>
      <c r="E1051" s="18">
        <v>219622</v>
      </c>
      <c r="F1051" s="17" t="s">
        <v>91</v>
      </c>
      <c r="G1051" s="14">
        <v>2152229.11</v>
      </c>
      <c r="H1051" s="14">
        <v>2086433.49</v>
      </c>
      <c r="I1051" s="14">
        <v>2086433.49</v>
      </c>
      <c r="J1051" s="22">
        <f>H1051*(1+Assumptions!$B$6+IF(F1051="Yes",Assumptions!$C$6,0))</f>
        <v>2149026.4947000002</v>
      </c>
      <c r="K1051" s="22">
        <f>H1051*(1+Assumptions!$B$7+IF(F1051="Yes",Assumptions!$C$7,0))</f>
        <v>2190755.1645</v>
      </c>
      <c r="L1051" s="22">
        <f>H1051*(1+Assumptions!$B$8+IF(F1051="Yes",Assumptions!$C$8,0))</f>
        <v>2107297.8248999999</v>
      </c>
    </row>
    <row r="1052" spans="1:12" ht="15">
      <c r="A1052" s="21">
        <v>41075</v>
      </c>
      <c r="B1052" s="21">
        <v>41061</v>
      </c>
      <c r="C1052" s="17">
        <v>14</v>
      </c>
      <c r="D1052" s="17" t="s">
        <v>90</v>
      </c>
      <c r="E1052" s="18">
        <v>200898</v>
      </c>
      <c r="F1052" s="17" t="s">
        <v>91</v>
      </c>
      <c r="G1052" s="14">
        <v>1905721.18</v>
      </c>
      <c r="H1052" s="14">
        <v>2082083.3399999999</v>
      </c>
      <c r="I1052" s="14">
        <v>2082083.3399999999</v>
      </c>
      <c r="J1052" s="22">
        <f>H1052*(1+Assumptions!$B$6+IF(F1052="Yes",Assumptions!$C$6,0))</f>
        <v>2144545.8402</v>
      </c>
      <c r="K1052" s="22">
        <f>H1052*(1+Assumptions!$B$7+IF(F1052="Yes",Assumptions!$C$7,0))</f>
        <v>2186187.5069999998</v>
      </c>
      <c r="L1052" s="22">
        <f>H1052*(1+Assumptions!$B$8+IF(F1052="Yes",Assumptions!$C$8,0))</f>
        <v>2102904.1733999997</v>
      </c>
    </row>
    <row r="1053" spans="1:12" ht="15">
      <c r="A1053" s="21">
        <v>41075</v>
      </c>
      <c r="B1053" s="21">
        <v>41061</v>
      </c>
      <c r="C1053" s="17">
        <v>15</v>
      </c>
      <c r="D1053" s="17" t="s">
        <v>92</v>
      </c>
      <c r="E1053" s="18">
        <v>123737</v>
      </c>
      <c r="F1053" s="17" t="s">
        <v>91</v>
      </c>
      <c r="G1053" s="14">
        <v>636740.61</v>
      </c>
      <c r="H1053" s="14">
        <v>639908.85</v>
      </c>
      <c r="I1053" s="14">
        <v>639908.85</v>
      </c>
      <c r="J1053" s="22">
        <f>H1053*(1+Assumptions!$B$6+IF(F1053="Yes",Assumptions!$C$6,0))</f>
        <v>659106.11549999996</v>
      </c>
      <c r="K1053" s="22">
        <f>H1053*(1+Assumptions!$B$7+IF(F1053="Yes",Assumptions!$C$7,0))</f>
        <v>671904.29249999998</v>
      </c>
      <c r="L1053" s="22">
        <f>H1053*(1+Assumptions!$B$8+IF(F1053="Yes",Assumptions!$C$8,0))</f>
        <v>646307.93849999993</v>
      </c>
    </row>
    <row r="1054" spans="1:12" ht="15">
      <c r="A1054" s="21">
        <v>41075</v>
      </c>
      <c r="B1054" s="21">
        <v>41061</v>
      </c>
      <c r="C1054" s="17">
        <v>16</v>
      </c>
      <c r="D1054" s="17" t="s">
        <v>92</v>
      </c>
      <c r="E1054" s="18">
        <v>57197</v>
      </c>
      <c r="F1054" s="17" t="s">
        <v>91</v>
      </c>
      <c r="G1054" s="14">
        <v>568248.35</v>
      </c>
      <c r="H1054" s="14">
        <v>581466.1</v>
      </c>
      <c r="I1054" s="14">
        <v>581466.1</v>
      </c>
      <c r="J1054" s="22">
        <f>H1054*(1+Assumptions!$B$6+IF(F1054="Yes",Assumptions!$C$6,0))</f>
        <v>598910.08299999998</v>
      </c>
      <c r="K1054" s="22">
        <f>H1054*(1+Assumptions!$B$7+IF(F1054="Yes",Assumptions!$C$7,0))</f>
        <v>610539.40500000003</v>
      </c>
      <c r="L1054" s="22">
        <f>H1054*(1+Assumptions!$B$8+IF(F1054="Yes",Assumptions!$C$8,0))</f>
        <v>587280.76099999994</v>
      </c>
    </row>
    <row r="1055" spans="1:12" ht="15">
      <c r="A1055" s="21">
        <v>41075</v>
      </c>
      <c r="B1055" s="21">
        <v>41061</v>
      </c>
      <c r="C1055" s="17">
        <v>17</v>
      </c>
      <c r="D1055" s="17" t="s">
        <v>92</v>
      </c>
      <c r="E1055" s="18">
        <v>93188</v>
      </c>
      <c r="F1055" s="17" t="s">
        <v>91</v>
      </c>
      <c r="G1055" s="14">
        <v>962934.31</v>
      </c>
      <c r="H1055" s="14">
        <v>894680.71</v>
      </c>
      <c r="I1055" s="14">
        <v>894680.71</v>
      </c>
      <c r="J1055" s="22">
        <f>H1055*(1+Assumptions!$B$6+IF(F1055="Yes",Assumptions!$C$6,0))</f>
        <v>921521.13130000001</v>
      </c>
      <c r="K1055" s="22">
        <f>H1055*(1+Assumptions!$B$7+IF(F1055="Yes",Assumptions!$C$7,0))</f>
        <v>939414.74549999996</v>
      </c>
      <c r="L1055" s="22">
        <f>H1055*(1+Assumptions!$B$8+IF(F1055="Yes",Assumptions!$C$8,0))</f>
        <v>903627.51709999994</v>
      </c>
    </row>
    <row r="1056" spans="1:12" ht="15">
      <c r="A1056" s="21">
        <v>41075</v>
      </c>
      <c r="B1056" s="21">
        <v>41061</v>
      </c>
      <c r="C1056" s="17">
        <v>18</v>
      </c>
      <c r="D1056" s="17" t="s">
        <v>92</v>
      </c>
      <c r="E1056" s="18">
        <v>120653</v>
      </c>
      <c r="F1056" s="17" t="s">
        <v>91</v>
      </c>
      <c r="G1056" s="14">
        <v>1057404.9099999999</v>
      </c>
      <c r="H1056" s="14">
        <v>1045859.39</v>
      </c>
      <c r="I1056" s="14">
        <v>1045859.39</v>
      </c>
      <c r="J1056" s="22">
        <f>H1056*(1+Assumptions!$B$6+IF(F1056="Yes",Assumptions!$C$6,0))</f>
        <v>1077235.1717000001</v>
      </c>
      <c r="K1056" s="22">
        <f>H1056*(1+Assumptions!$B$7+IF(F1056="Yes",Assumptions!$C$7,0))</f>
        <v>1098152.3595</v>
      </c>
      <c r="L1056" s="22">
        <f>H1056*(1+Assumptions!$B$8+IF(F1056="Yes",Assumptions!$C$8,0))</f>
        <v>1056317.9839000001</v>
      </c>
    </row>
    <row r="1057" spans="1:12" ht="15">
      <c r="A1057" s="21">
        <v>41075</v>
      </c>
      <c r="B1057" s="21">
        <v>41061</v>
      </c>
      <c r="C1057" s="17">
        <v>19</v>
      </c>
      <c r="D1057" s="17" t="s">
        <v>90</v>
      </c>
      <c r="E1057" s="18">
        <v>203819</v>
      </c>
      <c r="F1057" s="17" t="s">
        <v>91</v>
      </c>
      <c r="G1057" s="14">
        <v>1440263.05</v>
      </c>
      <c r="H1057" s="14">
        <v>1418992.46</v>
      </c>
      <c r="I1057" s="14">
        <v>1418992.46</v>
      </c>
      <c r="J1057" s="22">
        <f>H1057*(1+Assumptions!$B$6+IF(F1057="Yes",Assumptions!$C$6,0))</f>
        <v>1461562.2338</v>
      </c>
      <c r="K1057" s="22">
        <f>H1057*(1+Assumptions!$B$7+IF(F1057="Yes",Assumptions!$C$7,0))</f>
        <v>1489942.0830000001</v>
      </c>
      <c r="L1057" s="22">
        <f>H1057*(1+Assumptions!$B$8+IF(F1057="Yes",Assumptions!$C$8,0))</f>
        <v>1433182.3846</v>
      </c>
    </row>
    <row r="1058" spans="1:12" ht="15">
      <c r="A1058" s="21">
        <v>41075</v>
      </c>
      <c r="B1058" s="21">
        <v>41061</v>
      </c>
      <c r="C1058" s="17">
        <v>20</v>
      </c>
      <c r="D1058" s="17" t="s">
        <v>90</v>
      </c>
      <c r="E1058" s="18">
        <v>203742</v>
      </c>
      <c r="F1058" s="17" t="s">
        <v>91</v>
      </c>
      <c r="G1058" s="14">
        <v>2165160.29</v>
      </c>
      <c r="H1058" s="14">
        <v>2065140.8</v>
      </c>
      <c r="I1058" s="14">
        <v>2065140.8</v>
      </c>
      <c r="J1058" s="22">
        <f>H1058*(1+Assumptions!$B$6+IF(F1058="Yes",Assumptions!$C$6,0))</f>
        <v>2127095.0240000002</v>
      </c>
      <c r="K1058" s="22">
        <f>H1058*(1+Assumptions!$B$7+IF(F1058="Yes",Assumptions!$C$7,0))</f>
        <v>2168397.8400000003</v>
      </c>
      <c r="L1058" s="22">
        <f>H1058*(1+Assumptions!$B$8+IF(F1058="Yes",Assumptions!$C$8,0))</f>
        <v>2085792.2080000001</v>
      </c>
    </row>
    <row r="1059" spans="1:12" ht="15">
      <c r="A1059" s="21">
        <v>41075</v>
      </c>
      <c r="B1059" s="21">
        <v>41061</v>
      </c>
      <c r="C1059" s="17">
        <v>21</v>
      </c>
      <c r="D1059" s="17" t="s">
        <v>92</v>
      </c>
      <c r="E1059" s="18">
        <v>140167</v>
      </c>
      <c r="F1059" s="17" t="s">
        <v>91</v>
      </c>
      <c r="G1059" s="14">
        <v>727048.29</v>
      </c>
      <c r="H1059" s="14">
        <v>823220.43</v>
      </c>
      <c r="I1059" s="14">
        <v>823220.43</v>
      </c>
      <c r="J1059" s="22">
        <f>H1059*(1+Assumptions!$B$6+IF(F1059="Yes",Assumptions!$C$6,0))</f>
        <v>847917.04290000012</v>
      </c>
      <c r="K1059" s="22">
        <f>H1059*(1+Assumptions!$B$7+IF(F1059="Yes",Assumptions!$C$7,0))</f>
        <v>864381.45150000008</v>
      </c>
      <c r="L1059" s="22">
        <f>H1059*(1+Assumptions!$B$8+IF(F1059="Yes",Assumptions!$C$8,0))</f>
        <v>831452.63430000003</v>
      </c>
    </row>
    <row r="1060" spans="1:12" ht="15">
      <c r="A1060" s="21">
        <v>41075</v>
      </c>
      <c r="B1060" s="21">
        <v>41061</v>
      </c>
      <c r="C1060" s="17">
        <v>22</v>
      </c>
      <c r="D1060" s="17" t="s">
        <v>92</v>
      </c>
      <c r="E1060" s="18">
        <v>119557</v>
      </c>
      <c r="F1060" s="17" t="s">
        <v>91</v>
      </c>
      <c r="G1060" s="14">
        <v>1059888.81</v>
      </c>
      <c r="H1060" s="14">
        <v>1042444.14</v>
      </c>
      <c r="I1060" s="14">
        <v>1042444.14</v>
      </c>
      <c r="J1060" s="22">
        <f>H1060*(1+Assumptions!$B$6+IF(F1060="Yes",Assumptions!$C$6,0))</f>
        <v>1073717.4642</v>
      </c>
      <c r="K1060" s="22">
        <f>H1060*(1+Assumptions!$B$7+IF(F1060="Yes",Assumptions!$C$7,0))</f>
        <v>1094566.3470000001</v>
      </c>
      <c r="L1060" s="22">
        <f>H1060*(1+Assumptions!$B$8+IF(F1060="Yes",Assumptions!$C$8,0))</f>
        <v>1052868.5814</v>
      </c>
    </row>
    <row r="1061" spans="1:12" ht="15">
      <c r="A1061" s="21">
        <v>41075</v>
      </c>
      <c r="B1061" s="21">
        <v>41061</v>
      </c>
      <c r="C1061" s="17">
        <v>23</v>
      </c>
      <c r="D1061" s="17" t="s">
        <v>92</v>
      </c>
      <c r="E1061" s="18">
        <v>114533</v>
      </c>
      <c r="F1061" s="17" t="s">
        <v>91</v>
      </c>
      <c r="G1061" s="14">
        <v>1543667.68</v>
      </c>
      <c r="H1061" s="14">
        <v>1470457.91</v>
      </c>
      <c r="I1061" s="14">
        <v>1470457.91</v>
      </c>
      <c r="J1061" s="22">
        <f>H1061*(1+Assumptions!$B$6+IF(F1061="Yes",Assumptions!$C$6,0))</f>
        <v>1514571.6472999998</v>
      </c>
      <c r="K1061" s="22">
        <f>H1061*(1+Assumptions!$B$7+IF(F1061="Yes",Assumptions!$C$7,0))</f>
        <v>1543980.8055</v>
      </c>
      <c r="L1061" s="22">
        <f>H1061*(1+Assumptions!$B$8+IF(F1061="Yes",Assumptions!$C$8,0))</f>
        <v>1485162.4890999999</v>
      </c>
    </row>
    <row r="1062" spans="1:12" ht="15">
      <c r="A1062" s="21">
        <v>41075</v>
      </c>
      <c r="B1062" s="21">
        <v>41061</v>
      </c>
      <c r="C1062" s="17">
        <v>24</v>
      </c>
      <c r="D1062" s="17" t="s">
        <v>90</v>
      </c>
      <c r="E1062" s="18">
        <v>203819</v>
      </c>
      <c r="F1062" s="17" t="s">
        <v>91</v>
      </c>
      <c r="G1062" s="14">
        <v>1364445.98</v>
      </c>
      <c r="H1062" s="14">
        <v>1320352.03</v>
      </c>
      <c r="I1062" s="14">
        <v>1320352.03</v>
      </c>
      <c r="J1062" s="22">
        <f>H1062*(1+Assumptions!$B$6+IF(F1062="Yes",Assumptions!$C$6,0))</f>
        <v>1359962.5909</v>
      </c>
      <c r="K1062" s="22">
        <f>H1062*(1+Assumptions!$B$7+IF(F1062="Yes",Assumptions!$C$7,0))</f>
        <v>1386369.6315000001</v>
      </c>
      <c r="L1062" s="22">
        <f>H1062*(1+Assumptions!$B$8+IF(F1062="Yes",Assumptions!$C$8,0))</f>
        <v>1333555.5503</v>
      </c>
    </row>
    <row r="1063" spans="1:12" ht="15">
      <c r="A1063" s="21">
        <v>41075</v>
      </c>
      <c r="B1063" s="21">
        <v>41061</v>
      </c>
      <c r="C1063" s="17">
        <v>25</v>
      </c>
      <c r="D1063" s="17" t="s">
        <v>92</v>
      </c>
      <c r="E1063" s="18">
        <v>128107</v>
      </c>
      <c r="F1063" s="17" t="s">
        <v>91</v>
      </c>
      <c r="G1063" s="14">
        <v>753813.01</v>
      </c>
      <c r="H1063" s="14">
        <v>717373.43</v>
      </c>
      <c r="I1063" s="14">
        <v>717373.43</v>
      </c>
      <c r="J1063" s="22">
        <f>H1063*(1+Assumptions!$B$6+IF(F1063="Yes",Assumptions!$C$6,0))</f>
        <v>738894.63290000008</v>
      </c>
      <c r="K1063" s="22">
        <f>H1063*(1+Assumptions!$B$7+IF(F1063="Yes",Assumptions!$C$7,0))</f>
        <v>753242.10150000011</v>
      </c>
      <c r="L1063" s="22">
        <f>H1063*(1+Assumptions!$B$8+IF(F1063="Yes",Assumptions!$C$8,0))</f>
        <v>724547.16430000006</v>
      </c>
    </row>
    <row r="1064" spans="1:12" ht="15">
      <c r="A1064" s="21">
        <v>41075</v>
      </c>
      <c r="B1064" s="21">
        <v>41061</v>
      </c>
      <c r="C1064" s="17">
        <v>26</v>
      </c>
      <c r="D1064" s="17" t="s">
        <v>90</v>
      </c>
      <c r="E1064" s="18">
        <v>152513</v>
      </c>
      <c r="F1064" s="17" t="s">
        <v>91</v>
      </c>
      <c r="G1064" s="14">
        <v>1029200.34</v>
      </c>
      <c r="H1064" s="14">
        <v>981646.36</v>
      </c>
      <c r="I1064" s="14">
        <v>981646.36</v>
      </c>
      <c r="J1064" s="22">
        <f>H1064*(1+Assumptions!$B$6+IF(F1064="Yes",Assumptions!$C$6,0))</f>
        <v>1011095.7508</v>
      </c>
      <c r="K1064" s="22">
        <f>H1064*(1+Assumptions!$B$7+IF(F1064="Yes",Assumptions!$C$7,0))</f>
        <v>1030728.6780000001</v>
      </c>
      <c r="L1064" s="22">
        <f>H1064*(1+Assumptions!$B$8+IF(F1064="Yes",Assumptions!$C$8,0))</f>
        <v>991462.8236</v>
      </c>
    </row>
    <row r="1065" spans="1:12" ht="15">
      <c r="A1065" s="21">
        <v>41075</v>
      </c>
      <c r="B1065" s="21">
        <v>41061</v>
      </c>
      <c r="C1065" s="17">
        <v>27</v>
      </c>
      <c r="D1065" s="17" t="s">
        <v>90</v>
      </c>
      <c r="E1065" s="18">
        <v>204184</v>
      </c>
      <c r="F1065" s="17" t="s">
        <v>91</v>
      </c>
      <c r="G1065" s="14">
        <v>1773340.56</v>
      </c>
      <c r="H1065" s="14">
        <v>1814740.09</v>
      </c>
      <c r="I1065" s="14">
        <v>1814740.09</v>
      </c>
      <c r="J1065" s="22">
        <f>H1065*(1+Assumptions!$B$6+IF(F1065="Yes",Assumptions!$C$6,0))</f>
        <v>1869182.2927000001</v>
      </c>
      <c r="K1065" s="22">
        <f>H1065*(1+Assumptions!$B$7+IF(F1065="Yes",Assumptions!$C$7,0))</f>
        <v>1905477.0945000001</v>
      </c>
      <c r="L1065" s="22">
        <f>H1065*(1+Assumptions!$B$8+IF(F1065="Yes",Assumptions!$C$8,0))</f>
        <v>1832887.4909000001</v>
      </c>
    </row>
    <row r="1066" spans="1:12" ht="15">
      <c r="A1066" s="21">
        <v>41075</v>
      </c>
      <c r="B1066" s="21">
        <v>41061</v>
      </c>
      <c r="C1066" s="17">
        <v>28</v>
      </c>
      <c r="D1066" s="17" t="s">
        <v>90</v>
      </c>
      <c r="E1066" s="18">
        <v>206302</v>
      </c>
      <c r="F1066" s="17" t="s">
        <v>91</v>
      </c>
      <c r="G1066" s="14">
        <v>1229748.8999999999</v>
      </c>
      <c r="H1066" s="14">
        <v>1268503.49</v>
      </c>
      <c r="I1066" s="14">
        <v>1268503.49</v>
      </c>
      <c r="J1066" s="22">
        <f>H1066*(1+Assumptions!$B$6+IF(F1066="Yes",Assumptions!$C$6,0))</f>
        <v>1306558.5947</v>
      </c>
      <c r="K1066" s="22">
        <f>H1066*(1+Assumptions!$B$7+IF(F1066="Yes",Assumptions!$C$7,0))</f>
        <v>1331928.6645</v>
      </c>
      <c r="L1066" s="22">
        <f>H1066*(1+Assumptions!$B$8+IF(F1066="Yes",Assumptions!$C$8,0))</f>
        <v>1281188.5249000001</v>
      </c>
    </row>
    <row r="1067" spans="1:12" ht="15">
      <c r="A1067" s="21">
        <v>41075</v>
      </c>
      <c r="B1067" s="21">
        <v>41061</v>
      </c>
      <c r="C1067" s="17">
        <v>29</v>
      </c>
      <c r="D1067" s="17" t="s">
        <v>92</v>
      </c>
      <c r="E1067" s="18">
        <v>93638</v>
      </c>
      <c r="F1067" s="17" t="s">
        <v>91</v>
      </c>
      <c r="G1067" s="14">
        <v>552301.85</v>
      </c>
      <c r="H1067" s="14">
        <v>536930.52</v>
      </c>
      <c r="I1067" s="14">
        <v>536930.52</v>
      </c>
      <c r="J1067" s="22">
        <f>H1067*(1+Assumptions!$B$6+IF(F1067="Yes",Assumptions!$C$6,0))</f>
        <v>553038.43560000008</v>
      </c>
      <c r="K1067" s="22">
        <f>H1067*(1+Assumptions!$B$7+IF(F1067="Yes",Assumptions!$C$7,0))</f>
        <v>563777.04600000009</v>
      </c>
      <c r="L1067" s="22">
        <f>H1067*(1+Assumptions!$B$8+IF(F1067="Yes",Assumptions!$C$8,0))</f>
        <v>542299.82520000008</v>
      </c>
    </row>
    <row r="1068" spans="1:12" ht="15">
      <c r="A1068" s="21">
        <v>41075</v>
      </c>
      <c r="B1068" s="21">
        <v>41061</v>
      </c>
      <c r="C1068" s="17">
        <v>30</v>
      </c>
      <c r="D1068" s="17" t="s">
        <v>93</v>
      </c>
      <c r="E1068" s="18">
        <v>42988</v>
      </c>
      <c r="F1068" s="17" t="s">
        <v>91</v>
      </c>
      <c r="G1068" s="14">
        <v>438523.24</v>
      </c>
      <c r="H1068" s="14">
        <v>435230.07</v>
      </c>
      <c r="I1068" s="14">
        <v>435230.07</v>
      </c>
      <c r="J1068" s="22">
        <f>H1068*(1+Assumptions!$B$6+IF(F1068="Yes",Assumptions!$C$6,0))</f>
        <v>448286.97210000001</v>
      </c>
      <c r="K1068" s="22">
        <f>H1068*(1+Assumptions!$B$7+IF(F1068="Yes",Assumptions!$C$7,0))</f>
        <v>456991.5735</v>
      </c>
      <c r="L1068" s="22">
        <f>H1068*(1+Assumptions!$B$8+IF(F1068="Yes",Assumptions!$C$8,0))</f>
        <v>439582.37070000003</v>
      </c>
    </row>
    <row r="1069" spans="1:12" ht="15">
      <c r="A1069" s="21">
        <v>41075</v>
      </c>
      <c r="B1069" s="21">
        <v>41061</v>
      </c>
      <c r="C1069" s="17">
        <v>31</v>
      </c>
      <c r="D1069" s="17" t="s">
        <v>90</v>
      </c>
      <c r="E1069" s="18">
        <v>203750</v>
      </c>
      <c r="F1069" s="17" t="s">
        <v>91</v>
      </c>
      <c r="G1069" s="14">
        <v>1431227.43</v>
      </c>
      <c r="H1069" s="14">
        <v>1490971.33</v>
      </c>
      <c r="I1069" s="14">
        <v>1490971.33</v>
      </c>
      <c r="J1069" s="22">
        <f>H1069*(1+Assumptions!$B$6+IF(F1069="Yes",Assumptions!$C$6,0))</f>
        <v>1535700.4699000001</v>
      </c>
      <c r="K1069" s="22">
        <f>H1069*(1+Assumptions!$B$7+IF(F1069="Yes",Assumptions!$C$7,0))</f>
        <v>1565519.8965</v>
      </c>
      <c r="L1069" s="22">
        <f>H1069*(1+Assumptions!$B$8+IF(F1069="Yes",Assumptions!$C$8,0))</f>
        <v>1505881.0433</v>
      </c>
    </row>
    <row r="1070" spans="1:12" ht="15">
      <c r="A1070" s="21">
        <v>41075</v>
      </c>
      <c r="B1070" s="21">
        <v>41061</v>
      </c>
      <c r="C1070" s="17">
        <v>32</v>
      </c>
      <c r="D1070" s="17" t="s">
        <v>90</v>
      </c>
      <c r="E1070" s="18">
        <v>203007</v>
      </c>
      <c r="F1070" s="17" t="s">
        <v>91</v>
      </c>
      <c r="G1070" s="14">
        <v>1234749.54</v>
      </c>
      <c r="H1070" s="14">
        <v>1192028.1299999999</v>
      </c>
      <c r="I1070" s="14">
        <v>1192028.1299999999</v>
      </c>
      <c r="J1070" s="22">
        <f>H1070*(1+Assumptions!$B$6+IF(F1070="Yes",Assumptions!$C$6,0))</f>
        <v>1227788.9738999999</v>
      </c>
      <c r="K1070" s="22">
        <f>H1070*(1+Assumptions!$B$7+IF(F1070="Yes",Assumptions!$C$7,0))</f>
        <v>1251629.5364999999</v>
      </c>
      <c r="L1070" s="22">
        <f>H1070*(1+Assumptions!$B$8+IF(F1070="Yes",Assumptions!$C$8,0))</f>
        <v>1203948.4112999998</v>
      </c>
    </row>
    <row r="1071" spans="1:12" ht="15">
      <c r="A1071" s="21">
        <v>41075</v>
      </c>
      <c r="B1071" s="21">
        <v>41061</v>
      </c>
      <c r="C1071" s="17">
        <v>33</v>
      </c>
      <c r="D1071" s="17" t="s">
        <v>90</v>
      </c>
      <c r="E1071" s="18">
        <v>39690</v>
      </c>
      <c r="F1071" s="17" t="s">
        <v>91</v>
      </c>
      <c r="G1071" s="14">
        <v>290355.31</v>
      </c>
      <c r="H1071" s="14">
        <v>238138.66</v>
      </c>
      <c r="I1071" s="14">
        <v>238138.66</v>
      </c>
      <c r="J1071" s="22">
        <f>H1071*(1+Assumptions!$B$6+IF(F1071="Yes",Assumptions!$C$6,0))</f>
        <v>245282.8198</v>
      </c>
      <c r="K1071" s="22">
        <f>H1071*(1+Assumptions!$B$7+IF(F1071="Yes",Assumptions!$C$7,0))</f>
        <v>250045.59300000002</v>
      </c>
      <c r="L1071" s="22">
        <f>H1071*(1+Assumptions!$B$8+IF(F1071="Yes",Assumptions!$C$8,0))</f>
        <v>240520.0466</v>
      </c>
    </row>
    <row r="1072" spans="1:12" ht="15">
      <c r="A1072" s="21">
        <v>41075</v>
      </c>
      <c r="B1072" s="21">
        <v>41061</v>
      </c>
      <c r="C1072" s="17">
        <v>34</v>
      </c>
      <c r="D1072" s="17" t="s">
        <v>90</v>
      </c>
      <c r="E1072" s="18">
        <v>158114</v>
      </c>
      <c r="F1072" s="17" t="s">
        <v>91</v>
      </c>
      <c r="G1072" s="14">
        <v>982231.55</v>
      </c>
      <c r="H1072" s="14">
        <v>966761.64</v>
      </c>
      <c r="I1072" s="14">
        <v>966761.64</v>
      </c>
      <c r="J1072" s="22">
        <f>H1072*(1+Assumptions!$B$6+IF(F1072="Yes",Assumptions!$C$6,0))</f>
        <v>995764.48920000007</v>
      </c>
      <c r="K1072" s="22">
        <f>H1072*(1+Assumptions!$B$7+IF(F1072="Yes",Assumptions!$C$7,0))</f>
        <v>1015099.7220000001</v>
      </c>
      <c r="L1072" s="22">
        <f>H1072*(1+Assumptions!$B$8+IF(F1072="Yes",Assumptions!$C$8,0))</f>
        <v>976429.25640000007</v>
      </c>
    </row>
    <row r="1073" spans="1:12" ht="15">
      <c r="A1073" s="21">
        <v>41075</v>
      </c>
      <c r="B1073" s="21">
        <v>41061</v>
      </c>
      <c r="C1073" s="17">
        <v>35</v>
      </c>
      <c r="D1073" s="17" t="s">
        <v>92</v>
      </c>
      <c r="E1073" s="18">
        <v>103681</v>
      </c>
      <c r="F1073" s="17" t="s">
        <v>91</v>
      </c>
      <c r="G1073" s="14">
        <v>848284.3</v>
      </c>
      <c r="H1073" s="14">
        <v>828605.04</v>
      </c>
      <c r="I1073" s="14">
        <v>828605.04</v>
      </c>
      <c r="J1073" s="22">
        <f>H1073*(1+Assumptions!$B$6+IF(F1073="Yes",Assumptions!$C$6,0))</f>
        <v>853463.19120000012</v>
      </c>
      <c r="K1073" s="22">
        <f>H1073*(1+Assumptions!$B$7+IF(F1073="Yes",Assumptions!$C$7,0))</f>
        <v>870035.29200000013</v>
      </c>
      <c r="L1073" s="22">
        <f>H1073*(1+Assumptions!$B$8+IF(F1073="Yes",Assumptions!$C$8,0))</f>
        <v>836891.0904000001</v>
      </c>
    </row>
    <row r="1074" spans="1:12" ht="15">
      <c r="A1074" s="21">
        <v>41075</v>
      </c>
      <c r="B1074" s="21">
        <v>41061</v>
      </c>
      <c r="C1074" s="17">
        <v>36</v>
      </c>
      <c r="D1074" s="17" t="s">
        <v>90</v>
      </c>
      <c r="E1074" s="18">
        <v>39910</v>
      </c>
      <c r="F1074" s="17" t="s">
        <v>91</v>
      </c>
      <c r="G1074" s="14">
        <v>333140.90999999997</v>
      </c>
      <c r="H1074" s="14">
        <v>394637.06</v>
      </c>
      <c r="I1074" s="14">
        <v>394637.06</v>
      </c>
      <c r="J1074" s="22">
        <f>H1074*(1+Assumptions!$B$6+IF(F1074="Yes",Assumptions!$C$6,0))</f>
        <v>406476.17180000001</v>
      </c>
      <c r="K1074" s="22">
        <f>H1074*(1+Assumptions!$B$7+IF(F1074="Yes",Assumptions!$C$7,0))</f>
        <v>414368.913</v>
      </c>
      <c r="L1074" s="22">
        <f>H1074*(1+Assumptions!$B$8+IF(F1074="Yes",Assumptions!$C$8,0))</f>
        <v>398583.43060000002</v>
      </c>
    </row>
    <row r="1075" spans="1:12" ht="15">
      <c r="A1075" s="21">
        <v>41075</v>
      </c>
      <c r="B1075" s="21">
        <v>41061</v>
      </c>
      <c r="C1075" s="17">
        <v>37</v>
      </c>
      <c r="D1075" s="17" t="s">
        <v>93</v>
      </c>
      <c r="E1075" s="18">
        <v>39910</v>
      </c>
      <c r="F1075" s="17" t="s">
        <v>91</v>
      </c>
      <c r="G1075" s="14">
        <v>508347.28</v>
      </c>
      <c r="H1075" s="14">
        <v>525116.42000000004</v>
      </c>
      <c r="I1075" s="14">
        <v>525116.42000000004</v>
      </c>
      <c r="J1075" s="22">
        <f>H1075*(1+Assumptions!$B$6+IF(F1075="Yes",Assumptions!$C$6,0))</f>
        <v>540869.91260000004</v>
      </c>
      <c r="K1075" s="22">
        <f>H1075*(1+Assumptions!$B$7+IF(F1075="Yes",Assumptions!$C$7,0))</f>
        <v>551372.24100000004</v>
      </c>
      <c r="L1075" s="22">
        <f>H1075*(1+Assumptions!$B$8+IF(F1075="Yes",Assumptions!$C$8,0))</f>
        <v>530367.58420000004</v>
      </c>
    </row>
    <row r="1076" spans="1:12" ht="15">
      <c r="A1076" s="21">
        <v>41075</v>
      </c>
      <c r="B1076" s="21">
        <v>41061</v>
      </c>
      <c r="C1076" s="17">
        <v>38</v>
      </c>
      <c r="D1076" s="17" t="s">
        <v>93</v>
      </c>
      <c r="E1076" s="18">
        <v>39690</v>
      </c>
      <c r="F1076" s="17" t="s">
        <v>91</v>
      </c>
      <c r="G1076" s="14">
        <v>430195.65</v>
      </c>
      <c r="H1076" s="14">
        <v>356777.56</v>
      </c>
      <c r="I1076" s="14">
        <v>356777.56</v>
      </c>
      <c r="J1076" s="22">
        <f>H1076*(1+Assumptions!$B$6+IF(F1076="Yes",Assumptions!$C$6,0))</f>
        <v>367480.88679999998</v>
      </c>
      <c r="K1076" s="22">
        <f>H1076*(1+Assumptions!$B$7+IF(F1076="Yes",Assumptions!$C$7,0))</f>
        <v>374616.43800000002</v>
      </c>
      <c r="L1076" s="22">
        <f>H1076*(1+Assumptions!$B$8+IF(F1076="Yes",Assumptions!$C$8,0))</f>
        <v>360345.33559999999</v>
      </c>
    </row>
    <row r="1077" spans="1:12" ht="15">
      <c r="A1077" s="21">
        <v>41075</v>
      </c>
      <c r="B1077" s="21">
        <v>41061</v>
      </c>
      <c r="C1077" s="17">
        <v>39</v>
      </c>
      <c r="D1077" s="17" t="s">
        <v>90</v>
      </c>
      <c r="E1077" s="18">
        <v>184109</v>
      </c>
      <c r="F1077" s="17" t="s">
        <v>91</v>
      </c>
      <c r="G1077" s="14">
        <v>1587202.02</v>
      </c>
      <c r="H1077" s="14">
        <v>1451374.67</v>
      </c>
      <c r="I1077" s="14">
        <v>1451374.67</v>
      </c>
      <c r="J1077" s="22">
        <f>H1077*(1+Assumptions!$B$6+IF(F1077="Yes",Assumptions!$C$6,0))</f>
        <v>1494915.9101</v>
      </c>
      <c r="K1077" s="22">
        <f>H1077*(1+Assumptions!$B$7+IF(F1077="Yes",Assumptions!$C$7,0))</f>
        <v>1523943.4035</v>
      </c>
      <c r="L1077" s="22">
        <f>H1077*(1+Assumptions!$B$8+IF(F1077="Yes",Assumptions!$C$8,0))</f>
        <v>1465888.4166999999</v>
      </c>
    </row>
    <row r="1078" spans="1:12" ht="15">
      <c r="A1078" s="21">
        <v>41075</v>
      </c>
      <c r="B1078" s="21">
        <v>41061</v>
      </c>
      <c r="C1078" s="17">
        <v>40</v>
      </c>
      <c r="D1078" s="17" t="s">
        <v>90</v>
      </c>
      <c r="E1078" s="18">
        <v>155083</v>
      </c>
      <c r="F1078" s="17" t="s">
        <v>91</v>
      </c>
      <c r="G1078" s="14">
        <v>977896.52</v>
      </c>
      <c r="H1078" s="14">
        <v>971419.67</v>
      </c>
      <c r="I1078" s="14">
        <v>971419.67</v>
      </c>
      <c r="J1078" s="22">
        <f>H1078*(1+Assumptions!$B$6+IF(F1078="Yes",Assumptions!$C$6,0))</f>
        <v>1000562.2601000001</v>
      </c>
      <c r="K1078" s="22">
        <f>H1078*(1+Assumptions!$B$7+IF(F1078="Yes",Assumptions!$C$7,0))</f>
        <v>1019990.6535000001</v>
      </c>
      <c r="L1078" s="22">
        <f>H1078*(1+Assumptions!$B$8+IF(F1078="Yes",Assumptions!$C$8,0))</f>
        <v>981133.86670000001</v>
      </c>
    </row>
    <row r="1079" spans="1:12" ht="15">
      <c r="A1079" s="21">
        <v>41075</v>
      </c>
      <c r="B1079" s="21">
        <v>41061</v>
      </c>
      <c r="C1079" s="17">
        <v>41</v>
      </c>
      <c r="D1079" s="17" t="s">
        <v>90</v>
      </c>
      <c r="E1079" s="18">
        <v>196321</v>
      </c>
      <c r="F1079" s="17" t="s">
        <v>91</v>
      </c>
      <c r="G1079" s="14">
        <v>1381051.25</v>
      </c>
      <c r="H1079" s="14">
        <v>1289086.17</v>
      </c>
      <c r="I1079" s="14">
        <v>1289086.17</v>
      </c>
      <c r="J1079" s="22">
        <f>H1079*(1+Assumptions!$B$6+IF(F1079="Yes",Assumptions!$C$6,0))</f>
        <v>1327758.7551</v>
      </c>
      <c r="K1079" s="22">
        <f>H1079*(1+Assumptions!$B$7+IF(F1079="Yes",Assumptions!$C$7,0))</f>
        <v>1353540.4785</v>
      </c>
      <c r="L1079" s="22">
        <f>H1079*(1+Assumptions!$B$8+IF(F1079="Yes",Assumptions!$C$8,0))</f>
        <v>1301977.0316999999</v>
      </c>
    </row>
    <row r="1080" spans="1:12" ht="15">
      <c r="A1080" s="21">
        <v>41075</v>
      </c>
      <c r="B1080" s="21">
        <v>41061</v>
      </c>
      <c r="C1080" s="17">
        <v>42</v>
      </c>
      <c r="D1080" s="17" t="s">
        <v>93</v>
      </c>
      <c r="E1080" s="18">
        <v>39690</v>
      </c>
      <c r="F1080" s="17" t="s">
        <v>91</v>
      </c>
      <c r="G1080" s="14">
        <v>606235.75</v>
      </c>
      <c r="H1080" s="14">
        <v>546675.65</v>
      </c>
      <c r="I1080" s="14">
        <v>546675.65</v>
      </c>
      <c r="J1080" s="22">
        <f>H1080*(1+Assumptions!$B$6+IF(F1080="Yes",Assumptions!$C$6,0))</f>
        <v>563075.91950000008</v>
      </c>
      <c r="K1080" s="22">
        <f>H1080*(1+Assumptions!$B$7+IF(F1080="Yes",Assumptions!$C$7,0))</f>
        <v>574009.4325</v>
      </c>
      <c r="L1080" s="22">
        <f>H1080*(1+Assumptions!$B$8+IF(F1080="Yes",Assumptions!$C$8,0))</f>
        <v>552142.40650000004</v>
      </c>
    </row>
    <row r="1081" spans="1:12" ht="15">
      <c r="A1081" s="21">
        <v>41075</v>
      </c>
      <c r="B1081" s="21">
        <v>41061</v>
      </c>
      <c r="C1081" s="17">
        <v>43</v>
      </c>
      <c r="D1081" s="17" t="s">
        <v>93</v>
      </c>
      <c r="E1081" s="18">
        <v>41062</v>
      </c>
      <c r="F1081" s="17" t="s">
        <v>91</v>
      </c>
      <c r="G1081" s="14">
        <v>634389.28</v>
      </c>
      <c r="H1081" s="14">
        <v>665682.76</v>
      </c>
      <c r="I1081" s="14">
        <v>665682.76</v>
      </c>
      <c r="J1081" s="22">
        <f>H1081*(1+Assumptions!$B$6+IF(F1081="Yes",Assumptions!$C$6,0))</f>
        <v>685653.24280000001</v>
      </c>
      <c r="K1081" s="22">
        <f>H1081*(1+Assumptions!$B$7+IF(F1081="Yes",Assumptions!$C$7,0))</f>
        <v>698966.89800000004</v>
      </c>
      <c r="L1081" s="22">
        <f>H1081*(1+Assumptions!$B$8+IF(F1081="Yes",Assumptions!$C$8,0))</f>
        <v>672339.58759999997</v>
      </c>
    </row>
    <row r="1082" spans="1:12" ht="15">
      <c r="A1082" s="21">
        <v>41075</v>
      </c>
      <c r="B1082" s="21">
        <v>41061</v>
      </c>
      <c r="C1082" s="17">
        <v>44</v>
      </c>
      <c r="D1082" s="17" t="s">
        <v>93</v>
      </c>
      <c r="E1082" s="18">
        <v>39910</v>
      </c>
      <c r="F1082" s="17" t="s">
        <v>91</v>
      </c>
      <c r="G1082" s="14">
        <v>338168.62</v>
      </c>
      <c r="H1082" s="14">
        <v>300195.23</v>
      </c>
      <c r="I1082" s="14">
        <v>300195.23</v>
      </c>
      <c r="J1082" s="22">
        <f>H1082*(1+Assumptions!$B$6+IF(F1082="Yes",Assumptions!$C$6,0))</f>
        <v>309201.08689999999</v>
      </c>
      <c r="K1082" s="22">
        <f>H1082*(1+Assumptions!$B$7+IF(F1082="Yes",Assumptions!$C$7,0))</f>
        <v>315204.9915</v>
      </c>
      <c r="L1082" s="22">
        <f>H1082*(1+Assumptions!$B$8+IF(F1082="Yes",Assumptions!$C$8,0))</f>
        <v>303197.18229999999</v>
      </c>
    </row>
    <row r="1083" spans="1:12" ht="15">
      <c r="A1083" s="21">
        <v>41075</v>
      </c>
      <c r="B1083" s="21">
        <v>41061</v>
      </c>
      <c r="C1083" s="17">
        <v>45</v>
      </c>
      <c r="D1083" s="17" t="s">
        <v>92</v>
      </c>
      <c r="E1083" s="18">
        <v>118221</v>
      </c>
      <c r="F1083" s="17" t="s">
        <v>91</v>
      </c>
      <c r="G1083" s="14">
        <v>820183.18</v>
      </c>
      <c r="H1083" s="14">
        <v>811153.67</v>
      </c>
      <c r="I1083" s="14">
        <v>811153.67</v>
      </c>
      <c r="J1083" s="22">
        <f>H1083*(1+Assumptions!$B$6+IF(F1083="Yes",Assumptions!$C$6,0))</f>
        <v>835488.28010000009</v>
      </c>
      <c r="K1083" s="22">
        <f>H1083*(1+Assumptions!$B$7+IF(F1083="Yes",Assumptions!$C$7,0))</f>
        <v>851711.35350000008</v>
      </c>
      <c r="L1083" s="22">
        <f>H1083*(1+Assumptions!$B$8+IF(F1083="Yes",Assumptions!$C$8,0))</f>
        <v>819265.2067000001</v>
      </c>
    </row>
    <row r="1084" spans="1:12" ht="15">
      <c r="A1084" s="21">
        <v>41082</v>
      </c>
      <c r="B1084" s="21">
        <v>41061</v>
      </c>
      <c r="C1084" s="17">
        <v>1</v>
      </c>
      <c r="D1084" s="17" t="s">
        <v>90</v>
      </c>
      <c r="E1084" s="18">
        <v>151315</v>
      </c>
      <c r="F1084" s="17" t="s">
        <v>91</v>
      </c>
      <c r="G1084" s="14">
        <v>1527192.81</v>
      </c>
      <c r="H1084" s="14">
        <v>1438818.68</v>
      </c>
      <c r="I1084" s="14">
        <v>1438818.68</v>
      </c>
      <c r="J1084" s="22">
        <f>H1084*(1+Assumptions!$B$6+IF(F1084="Yes",Assumptions!$C$6,0))</f>
        <v>1481983.2404</v>
      </c>
      <c r="K1084" s="22">
        <f>H1084*(1+Assumptions!$B$7+IF(F1084="Yes",Assumptions!$C$7,0))</f>
        <v>1510759.6140000001</v>
      </c>
      <c r="L1084" s="22">
        <f>H1084*(1+Assumptions!$B$8+IF(F1084="Yes",Assumptions!$C$8,0))</f>
        <v>1453206.8668</v>
      </c>
    </row>
    <row r="1085" spans="1:12" ht="15">
      <c r="A1085" s="21">
        <v>41082</v>
      </c>
      <c r="B1085" s="21">
        <v>41061</v>
      </c>
      <c r="C1085" s="17">
        <v>2</v>
      </c>
      <c r="D1085" s="17" t="s">
        <v>90</v>
      </c>
      <c r="E1085" s="18">
        <v>202307</v>
      </c>
      <c r="F1085" s="17" t="s">
        <v>91</v>
      </c>
      <c r="G1085" s="14">
        <v>1886732.21</v>
      </c>
      <c r="H1085" s="14">
        <v>1790902.86</v>
      </c>
      <c r="I1085" s="14">
        <v>1790902.86</v>
      </c>
      <c r="J1085" s="22">
        <f>H1085*(1+Assumptions!$B$6+IF(F1085="Yes",Assumptions!$C$6,0))</f>
        <v>1844629.9458000001</v>
      </c>
      <c r="K1085" s="22">
        <f>H1085*(1+Assumptions!$B$7+IF(F1085="Yes",Assumptions!$C$7,0))</f>
        <v>1880448.0030000003</v>
      </c>
      <c r="L1085" s="22">
        <f>H1085*(1+Assumptions!$B$8+IF(F1085="Yes",Assumptions!$C$8,0))</f>
        <v>1808811.8886000002</v>
      </c>
    </row>
    <row r="1086" spans="1:12" ht="15">
      <c r="A1086" s="21">
        <v>41082</v>
      </c>
      <c r="B1086" s="21">
        <v>41061</v>
      </c>
      <c r="C1086" s="17">
        <v>3</v>
      </c>
      <c r="D1086" s="17" t="s">
        <v>92</v>
      </c>
      <c r="E1086" s="18">
        <v>37392</v>
      </c>
      <c r="F1086" s="17" t="s">
        <v>91</v>
      </c>
      <c r="G1086" s="14">
        <v>419488.54</v>
      </c>
      <c r="H1086" s="14">
        <v>385433.21</v>
      </c>
      <c r="I1086" s="14">
        <v>385433.21</v>
      </c>
      <c r="J1086" s="22">
        <f>H1086*(1+Assumptions!$B$6+IF(F1086="Yes",Assumptions!$C$6,0))</f>
        <v>396996.20630000002</v>
      </c>
      <c r="K1086" s="22">
        <f>H1086*(1+Assumptions!$B$7+IF(F1086="Yes",Assumptions!$C$7,0))</f>
        <v>404704.87050000002</v>
      </c>
      <c r="L1086" s="22">
        <f>H1086*(1+Assumptions!$B$8+IF(F1086="Yes",Assumptions!$C$8,0))</f>
        <v>389287.54210000002</v>
      </c>
    </row>
    <row r="1087" spans="1:12" ht="15">
      <c r="A1087" s="21">
        <v>41082</v>
      </c>
      <c r="B1087" s="21">
        <v>41061</v>
      </c>
      <c r="C1087" s="17">
        <v>4</v>
      </c>
      <c r="D1087" s="17" t="s">
        <v>90</v>
      </c>
      <c r="E1087" s="18">
        <v>205863</v>
      </c>
      <c r="F1087" s="17" t="s">
        <v>91</v>
      </c>
      <c r="G1087" s="14">
        <v>2197240.69</v>
      </c>
      <c r="H1087" s="14">
        <v>2008322.92</v>
      </c>
      <c r="I1087" s="14">
        <v>2008322.92</v>
      </c>
      <c r="J1087" s="22">
        <f>H1087*(1+Assumptions!$B$6+IF(F1087="Yes",Assumptions!$C$6,0))</f>
        <v>2068572.6076</v>
      </c>
      <c r="K1087" s="22">
        <f>H1087*(1+Assumptions!$B$7+IF(F1087="Yes",Assumptions!$C$7,0))</f>
        <v>2108739.0660000001</v>
      </c>
      <c r="L1087" s="22">
        <f>H1087*(1+Assumptions!$B$8+IF(F1087="Yes",Assumptions!$C$8,0))</f>
        <v>2028406.1491999999</v>
      </c>
    </row>
    <row r="1088" spans="1:12" ht="15">
      <c r="A1088" s="21">
        <v>41082</v>
      </c>
      <c r="B1088" s="21">
        <v>41061</v>
      </c>
      <c r="C1088" s="17">
        <v>5</v>
      </c>
      <c r="D1088" s="17" t="s">
        <v>92</v>
      </c>
      <c r="E1088" s="18">
        <v>34875</v>
      </c>
      <c r="F1088" s="17" t="s">
        <v>91</v>
      </c>
      <c r="G1088" s="14">
        <v>324950.21999999997</v>
      </c>
      <c r="H1088" s="14">
        <v>302802.64</v>
      </c>
      <c r="I1088" s="14">
        <v>302802.64</v>
      </c>
      <c r="J1088" s="22">
        <f>H1088*(1+Assumptions!$B$6+IF(F1088="Yes",Assumptions!$C$6,0))</f>
        <v>311886.71920000005</v>
      </c>
      <c r="K1088" s="22">
        <f>H1088*(1+Assumptions!$B$7+IF(F1088="Yes",Assumptions!$C$7,0))</f>
        <v>317942.77200000006</v>
      </c>
      <c r="L1088" s="22">
        <f>H1088*(1+Assumptions!$B$8+IF(F1088="Yes",Assumptions!$C$8,0))</f>
        <v>305830.66640000005</v>
      </c>
    </row>
    <row r="1089" spans="1:12" ht="15">
      <c r="A1089" s="21">
        <v>41082</v>
      </c>
      <c r="B1089" s="21">
        <v>41061</v>
      </c>
      <c r="C1089" s="17">
        <v>6</v>
      </c>
      <c r="D1089" s="17" t="s">
        <v>90</v>
      </c>
      <c r="E1089" s="18">
        <v>202505</v>
      </c>
      <c r="F1089" s="17" t="s">
        <v>91</v>
      </c>
      <c r="G1089" s="14">
        <v>1618272.25</v>
      </c>
      <c r="H1089" s="14">
        <v>1543319.92</v>
      </c>
      <c r="I1089" s="14">
        <v>1543319.92</v>
      </c>
      <c r="J1089" s="22">
        <f>H1089*(1+Assumptions!$B$6+IF(F1089="Yes",Assumptions!$C$6,0))</f>
        <v>1589619.5175999999</v>
      </c>
      <c r="K1089" s="22">
        <f>H1089*(1+Assumptions!$B$7+IF(F1089="Yes",Assumptions!$C$7,0))</f>
        <v>1620485.916</v>
      </c>
      <c r="L1089" s="22">
        <f>H1089*(1+Assumptions!$B$8+IF(F1089="Yes",Assumptions!$C$8,0))</f>
        <v>1558753.1191999998</v>
      </c>
    </row>
    <row r="1090" spans="1:12" ht="15">
      <c r="A1090" s="21">
        <v>41082</v>
      </c>
      <c r="B1090" s="21">
        <v>41061</v>
      </c>
      <c r="C1090" s="17">
        <v>7</v>
      </c>
      <c r="D1090" s="17" t="s">
        <v>92</v>
      </c>
      <c r="E1090" s="18">
        <v>70713</v>
      </c>
      <c r="F1090" s="17" t="s">
        <v>91</v>
      </c>
      <c r="G1090" s="14">
        <v>685883.89</v>
      </c>
      <c r="H1090" s="14">
        <v>640014.01</v>
      </c>
      <c r="I1090" s="14">
        <v>640014.01</v>
      </c>
      <c r="J1090" s="22">
        <f>H1090*(1+Assumptions!$B$6+IF(F1090="Yes",Assumptions!$C$6,0))</f>
        <v>659214.43030000001</v>
      </c>
      <c r="K1090" s="22">
        <f>H1090*(1+Assumptions!$B$7+IF(F1090="Yes",Assumptions!$C$7,0))</f>
        <v>672014.71050000004</v>
      </c>
      <c r="L1090" s="22">
        <f>H1090*(1+Assumptions!$B$8+IF(F1090="Yes",Assumptions!$C$8,0))</f>
        <v>646414.15009999997</v>
      </c>
    </row>
    <row r="1091" spans="1:12" ht="15">
      <c r="A1091" s="21">
        <v>41082</v>
      </c>
      <c r="B1091" s="21">
        <v>41061</v>
      </c>
      <c r="C1091" s="17">
        <v>8</v>
      </c>
      <c r="D1091" s="17" t="s">
        <v>90</v>
      </c>
      <c r="E1091" s="18">
        <v>155078</v>
      </c>
      <c r="F1091" s="17" t="s">
        <v>91</v>
      </c>
      <c r="G1091" s="14">
        <v>899414.65</v>
      </c>
      <c r="H1091" s="14">
        <v>864879.24</v>
      </c>
      <c r="I1091" s="14">
        <v>864879.24</v>
      </c>
      <c r="J1091" s="22">
        <f>H1091*(1+Assumptions!$B$6+IF(F1091="Yes",Assumptions!$C$6,0))</f>
        <v>890825.61719999998</v>
      </c>
      <c r="K1091" s="22">
        <f>H1091*(1+Assumptions!$B$7+IF(F1091="Yes",Assumptions!$C$7,0))</f>
        <v>908123.20200000005</v>
      </c>
      <c r="L1091" s="22">
        <f>H1091*(1+Assumptions!$B$8+IF(F1091="Yes",Assumptions!$C$8,0))</f>
        <v>873528.03240000003</v>
      </c>
    </row>
    <row r="1092" spans="1:12" ht="15">
      <c r="A1092" s="21">
        <v>41082</v>
      </c>
      <c r="B1092" s="21">
        <v>41061</v>
      </c>
      <c r="C1092" s="17">
        <v>9</v>
      </c>
      <c r="D1092" s="17" t="s">
        <v>92</v>
      </c>
      <c r="E1092" s="18">
        <v>125833</v>
      </c>
      <c r="F1092" s="17" t="s">
        <v>91</v>
      </c>
      <c r="G1092" s="14">
        <v>561923.01</v>
      </c>
      <c r="H1092" s="14">
        <v>538745.92999999993</v>
      </c>
      <c r="I1092" s="14">
        <v>538745.92999999993</v>
      </c>
      <c r="J1092" s="22">
        <f>H1092*(1+Assumptions!$B$6+IF(F1092="Yes",Assumptions!$C$6,0))</f>
        <v>554908.3078999999</v>
      </c>
      <c r="K1092" s="22">
        <f>H1092*(1+Assumptions!$B$7+IF(F1092="Yes",Assumptions!$C$7,0))</f>
        <v>565683.22649999999</v>
      </c>
      <c r="L1092" s="22">
        <f>H1092*(1+Assumptions!$B$8+IF(F1092="Yes",Assumptions!$C$8,0))</f>
        <v>544133.38929999992</v>
      </c>
    </row>
    <row r="1093" spans="1:12" ht="15">
      <c r="A1093" s="21">
        <v>41082</v>
      </c>
      <c r="B1093" s="21">
        <v>41061</v>
      </c>
      <c r="C1093" s="17">
        <v>10</v>
      </c>
      <c r="D1093" s="17" t="s">
        <v>92</v>
      </c>
      <c r="E1093" s="18">
        <v>126512</v>
      </c>
      <c r="F1093" s="17" t="s">
        <v>91</v>
      </c>
      <c r="G1093" s="14">
        <v>1755334.18</v>
      </c>
      <c r="H1093" s="14">
        <v>1711682.87</v>
      </c>
      <c r="I1093" s="14">
        <v>1711682.87</v>
      </c>
      <c r="J1093" s="22">
        <f>H1093*(1+Assumptions!$B$6+IF(F1093="Yes",Assumptions!$C$6,0))</f>
        <v>1763033.3561000002</v>
      </c>
      <c r="K1093" s="22">
        <f>H1093*(1+Assumptions!$B$7+IF(F1093="Yes",Assumptions!$C$7,0))</f>
        <v>1797267.0135000001</v>
      </c>
      <c r="L1093" s="22">
        <f>H1093*(1+Assumptions!$B$8+IF(F1093="Yes",Assumptions!$C$8,0))</f>
        <v>1728799.6987000001</v>
      </c>
    </row>
    <row r="1094" spans="1:12" ht="15">
      <c r="A1094" s="21">
        <v>41082</v>
      </c>
      <c r="B1094" s="21">
        <v>41061</v>
      </c>
      <c r="C1094" s="17">
        <v>11</v>
      </c>
      <c r="D1094" s="17" t="s">
        <v>90</v>
      </c>
      <c r="E1094" s="18">
        <v>207499</v>
      </c>
      <c r="F1094" s="17" t="s">
        <v>91</v>
      </c>
      <c r="G1094" s="14">
        <v>1354103.01</v>
      </c>
      <c r="H1094" s="14">
        <v>1255085.3800000001</v>
      </c>
      <c r="I1094" s="14">
        <v>1255085.3800000001</v>
      </c>
      <c r="J1094" s="22">
        <f>H1094*(1+Assumptions!$B$6+IF(F1094="Yes",Assumptions!$C$6,0))</f>
        <v>1292737.9414000001</v>
      </c>
      <c r="K1094" s="22">
        <f>H1094*(1+Assumptions!$B$7+IF(F1094="Yes",Assumptions!$C$7,0))</f>
        <v>1317839.6490000002</v>
      </c>
      <c r="L1094" s="22">
        <f>H1094*(1+Assumptions!$B$8+IF(F1094="Yes",Assumptions!$C$8,0))</f>
        <v>1267636.2338</v>
      </c>
    </row>
    <row r="1095" spans="1:12" ht="15">
      <c r="A1095" s="21">
        <v>41082</v>
      </c>
      <c r="B1095" s="21">
        <v>41061</v>
      </c>
      <c r="C1095" s="17">
        <v>12</v>
      </c>
      <c r="D1095" s="17" t="s">
        <v>92</v>
      </c>
      <c r="E1095" s="18">
        <v>112238</v>
      </c>
      <c r="F1095" s="17" t="s">
        <v>91</v>
      </c>
      <c r="G1095" s="14">
        <v>981300.35</v>
      </c>
      <c r="H1095" s="14">
        <v>997282.75</v>
      </c>
      <c r="I1095" s="14">
        <v>997282.75</v>
      </c>
      <c r="J1095" s="22">
        <f>H1095*(1+Assumptions!$B$6+IF(F1095="Yes",Assumptions!$C$6,0))</f>
        <v>1027201.2325</v>
      </c>
      <c r="K1095" s="22">
        <f>H1095*(1+Assumptions!$B$7+IF(F1095="Yes",Assumptions!$C$7,0))</f>
        <v>1047146.8875000001</v>
      </c>
      <c r="L1095" s="22">
        <f>H1095*(1+Assumptions!$B$8+IF(F1095="Yes",Assumptions!$C$8,0))</f>
        <v>1007255.5775</v>
      </c>
    </row>
    <row r="1096" spans="1:12" ht="15">
      <c r="A1096" s="21">
        <v>41082</v>
      </c>
      <c r="B1096" s="21">
        <v>41061</v>
      </c>
      <c r="C1096" s="17">
        <v>13</v>
      </c>
      <c r="D1096" s="17" t="s">
        <v>90</v>
      </c>
      <c r="E1096" s="18">
        <v>219622</v>
      </c>
      <c r="F1096" s="17" t="s">
        <v>91</v>
      </c>
      <c r="G1096" s="14">
        <v>2094372.01</v>
      </c>
      <c r="H1096" s="14">
        <v>2009056.79</v>
      </c>
      <c r="I1096" s="14">
        <v>2009056.79</v>
      </c>
      <c r="J1096" s="22">
        <f>H1096*(1+Assumptions!$B$6+IF(F1096="Yes",Assumptions!$C$6,0))</f>
        <v>2069328.4937</v>
      </c>
      <c r="K1096" s="22">
        <f>H1096*(1+Assumptions!$B$7+IF(F1096="Yes",Assumptions!$C$7,0))</f>
        <v>2109509.6295000003</v>
      </c>
      <c r="L1096" s="22">
        <f>H1096*(1+Assumptions!$B$8+IF(F1096="Yes",Assumptions!$C$8,0))</f>
        <v>2029147.3578999999</v>
      </c>
    </row>
    <row r="1097" spans="1:12" ht="15">
      <c r="A1097" s="21">
        <v>41082</v>
      </c>
      <c r="B1097" s="21">
        <v>41061</v>
      </c>
      <c r="C1097" s="17">
        <v>14</v>
      </c>
      <c r="D1097" s="17" t="s">
        <v>90</v>
      </c>
      <c r="E1097" s="18">
        <v>200898</v>
      </c>
      <c r="F1097" s="17" t="s">
        <v>91</v>
      </c>
      <c r="G1097" s="14">
        <v>1660228.8800000001</v>
      </c>
      <c r="H1097" s="14">
        <v>2069408.14</v>
      </c>
      <c r="I1097" s="14">
        <v>2069408.14</v>
      </c>
      <c r="J1097" s="22">
        <f>H1097*(1+Assumptions!$B$6+IF(F1097="Yes",Assumptions!$C$6,0))</f>
        <v>2131490.3841999997</v>
      </c>
      <c r="K1097" s="22">
        <f>H1097*(1+Assumptions!$B$7+IF(F1097="Yes",Assumptions!$C$7,0))</f>
        <v>2172878.5469999998</v>
      </c>
      <c r="L1097" s="22">
        <f>H1097*(1+Assumptions!$B$8+IF(F1097="Yes",Assumptions!$C$8,0))</f>
        <v>2090102.2213999999</v>
      </c>
    </row>
    <row r="1098" spans="1:12" ht="15">
      <c r="A1098" s="21">
        <v>41082</v>
      </c>
      <c r="B1098" s="21">
        <v>41061</v>
      </c>
      <c r="C1098" s="17">
        <v>15</v>
      </c>
      <c r="D1098" s="17" t="s">
        <v>92</v>
      </c>
      <c r="E1098" s="18">
        <v>123737</v>
      </c>
      <c r="F1098" s="17" t="s">
        <v>91</v>
      </c>
      <c r="G1098" s="14">
        <v>687077.6</v>
      </c>
      <c r="H1098" s="14">
        <v>656593.44999999995</v>
      </c>
      <c r="I1098" s="14">
        <v>656593.44999999995</v>
      </c>
      <c r="J1098" s="22">
        <f>H1098*(1+Assumptions!$B$6+IF(F1098="Yes",Assumptions!$C$6,0))</f>
        <v>676291.25349999999</v>
      </c>
      <c r="K1098" s="22">
        <f>H1098*(1+Assumptions!$B$7+IF(F1098="Yes",Assumptions!$C$7,0))</f>
        <v>689423.12249999994</v>
      </c>
      <c r="L1098" s="22">
        <f>H1098*(1+Assumptions!$B$8+IF(F1098="Yes",Assumptions!$C$8,0))</f>
        <v>663159.38449999993</v>
      </c>
    </row>
    <row r="1099" spans="1:12" ht="15">
      <c r="A1099" s="21">
        <v>41082</v>
      </c>
      <c r="B1099" s="21">
        <v>41061</v>
      </c>
      <c r="C1099" s="17">
        <v>16</v>
      </c>
      <c r="D1099" s="17" t="s">
        <v>92</v>
      </c>
      <c r="E1099" s="18">
        <v>57197</v>
      </c>
      <c r="F1099" s="17" t="s">
        <v>91</v>
      </c>
      <c r="G1099" s="14">
        <v>577912.25</v>
      </c>
      <c r="H1099" s="14">
        <v>569056.35</v>
      </c>
      <c r="I1099" s="14">
        <v>569056.35</v>
      </c>
      <c r="J1099" s="22">
        <f>H1099*(1+Assumptions!$B$6+IF(F1099="Yes",Assumptions!$C$6,0))</f>
        <v>586128.0405</v>
      </c>
      <c r="K1099" s="22">
        <f>H1099*(1+Assumptions!$B$7+IF(F1099="Yes",Assumptions!$C$7,0))</f>
        <v>597509.16749999998</v>
      </c>
      <c r="L1099" s="22">
        <f>H1099*(1+Assumptions!$B$8+IF(F1099="Yes",Assumptions!$C$8,0))</f>
        <v>574746.91350000002</v>
      </c>
    </row>
    <row r="1100" spans="1:12" ht="15">
      <c r="A1100" s="21">
        <v>41082</v>
      </c>
      <c r="B1100" s="21">
        <v>41061</v>
      </c>
      <c r="C1100" s="17">
        <v>17</v>
      </c>
      <c r="D1100" s="17" t="s">
        <v>92</v>
      </c>
      <c r="E1100" s="18">
        <v>93188</v>
      </c>
      <c r="F1100" s="17" t="s">
        <v>91</v>
      </c>
      <c r="G1100" s="14">
        <v>979677.71</v>
      </c>
      <c r="H1100" s="14">
        <v>919907.1</v>
      </c>
      <c r="I1100" s="14">
        <v>919907.1</v>
      </c>
      <c r="J1100" s="22">
        <f>H1100*(1+Assumptions!$B$6+IF(F1100="Yes",Assumptions!$C$6,0))</f>
        <v>947504.31299999997</v>
      </c>
      <c r="K1100" s="22">
        <f>H1100*(1+Assumptions!$B$7+IF(F1100="Yes",Assumptions!$C$7,0))</f>
        <v>965902.45500000007</v>
      </c>
      <c r="L1100" s="22">
        <f>H1100*(1+Assumptions!$B$8+IF(F1100="Yes",Assumptions!$C$8,0))</f>
        <v>929106.17099999997</v>
      </c>
    </row>
    <row r="1101" spans="1:12" ht="15">
      <c r="A1101" s="21">
        <v>41082</v>
      </c>
      <c r="B1101" s="21">
        <v>41061</v>
      </c>
      <c r="C1101" s="17">
        <v>18</v>
      </c>
      <c r="D1101" s="17" t="s">
        <v>92</v>
      </c>
      <c r="E1101" s="18">
        <v>120653</v>
      </c>
      <c r="F1101" s="17" t="s">
        <v>91</v>
      </c>
      <c r="G1101" s="14">
        <v>1080357.8899999999</v>
      </c>
      <c r="H1101" s="14">
        <v>1056478.6499999999</v>
      </c>
      <c r="I1101" s="14">
        <v>1056478.6499999999</v>
      </c>
      <c r="J1101" s="22">
        <f>H1101*(1+Assumptions!$B$6+IF(F1101="Yes",Assumptions!$C$6,0))</f>
        <v>1088173.0094999999</v>
      </c>
      <c r="K1101" s="22">
        <f>H1101*(1+Assumptions!$B$7+IF(F1101="Yes",Assumptions!$C$7,0))</f>
        <v>1109302.5825</v>
      </c>
      <c r="L1101" s="22">
        <f>H1101*(1+Assumptions!$B$8+IF(F1101="Yes",Assumptions!$C$8,0))</f>
        <v>1067043.4364999998</v>
      </c>
    </row>
    <row r="1102" spans="1:12" ht="15">
      <c r="A1102" s="21">
        <v>41082</v>
      </c>
      <c r="B1102" s="21">
        <v>41061</v>
      </c>
      <c r="C1102" s="17">
        <v>19</v>
      </c>
      <c r="D1102" s="17" t="s">
        <v>90</v>
      </c>
      <c r="E1102" s="18">
        <v>203819</v>
      </c>
      <c r="F1102" s="17" t="s">
        <v>91</v>
      </c>
      <c r="G1102" s="14">
        <v>1468274.29</v>
      </c>
      <c r="H1102" s="14">
        <v>1440785.7</v>
      </c>
      <c r="I1102" s="14">
        <v>1440785.7</v>
      </c>
      <c r="J1102" s="22">
        <f>H1102*(1+Assumptions!$B$6+IF(F1102="Yes",Assumptions!$C$6,0))</f>
        <v>1484009.2709999999</v>
      </c>
      <c r="K1102" s="22">
        <f>H1102*(1+Assumptions!$B$7+IF(F1102="Yes",Assumptions!$C$7,0))</f>
        <v>1512824.9850000001</v>
      </c>
      <c r="L1102" s="22">
        <f>H1102*(1+Assumptions!$B$8+IF(F1102="Yes",Assumptions!$C$8,0))</f>
        <v>1455193.557</v>
      </c>
    </row>
    <row r="1103" spans="1:12" ht="15">
      <c r="A1103" s="21">
        <v>41082</v>
      </c>
      <c r="B1103" s="21">
        <v>41061</v>
      </c>
      <c r="C1103" s="17">
        <v>20</v>
      </c>
      <c r="D1103" s="17" t="s">
        <v>90</v>
      </c>
      <c r="E1103" s="18">
        <v>203742</v>
      </c>
      <c r="F1103" s="17" t="s">
        <v>91</v>
      </c>
      <c r="G1103" s="14">
        <v>2058989.69</v>
      </c>
      <c r="H1103" s="14">
        <v>1950826.22</v>
      </c>
      <c r="I1103" s="14">
        <v>1950826.22</v>
      </c>
      <c r="J1103" s="22">
        <f>H1103*(1+Assumptions!$B$6+IF(F1103="Yes",Assumptions!$C$6,0))</f>
        <v>2009351.0066</v>
      </c>
      <c r="K1103" s="22">
        <f>H1103*(1+Assumptions!$B$7+IF(F1103="Yes",Assumptions!$C$7,0))</f>
        <v>2048367.531</v>
      </c>
      <c r="L1103" s="22">
        <f>H1103*(1+Assumptions!$B$8+IF(F1103="Yes",Assumptions!$C$8,0))</f>
        <v>1970334.4822</v>
      </c>
    </row>
    <row r="1104" spans="1:12" ht="15">
      <c r="A1104" s="21">
        <v>41082</v>
      </c>
      <c r="B1104" s="21">
        <v>41061</v>
      </c>
      <c r="C1104" s="17">
        <v>21</v>
      </c>
      <c r="D1104" s="17" t="s">
        <v>92</v>
      </c>
      <c r="E1104" s="18">
        <v>140167</v>
      </c>
      <c r="F1104" s="17" t="s">
        <v>91</v>
      </c>
      <c r="G1104" s="14">
        <v>735718.46</v>
      </c>
      <c r="H1104" s="14">
        <v>771223.98</v>
      </c>
      <c r="I1104" s="14">
        <v>771223.98</v>
      </c>
      <c r="J1104" s="22">
        <f>H1104*(1+Assumptions!$B$6+IF(F1104="Yes",Assumptions!$C$6,0))</f>
        <v>794360.69940000004</v>
      </c>
      <c r="K1104" s="22">
        <f>H1104*(1+Assumptions!$B$7+IF(F1104="Yes",Assumptions!$C$7,0))</f>
        <v>809785.179</v>
      </c>
      <c r="L1104" s="22">
        <f>H1104*(1+Assumptions!$B$8+IF(F1104="Yes",Assumptions!$C$8,0))</f>
        <v>778936.21979999996</v>
      </c>
    </row>
    <row r="1105" spans="1:12" ht="15">
      <c r="A1105" s="21">
        <v>41082</v>
      </c>
      <c r="B1105" s="21">
        <v>41061</v>
      </c>
      <c r="C1105" s="17">
        <v>22</v>
      </c>
      <c r="D1105" s="17" t="s">
        <v>92</v>
      </c>
      <c r="E1105" s="18">
        <v>119557</v>
      </c>
      <c r="F1105" s="17" t="s">
        <v>91</v>
      </c>
      <c r="G1105" s="14">
        <v>1111354.25</v>
      </c>
      <c r="H1105" s="14">
        <v>1012584.1</v>
      </c>
      <c r="I1105" s="14">
        <v>1012584.1</v>
      </c>
      <c r="J1105" s="22">
        <f>H1105*(1+Assumptions!$B$6+IF(F1105="Yes",Assumptions!$C$6,0))</f>
        <v>1042961.623</v>
      </c>
      <c r="K1105" s="22">
        <f>H1105*(1+Assumptions!$B$7+IF(F1105="Yes",Assumptions!$C$7,0))</f>
        <v>1063213.3049999999</v>
      </c>
      <c r="L1105" s="22">
        <f>H1105*(1+Assumptions!$B$8+IF(F1105="Yes",Assumptions!$C$8,0))</f>
        <v>1022709.941</v>
      </c>
    </row>
    <row r="1106" spans="1:12" ht="15">
      <c r="A1106" s="21">
        <v>41082</v>
      </c>
      <c r="B1106" s="21">
        <v>41061</v>
      </c>
      <c r="C1106" s="17">
        <v>23</v>
      </c>
      <c r="D1106" s="17" t="s">
        <v>92</v>
      </c>
      <c r="E1106" s="18">
        <v>114533</v>
      </c>
      <c r="F1106" s="17" t="s">
        <v>91</v>
      </c>
      <c r="G1106" s="14">
        <v>1522032.43</v>
      </c>
      <c r="H1106" s="14">
        <v>1433961.79</v>
      </c>
      <c r="I1106" s="14">
        <v>1433961.79</v>
      </c>
      <c r="J1106" s="22">
        <f>H1106*(1+Assumptions!$B$6+IF(F1106="Yes",Assumptions!$C$6,0))</f>
        <v>1476980.6437000001</v>
      </c>
      <c r="K1106" s="22">
        <f>H1106*(1+Assumptions!$B$7+IF(F1106="Yes",Assumptions!$C$7,0))</f>
        <v>1505659.8795</v>
      </c>
      <c r="L1106" s="22">
        <f>H1106*(1+Assumptions!$B$8+IF(F1106="Yes",Assumptions!$C$8,0))</f>
        <v>1448301.4079</v>
      </c>
    </row>
    <row r="1107" spans="1:12" ht="15">
      <c r="A1107" s="21">
        <v>41082</v>
      </c>
      <c r="B1107" s="21">
        <v>41061</v>
      </c>
      <c r="C1107" s="17">
        <v>24</v>
      </c>
      <c r="D1107" s="17" t="s">
        <v>90</v>
      </c>
      <c r="E1107" s="18">
        <v>203819</v>
      </c>
      <c r="F1107" s="17" t="s">
        <v>91</v>
      </c>
      <c r="G1107" s="14">
        <v>1434647.66</v>
      </c>
      <c r="H1107" s="14">
        <v>1304580.75</v>
      </c>
      <c r="I1107" s="14">
        <v>1304580.75</v>
      </c>
      <c r="J1107" s="22">
        <f>H1107*(1+Assumptions!$B$6+IF(F1107="Yes",Assumptions!$C$6,0))</f>
        <v>1343718.1725000001</v>
      </c>
      <c r="K1107" s="22">
        <f>H1107*(1+Assumptions!$B$7+IF(F1107="Yes",Assumptions!$C$7,0))</f>
        <v>1369809.7875000001</v>
      </c>
      <c r="L1107" s="22">
        <f>H1107*(1+Assumptions!$B$8+IF(F1107="Yes",Assumptions!$C$8,0))</f>
        <v>1317626.5575000001</v>
      </c>
    </row>
    <row r="1108" spans="1:12" ht="15">
      <c r="A1108" s="21">
        <v>41082</v>
      </c>
      <c r="B1108" s="21">
        <v>41061</v>
      </c>
      <c r="C1108" s="17">
        <v>25</v>
      </c>
      <c r="D1108" s="17" t="s">
        <v>92</v>
      </c>
      <c r="E1108" s="18">
        <v>128107</v>
      </c>
      <c r="F1108" s="17" t="s">
        <v>91</v>
      </c>
      <c r="G1108" s="14">
        <v>721436.05</v>
      </c>
      <c r="H1108" s="14">
        <v>698748.6</v>
      </c>
      <c r="I1108" s="14">
        <v>698748.6</v>
      </c>
      <c r="J1108" s="22">
        <f>H1108*(1+Assumptions!$B$6+IF(F1108="Yes",Assumptions!$C$6,0))</f>
        <v>719711.05799999996</v>
      </c>
      <c r="K1108" s="22">
        <f>H1108*(1+Assumptions!$B$7+IF(F1108="Yes",Assumptions!$C$7,0))</f>
        <v>733686.03</v>
      </c>
      <c r="L1108" s="22">
        <f>H1108*(1+Assumptions!$B$8+IF(F1108="Yes",Assumptions!$C$8,0))</f>
        <v>705736.08600000001</v>
      </c>
    </row>
    <row r="1109" spans="1:12" ht="15">
      <c r="A1109" s="21">
        <v>41082</v>
      </c>
      <c r="B1109" s="21">
        <v>41061</v>
      </c>
      <c r="C1109" s="17">
        <v>26</v>
      </c>
      <c r="D1109" s="17" t="s">
        <v>90</v>
      </c>
      <c r="E1109" s="18">
        <v>152513</v>
      </c>
      <c r="F1109" s="17" t="s">
        <v>91</v>
      </c>
      <c r="G1109" s="14">
        <v>1055846.9099999999</v>
      </c>
      <c r="H1109" s="14">
        <v>997474.93</v>
      </c>
      <c r="I1109" s="14">
        <v>997474.93</v>
      </c>
      <c r="J1109" s="22">
        <f>H1109*(1+Assumptions!$B$6+IF(F1109="Yes",Assumptions!$C$6,0))</f>
        <v>1027399.1779000001</v>
      </c>
      <c r="K1109" s="22">
        <f>H1109*(1+Assumptions!$B$7+IF(F1109="Yes",Assumptions!$C$7,0))</f>
        <v>1047348.6765000001</v>
      </c>
      <c r="L1109" s="22">
        <f>H1109*(1+Assumptions!$B$8+IF(F1109="Yes",Assumptions!$C$8,0))</f>
        <v>1007449.6793000001</v>
      </c>
    </row>
    <row r="1110" spans="1:12" ht="15">
      <c r="A1110" s="21">
        <v>41082</v>
      </c>
      <c r="B1110" s="21">
        <v>41061</v>
      </c>
      <c r="C1110" s="17">
        <v>27</v>
      </c>
      <c r="D1110" s="17" t="s">
        <v>90</v>
      </c>
      <c r="E1110" s="18">
        <v>204184</v>
      </c>
      <c r="F1110" s="17" t="s">
        <v>91</v>
      </c>
      <c r="G1110" s="14">
        <v>1837854.79</v>
      </c>
      <c r="H1110" s="14">
        <v>1811343.91</v>
      </c>
      <c r="I1110" s="14">
        <v>1811343.91</v>
      </c>
      <c r="J1110" s="22">
        <f>H1110*(1+Assumptions!$B$6+IF(F1110="Yes",Assumptions!$C$6,0))</f>
        <v>1865684.2272999999</v>
      </c>
      <c r="K1110" s="22">
        <f>H1110*(1+Assumptions!$B$7+IF(F1110="Yes",Assumptions!$C$7,0))</f>
        <v>1901911.1055000001</v>
      </c>
      <c r="L1110" s="22">
        <f>H1110*(1+Assumptions!$B$8+IF(F1110="Yes",Assumptions!$C$8,0))</f>
        <v>1829457.3491</v>
      </c>
    </row>
    <row r="1111" spans="1:12" ht="15">
      <c r="A1111" s="21">
        <v>41082</v>
      </c>
      <c r="B1111" s="21">
        <v>41061</v>
      </c>
      <c r="C1111" s="17">
        <v>28</v>
      </c>
      <c r="D1111" s="17" t="s">
        <v>90</v>
      </c>
      <c r="E1111" s="18">
        <v>206302</v>
      </c>
      <c r="F1111" s="17" t="s">
        <v>91</v>
      </c>
      <c r="G1111" s="14">
        <v>1180631.55</v>
      </c>
      <c r="H1111" s="14">
        <v>1208809.3400000001</v>
      </c>
      <c r="I1111" s="14">
        <v>1208809.3400000001</v>
      </c>
      <c r="J1111" s="22">
        <f>H1111*(1+Assumptions!$B$6+IF(F1111="Yes",Assumptions!$C$6,0))</f>
        <v>1245073.6202</v>
      </c>
      <c r="K1111" s="22">
        <f>H1111*(1+Assumptions!$B$7+IF(F1111="Yes",Assumptions!$C$7,0))</f>
        <v>1269249.807</v>
      </c>
      <c r="L1111" s="22">
        <f>H1111*(1+Assumptions!$B$8+IF(F1111="Yes",Assumptions!$C$8,0))</f>
        <v>1220897.4334</v>
      </c>
    </row>
    <row r="1112" spans="1:12" ht="15">
      <c r="A1112" s="21">
        <v>41082</v>
      </c>
      <c r="B1112" s="21">
        <v>41061</v>
      </c>
      <c r="C1112" s="17">
        <v>29</v>
      </c>
      <c r="D1112" s="17" t="s">
        <v>92</v>
      </c>
      <c r="E1112" s="18">
        <v>93638</v>
      </c>
      <c r="F1112" s="17" t="s">
        <v>91</v>
      </c>
      <c r="G1112" s="14">
        <v>581816.53</v>
      </c>
      <c r="H1112" s="14">
        <v>544718.17000000004</v>
      </c>
      <c r="I1112" s="14">
        <v>544718.17000000004</v>
      </c>
      <c r="J1112" s="22">
        <f>H1112*(1+Assumptions!$B$6+IF(F1112="Yes",Assumptions!$C$6,0))</f>
        <v>561059.71510000003</v>
      </c>
      <c r="K1112" s="22">
        <f>H1112*(1+Assumptions!$B$7+IF(F1112="Yes",Assumptions!$C$7,0))</f>
        <v>571954.07850000006</v>
      </c>
      <c r="L1112" s="22">
        <f>H1112*(1+Assumptions!$B$8+IF(F1112="Yes",Assumptions!$C$8,0))</f>
        <v>550165.3517</v>
      </c>
    </row>
    <row r="1113" spans="1:12" ht="15">
      <c r="A1113" s="21">
        <v>41082</v>
      </c>
      <c r="B1113" s="21">
        <v>41061</v>
      </c>
      <c r="C1113" s="17">
        <v>30</v>
      </c>
      <c r="D1113" s="17" t="s">
        <v>93</v>
      </c>
      <c r="E1113" s="18">
        <v>42988</v>
      </c>
      <c r="F1113" s="17" t="s">
        <v>91</v>
      </c>
      <c r="G1113" s="14">
        <v>428550.63</v>
      </c>
      <c r="H1113" s="14">
        <v>422585.08999999997</v>
      </c>
      <c r="I1113" s="14">
        <v>422585.08999999997</v>
      </c>
      <c r="J1113" s="22">
        <f>H1113*(1+Assumptions!$B$6+IF(F1113="Yes",Assumptions!$C$6,0))</f>
        <v>435262.64269999997</v>
      </c>
      <c r="K1113" s="22">
        <f>H1113*(1+Assumptions!$B$7+IF(F1113="Yes",Assumptions!$C$7,0))</f>
        <v>443714.34450000001</v>
      </c>
      <c r="L1113" s="22">
        <f>H1113*(1+Assumptions!$B$8+IF(F1113="Yes",Assumptions!$C$8,0))</f>
        <v>426810.94089999999</v>
      </c>
    </row>
    <row r="1114" spans="1:12" ht="15">
      <c r="A1114" s="21">
        <v>41082</v>
      </c>
      <c r="B1114" s="21">
        <v>41061</v>
      </c>
      <c r="C1114" s="17">
        <v>31</v>
      </c>
      <c r="D1114" s="17" t="s">
        <v>90</v>
      </c>
      <c r="E1114" s="18">
        <v>203750</v>
      </c>
      <c r="F1114" s="17" t="s">
        <v>91</v>
      </c>
      <c r="G1114" s="14">
        <v>1394030.76</v>
      </c>
      <c r="H1114" s="14">
        <v>1375951.99</v>
      </c>
      <c r="I1114" s="14">
        <v>1375951.99</v>
      </c>
      <c r="J1114" s="22">
        <f>H1114*(1+Assumptions!$B$6+IF(F1114="Yes",Assumptions!$C$6,0))</f>
        <v>1417230.5497000001</v>
      </c>
      <c r="K1114" s="22">
        <f>H1114*(1+Assumptions!$B$7+IF(F1114="Yes",Assumptions!$C$7,0))</f>
        <v>1444749.5895</v>
      </c>
      <c r="L1114" s="22">
        <f>H1114*(1+Assumptions!$B$8+IF(F1114="Yes",Assumptions!$C$8,0))</f>
        <v>1389711.5098999999</v>
      </c>
    </row>
    <row r="1115" spans="1:12" ht="15">
      <c r="A1115" s="21">
        <v>41082</v>
      </c>
      <c r="B1115" s="21">
        <v>41061</v>
      </c>
      <c r="C1115" s="17">
        <v>32</v>
      </c>
      <c r="D1115" s="17" t="s">
        <v>90</v>
      </c>
      <c r="E1115" s="18">
        <v>203007</v>
      </c>
      <c r="F1115" s="17" t="s">
        <v>91</v>
      </c>
      <c r="G1115" s="14">
        <v>1196905.03</v>
      </c>
      <c r="H1115" s="14">
        <v>1163848.6399999999</v>
      </c>
      <c r="I1115" s="14">
        <v>1163848.6399999999</v>
      </c>
      <c r="J1115" s="22">
        <f>H1115*(1+Assumptions!$B$6+IF(F1115="Yes",Assumptions!$C$6,0))</f>
        <v>1198764.0991999998</v>
      </c>
      <c r="K1115" s="22">
        <f>H1115*(1+Assumptions!$B$7+IF(F1115="Yes",Assumptions!$C$7,0))</f>
        <v>1222041.0719999999</v>
      </c>
      <c r="L1115" s="22">
        <f>H1115*(1+Assumptions!$B$8+IF(F1115="Yes",Assumptions!$C$8,0))</f>
        <v>1175487.1264</v>
      </c>
    </row>
    <row r="1116" spans="1:12" ht="15">
      <c r="A1116" s="21">
        <v>41082</v>
      </c>
      <c r="B1116" s="21">
        <v>41061</v>
      </c>
      <c r="C1116" s="17">
        <v>33</v>
      </c>
      <c r="D1116" s="17" t="s">
        <v>90</v>
      </c>
      <c r="E1116" s="18">
        <v>39690</v>
      </c>
      <c r="F1116" s="17" t="s">
        <v>91</v>
      </c>
      <c r="G1116" s="14">
        <v>261521.66</v>
      </c>
      <c r="H1116" s="14">
        <v>238395.91</v>
      </c>
      <c r="I1116" s="14">
        <v>238395.91</v>
      </c>
      <c r="J1116" s="22">
        <f>H1116*(1+Assumptions!$B$6+IF(F1116="Yes",Assumptions!$C$6,0))</f>
        <v>245547.7873</v>
      </c>
      <c r="K1116" s="22">
        <f>H1116*(1+Assumptions!$B$7+IF(F1116="Yes",Assumptions!$C$7,0))</f>
        <v>250315.70550000001</v>
      </c>
      <c r="L1116" s="22">
        <f>H1116*(1+Assumptions!$B$8+IF(F1116="Yes",Assumptions!$C$8,0))</f>
        <v>240779.86910000001</v>
      </c>
    </row>
    <row r="1117" spans="1:12" ht="15">
      <c r="A1117" s="21">
        <v>41082</v>
      </c>
      <c r="B1117" s="21">
        <v>41061</v>
      </c>
      <c r="C1117" s="17">
        <v>34</v>
      </c>
      <c r="D1117" s="17" t="s">
        <v>90</v>
      </c>
      <c r="E1117" s="18">
        <v>158114</v>
      </c>
      <c r="F1117" s="17" t="s">
        <v>91</v>
      </c>
      <c r="G1117" s="14">
        <v>1000279.16</v>
      </c>
      <c r="H1117" s="14">
        <v>922821.04</v>
      </c>
      <c r="I1117" s="14">
        <v>922821.04</v>
      </c>
      <c r="J1117" s="22">
        <f>H1117*(1+Assumptions!$B$6+IF(F1117="Yes",Assumptions!$C$6,0))</f>
        <v>950505.6712000001</v>
      </c>
      <c r="K1117" s="22">
        <f>H1117*(1+Assumptions!$B$7+IF(F1117="Yes",Assumptions!$C$7,0))</f>
        <v>968962.09200000006</v>
      </c>
      <c r="L1117" s="22">
        <f>H1117*(1+Assumptions!$B$8+IF(F1117="Yes",Assumptions!$C$8,0))</f>
        <v>932049.25040000002</v>
      </c>
    </row>
    <row r="1118" spans="1:12" ht="15">
      <c r="A1118" s="21">
        <v>41082</v>
      </c>
      <c r="B1118" s="21">
        <v>41061</v>
      </c>
      <c r="C1118" s="17">
        <v>35</v>
      </c>
      <c r="D1118" s="17" t="s">
        <v>92</v>
      </c>
      <c r="E1118" s="18">
        <v>103681</v>
      </c>
      <c r="F1118" s="17" t="s">
        <v>91</v>
      </c>
      <c r="G1118" s="14">
        <v>911702.71</v>
      </c>
      <c r="H1118" s="14">
        <v>849391.85</v>
      </c>
      <c r="I1118" s="14">
        <v>849391.85</v>
      </c>
      <c r="J1118" s="22">
        <f>H1118*(1+Assumptions!$B$6+IF(F1118="Yes",Assumptions!$C$6,0))</f>
        <v>874873.60549999995</v>
      </c>
      <c r="K1118" s="22">
        <f>H1118*(1+Assumptions!$B$7+IF(F1118="Yes",Assumptions!$C$7,0))</f>
        <v>891861.4425</v>
      </c>
      <c r="L1118" s="22">
        <f>H1118*(1+Assumptions!$B$8+IF(F1118="Yes",Assumptions!$C$8,0))</f>
        <v>857885.76850000001</v>
      </c>
    </row>
    <row r="1119" spans="1:12" ht="15">
      <c r="A1119" s="21">
        <v>41082</v>
      </c>
      <c r="B1119" s="21">
        <v>41061</v>
      </c>
      <c r="C1119" s="17">
        <v>36</v>
      </c>
      <c r="D1119" s="17" t="s">
        <v>90</v>
      </c>
      <c r="E1119" s="18">
        <v>39910</v>
      </c>
      <c r="F1119" s="17" t="s">
        <v>91</v>
      </c>
      <c r="G1119" s="14">
        <v>306396.01</v>
      </c>
      <c r="H1119" s="14">
        <v>360001.44</v>
      </c>
      <c r="I1119" s="14">
        <v>360001.44</v>
      </c>
      <c r="J1119" s="22">
        <f>H1119*(1+Assumptions!$B$6+IF(F1119="Yes",Assumptions!$C$6,0))</f>
        <v>370801.48320000002</v>
      </c>
      <c r="K1119" s="22">
        <f>H1119*(1+Assumptions!$B$7+IF(F1119="Yes",Assumptions!$C$7,0))</f>
        <v>378001.51200000005</v>
      </c>
      <c r="L1119" s="22">
        <f>H1119*(1+Assumptions!$B$8+IF(F1119="Yes",Assumptions!$C$8,0))</f>
        <v>363601.45439999999</v>
      </c>
    </row>
    <row r="1120" spans="1:12" ht="15">
      <c r="A1120" s="21">
        <v>41082</v>
      </c>
      <c r="B1120" s="21">
        <v>41061</v>
      </c>
      <c r="C1120" s="17">
        <v>37</v>
      </c>
      <c r="D1120" s="17" t="s">
        <v>93</v>
      </c>
      <c r="E1120" s="18">
        <v>39910</v>
      </c>
      <c r="F1120" s="17" t="s">
        <v>91</v>
      </c>
      <c r="G1120" s="14">
        <v>483930.81</v>
      </c>
      <c r="H1120" s="14">
        <v>509271.22</v>
      </c>
      <c r="I1120" s="14">
        <v>509271.22</v>
      </c>
      <c r="J1120" s="22">
        <f>H1120*(1+Assumptions!$B$6+IF(F1120="Yes",Assumptions!$C$6,0))</f>
        <v>524549.35659999994</v>
      </c>
      <c r="K1120" s="22">
        <f>H1120*(1+Assumptions!$B$7+IF(F1120="Yes",Assumptions!$C$7,0))</f>
        <v>534734.78099999996</v>
      </c>
      <c r="L1120" s="22">
        <f>H1120*(1+Assumptions!$B$8+IF(F1120="Yes",Assumptions!$C$8,0))</f>
        <v>514363.93219999998</v>
      </c>
    </row>
    <row r="1121" spans="1:12" ht="15">
      <c r="A1121" s="21">
        <v>41082</v>
      </c>
      <c r="B1121" s="21">
        <v>41061</v>
      </c>
      <c r="C1121" s="17">
        <v>38</v>
      </c>
      <c r="D1121" s="17" t="s">
        <v>93</v>
      </c>
      <c r="E1121" s="18">
        <v>39690</v>
      </c>
      <c r="F1121" s="17" t="s">
        <v>91</v>
      </c>
      <c r="G1121" s="14">
        <v>405911.62</v>
      </c>
      <c r="H1121" s="14">
        <v>354075.45999999996</v>
      </c>
      <c r="I1121" s="14">
        <v>354075.45999999996</v>
      </c>
      <c r="J1121" s="22">
        <f>H1121*(1+Assumptions!$B$6+IF(F1121="Yes",Assumptions!$C$6,0))</f>
        <v>364697.72379999998</v>
      </c>
      <c r="K1121" s="22">
        <f>H1121*(1+Assumptions!$B$7+IF(F1121="Yes",Assumptions!$C$7,0))</f>
        <v>371779.23299999995</v>
      </c>
      <c r="L1121" s="22">
        <f>H1121*(1+Assumptions!$B$8+IF(F1121="Yes",Assumptions!$C$8,0))</f>
        <v>357616.21459999995</v>
      </c>
    </row>
    <row r="1122" spans="1:12" ht="15">
      <c r="A1122" s="21">
        <v>41082</v>
      </c>
      <c r="B1122" s="21">
        <v>41061</v>
      </c>
      <c r="C1122" s="17">
        <v>39</v>
      </c>
      <c r="D1122" s="17" t="s">
        <v>90</v>
      </c>
      <c r="E1122" s="18">
        <v>184109</v>
      </c>
      <c r="F1122" s="17" t="s">
        <v>91</v>
      </c>
      <c r="G1122" s="14">
        <v>1532243.79</v>
      </c>
      <c r="H1122" s="14">
        <v>1363167.95</v>
      </c>
      <c r="I1122" s="14">
        <v>1363167.95</v>
      </c>
      <c r="J1122" s="22">
        <f>H1122*(1+Assumptions!$B$6+IF(F1122="Yes",Assumptions!$C$6,0))</f>
        <v>1404062.9885</v>
      </c>
      <c r="K1122" s="22">
        <f>H1122*(1+Assumptions!$B$7+IF(F1122="Yes",Assumptions!$C$7,0))</f>
        <v>1431326.3474999999</v>
      </c>
      <c r="L1122" s="22">
        <f>H1122*(1+Assumptions!$B$8+IF(F1122="Yes",Assumptions!$C$8,0))</f>
        <v>1376799.6295</v>
      </c>
    </row>
    <row r="1123" spans="1:12" ht="15">
      <c r="A1123" s="21">
        <v>41082</v>
      </c>
      <c r="B1123" s="21">
        <v>41061</v>
      </c>
      <c r="C1123" s="17">
        <v>40</v>
      </c>
      <c r="D1123" s="17" t="s">
        <v>90</v>
      </c>
      <c r="E1123" s="18">
        <v>155083</v>
      </c>
      <c r="F1123" s="17" t="s">
        <v>91</v>
      </c>
      <c r="G1123" s="14">
        <v>1033466.69</v>
      </c>
      <c r="H1123" s="14">
        <v>977102.7</v>
      </c>
      <c r="I1123" s="14">
        <v>977102.7</v>
      </c>
      <c r="J1123" s="22">
        <f>H1123*(1+Assumptions!$B$6+IF(F1123="Yes",Assumptions!$C$6,0))</f>
        <v>1006415.781</v>
      </c>
      <c r="K1123" s="22">
        <f>H1123*(1+Assumptions!$B$7+IF(F1123="Yes",Assumptions!$C$7,0))</f>
        <v>1025957.835</v>
      </c>
      <c r="L1123" s="22">
        <f>H1123*(1+Assumptions!$B$8+IF(F1123="Yes",Assumptions!$C$8,0))</f>
        <v>986873.72699999996</v>
      </c>
    </row>
    <row r="1124" spans="1:12" ht="15">
      <c r="A1124" s="21">
        <v>41082</v>
      </c>
      <c r="B1124" s="21">
        <v>41061</v>
      </c>
      <c r="C1124" s="17">
        <v>41</v>
      </c>
      <c r="D1124" s="17" t="s">
        <v>90</v>
      </c>
      <c r="E1124" s="18">
        <v>196321</v>
      </c>
      <c r="F1124" s="17" t="s">
        <v>91</v>
      </c>
      <c r="G1124" s="14">
        <v>1384730.86</v>
      </c>
      <c r="H1124" s="14">
        <v>1244340.56</v>
      </c>
      <c r="I1124" s="14">
        <v>1244340.56</v>
      </c>
      <c r="J1124" s="22">
        <f>H1124*(1+Assumptions!$B$6+IF(F1124="Yes",Assumptions!$C$6,0))</f>
        <v>1281670.7768000001</v>
      </c>
      <c r="K1124" s="22">
        <f>H1124*(1+Assumptions!$B$7+IF(F1124="Yes",Assumptions!$C$7,0))</f>
        <v>1306557.5880000002</v>
      </c>
      <c r="L1124" s="22">
        <f>H1124*(1+Assumptions!$B$8+IF(F1124="Yes",Assumptions!$C$8,0))</f>
        <v>1256783.9656</v>
      </c>
    </row>
    <row r="1125" spans="1:12" ht="15">
      <c r="A1125" s="21">
        <v>41082</v>
      </c>
      <c r="B1125" s="21">
        <v>41061</v>
      </c>
      <c r="C1125" s="17">
        <v>42</v>
      </c>
      <c r="D1125" s="17" t="s">
        <v>93</v>
      </c>
      <c r="E1125" s="18">
        <v>39690</v>
      </c>
      <c r="F1125" s="17" t="s">
        <v>91</v>
      </c>
      <c r="G1125" s="14">
        <v>539965.79</v>
      </c>
      <c r="H1125" s="14">
        <v>501780.66000000003</v>
      </c>
      <c r="I1125" s="14">
        <v>501780.66000000003</v>
      </c>
      <c r="J1125" s="22">
        <f>H1125*(1+Assumptions!$B$6+IF(F1125="Yes",Assumptions!$C$6,0))</f>
        <v>516834.07980000007</v>
      </c>
      <c r="K1125" s="22">
        <f>H1125*(1+Assumptions!$B$7+IF(F1125="Yes",Assumptions!$C$7,0))</f>
        <v>526869.69300000009</v>
      </c>
      <c r="L1125" s="22">
        <f>H1125*(1+Assumptions!$B$8+IF(F1125="Yes",Assumptions!$C$8,0))</f>
        <v>506798.46660000004</v>
      </c>
    </row>
    <row r="1126" spans="1:12" ht="15">
      <c r="A1126" s="21">
        <v>41082</v>
      </c>
      <c r="B1126" s="21">
        <v>41061</v>
      </c>
      <c r="C1126" s="17">
        <v>43</v>
      </c>
      <c r="D1126" s="17" t="s">
        <v>93</v>
      </c>
      <c r="E1126" s="18">
        <v>41062</v>
      </c>
      <c r="F1126" s="17" t="s">
        <v>91</v>
      </c>
      <c r="G1126" s="14">
        <v>612909.91</v>
      </c>
      <c r="H1126" s="14">
        <v>604887.80000000005</v>
      </c>
      <c r="I1126" s="14">
        <v>604887.80000000005</v>
      </c>
      <c r="J1126" s="22">
        <f>H1126*(1+Assumptions!$B$6+IF(F1126="Yes",Assumptions!$C$6,0))</f>
        <v>623034.43400000001</v>
      </c>
      <c r="K1126" s="22">
        <f>H1126*(1+Assumptions!$B$7+IF(F1126="Yes",Assumptions!$C$7,0))</f>
        <v>635132.19000000006</v>
      </c>
      <c r="L1126" s="22">
        <f>H1126*(1+Assumptions!$B$8+IF(F1126="Yes",Assumptions!$C$8,0))</f>
        <v>610936.67800000007</v>
      </c>
    </row>
    <row r="1127" spans="1:12" ht="15">
      <c r="A1127" s="21">
        <v>41082</v>
      </c>
      <c r="B1127" s="21">
        <v>41061</v>
      </c>
      <c r="C1127" s="17">
        <v>44</v>
      </c>
      <c r="D1127" s="17" t="s">
        <v>93</v>
      </c>
      <c r="E1127" s="18">
        <v>39910</v>
      </c>
      <c r="F1127" s="17" t="s">
        <v>91</v>
      </c>
      <c r="G1127" s="14">
        <v>336073.2</v>
      </c>
      <c r="H1127" s="14">
        <v>296771.51</v>
      </c>
      <c r="I1127" s="14">
        <v>296771.51</v>
      </c>
      <c r="J1127" s="22">
        <f>H1127*(1+Assumptions!$B$6+IF(F1127="Yes",Assumptions!$C$6,0))</f>
        <v>305674.65530000004</v>
      </c>
      <c r="K1127" s="22">
        <f>H1127*(1+Assumptions!$B$7+IF(F1127="Yes",Assumptions!$C$7,0))</f>
        <v>311610.08550000004</v>
      </c>
      <c r="L1127" s="22">
        <f>H1127*(1+Assumptions!$B$8+IF(F1127="Yes",Assumptions!$C$8,0))</f>
        <v>299739.22510000004</v>
      </c>
    </row>
    <row r="1128" spans="1:12" ht="15">
      <c r="A1128" s="21">
        <v>41082</v>
      </c>
      <c r="B1128" s="21">
        <v>41061</v>
      </c>
      <c r="C1128" s="17">
        <v>45</v>
      </c>
      <c r="D1128" s="17" t="s">
        <v>92</v>
      </c>
      <c r="E1128" s="18">
        <v>118221</v>
      </c>
      <c r="F1128" s="17" t="s">
        <v>91</v>
      </c>
      <c r="G1128" s="14">
        <v>822549.16</v>
      </c>
      <c r="H1128" s="14">
        <v>762844.78</v>
      </c>
      <c r="I1128" s="14">
        <v>762844.78</v>
      </c>
      <c r="J1128" s="22">
        <f>H1128*(1+Assumptions!$B$6+IF(F1128="Yes",Assumptions!$C$6,0))</f>
        <v>785730.12340000004</v>
      </c>
      <c r="K1128" s="22">
        <f>H1128*(1+Assumptions!$B$7+IF(F1128="Yes",Assumptions!$C$7,0))</f>
        <v>800987.01900000009</v>
      </c>
      <c r="L1128" s="22">
        <f>H1128*(1+Assumptions!$B$8+IF(F1128="Yes",Assumptions!$C$8,0))</f>
        <v>770473.22779999999</v>
      </c>
    </row>
    <row r="1129" spans="1:12" ht="15">
      <c r="A1129" s="21">
        <v>41089</v>
      </c>
      <c r="B1129" s="21">
        <v>41061</v>
      </c>
      <c r="C1129" s="17">
        <v>1</v>
      </c>
      <c r="D1129" s="17" t="s">
        <v>90</v>
      </c>
      <c r="E1129" s="18">
        <v>151315</v>
      </c>
      <c r="F1129" s="17" t="s">
        <v>91</v>
      </c>
      <c r="G1129" s="14">
        <v>1539922.49</v>
      </c>
      <c r="H1129" s="14">
        <v>1488537.59</v>
      </c>
      <c r="I1129" s="14">
        <v>1488537.59</v>
      </c>
      <c r="J1129" s="22">
        <f>H1129*(1+Assumptions!$B$6+IF(F1129="Yes",Assumptions!$C$6,0))</f>
        <v>1533193.7177000002</v>
      </c>
      <c r="K1129" s="22">
        <f>H1129*(1+Assumptions!$B$7+IF(F1129="Yes",Assumptions!$C$7,0))</f>
        <v>1562964.4695000001</v>
      </c>
      <c r="L1129" s="22">
        <f>H1129*(1+Assumptions!$B$8+IF(F1129="Yes",Assumptions!$C$8,0))</f>
        <v>1503422.9659000002</v>
      </c>
    </row>
    <row r="1130" spans="1:12" ht="15">
      <c r="A1130" s="21">
        <v>41089</v>
      </c>
      <c r="B1130" s="21">
        <v>41061</v>
      </c>
      <c r="C1130" s="17">
        <v>2</v>
      </c>
      <c r="D1130" s="17" t="s">
        <v>90</v>
      </c>
      <c r="E1130" s="18">
        <v>202307</v>
      </c>
      <c r="F1130" s="17" t="s">
        <v>91</v>
      </c>
      <c r="G1130" s="14">
        <v>1881076</v>
      </c>
      <c r="H1130" s="14">
        <v>1866243</v>
      </c>
      <c r="I1130" s="14">
        <v>1866243</v>
      </c>
      <c r="J1130" s="22">
        <f>H1130*(1+Assumptions!$B$6+IF(F1130="Yes",Assumptions!$C$6,0))</f>
        <v>1922230.29</v>
      </c>
      <c r="K1130" s="22">
        <f>H1130*(1+Assumptions!$B$7+IF(F1130="Yes",Assumptions!$C$7,0))</f>
        <v>1959555.1500000001</v>
      </c>
      <c r="L1130" s="22">
        <f>H1130*(1+Assumptions!$B$8+IF(F1130="Yes",Assumptions!$C$8,0))</f>
        <v>1884905.43</v>
      </c>
    </row>
    <row r="1131" spans="1:12" ht="15">
      <c r="A1131" s="21">
        <v>41089</v>
      </c>
      <c r="B1131" s="21">
        <v>41061</v>
      </c>
      <c r="C1131" s="17">
        <v>3</v>
      </c>
      <c r="D1131" s="17" t="s">
        <v>92</v>
      </c>
      <c r="E1131" s="18">
        <v>37392</v>
      </c>
      <c r="F1131" s="17" t="s">
        <v>91</v>
      </c>
      <c r="G1131" s="14">
        <v>422855.98</v>
      </c>
      <c r="H1131" s="14">
        <v>368960.10000000003</v>
      </c>
      <c r="I1131" s="14">
        <v>368960.10000000003</v>
      </c>
      <c r="J1131" s="22">
        <f>H1131*(1+Assumptions!$B$6+IF(F1131="Yes",Assumptions!$C$6,0))</f>
        <v>380028.90300000005</v>
      </c>
      <c r="K1131" s="22">
        <f>H1131*(1+Assumptions!$B$7+IF(F1131="Yes",Assumptions!$C$7,0))</f>
        <v>387408.10500000004</v>
      </c>
      <c r="L1131" s="22">
        <f>H1131*(1+Assumptions!$B$8+IF(F1131="Yes",Assumptions!$C$8,0))</f>
        <v>372649.70100000006</v>
      </c>
    </row>
    <row r="1132" spans="1:12" ht="15">
      <c r="A1132" s="21">
        <v>41089</v>
      </c>
      <c r="B1132" s="21">
        <v>41061</v>
      </c>
      <c r="C1132" s="17">
        <v>4</v>
      </c>
      <c r="D1132" s="17" t="s">
        <v>90</v>
      </c>
      <c r="E1132" s="18">
        <v>205863</v>
      </c>
      <c r="F1132" s="17" t="s">
        <v>91</v>
      </c>
      <c r="G1132" s="14">
        <v>2128353.02</v>
      </c>
      <c r="H1132" s="14">
        <v>2051533.53</v>
      </c>
      <c r="I1132" s="14">
        <v>2051533.53</v>
      </c>
      <c r="J1132" s="22">
        <f>H1132*(1+Assumptions!$B$6+IF(F1132="Yes",Assumptions!$C$6,0))</f>
        <v>2113079.5359</v>
      </c>
      <c r="K1132" s="22">
        <f>H1132*(1+Assumptions!$B$7+IF(F1132="Yes",Assumptions!$C$7,0))</f>
        <v>2154110.2065000003</v>
      </c>
      <c r="L1132" s="22">
        <f>H1132*(1+Assumptions!$B$8+IF(F1132="Yes",Assumptions!$C$8,0))</f>
        <v>2072048.8652999999</v>
      </c>
    </row>
    <row r="1133" spans="1:12" ht="15">
      <c r="A1133" s="21">
        <v>41089</v>
      </c>
      <c r="B1133" s="21">
        <v>41061</v>
      </c>
      <c r="C1133" s="17">
        <v>5</v>
      </c>
      <c r="D1133" s="17" t="s">
        <v>92</v>
      </c>
      <c r="E1133" s="18">
        <v>34875</v>
      </c>
      <c r="F1133" s="17" t="s">
        <v>91</v>
      </c>
      <c r="G1133" s="14">
        <v>329578.40000000002</v>
      </c>
      <c r="H1133" s="14">
        <v>327090.21000000002</v>
      </c>
      <c r="I1133" s="14">
        <v>327090.21000000002</v>
      </c>
      <c r="J1133" s="22">
        <f>H1133*(1+Assumptions!$B$6+IF(F1133="Yes",Assumptions!$C$6,0))</f>
        <v>336902.91630000004</v>
      </c>
      <c r="K1133" s="22">
        <f>H1133*(1+Assumptions!$B$7+IF(F1133="Yes",Assumptions!$C$7,0))</f>
        <v>343444.72050000005</v>
      </c>
      <c r="L1133" s="22">
        <f>H1133*(1+Assumptions!$B$8+IF(F1133="Yes",Assumptions!$C$8,0))</f>
        <v>330361.11210000003</v>
      </c>
    </row>
    <row r="1134" spans="1:12" ht="15">
      <c r="A1134" s="21">
        <v>41089</v>
      </c>
      <c r="B1134" s="21">
        <v>41061</v>
      </c>
      <c r="C1134" s="17">
        <v>6</v>
      </c>
      <c r="D1134" s="17" t="s">
        <v>90</v>
      </c>
      <c r="E1134" s="18">
        <v>202505</v>
      </c>
      <c r="F1134" s="17" t="s">
        <v>91</v>
      </c>
      <c r="G1134" s="14">
        <v>1648863.46</v>
      </c>
      <c r="H1134" s="14">
        <v>1694551.15</v>
      </c>
      <c r="I1134" s="14">
        <v>1694551.15</v>
      </c>
      <c r="J1134" s="22">
        <f>H1134*(1+Assumptions!$B$6+IF(F1134="Yes",Assumptions!$C$6,0))</f>
        <v>1745387.6845</v>
      </c>
      <c r="K1134" s="22">
        <f>H1134*(1+Assumptions!$B$7+IF(F1134="Yes",Assumptions!$C$7,0))</f>
        <v>1779278.7075</v>
      </c>
      <c r="L1134" s="22">
        <f>H1134*(1+Assumptions!$B$8+IF(F1134="Yes",Assumptions!$C$8,0))</f>
        <v>1711496.6614999999</v>
      </c>
    </row>
    <row r="1135" spans="1:12" ht="15">
      <c r="A1135" s="21">
        <v>41089</v>
      </c>
      <c r="B1135" s="21">
        <v>41061</v>
      </c>
      <c r="C1135" s="17">
        <v>7</v>
      </c>
      <c r="D1135" s="17" t="s">
        <v>92</v>
      </c>
      <c r="E1135" s="18">
        <v>70713</v>
      </c>
      <c r="F1135" s="17" t="s">
        <v>91</v>
      </c>
      <c r="G1135" s="14">
        <v>703485.86</v>
      </c>
      <c r="H1135" s="14">
        <v>704254.33</v>
      </c>
      <c r="I1135" s="14">
        <v>704254.33</v>
      </c>
      <c r="J1135" s="22">
        <f>H1135*(1+Assumptions!$B$6+IF(F1135="Yes",Assumptions!$C$6,0))</f>
        <v>725381.95990000002</v>
      </c>
      <c r="K1135" s="22">
        <f>H1135*(1+Assumptions!$B$7+IF(F1135="Yes",Assumptions!$C$7,0))</f>
        <v>739467.04649999994</v>
      </c>
      <c r="L1135" s="22">
        <f>H1135*(1+Assumptions!$B$8+IF(F1135="Yes",Assumptions!$C$8,0))</f>
        <v>711296.87329999998</v>
      </c>
    </row>
    <row r="1136" spans="1:12" ht="15">
      <c r="A1136" s="21">
        <v>41089</v>
      </c>
      <c r="B1136" s="21">
        <v>41061</v>
      </c>
      <c r="C1136" s="17">
        <v>8</v>
      </c>
      <c r="D1136" s="17" t="s">
        <v>90</v>
      </c>
      <c r="E1136" s="18">
        <v>155078</v>
      </c>
      <c r="F1136" s="17" t="s">
        <v>91</v>
      </c>
      <c r="G1136" s="14">
        <v>878259.3</v>
      </c>
      <c r="H1136" s="14">
        <v>881003.38</v>
      </c>
      <c r="I1136" s="14">
        <v>881003.38</v>
      </c>
      <c r="J1136" s="22">
        <f>H1136*(1+Assumptions!$B$6+IF(F1136="Yes",Assumptions!$C$6,0))</f>
        <v>907433.48140000005</v>
      </c>
      <c r="K1136" s="22">
        <f>H1136*(1+Assumptions!$B$7+IF(F1136="Yes",Assumptions!$C$7,0))</f>
        <v>925053.549</v>
      </c>
      <c r="L1136" s="22">
        <f>H1136*(1+Assumptions!$B$8+IF(F1136="Yes",Assumptions!$C$8,0))</f>
        <v>889813.41379999998</v>
      </c>
    </row>
    <row r="1137" spans="1:12" ht="15">
      <c r="A1137" s="21">
        <v>41089</v>
      </c>
      <c r="B1137" s="21">
        <v>41061</v>
      </c>
      <c r="C1137" s="17">
        <v>9</v>
      </c>
      <c r="D1137" s="17" t="s">
        <v>92</v>
      </c>
      <c r="E1137" s="18">
        <v>125833</v>
      </c>
      <c r="F1137" s="17" t="s">
        <v>91</v>
      </c>
      <c r="G1137" s="14">
        <v>544589.79</v>
      </c>
      <c r="H1137" s="14">
        <v>537202.57999999996</v>
      </c>
      <c r="I1137" s="14">
        <v>537202.57999999996</v>
      </c>
      <c r="J1137" s="22">
        <f>H1137*(1+Assumptions!$B$6+IF(F1137="Yes",Assumptions!$C$6,0))</f>
        <v>553318.65740000003</v>
      </c>
      <c r="K1137" s="22">
        <f>H1137*(1+Assumptions!$B$7+IF(F1137="Yes",Assumptions!$C$7,0))</f>
        <v>564062.70900000003</v>
      </c>
      <c r="L1137" s="22">
        <f>H1137*(1+Assumptions!$B$8+IF(F1137="Yes",Assumptions!$C$8,0))</f>
        <v>542574.60580000002</v>
      </c>
    </row>
    <row r="1138" spans="1:12" ht="15">
      <c r="A1138" s="21">
        <v>41089</v>
      </c>
      <c r="B1138" s="21">
        <v>41061</v>
      </c>
      <c r="C1138" s="17">
        <v>10</v>
      </c>
      <c r="D1138" s="17" t="s">
        <v>92</v>
      </c>
      <c r="E1138" s="18">
        <v>126512</v>
      </c>
      <c r="F1138" s="17" t="s">
        <v>91</v>
      </c>
      <c r="G1138" s="14">
        <v>1707478.93</v>
      </c>
      <c r="H1138" s="14">
        <v>1751043.48</v>
      </c>
      <c r="I1138" s="14">
        <v>1751043.48</v>
      </c>
      <c r="J1138" s="22">
        <f>H1138*(1+Assumptions!$B$6+IF(F1138="Yes",Assumptions!$C$6,0))</f>
        <v>1803574.7844</v>
      </c>
      <c r="K1138" s="22">
        <f>H1138*(1+Assumptions!$B$7+IF(F1138="Yes",Assumptions!$C$7,0))</f>
        <v>1838595.6540000001</v>
      </c>
      <c r="L1138" s="22">
        <f>H1138*(1+Assumptions!$B$8+IF(F1138="Yes",Assumptions!$C$8,0))</f>
        <v>1768553.9147999999</v>
      </c>
    </row>
    <row r="1139" spans="1:12" ht="15">
      <c r="A1139" s="21">
        <v>41089</v>
      </c>
      <c r="B1139" s="21">
        <v>41061</v>
      </c>
      <c r="C1139" s="17">
        <v>11</v>
      </c>
      <c r="D1139" s="17" t="s">
        <v>90</v>
      </c>
      <c r="E1139" s="18">
        <v>207499</v>
      </c>
      <c r="F1139" s="17" t="s">
        <v>91</v>
      </c>
      <c r="G1139" s="14">
        <v>1297028.6000000001</v>
      </c>
      <c r="H1139" s="14">
        <v>1297472.06</v>
      </c>
      <c r="I1139" s="14">
        <v>1297472.06</v>
      </c>
      <c r="J1139" s="22">
        <f>H1139*(1+Assumptions!$B$6+IF(F1139="Yes",Assumptions!$C$6,0))</f>
        <v>1336396.2218000002</v>
      </c>
      <c r="K1139" s="22">
        <f>H1139*(1+Assumptions!$B$7+IF(F1139="Yes",Assumptions!$C$7,0))</f>
        <v>1362345.6630000002</v>
      </c>
      <c r="L1139" s="22">
        <f>H1139*(1+Assumptions!$B$8+IF(F1139="Yes",Assumptions!$C$8,0))</f>
        <v>1310446.7806000002</v>
      </c>
    </row>
    <row r="1140" spans="1:12" ht="15">
      <c r="A1140" s="21">
        <v>41089</v>
      </c>
      <c r="B1140" s="21">
        <v>41061</v>
      </c>
      <c r="C1140" s="17">
        <v>12</v>
      </c>
      <c r="D1140" s="17" t="s">
        <v>92</v>
      </c>
      <c r="E1140" s="18">
        <v>112238</v>
      </c>
      <c r="F1140" s="17" t="s">
        <v>91</v>
      </c>
      <c r="G1140" s="14">
        <v>943057.74</v>
      </c>
      <c r="H1140" s="14">
        <v>961993.34</v>
      </c>
      <c r="I1140" s="14">
        <v>961993.34</v>
      </c>
      <c r="J1140" s="22">
        <f>H1140*(1+Assumptions!$B$6+IF(F1140="Yes",Assumptions!$C$6,0))</f>
        <v>990853.14020000002</v>
      </c>
      <c r="K1140" s="22">
        <f>H1140*(1+Assumptions!$B$7+IF(F1140="Yes",Assumptions!$C$7,0))</f>
        <v>1010093.007</v>
      </c>
      <c r="L1140" s="22">
        <f>H1140*(1+Assumptions!$B$8+IF(F1140="Yes",Assumptions!$C$8,0))</f>
        <v>971613.27339999995</v>
      </c>
    </row>
    <row r="1141" spans="1:12" ht="15">
      <c r="A1141" s="21">
        <v>41089</v>
      </c>
      <c r="B1141" s="21">
        <v>41061</v>
      </c>
      <c r="C1141" s="17">
        <v>13</v>
      </c>
      <c r="D1141" s="17" t="s">
        <v>90</v>
      </c>
      <c r="E1141" s="18">
        <v>219622</v>
      </c>
      <c r="F1141" s="17" t="s">
        <v>91</v>
      </c>
      <c r="G1141" s="14">
        <v>2037663.71</v>
      </c>
      <c r="H1141" s="14">
        <v>2047671.74</v>
      </c>
      <c r="I1141" s="14">
        <v>2047671.74</v>
      </c>
      <c r="J1141" s="22">
        <f>H1141*(1+Assumptions!$B$6+IF(F1141="Yes",Assumptions!$C$6,0))</f>
        <v>2109101.8922000001</v>
      </c>
      <c r="K1141" s="22">
        <f>H1141*(1+Assumptions!$B$7+IF(F1141="Yes",Assumptions!$C$7,0))</f>
        <v>2150055.327</v>
      </c>
      <c r="L1141" s="22">
        <f>H1141*(1+Assumptions!$B$8+IF(F1141="Yes",Assumptions!$C$8,0))</f>
        <v>2068148.4574</v>
      </c>
    </row>
    <row r="1142" spans="1:12" ht="15">
      <c r="A1142" s="21">
        <v>41089</v>
      </c>
      <c r="B1142" s="21">
        <v>41061</v>
      </c>
      <c r="C1142" s="17">
        <v>14</v>
      </c>
      <c r="D1142" s="17" t="s">
        <v>90</v>
      </c>
      <c r="E1142" s="18">
        <v>200898</v>
      </c>
      <c r="F1142" s="17" t="s">
        <v>91</v>
      </c>
      <c r="G1142" s="14">
        <v>1591835.02</v>
      </c>
      <c r="H1142" s="14">
        <v>2074636.19</v>
      </c>
      <c r="I1142" s="14">
        <v>2074636.19</v>
      </c>
      <c r="J1142" s="22">
        <f>H1142*(1+Assumptions!$B$6+IF(F1142="Yes",Assumptions!$C$6,0))</f>
        <v>2136875.2757000001</v>
      </c>
      <c r="K1142" s="22">
        <f>H1142*(1+Assumptions!$B$7+IF(F1142="Yes",Assumptions!$C$7,0))</f>
        <v>2178367.9994999999</v>
      </c>
      <c r="L1142" s="22">
        <f>H1142*(1+Assumptions!$B$8+IF(F1142="Yes",Assumptions!$C$8,0))</f>
        <v>2095382.5518999998</v>
      </c>
    </row>
    <row r="1143" spans="1:12" ht="15">
      <c r="A1143" s="21">
        <v>41089</v>
      </c>
      <c r="B1143" s="21">
        <v>41061</v>
      </c>
      <c r="C1143" s="17">
        <v>15</v>
      </c>
      <c r="D1143" s="17" t="s">
        <v>92</v>
      </c>
      <c r="E1143" s="18">
        <v>123737</v>
      </c>
      <c r="F1143" s="17" t="s">
        <v>91</v>
      </c>
      <c r="G1143" s="14">
        <v>623811.43999999994</v>
      </c>
      <c r="H1143" s="14">
        <v>674668.06</v>
      </c>
      <c r="I1143" s="14">
        <v>674668.06</v>
      </c>
      <c r="J1143" s="22">
        <f>H1143*(1+Assumptions!$B$6+IF(F1143="Yes",Assumptions!$C$6,0))</f>
        <v>694908.10180000006</v>
      </c>
      <c r="K1143" s="22">
        <f>H1143*(1+Assumptions!$B$7+IF(F1143="Yes",Assumptions!$C$7,0))</f>
        <v>708401.46300000011</v>
      </c>
      <c r="L1143" s="22">
        <f>H1143*(1+Assumptions!$B$8+IF(F1143="Yes",Assumptions!$C$8,0))</f>
        <v>681414.74060000002</v>
      </c>
    </row>
    <row r="1144" spans="1:12" ht="15">
      <c r="A1144" s="21">
        <v>41089</v>
      </c>
      <c r="B1144" s="21">
        <v>41061</v>
      </c>
      <c r="C1144" s="17">
        <v>16</v>
      </c>
      <c r="D1144" s="17" t="s">
        <v>92</v>
      </c>
      <c r="E1144" s="18">
        <v>57197</v>
      </c>
      <c r="F1144" s="17" t="s">
        <v>91</v>
      </c>
      <c r="G1144" s="14">
        <v>568723.97</v>
      </c>
      <c r="H1144" s="14">
        <v>608612.17000000004</v>
      </c>
      <c r="I1144" s="14">
        <v>608612.17000000004</v>
      </c>
      <c r="J1144" s="22">
        <f>H1144*(1+Assumptions!$B$6+IF(F1144="Yes",Assumptions!$C$6,0))</f>
        <v>626870.5351000001</v>
      </c>
      <c r="K1144" s="22">
        <f>H1144*(1+Assumptions!$B$7+IF(F1144="Yes",Assumptions!$C$7,0))</f>
        <v>639042.77850000001</v>
      </c>
      <c r="L1144" s="22">
        <f>H1144*(1+Assumptions!$B$8+IF(F1144="Yes",Assumptions!$C$8,0))</f>
        <v>614698.29170000006</v>
      </c>
    </row>
    <row r="1145" spans="1:12" ht="15">
      <c r="A1145" s="21">
        <v>41089</v>
      </c>
      <c r="B1145" s="21">
        <v>41061</v>
      </c>
      <c r="C1145" s="17">
        <v>17</v>
      </c>
      <c r="D1145" s="17" t="s">
        <v>92</v>
      </c>
      <c r="E1145" s="18">
        <v>93188</v>
      </c>
      <c r="F1145" s="17" t="s">
        <v>91</v>
      </c>
      <c r="G1145" s="14">
        <v>980635.35</v>
      </c>
      <c r="H1145" s="14">
        <v>940546.32</v>
      </c>
      <c r="I1145" s="14">
        <v>940546.32</v>
      </c>
      <c r="J1145" s="22">
        <f>H1145*(1+Assumptions!$B$6+IF(F1145="Yes",Assumptions!$C$6,0))</f>
        <v>968762.70959999994</v>
      </c>
      <c r="K1145" s="22">
        <f>H1145*(1+Assumptions!$B$7+IF(F1145="Yes",Assumptions!$C$7,0))</f>
        <v>987573.63599999994</v>
      </c>
      <c r="L1145" s="22">
        <f>H1145*(1+Assumptions!$B$8+IF(F1145="Yes",Assumptions!$C$8,0))</f>
        <v>949951.78319999995</v>
      </c>
    </row>
    <row r="1146" spans="1:12" ht="15">
      <c r="A1146" s="21">
        <v>41089</v>
      </c>
      <c r="B1146" s="21">
        <v>41061</v>
      </c>
      <c r="C1146" s="17">
        <v>18</v>
      </c>
      <c r="D1146" s="17" t="s">
        <v>92</v>
      </c>
      <c r="E1146" s="18">
        <v>120653</v>
      </c>
      <c r="F1146" s="17" t="s">
        <v>91</v>
      </c>
      <c r="G1146" s="14">
        <v>1097009.24</v>
      </c>
      <c r="H1146" s="14">
        <v>1087048.26</v>
      </c>
      <c r="I1146" s="14">
        <v>1087048.26</v>
      </c>
      <c r="J1146" s="22">
        <f>H1146*(1+Assumptions!$B$6+IF(F1146="Yes",Assumptions!$C$6,0))</f>
        <v>1119659.7078</v>
      </c>
      <c r="K1146" s="22">
        <f>H1146*(1+Assumptions!$B$7+IF(F1146="Yes",Assumptions!$C$7,0))</f>
        <v>1141400.673</v>
      </c>
      <c r="L1146" s="22">
        <f>H1146*(1+Assumptions!$B$8+IF(F1146="Yes",Assumptions!$C$8,0))</f>
        <v>1097918.7426</v>
      </c>
    </row>
    <row r="1147" spans="1:12" ht="15">
      <c r="A1147" s="21">
        <v>41089</v>
      </c>
      <c r="B1147" s="21">
        <v>41061</v>
      </c>
      <c r="C1147" s="17">
        <v>19</v>
      </c>
      <c r="D1147" s="17" t="s">
        <v>90</v>
      </c>
      <c r="E1147" s="18">
        <v>203819</v>
      </c>
      <c r="F1147" s="17" t="s">
        <v>91</v>
      </c>
      <c r="G1147" s="14">
        <v>1379003.65</v>
      </c>
      <c r="H1147" s="14">
        <v>1462731.93</v>
      </c>
      <c r="I1147" s="14">
        <v>1462731.93</v>
      </c>
      <c r="J1147" s="22">
        <f>H1147*(1+Assumptions!$B$6+IF(F1147="Yes",Assumptions!$C$6,0))</f>
        <v>1506613.8879</v>
      </c>
      <c r="K1147" s="22">
        <f>H1147*(1+Assumptions!$B$7+IF(F1147="Yes",Assumptions!$C$7,0))</f>
        <v>1535868.5264999999</v>
      </c>
      <c r="L1147" s="22">
        <f>H1147*(1+Assumptions!$B$8+IF(F1147="Yes",Assumptions!$C$8,0))</f>
        <v>1477359.2493</v>
      </c>
    </row>
    <row r="1148" spans="1:12" ht="15">
      <c r="A1148" s="21">
        <v>41089</v>
      </c>
      <c r="B1148" s="21">
        <v>41061</v>
      </c>
      <c r="C1148" s="17">
        <v>20</v>
      </c>
      <c r="D1148" s="17" t="s">
        <v>90</v>
      </c>
      <c r="E1148" s="18">
        <v>203742</v>
      </c>
      <c r="F1148" s="17" t="s">
        <v>91</v>
      </c>
      <c r="G1148" s="14">
        <v>2055922.73</v>
      </c>
      <c r="H1148" s="14">
        <v>2053903.9100000001</v>
      </c>
      <c r="I1148" s="14">
        <v>2053903.9100000001</v>
      </c>
      <c r="J1148" s="22">
        <f>H1148*(1+Assumptions!$B$6+IF(F1148="Yes",Assumptions!$C$6,0))</f>
        <v>2115521.0273000002</v>
      </c>
      <c r="K1148" s="22">
        <f>H1148*(1+Assumptions!$B$7+IF(F1148="Yes",Assumptions!$C$7,0))</f>
        <v>2156599.1055000001</v>
      </c>
      <c r="L1148" s="22">
        <f>H1148*(1+Assumptions!$B$8+IF(F1148="Yes",Assumptions!$C$8,0))</f>
        <v>2074442.9491000001</v>
      </c>
    </row>
    <row r="1149" spans="1:12" ht="15">
      <c r="A1149" s="21">
        <v>41089</v>
      </c>
      <c r="B1149" s="21">
        <v>41061</v>
      </c>
      <c r="C1149" s="17">
        <v>21</v>
      </c>
      <c r="D1149" s="17" t="s">
        <v>92</v>
      </c>
      <c r="E1149" s="18">
        <v>140167</v>
      </c>
      <c r="F1149" s="17" t="s">
        <v>91</v>
      </c>
      <c r="G1149" s="14">
        <v>716332.14</v>
      </c>
      <c r="H1149" s="14">
        <v>784639.12</v>
      </c>
      <c r="I1149" s="14">
        <v>784639.12</v>
      </c>
      <c r="J1149" s="22">
        <f>H1149*(1+Assumptions!$B$6+IF(F1149="Yes",Assumptions!$C$6,0))</f>
        <v>808178.29359999998</v>
      </c>
      <c r="K1149" s="22">
        <f>H1149*(1+Assumptions!$B$7+IF(F1149="Yes",Assumptions!$C$7,0))</f>
        <v>823871.076</v>
      </c>
      <c r="L1149" s="22">
        <f>H1149*(1+Assumptions!$B$8+IF(F1149="Yes",Assumptions!$C$8,0))</f>
        <v>792485.51119999995</v>
      </c>
    </row>
    <row r="1150" spans="1:12" ht="15">
      <c r="A1150" s="21">
        <v>41089</v>
      </c>
      <c r="B1150" s="21">
        <v>41061</v>
      </c>
      <c r="C1150" s="17">
        <v>22</v>
      </c>
      <c r="D1150" s="17" t="s">
        <v>92</v>
      </c>
      <c r="E1150" s="18">
        <v>119557</v>
      </c>
      <c r="F1150" s="17" t="s">
        <v>91</v>
      </c>
      <c r="G1150" s="14">
        <v>1052518.01</v>
      </c>
      <c r="H1150" s="14">
        <v>1077491.68</v>
      </c>
      <c r="I1150" s="14">
        <v>1077491.68</v>
      </c>
      <c r="J1150" s="22">
        <f>H1150*(1+Assumptions!$B$6+IF(F1150="Yes",Assumptions!$C$6,0))</f>
        <v>1109816.4304</v>
      </c>
      <c r="K1150" s="22">
        <f>H1150*(1+Assumptions!$B$7+IF(F1150="Yes",Assumptions!$C$7,0))</f>
        <v>1131366.264</v>
      </c>
      <c r="L1150" s="22">
        <f>H1150*(1+Assumptions!$B$8+IF(F1150="Yes",Assumptions!$C$8,0))</f>
        <v>1088266.5967999999</v>
      </c>
    </row>
    <row r="1151" spans="1:12" ht="15">
      <c r="A1151" s="21">
        <v>41089</v>
      </c>
      <c r="B1151" s="21">
        <v>41061</v>
      </c>
      <c r="C1151" s="17">
        <v>23</v>
      </c>
      <c r="D1151" s="17" t="s">
        <v>92</v>
      </c>
      <c r="E1151" s="18">
        <v>114533</v>
      </c>
      <c r="F1151" s="17" t="s">
        <v>91</v>
      </c>
      <c r="G1151" s="14">
        <v>1451782.16</v>
      </c>
      <c r="H1151" s="14">
        <v>1492502.94</v>
      </c>
      <c r="I1151" s="14">
        <v>1492502.94</v>
      </c>
      <c r="J1151" s="22">
        <f>H1151*(1+Assumptions!$B$6+IF(F1151="Yes",Assumptions!$C$6,0))</f>
        <v>1537278.0282000001</v>
      </c>
      <c r="K1151" s="22">
        <f>H1151*(1+Assumptions!$B$7+IF(F1151="Yes",Assumptions!$C$7,0))</f>
        <v>1567128.0870000001</v>
      </c>
      <c r="L1151" s="22">
        <f>H1151*(1+Assumptions!$B$8+IF(F1151="Yes",Assumptions!$C$8,0))</f>
        <v>1507427.9694000001</v>
      </c>
    </row>
    <row r="1152" spans="1:12" ht="15">
      <c r="A1152" s="21">
        <v>41089</v>
      </c>
      <c r="B1152" s="21">
        <v>41061</v>
      </c>
      <c r="C1152" s="17">
        <v>24</v>
      </c>
      <c r="D1152" s="17" t="s">
        <v>90</v>
      </c>
      <c r="E1152" s="18">
        <v>203819</v>
      </c>
      <c r="F1152" s="17" t="s">
        <v>91</v>
      </c>
      <c r="G1152" s="14">
        <v>1428869.9000000001</v>
      </c>
      <c r="H1152" s="14">
        <v>1445596.61</v>
      </c>
      <c r="I1152" s="14">
        <v>1445596.61</v>
      </c>
      <c r="J1152" s="22">
        <f>H1152*(1+Assumptions!$B$6+IF(F1152="Yes",Assumptions!$C$6,0))</f>
        <v>1488964.5083000001</v>
      </c>
      <c r="K1152" s="22">
        <f>H1152*(1+Assumptions!$B$7+IF(F1152="Yes",Assumptions!$C$7,0))</f>
        <v>1517876.4405000003</v>
      </c>
      <c r="L1152" s="22">
        <f>H1152*(1+Assumptions!$B$8+IF(F1152="Yes",Assumptions!$C$8,0))</f>
        <v>1460052.5761000002</v>
      </c>
    </row>
    <row r="1153" spans="1:12" ht="15">
      <c r="A1153" s="21">
        <v>41089</v>
      </c>
      <c r="B1153" s="21">
        <v>41061</v>
      </c>
      <c r="C1153" s="17">
        <v>25</v>
      </c>
      <c r="D1153" s="17" t="s">
        <v>92</v>
      </c>
      <c r="E1153" s="18">
        <v>128107</v>
      </c>
      <c r="F1153" s="17" t="s">
        <v>91</v>
      </c>
      <c r="G1153" s="14">
        <v>718297.80999999994</v>
      </c>
      <c r="H1153" s="14">
        <v>706206.56</v>
      </c>
      <c r="I1153" s="14">
        <v>706206.56</v>
      </c>
      <c r="J1153" s="22">
        <f>H1153*(1+Assumptions!$B$6+IF(F1153="Yes",Assumptions!$C$6,0))</f>
        <v>727392.75680000009</v>
      </c>
      <c r="K1153" s="22">
        <f>H1153*(1+Assumptions!$B$7+IF(F1153="Yes",Assumptions!$C$7,0))</f>
        <v>741516.88800000004</v>
      </c>
      <c r="L1153" s="22">
        <f>H1153*(1+Assumptions!$B$8+IF(F1153="Yes",Assumptions!$C$8,0))</f>
        <v>713268.62560000003</v>
      </c>
    </row>
    <row r="1154" spans="1:12" ht="15">
      <c r="A1154" s="21">
        <v>41089</v>
      </c>
      <c r="B1154" s="21">
        <v>41061</v>
      </c>
      <c r="C1154" s="17">
        <v>26</v>
      </c>
      <c r="D1154" s="17" t="s">
        <v>90</v>
      </c>
      <c r="E1154" s="18">
        <v>152513</v>
      </c>
      <c r="F1154" s="17" t="s">
        <v>91</v>
      </c>
      <c r="G1154" s="14">
        <v>1051023.44</v>
      </c>
      <c r="H1154" s="14">
        <v>1070111.0900000001</v>
      </c>
      <c r="I1154" s="14">
        <v>1070111.0900000001</v>
      </c>
      <c r="J1154" s="22">
        <f>H1154*(1+Assumptions!$B$6+IF(F1154="Yes",Assumptions!$C$6,0))</f>
        <v>1102214.4227000002</v>
      </c>
      <c r="K1154" s="22">
        <f>H1154*(1+Assumptions!$B$7+IF(F1154="Yes",Assumptions!$C$7,0))</f>
        <v>1123616.6445000002</v>
      </c>
      <c r="L1154" s="22">
        <f>H1154*(1+Assumptions!$B$8+IF(F1154="Yes",Assumptions!$C$8,0))</f>
        <v>1080812.2009000001</v>
      </c>
    </row>
    <row r="1155" spans="1:12" ht="15">
      <c r="A1155" s="21">
        <v>41089</v>
      </c>
      <c r="B1155" s="21">
        <v>41061</v>
      </c>
      <c r="C1155" s="17">
        <v>27</v>
      </c>
      <c r="D1155" s="17" t="s">
        <v>90</v>
      </c>
      <c r="E1155" s="18">
        <v>204184</v>
      </c>
      <c r="F1155" s="17" t="s">
        <v>91</v>
      </c>
      <c r="G1155" s="14">
        <v>1842555.32</v>
      </c>
      <c r="H1155" s="14">
        <v>1949982.43</v>
      </c>
      <c r="I1155" s="14">
        <v>1949982.43</v>
      </c>
      <c r="J1155" s="22">
        <f>H1155*(1+Assumptions!$B$6+IF(F1155="Yes",Assumptions!$C$6,0))</f>
        <v>2008481.9028999999</v>
      </c>
      <c r="K1155" s="22">
        <f>H1155*(1+Assumptions!$B$7+IF(F1155="Yes",Assumptions!$C$7,0))</f>
        <v>2047481.5515000001</v>
      </c>
      <c r="L1155" s="22">
        <f>H1155*(1+Assumptions!$B$8+IF(F1155="Yes",Assumptions!$C$8,0))</f>
        <v>1969482.2542999999</v>
      </c>
    </row>
    <row r="1156" spans="1:12" ht="15">
      <c r="A1156" s="21">
        <v>41089</v>
      </c>
      <c r="B1156" s="21">
        <v>41061</v>
      </c>
      <c r="C1156" s="17">
        <v>28</v>
      </c>
      <c r="D1156" s="17" t="s">
        <v>90</v>
      </c>
      <c r="E1156" s="18">
        <v>206302</v>
      </c>
      <c r="F1156" s="17" t="s">
        <v>91</v>
      </c>
      <c r="G1156" s="14">
        <v>1129031.73</v>
      </c>
      <c r="H1156" s="14">
        <v>1319054.57</v>
      </c>
      <c r="I1156" s="14">
        <v>1319054.57</v>
      </c>
      <c r="J1156" s="22">
        <f>H1156*(1+Assumptions!$B$6+IF(F1156="Yes",Assumptions!$C$6,0))</f>
        <v>1358626.2071</v>
      </c>
      <c r="K1156" s="22">
        <f>H1156*(1+Assumptions!$B$7+IF(F1156="Yes",Assumptions!$C$7,0))</f>
        <v>1385007.2985</v>
      </c>
      <c r="L1156" s="22">
        <f>H1156*(1+Assumptions!$B$8+IF(F1156="Yes",Assumptions!$C$8,0))</f>
        <v>1332245.1157</v>
      </c>
    </row>
    <row r="1157" spans="1:12" ht="15">
      <c r="A1157" s="21">
        <v>41089</v>
      </c>
      <c r="B1157" s="21">
        <v>41061</v>
      </c>
      <c r="C1157" s="17">
        <v>29</v>
      </c>
      <c r="D1157" s="17" t="s">
        <v>92</v>
      </c>
      <c r="E1157" s="18">
        <v>93638</v>
      </c>
      <c r="F1157" s="17" t="s">
        <v>91</v>
      </c>
      <c r="G1157" s="14">
        <v>555954.13</v>
      </c>
      <c r="H1157" s="14">
        <v>567084.14</v>
      </c>
      <c r="I1157" s="14">
        <v>567084.14</v>
      </c>
      <c r="J1157" s="22">
        <f>H1157*(1+Assumptions!$B$6+IF(F1157="Yes",Assumptions!$C$6,0))</f>
        <v>584096.6642</v>
      </c>
      <c r="K1157" s="22">
        <f>H1157*(1+Assumptions!$B$7+IF(F1157="Yes",Assumptions!$C$7,0))</f>
        <v>595438.34700000007</v>
      </c>
      <c r="L1157" s="22">
        <f>H1157*(1+Assumptions!$B$8+IF(F1157="Yes",Assumptions!$C$8,0))</f>
        <v>572754.98140000005</v>
      </c>
    </row>
    <row r="1158" spans="1:12" ht="15">
      <c r="A1158" s="21">
        <v>41089</v>
      </c>
      <c r="B1158" s="21">
        <v>41061</v>
      </c>
      <c r="C1158" s="17">
        <v>30</v>
      </c>
      <c r="D1158" s="17" t="s">
        <v>93</v>
      </c>
      <c r="E1158" s="18">
        <v>42988</v>
      </c>
      <c r="F1158" s="17" t="s">
        <v>91</v>
      </c>
      <c r="G1158" s="14">
        <v>423192.4</v>
      </c>
      <c r="H1158" s="14">
        <v>428660.16</v>
      </c>
      <c r="I1158" s="14">
        <v>428660.16</v>
      </c>
      <c r="J1158" s="22">
        <f>H1158*(1+Assumptions!$B$6+IF(F1158="Yes",Assumptions!$C$6,0))</f>
        <v>441519.96479999996</v>
      </c>
      <c r="K1158" s="22">
        <f>H1158*(1+Assumptions!$B$7+IF(F1158="Yes",Assumptions!$C$7,0))</f>
        <v>450093.16800000001</v>
      </c>
      <c r="L1158" s="22">
        <f>H1158*(1+Assumptions!$B$8+IF(F1158="Yes",Assumptions!$C$8,0))</f>
        <v>432946.76159999997</v>
      </c>
    </row>
    <row r="1159" spans="1:12" ht="15">
      <c r="A1159" s="21">
        <v>41089</v>
      </c>
      <c r="B1159" s="21">
        <v>41061</v>
      </c>
      <c r="C1159" s="17">
        <v>31</v>
      </c>
      <c r="D1159" s="17" t="s">
        <v>90</v>
      </c>
      <c r="E1159" s="18">
        <v>203750</v>
      </c>
      <c r="F1159" s="17" t="s">
        <v>91</v>
      </c>
      <c r="G1159" s="14">
        <v>1349202.25</v>
      </c>
      <c r="H1159" s="14">
        <v>1371889.27</v>
      </c>
      <c r="I1159" s="14">
        <v>1371889.27</v>
      </c>
      <c r="J1159" s="22">
        <f>H1159*(1+Assumptions!$B$6+IF(F1159="Yes",Assumptions!$C$6,0))</f>
        <v>1413045.9481000002</v>
      </c>
      <c r="K1159" s="22">
        <f>H1159*(1+Assumptions!$B$7+IF(F1159="Yes",Assumptions!$C$7,0))</f>
        <v>1440483.7335000001</v>
      </c>
      <c r="L1159" s="22">
        <f>H1159*(1+Assumptions!$B$8+IF(F1159="Yes",Assumptions!$C$8,0))</f>
        <v>1385608.1627</v>
      </c>
    </row>
    <row r="1160" spans="1:12" ht="15">
      <c r="A1160" s="21">
        <v>41089</v>
      </c>
      <c r="B1160" s="21">
        <v>41061</v>
      </c>
      <c r="C1160" s="17">
        <v>32</v>
      </c>
      <c r="D1160" s="17" t="s">
        <v>90</v>
      </c>
      <c r="E1160" s="18">
        <v>203007</v>
      </c>
      <c r="F1160" s="17" t="s">
        <v>91</v>
      </c>
      <c r="G1160" s="14">
        <v>1178182.8899999999</v>
      </c>
      <c r="H1160" s="14">
        <v>1199845.29</v>
      </c>
      <c r="I1160" s="14">
        <v>1199845.29</v>
      </c>
      <c r="J1160" s="22">
        <f>H1160*(1+Assumptions!$B$6+IF(F1160="Yes",Assumptions!$C$6,0))</f>
        <v>1235840.6487</v>
      </c>
      <c r="K1160" s="22">
        <f>H1160*(1+Assumptions!$B$7+IF(F1160="Yes",Assumptions!$C$7,0))</f>
        <v>1259837.5545000001</v>
      </c>
      <c r="L1160" s="22">
        <f>H1160*(1+Assumptions!$B$8+IF(F1160="Yes",Assumptions!$C$8,0))</f>
        <v>1211843.7429</v>
      </c>
    </row>
    <row r="1161" spans="1:12" ht="15">
      <c r="A1161" s="21">
        <v>41089</v>
      </c>
      <c r="B1161" s="21">
        <v>41061</v>
      </c>
      <c r="C1161" s="17">
        <v>33</v>
      </c>
      <c r="D1161" s="17" t="s">
        <v>90</v>
      </c>
      <c r="E1161" s="18">
        <v>39690</v>
      </c>
      <c r="F1161" s="17" t="s">
        <v>91</v>
      </c>
      <c r="G1161" s="14">
        <v>243930.63</v>
      </c>
      <c r="H1161" s="14">
        <v>226695.36000000002</v>
      </c>
      <c r="I1161" s="14">
        <v>226695.36000000002</v>
      </c>
      <c r="J1161" s="22">
        <f>H1161*(1+Assumptions!$B$6+IF(F1161="Yes",Assumptions!$C$6,0))</f>
        <v>233496.22080000001</v>
      </c>
      <c r="K1161" s="22">
        <f>H1161*(1+Assumptions!$B$7+IF(F1161="Yes",Assumptions!$C$7,0))</f>
        <v>238030.12800000003</v>
      </c>
      <c r="L1161" s="22">
        <f>H1161*(1+Assumptions!$B$8+IF(F1161="Yes",Assumptions!$C$8,0))</f>
        <v>228962.31360000002</v>
      </c>
    </row>
    <row r="1162" spans="1:12" ht="15">
      <c r="A1162" s="21">
        <v>41089</v>
      </c>
      <c r="B1162" s="21">
        <v>41061</v>
      </c>
      <c r="C1162" s="17">
        <v>34</v>
      </c>
      <c r="D1162" s="17" t="s">
        <v>90</v>
      </c>
      <c r="E1162" s="18">
        <v>158114</v>
      </c>
      <c r="F1162" s="17" t="s">
        <v>91</v>
      </c>
      <c r="G1162" s="14">
        <v>942969.63</v>
      </c>
      <c r="H1162" s="14">
        <v>911106.22</v>
      </c>
      <c r="I1162" s="14">
        <v>911106.22</v>
      </c>
      <c r="J1162" s="22">
        <f>H1162*(1+Assumptions!$B$6+IF(F1162="Yes",Assumptions!$C$6,0))</f>
        <v>938439.40659999999</v>
      </c>
      <c r="K1162" s="22">
        <f>H1162*(1+Assumptions!$B$7+IF(F1162="Yes",Assumptions!$C$7,0))</f>
        <v>956661.53099999996</v>
      </c>
      <c r="L1162" s="22">
        <f>H1162*(1+Assumptions!$B$8+IF(F1162="Yes",Assumptions!$C$8,0))</f>
        <v>920217.28220000002</v>
      </c>
    </row>
    <row r="1163" spans="1:12" ht="15">
      <c r="A1163" s="21">
        <v>41089</v>
      </c>
      <c r="B1163" s="21">
        <v>41061</v>
      </c>
      <c r="C1163" s="17">
        <v>35</v>
      </c>
      <c r="D1163" s="17" t="s">
        <v>92</v>
      </c>
      <c r="E1163" s="18">
        <v>103681</v>
      </c>
      <c r="F1163" s="17" t="s">
        <v>91</v>
      </c>
      <c r="G1163" s="14">
        <v>892066.39</v>
      </c>
      <c r="H1163" s="14">
        <v>874442.4</v>
      </c>
      <c r="I1163" s="14">
        <v>874442.4</v>
      </c>
      <c r="J1163" s="22">
        <f>H1163*(1+Assumptions!$B$6+IF(F1163="Yes",Assumptions!$C$6,0))</f>
        <v>900675.67200000002</v>
      </c>
      <c r="K1163" s="22">
        <f>H1163*(1+Assumptions!$B$7+IF(F1163="Yes",Assumptions!$C$7,0))</f>
        <v>918164.52</v>
      </c>
      <c r="L1163" s="22">
        <f>H1163*(1+Assumptions!$B$8+IF(F1163="Yes",Assumptions!$C$8,0))</f>
        <v>883186.82400000002</v>
      </c>
    </row>
    <row r="1164" spans="1:12" ht="15">
      <c r="A1164" s="21">
        <v>41089</v>
      </c>
      <c r="B1164" s="21">
        <v>41061</v>
      </c>
      <c r="C1164" s="17">
        <v>36</v>
      </c>
      <c r="D1164" s="17" t="s">
        <v>90</v>
      </c>
      <c r="E1164" s="18">
        <v>39910</v>
      </c>
      <c r="F1164" s="17" t="s">
        <v>91</v>
      </c>
      <c r="G1164" s="14">
        <v>291499.93</v>
      </c>
      <c r="H1164" s="14">
        <v>354171.77</v>
      </c>
      <c r="I1164" s="14">
        <v>354171.77</v>
      </c>
      <c r="J1164" s="22">
        <f>H1164*(1+Assumptions!$B$6+IF(F1164="Yes",Assumptions!$C$6,0))</f>
        <v>364796.92310000001</v>
      </c>
      <c r="K1164" s="22">
        <f>H1164*(1+Assumptions!$B$7+IF(F1164="Yes",Assumptions!$C$7,0))</f>
        <v>371880.35850000003</v>
      </c>
      <c r="L1164" s="22">
        <f>H1164*(1+Assumptions!$B$8+IF(F1164="Yes",Assumptions!$C$8,0))</f>
        <v>357713.4877</v>
      </c>
    </row>
    <row r="1165" spans="1:12" ht="15">
      <c r="A1165" s="21">
        <v>41089</v>
      </c>
      <c r="B1165" s="21">
        <v>41061</v>
      </c>
      <c r="C1165" s="17">
        <v>37</v>
      </c>
      <c r="D1165" s="17" t="s">
        <v>93</v>
      </c>
      <c r="E1165" s="18">
        <v>39910</v>
      </c>
      <c r="F1165" s="17" t="s">
        <v>91</v>
      </c>
      <c r="G1165" s="14">
        <v>508234.96</v>
      </c>
      <c r="H1165" s="14">
        <v>517016.3</v>
      </c>
      <c r="I1165" s="14">
        <v>517016.3</v>
      </c>
      <c r="J1165" s="22">
        <f>H1165*(1+Assumptions!$B$6+IF(F1165="Yes",Assumptions!$C$6,0))</f>
        <v>532526.78899999999</v>
      </c>
      <c r="K1165" s="22">
        <f>H1165*(1+Assumptions!$B$7+IF(F1165="Yes",Assumptions!$C$7,0))</f>
        <v>542867.11499999999</v>
      </c>
      <c r="L1165" s="22">
        <f>H1165*(1+Assumptions!$B$8+IF(F1165="Yes",Assumptions!$C$8,0))</f>
        <v>522186.46299999999</v>
      </c>
    </row>
    <row r="1166" spans="1:12" ht="15">
      <c r="A1166" s="21">
        <v>41089</v>
      </c>
      <c r="B1166" s="21">
        <v>41061</v>
      </c>
      <c r="C1166" s="17">
        <v>38</v>
      </c>
      <c r="D1166" s="17" t="s">
        <v>93</v>
      </c>
      <c r="E1166" s="18">
        <v>39690</v>
      </c>
      <c r="F1166" s="17" t="s">
        <v>91</v>
      </c>
      <c r="G1166" s="14">
        <v>404617.48000000004</v>
      </c>
      <c r="H1166" s="14">
        <v>387314.24</v>
      </c>
      <c r="I1166" s="14">
        <v>387314.24</v>
      </c>
      <c r="J1166" s="22">
        <f>H1166*(1+Assumptions!$B$6+IF(F1166="Yes",Assumptions!$C$6,0))</f>
        <v>398933.66720000003</v>
      </c>
      <c r="K1166" s="22">
        <f>H1166*(1+Assumptions!$B$7+IF(F1166="Yes",Assumptions!$C$7,0))</f>
        <v>406679.95199999999</v>
      </c>
      <c r="L1166" s="22">
        <f>H1166*(1+Assumptions!$B$8+IF(F1166="Yes",Assumptions!$C$8,0))</f>
        <v>391187.3824</v>
      </c>
    </row>
    <row r="1167" spans="1:12" ht="15">
      <c r="A1167" s="21">
        <v>41089</v>
      </c>
      <c r="B1167" s="21">
        <v>41061</v>
      </c>
      <c r="C1167" s="17">
        <v>39</v>
      </c>
      <c r="D1167" s="17" t="s">
        <v>90</v>
      </c>
      <c r="E1167" s="18">
        <v>184109</v>
      </c>
      <c r="F1167" s="17" t="s">
        <v>91</v>
      </c>
      <c r="G1167" s="14">
        <v>1492388.98</v>
      </c>
      <c r="H1167" s="14">
        <v>1429797.89</v>
      </c>
      <c r="I1167" s="14">
        <v>1429797.89</v>
      </c>
      <c r="J1167" s="22">
        <f>H1167*(1+Assumptions!$B$6+IF(F1167="Yes",Assumptions!$C$6,0))</f>
        <v>1472691.8266999999</v>
      </c>
      <c r="K1167" s="22">
        <f>H1167*(1+Assumptions!$B$7+IF(F1167="Yes",Assumptions!$C$7,0))</f>
        <v>1501287.7845000001</v>
      </c>
      <c r="L1167" s="22">
        <f>H1167*(1+Assumptions!$B$8+IF(F1167="Yes",Assumptions!$C$8,0))</f>
        <v>1444095.8688999999</v>
      </c>
    </row>
    <row r="1168" spans="1:12" ht="15">
      <c r="A1168" s="21">
        <v>41089</v>
      </c>
      <c r="B1168" s="21">
        <v>41061</v>
      </c>
      <c r="C1168" s="17">
        <v>40</v>
      </c>
      <c r="D1168" s="17" t="s">
        <v>90</v>
      </c>
      <c r="E1168" s="18">
        <v>155083</v>
      </c>
      <c r="F1168" s="17" t="s">
        <v>91</v>
      </c>
      <c r="G1168" s="14">
        <v>988712.32</v>
      </c>
      <c r="H1168" s="14">
        <v>1048866.3</v>
      </c>
      <c r="I1168" s="14">
        <v>1048866.3</v>
      </c>
      <c r="J1168" s="22">
        <f>H1168*(1+Assumptions!$B$6+IF(F1168="Yes",Assumptions!$C$6,0))</f>
        <v>1080332.2890000001</v>
      </c>
      <c r="K1168" s="22">
        <f>H1168*(1+Assumptions!$B$7+IF(F1168="Yes",Assumptions!$C$7,0))</f>
        <v>1101309.615</v>
      </c>
      <c r="L1168" s="22">
        <f>H1168*(1+Assumptions!$B$8+IF(F1168="Yes",Assumptions!$C$8,0))</f>
        <v>1059354.963</v>
      </c>
    </row>
    <row r="1169" spans="1:12" ht="15">
      <c r="A1169" s="21">
        <v>41089</v>
      </c>
      <c r="B1169" s="21">
        <v>41061</v>
      </c>
      <c r="C1169" s="17">
        <v>41</v>
      </c>
      <c r="D1169" s="17" t="s">
        <v>90</v>
      </c>
      <c r="E1169" s="18">
        <v>196321</v>
      </c>
      <c r="F1169" s="17" t="s">
        <v>91</v>
      </c>
      <c r="G1169" s="14">
        <v>1355592.09</v>
      </c>
      <c r="H1169" s="14">
        <v>1333262.45</v>
      </c>
      <c r="I1169" s="14">
        <v>1333262.45</v>
      </c>
      <c r="J1169" s="22">
        <f>H1169*(1+Assumptions!$B$6+IF(F1169="Yes",Assumptions!$C$6,0))</f>
        <v>1373260.3234999999</v>
      </c>
      <c r="K1169" s="22">
        <f>H1169*(1+Assumptions!$B$7+IF(F1169="Yes",Assumptions!$C$7,0))</f>
        <v>1399925.5725</v>
      </c>
      <c r="L1169" s="22">
        <f>H1169*(1+Assumptions!$B$8+IF(F1169="Yes",Assumptions!$C$8,0))</f>
        <v>1346595.0744999999</v>
      </c>
    </row>
    <row r="1170" spans="1:12" ht="15">
      <c r="A1170" s="21">
        <v>41089</v>
      </c>
      <c r="B1170" s="21">
        <v>41061</v>
      </c>
      <c r="C1170" s="17">
        <v>42</v>
      </c>
      <c r="D1170" s="17" t="s">
        <v>93</v>
      </c>
      <c r="E1170" s="18">
        <v>39690</v>
      </c>
      <c r="F1170" s="17" t="s">
        <v>91</v>
      </c>
      <c r="G1170" s="14">
        <v>507370.94</v>
      </c>
      <c r="H1170" s="14">
        <v>506168.75</v>
      </c>
      <c r="I1170" s="14">
        <v>506168.75</v>
      </c>
      <c r="J1170" s="22">
        <f>H1170*(1+Assumptions!$B$6+IF(F1170="Yes",Assumptions!$C$6,0))</f>
        <v>521353.8125</v>
      </c>
      <c r="K1170" s="22">
        <f>H1170*(1+Assumptions!$B$7+IF(F1170="Yes",Assumptions!$C$7,0))</f>
        <v>531477.1875</v>
      </c>
      <c r="L1170" s="22">
        <f>H1170*(1+Assumptions!$B$8+IF(F1170="Yes",Assumptions!$C$8,0))</f>
        <v>511230.4375</v>
      </c>
    </row>
    <row r="1171" spans="1:12" ht="15">
      <c r="A1171" s="21">
        <v>41089</v>
      </c>
      <c r="B1171" s="21">
        <v>41061</v>
      </c>
      <c r="C1171" s="17">
        <v>43</v>
      </c>
      <c r="D1171" s="17" t="s">
        <v>93</v>
      </c>
      <c r="E1171" s="18">
        <v>41062</v>
      </c>
      <c r="F1171" s="17" t="s">
        <v>91</v>
      </c>
      <c r="G1171" s="14">
        <v>593121.89</v>
      </c>
      <c r="H1171" s="14">
        <v>586389.5</v>
      </c>
      <c r="I1171" s="14">
        <v>586389.5</v>
      </c>
      <c r="J1171" s="22">
        <f>H1171*(1+Assumptions!$B$6+IF(F1171="Yes",Assumptions!$C$6,0))</f>
        <v>603981.18500000006</v>
      </c>
      <c r="K1171" s="22">
        <f>H1171*(1+Assumptions!$B$7+IF(F1171="Yes",Assumptions!$C$7,0))</f>
        <v>615708.97499999998</v>
      </c>
      <c r="L1171" s="22">
        <f>H1171*(1+Assumptions!$B$8+IF(F1171="Yes",Assumptions!$C$8,0))</f>
        <v>592253.39500000002</v>
      </c>
    </row>
    <row r="1172" spans="1:12" ht="15">
      <c r="A1172" s="21">
        <v>41089</v>
      </c>
      <c r="B1172" s="21">
        <v>41061</v>
      </c>
      <c r="C1172" s="17">
        <v>44</v>
      </c>
      <c r="D1172" s="17" t="s">
        <v>93</v>
      </c>
      <c r="E1172" s="18">
        <v>39910</v>
      </c>
      <c r="F1172" s="17" t="s">
        <v>91</v>
      </c>
      <c r="G1172" s="14">
        <v>338167.67</v>
      </c>
      <c r="H1172" s="14">
        <v>315273.08</v>
      </c>
      <c r="I1172" s="14">
        <v>315273.08</v>
      </c>
      <c r="J1172" s="22">
        <f>H1172*(1+Assumptions!$B$6+IF(F1172="Yes",Assumptions!$C$6,0))</f>
        <v>324731.27240000002</v>
      </c>
      <c r="K1172" s="22">
        <f>H1172*(1+Assumptions!$B$7+IF(F1172="Yes",Assumptions!$C$7,0))</f>
        <v>331036.73400000005</v>
      </c>
      <c r="L1172" s="22">
        <f>H1172*(1+Assumptions!$B$8+IF(F1172="Yes",Assumptions!$C$8,0))</f>
        <v>318425.81080000004</v>
      </c>
    </row>
    <row r="1173" spans="1:12" ht="15">
      <c r="A1173" s="21">
        <v>41089</v>
      </c>
      <c r="B1173" s="21">
        <v>41061</v>
      </c>
      <c r="C1173" s="17">
        <v>45</v>
      </c>
      <c r="D1173" s="17" t="s">
        <v>92</v>
      </c>
      <c r="E1173" s="18">
        <v>118221</v>
      </c>
      <c r="F1173" s="17" t="s">
        <v>91</v>
      </c>
      <c r="G1173" s="14">
        <v>773401.71</v>
      </c>
      <c r="H1173" s="14">
        <v>791483.9</v>
      </c>
      <c r="I1173" s="14">
        <v>791483.9</v>
      </c>
      <c r="J1173" s="22">
        <f>H1173*(1+Assumptions!$B$6+IF(F1173="Yes",Assumptions!$C$6,0))</f>
        <v>815228.41700000002</v>
      </c>
      <c r="K1173" s="22">
        <f>H1173*(1+Assumptions!$B$7+IF(F1173="Yes",Assumptions!$C$7,0))</f>
        <v>831058.09500000009</v>
      </c>
      <c r="L1173" s="22">
        <f>H1173*(1+Assumptions!$B$8+IF(F1173="Yes",Assumptions!$C$8,0))</f>
        <v>799398.73900000006</v>
      </c>
    </row>
    <row r="1174" spans="1:12" ht="15">
      <c r="A1174" s="21">
        <v>41096</v>
      </c>
      <c r="B1174" s="21">
        <v>41091</v>
      </c>
      <c r="C1174" s="17">
        <v>1</v>
      </c>
      <c r="D1174" s="17" t="s">
        <v>90</v>
      </c>
      <c r="E1174" s="18">
        <v>151315</v>
      </c>
      <c r="F1174" s="17" t="s">
        <v>91</v>
      </c>
      <c r="G1174" s="14">
        <v>1769494.17</v>
      </c>
      <c r="H1174" s="14">
        <v>1535047.64</v>
      </c>
      <c r="I1174" s="14">
        <v>1535047.64</v>
      </c>
      <c r="J1174" s="22">
        <f>H1174*(1+Assumptions!$B$6+IF(F1174="Yes",Assumptions!$C$6,0))</f>
        <v>1581099.0692</v>
      </c>
      <c r="K1174" s="22">
        <f>H1174*(1+Assumptions!$B$7+IF(F1174="Yes",Assumptions!$C$7,0))</f>
        <v>1611800.0219999999</v>
      </c>
      <c r="L1174" s="22">
        <f>H1174*(1+Assumptions!$B$8+IF(F1174="Yes",Assumptions!$C$8,0))</f>
        <v>1550398.1163999999</v>
      </c>
    </row>
    <row r="1175" spans="1:12" ht="15">
      <c r="A1175" s="21">
        <v>41096</v>
      </c>
      <c r="B1175" s="21">
        <v>41091</v>
      </c>
      <c r="C1175" s="17">
        <v>2</v>
      </c>
      <c r="D1175" s="17" t="s">
        <v>90</v>
      </c>
      <c r="E1175" s="18">
        <v>202307</v>
      </c>
      <c r="F1175" s="17" t="s">
        <v>91</v>
      </c>
      <c r="G1175" s="14">
        <v>2041535.3599999999</v>
      </c>
      <c r="H1175" s="14">
        <v>1853161.99</v>
      </c>
      <c r="I1175" s="14">
        <v>1853161.99</v>
      </c>
      <c r="J1175" s="22">
        <f>H1175*(1+Assumptions!$B$6+IF(F1175="Yes",Assumptions!$C$6,0))</f>
        <v>1908756.8497000001</v>
      </c>
      <c r="K1175" s="22">
        <f>H1175*(1+Assumptions!$B$7+IF(F1175="Yes",Assumptions!$C$7,0))</f>
        <v>1945820.0895</v>
      </c>
      <c r="L1175" s="22">
        <f>H1175*(1+Assumptions!$B$8+IF(F1175="Yes",Assumptions!$C$8,0))</f>
        <v>1871693.6099</v>
      </c>
    </row>
    <row r="1176" spans="1:12" ht="15">
      <c r="A1176" s="21">
        <v>41096</v>
      </c>
      <c r="B1176" s="21">
        <v>41091</v>
      </c>
      <c r="C1176" s="17">
        <v>3</v>
      </c>
      <c r="D1176" s="17" t="s">
        <v>92</v>
      </c>
      <c r="E1176" s="18">
        <v>37392</v>
      </c>
      <c r="F1176" s="17" t="s">
        <v>91</v>
      </c>
      <c r="G1176" s="14">
        <v>411163.56</v>
      </c>
      <c r="H1176" s="14">
        <v>395130.36</v>
      </c>
      <c r="I1176" s="14">
        <v>395130.36</v>
      </c>
      <c r="J1176" s="22">
        <f>H1176*(1+Assumptions!$B$6+IF(F1176="Yes",Assumptions!$C$6,0))</f>
        <v>406984.2708</v>
      </c>
      <c r="K1176" s="22">
        <f>H1176*(1+Assumptions!$B$7+IF(F1176="Yes",Assumptions!$C$7,0))</f>
        <v>414886.87800000003</v>
      </c>
      <c r="L1176" s="22">
        <f>H1176*(1+Assumptions!$B$8+IF(F1176="Yes",Assumptions!$C$8,0))</f>
        <v>399081.66359999997</v>
      </c>
    </row>
    <row r="1177" spans="1:12" ht="15">
      <c r="A1177" s="21">
        <v>41096</v>
      </c>
      <c r="B1177" s="21">
        <v>41091</v>
      </c>
      <c r="C1177" s="17">
        <v>4</v>
      </c>
      <c r="D1177" s="17" t="s">
        <v>90</v>
      </c>
      <c r="E1177" s="18">
        <v>205863</v>
      </c>
      <c r="F1177" s="17" t="s">
        <v>91</v>
      </c>
      <c r="G1177" s="14">
        <v>2220092.9500000002</v>
      </c>
      <c r="H1177" s="14">
        <v>2066541.8599999999</v>
      </c>
      <c r="I1177" s="14">
        <v>2066541.8599999999</v>
      </c>
      <c r="J1177" s="22">
        <f>H1177*(1+Assumptions!$B$6+IF(F1177="Yes",Assumptions!$C$6,0))</f>
        <v>2128538.1157999998</v>
      </c>
      <c r="K1177" s="22">
        <f>H1177*(1+Assumptions!$B$7+IF(F1177="Yes",Assumptions!$C$7,0))</f>
        <v>2169868.9529999997</v>
      </c>
      <c r="L1177" s="22">
        <f>H1177*(1+Assumptions!$B$8+IF(F1177="Yes",Assumptions!$C$8,0))</f>
        <v>2087207.2785999998</v>
      </c>
    </row>
    <row r="1178" spans="1:12" ht="15">
      <c r="A1178" s="21">
        <v>41096</v>
      </c>
      <c r="B1178" s="21">
        <v>41091</v>
      </c>
      <c r="C1178" s="17">
        <v>5</v>
      </c>
      <c r="D1178" s="17" t="s">
        <v>92</v>
      </c>
      <c r="E1178" s="18">
        <v>34875</v>
      </c>
      <c r="F1178" s="17" t="s">
        <v>91</v>
      </c>
      <c r="G1178" s="14">
        <v>341033.29</v>
      </c>
      <c r="H1178" s="14">
        <v>310751.15000000002</v>
      </c>
      <c r="I1178" s="14">
        <v>310751.15000000002</v>
      </c>
      <c r="J1178" s="22">
        <f>H1178*(1+Assumptions!$B$6+IF(F1178="Yes",Assumptions!$C$6,0))</f>
        <v>320073.68450000003</v>
      </c>
      <c r="K1178" s="22">
        <f>H1178*(1+Assumptions!$B$7+IF(F1178="Yes",Assumptions!$C$7,0))</f>
        <v>326288.70750000002</v>
      </c>
      <c r="L1178" s="22">
        <f>H1178*(1+Assumptions!$B$8+IF(F1178="Yes",Assumptions!$C$8,0))</f>
        <v>313858.66150000005</v>
      </c>
    </row>
    <row r="1179" spans="1:12" ht="15">
      <c r="A1179" s="21">
        <v>41096</v>
      </c>
      <c r="B1179" s="21">
        <v>41091</v>
      </c>
      <c r="C1179" s="17">
        <v>6</v>
      </c>
      <c r="D1179" s="17" t="s">
        <v>90</v>
      </c>
      <c r="E1179" s="18">
        <v>202505</v>
      </c>
      <c r="F1179" s="17" t="s">
        <v>91</v>
      </c>
      <c r="G1179" s="14">
        <v>1876348.39</v>
      </c>
      <c r="H1179" s="14">
        <v>1709361.65</v>
      </c>
      <c r="I1179" s="14">
        <v>1709361.65</v>
      </c>
      <c r="J1179" s="22">
        <f>H1179*(1+Assumptions!$B$6+IF(F1179="Yes",Assumptions!$C$6,0))</f>
        <v>1760642.4994999999</v>
      </c>
      <c r="K1179" s="22">
        <f>H1179*(1+Assumptions!$B$7+IF(F1179="Yes",Assumptions!$C$7,0))</f>
        <v>1794829.7324999999</v>
      </c>
      <c r="L1179" s="22">
        <f>H1179*(1+Assumptions!$B$8+IF(F1179="Yes",Assumptions!$C$8,0))</f>
        <v>1726455.2664999999</v>
      </c>
    </row>
    <row r="1180" spans="1:12" ht="15">
      <c r="A1180" s="21">
        <v>41096</v>
      </c>
      <c r="B1180" s="21">
        <v>41091</v>
      </c>
      <c r="C1180" s="17">
        <v>7</v>
      </c>
      <c r="D1180" s="17" t="s">
        <v>92</v>
      </c>
      <c r="E1180" s="18">
        <v>70713</v>
      </c>
      <c r="F1180" s="17" t="s">
        <v>91</v>
      </c>
      <c r="G1180" s="14">
        <v>804582.17</v>
      </c>
      <c r="H1180" s="14">
        <v>761773.63</v>
      </c>
      <c r="I1180" s="14">
        <v>761773.63</v>
      </c>
      <c r="J1180" s="22">
        <f>H1180*(1+Assumptions!$B$6+IF(F1180="Yes",Assumptions!$C$6,0))</f>
        <v>784626.83889999997</v>
      </c>
      <c r="K1180" s="22">
        <f>H1180*(1+Assumptions!$B$7+IF(F1180="Yes",Assumptions!$C$7,0))</f>
        <v>799862.31150000007</v>
      </c>
      <c r="L1180" s="22">
        <f>H1180*(1+Assumptions!$B$8+IF(F1180="Yes",Assumptions!$C$8,0))</f>
        <v>769391.36629999999</v>
      </c>
    </row>
    <row r="1181" spans="1:12" ht="15">
      <c r="A1181" s="21">
        <v>41096</v>
      </c>
      <c r="B1181" s="21">
        <v>41091</v>
      </c>
      <c r="C1181" s="17">
        <v>8</v>
      </c>
      <c r="D1181" s="17" t="s">
        <v>90</v>
      </c>
      <c r="E1181" s="18">
        <v>155078</v>
      </c>
      <c r="F1181" s="17" t="s">
        <v>91</v>
      </c>
      <c r="G1181" s="14">
        <v>936193.03</v>
      </c>
      <c r="H1181" s="14">
        <v>861965.12</v>
      </c>
      <c r="I1181" s="14">
        <v>861965.12</v>
      </c>
      <c r="J1181" s="22">
        <f>H1181*(1+Assumptions!$B$6+IF(F1181="Yes",Assumptions!$C$6,0))</f>
        <v>887824.0736</v>
      </c>
      <c r="K1181" s="22">
        <f>H1181*(1+Assumptions!$B$7+IF(F1181="Yes",Assumptions!$C$7,0))</f>
        <v>905063.37600000005</v>
      </c>
      <c r="L1181" s="22">
        <f>H1181*(1+Assumptions!$B$8+IF(F1181="Yes",Assumptions!$C$8,0))</f>
        <v>870584.77119999996</v>
      </c>
    </row>
    <row r="1182" spans="1:12" ht="15">
      <c r="A1182" s="21">
        <v>41096</v>
      </c>
      <c r="B1182" s="21">
        <v>41091</v>
      </c>
      <c r="C1182" s="17">
        <v>9</v>
      </c>
      <c r="D1182" s="17" t="s">
        <v>92</v>
      </c>
      <c r="E1182" s="18">
        <v>125833</v>
      </c>
      <c r="F1182" s="17" t="s">
        <v>91</v>
      </c>
      <c r="G1182" s="14">
        <v>578569.47</v>
      </c>
      <c r="H1182" s="14">
        <v>536157.65</v>
      </c>
      <c r="I1182" s="14">
        <v>536157.65</v>
      </c>
      <c r="J1182" s="22">
        <f>H1182*(1+Assumptions!$B$6+IF(F1182="Yes",Assumptions!$C$6,0))</f>
        <v>552242.37950000004</v>
      </c>
      <c r="K1182" s="22">
        <f>H1182*(1+Assumptions!$B$7+IF(F1182="Yes",Assumptions!$C$7,0))</f>
        <v>562965.53250000009</v>
      </c>
      <c r="L1182" s="22">
        <f>H1182*(1+Assumptions!$B$8+IF(F1182="Yes",Assumptions!$C$8,0))</f>
        <v>541519.22649999999</v>
      </c>
    </row>
    <row r="1183" spans="1:12" ht="15">
      <c r="A1183" s="21">
        <v>41096</v>
      </c>
      <c r="B1183" s="21">
        <v>41091</v>
      </c>
      <c r="C1183" s="17">
        <v>10</v>
      </c>
      <c r="D1183" s="17" t="s">
        <v>92</v>
      </c>
      <c r="E1183" s="18">
        <v>126512</v>
      </c>
      <c r="F1183" s="17" t="s">
        <v>91</v>
      </c>
      <c r="G1183" s="14">
        <v>1806011.77</v>
      </c>
      <c r="H1183" s="14">
        <v>1699694.8800000001</v>
      </c>
      <c r="I1183" s="14">
        <v>1699694.8800000001</v>
      </c>
      <c r="J1183" s="22">
        <f>H1183*(1+Assumptions!$B$6+IF(F1183="Yes",Assumptions!$C$6,0))</f>
        <v>1750685.7264000003</v>
      </c>
      <c r="K1183" s="22">
        <f>H1183*(1+Assumptions!$B$7+IF(F1183="Yes",Assumptions!$C$7,0))</f>
        <v>1784679.6240000003</v>
      </c>
      <c r="L1183" s="22">
        <f>H1183*(1+Assumptions!$B$8+IF(F1183="Yes",Assumptions!$C$8,0))</f>
        <v>1716691.8288000003</v>
      </c>
    </row>
    <row r="1184" spans="1:12" ht="15">
      <c r="A1184" s="21">
        <v>41096</v>
      </c>
      <c r="B1184" s="21">
        <v>41091</v>
      </c>
      <c r="C1184" s="17">
        <v>11</v>
      </c>
      <c r="D1184" s="17" t="s">
        <v>90</v>
      </c>
      <c r="E1184" s="18">
        <v>207499</v>
      </c>
      <c r="F1184" s="17" t="s">
        <v>91</v>
      </c>
      <c r="G1184" s="14">
        <v>1461108.91</v>
      </c>
      <c r="H1184" s="14">
        <v>1334619.1499999999</v>
      </c>
      <c r="I1184" s="14">
        <v>1334619.1499999999</v>
      </c>
      <c r="J1184" s="22">
        <f>H1184*(1+Assumptions!$B$6+IF(F1184="Yes",Assumptions!$C$6,0))</f>
        <v>1374657.7245</v>
      </c>
      <c r="K1184" s="22">
        <f>H1184*(1+Assumptions!$B$7+IF(F1184="Yes",Assumptions!$C$7,0))</f>
        <v>1401350.1074999999</v>
      </c>
      <c r="L1184" s="22">
        <f>H1184*(1+Assumptions!$B$8+IF(F1184="Yes",Assumptions!$C$8,0))</f>
        <v>1347965.3414999999</v>
      </c>
    </row>
    <row r="1185" spans="1:12" ht="15">
      <c r="A1185" s="21">
        <v>41096</v>
      </c>
      <c r="B1185" s="21">
        <v>41091</v>
      </c>
      <c r="C1185" s="17">
        <v>12</v>
      </c>
      <c r="D1185" s="17" t="s">
        <v>92</v>
      </c>
      <c r="E1185" s="18">
        <v>112238</v>
      </c>
      <c r="F1185" s="17" t="s">
        <v>91</v>
      </c>
      <c r="G1185" s="14">
        <v>1014783.26</v>
      </c>
      <c r="H1185" s="14">
        <v>943693.44000000006</v>
      </c>
      <c r="I1185" s="14">
        <v>943693.44000000006</v>
      </c>
      <c r="J1185" s="22">
        <f>H1185*(1+Assumptions!$B$6+IF(F1185="Yes",Assumptions!$C$6,0))</f>
        <v>972004.24320000014</v>
      </c>
      <c r="K1185" s="22">
        <f>H1185*(1+Assumptions!$B$7+IF(F1185="Yes",Assumptions!$C$7,0))</f>
        <v>990878.11200000008</v>
      </c>
      <c r="L1185" s="22">
        <f>H1185*(1+Assumptions!$B$8+IF(F1185="Yes",Assumptions!$C$8,0))</f>
        <v>953130.37440000009</v>
      </c>
    </row>
    <row r="1186" spans="1:12" ht="15">
      <c r="A1186" s="21">
        <v>41096</v>
      </c>
      <c r="B1186" s="21">
        <v>41091</v>
      </c>
      <c r="C1186" s="17">
        <v>13</v>
      </c>
      <c r="D1186" s="17" t="s">
        <v>90</v>
      </c>
      <c r="E1186" s="18">
        <v>219622</v>
      </c>
      <c r="F1186" s="17" t="s">
        <v>91</v>
      </c>
      <c r="G1186" s="14">
        <v>2184980.29</v>
      </c>
      <c r="H1186" s="14">
        <v>2021693.41</v>
      </c>
      <c r="I1186" s="14">
        <v>2021693.41</v>
      </c>
      <c r="J1186" s="22">
        <f>H1186*(1+Assumptions!$B$6+IF(F1186="Yes",Assumptions!$C$6,0))</f>
        <v>2082344.2123</v>
      </c>
      <c r="K1186" s="22">
        <f>H1186*(1+Assumptions!$B$7+IF(F1186="Yes",Assumptions!$C$7,0))</f>
        <v>2122778.0805000002</v>
      </c>
      <c r="L1186" s="22">
        <f>H1186*(1+Assumptions!$B$8+IF(F1186="Yes",Assumptions!$C$8,0))</f>
        <v>2041910.3440999999</v>
      </c>
    </row>
    <row r="1187" spans="1:12" ht="15">
      <c r="A1187" s="21">
        <v>41096</v>
      </c>
      <c r="B1187" s="21">
        <v>41091</v>
      </c>
      <c r="C1187" s="17">
        <v>14</v>
      </c>
      <c r="D1187" s="17" t="s">
        <v>90</v>
      </c>
      <c r="E1187" s="18">
        <v>200898</v>
      </c>
      <c r="F1187" s="17" t="s">
        <v>91</v>
      </c>
      <c r="G1187" s="14">
        <v>1862128.92</v>
      </c>
      <c r="H1187" s="14">
        <v>2063401.06</v>
      </c>
      <c r="I1187" s="14">
        <v>2063401.06</v>
      </c>
      <c r="J1187" s="22">
        <f>H1187*(1+Assumptions!$B$6+IF(F1187="Yes",Assumptions!$C$6,0))</f>
        <v>2125303.0918000001</v>
      </c>
      <c r="K1187" s="22">
        <f>H1187*(1+Assumptions!$B$7+IF(F1187="Yes",Assumptions!$C$7,0))</f>
        <v>2166571.1130000004</v>
      </c>
      <c r="L1187" s="22">
        <f>H1187*(1+Assumptions!$B$8+IF(F1187="Yes",Assumptions!$C$8,0))</f>
        <v>2084035.0706</v>
      </c>
    </row>
    <row r="1188" spans="1:12" ht="15">
      <c r="A1188" s="21">
        <v>41096</v>
      </c>
      <c r="B1188" s="21">
        <v>41091</v>
      </c>
      <c r="C1188" s="17">
        <v>15</v>
      </c>
      <c r="D1188" s="17" t="s">
        <v>92</v>
      </c>
      <c r="E1188" s="18">
        <v>123737</v>
      </c>
      <c r="F1188" s="17" t="s">
        <v>91</v>
      </c>
      <c r="G1188" s="14">
        <v>678024.75</v>
      </c>
      <c r="H1188" s="14">
        <v>635083.62</v>
      </c>
      <c r="I1188" s="14">
        <v>635083.62</v>
      </c>
      <c r="J1188" s="22">
        <f>H1188*(1+Assumptions!$B$6+IF(F1188="Yes",Assumptions!$C$6,0))</f>
        <v>654136.12860000005</v>
      </c>
      <c r="K1188" s="22">
        <f>H1188*(1+Assumptions!$B$7+IF(F1188="Yes",Assumptions!$C$7,0))</f>
        <v>666837.80099999998</v>
      </c>
      <c r="L1188" s="22">
        <f>H1188*(1+Assumptions!$B$8+IF(F1188="Yes",Assumptions!$C$8,0))</f>
        <v>641434.45620000002</v>
      </c>
    </row>
    <row r="1189" spans="1:12" ht="15">
      <c r="A1189" s="21">
        <v>41096</v>
      </c>
      <c r="B1189" s="21">
        <v>41091</v>
      </c>
      <c r="C1189" s="17">
        <v>16</v>
      </c>
      <c r="D1189" s="17" t="s">
        <v>92</v>
      </c>
      <c r="E1189" s="18">
        <v>57197</v>
      </c>
      <c r="F1189" s="17" t="s">
        <v>91</v>
      </c>
      <c r="G1189" s="14">
        <v>639275.59</v>
      </c>
      <c r="H1189" s="14">
        <v>634634.66</v>
      </c>
      <c r="I1189" s="14">
        <v>634634.66</v>
      </c>
      <c r="J1189" s="22">
        <f>H1189*(1+Assumptions!$B$6+IF(F1189="Yes",Assumptions!$C$6,0))</f>
        <v>653673.69980000006</v>
      </c>
      <c r="K1189" s="22">
        <f>H1189*(1+Assumptions!$B$7+IF(F1189="Yes",Assumptions!$C$7,0))</f>
        <v>666366.39300000004</v>
      </c>
      <c r="L1189" s="22">
        <f>H1189*(1+Assumptions!$B$8+IF(F1189="Yes",Assumptions!$C$8,0))</f>
        <v>640981.00660000008</v>
      </c>
    </row>
    <row r="1190" spans="1:12" ht="15">
      <c r="A1190" s="21">
        <v>41096</v>
      </c>
      <c r="B1190" s="21">
        <v>41091</v>
      </c>
      <c r="C1190" s="17">
        <v>17</v>
      </c>
      <c r="D1190" s="17" t="s">
        <v>92</v>
      </c>
      <c r="E1190" s="18">
        <v>93188</v>
      </c>
      <c r="F1190" s="17" t="s">
        <v>91</v>
      </c>
      <c r="G1190" s="14">
        <v>1045136.33</v>
      </c>
      <c r="H1190" s="14">
        <v>914955.78</v>
      </c>
      <c r="I1190" s="14">
        <v>914955.78</v>
      </c>
      <c r="J1190" s="22">
        <f>H1190*(1+Assumptions!$B$6+IF(F1190="Yes",Assumptions!$C$6,0))</f>
        <v>942404.4534</v>
      </c>
      <c r="K1190" s="22">
        <f>H1190*(1+Assumptions!$B$7+IF(F1190="Yes",Assumptions!$C$7,0))</f>
        <v>960703.56900000002</v>
      </c>
      <c r="L1190" s="22">
        <f>H1190*(1+Assumptions!$B$8+IF(F1190="Yes",Assumptions!$C$8,0))</f>
        <v>924105.33779999998</v>
      </c>
    </row>
    <row r="1191" spans="1:12" ht="15">
      <c r="A1191" s="21">
        <v>41096</v>
      </c>
      <c r="B1191" s="21">
        <v>41091</v>
      </c>
      <c r="C1191" s="17">
        <v>18</v>
      </c>
      <c r="D1191" s="17" t="s">
        <v>92</v>
      </c>
      <c r="E1191" s="18">
        <v>120653</v>
      </c>
      <c r="F1191" s="17" t="s">
        <v>91</v>
      </c>
      <c r="G1191" s="14">
        <v>1158225.8999999999</v>
      </c>
      <c r="H1191" s="14">
        <v>1048795.6200000001</v>
      </c>
      <c r="I1191" s="14">
        <v>1048795.6200000001</v>
      </c>
      <c r="J1191" s="22">
        <f>H1191*(1+Assumptions!$B$6+IF(F1191="Yes",Assumptions!$C$6,0))</f>
        <v>1080259.4886</v>
      </c>
      <c r="K1191" s="22">
        <f>H1191*(1+Assumptions!$B$7+IF(F1191="Yes",Assumptions!$C$7,0))</f>
        <v>1101235.4010000001</v>
      </c>
      <c r="L1191" s="22">
        <f>H1191*(1+Assumptions!$B$8+IF(F1191="Yes",Assumptions!$C$8,0))</f>
        <v>1059283.5762</v>
      </c>
    </row>
    <row r="1192" spans="1:12" ht="15">
      <c r="A1192" s="21">
        <v>41096</v>
      </c>
      <c r="B1192" s="21">
        <v>41091</v>
      </c>
      <c r="C1192" s="17">
        <v>19</v>
      </c>
      <c r="D1192" s="17" t="s">
        <v>90</v>
      </c>
      <c r="E1192" s="18">
        <v>203819</v>
      </c>
      <c r="F1192" s="17" t="s">
        <v>91</v>
      </c>
      <c r="G1192" s="14">
        <v>1556267.46</v>
      </c>
      <c r="H1192" s="14">
        <v>1465446.67</v>
      </c>
      <c r="I1192" s="14">
        <v>1465446.67</v>
      </c>
      <c r="J1192" s="22">
        <f>H1192*(1+Assumptions!$B$6+IF(F1192="Yes",Assumptions!$C$6,0))</f>
        <v>1509410.0700999999</v>
      </c>
      <c r="K1192" s="22">
        <f>H1192*(1+Assumptions!$B$7+IF(F1192="Yes",Assumptions!$C$7,0))</f>
        <v>1538719.0034999999</v>
      </c>
      <c r="L1192" s="22">
        <f>H1192*(1+Assumptions!$B$8+IF(F1192="Yes",Assumptions!$C$8,0))</f>
        <v>1480101.1366999999</v>
      </c>
    </row>
    <row r="1193" spans="1:12" ht="15">
      <c r="A1193" s="21">
        <v>41096</v>
      </c>
      <c r="B1193" s="21">
        <v>41091</v>
      </c>
      <c r="C1193" s="17">
        <v>20</v>
      </c>
      <c r="D1193" s="17" t="s">
        <v>90</v>
      </c>
      <c r="E1193" s="18">
        <v>203742</v>
      </c>
      <c r="F1193" s="17" t="s">
        <v>91</v>
      </c>
      <c r="G1193" s="14">
        <v>2358055.23</v>
      </c>
      <c r="H1193" s="14">
        <v>2123729.29</v>
      </c>
      <c r="I1193" s="14">
        <v>2123729.29</v>
      </c>
      <c r="J1193" s="22">
        <f>H1193*(1+Assumptions!$B$6+IF(F1193="Yes",Assumptions!$C$6,0))</f>
        <v>2187441.1687000003</v>
      </c>
      <c r="K1193" s="22">
        <f>H1193*(1+Assumptions!$B$7+IF(F1193="Yes",Assumptions!$C$7,0))</f>
        <v>2229915.7545000003</v>
      </c>
      <c r="L1193" s="22">
        <f>H1193*(1+Assumptions!$B$8+IF(F1193="Yes",Assumptions!$C$8,0))</f>
        <v>2144966.5829000003</v>
      </c>
    </row>
    <row r="1194" spans="1:12" ht="15">
      <c r="A1194" s="21">
        <v>41096</v>
      </c>
      <c r="B1194" s="21">
        <v>41091</v>
      </c>
      <c r="C1194" s="17">
        <v>21</v>
      </c>
      <c r="D1194" s="17" t="s">
        <v>92</v>
      </c>
      <c r="E1194" s="18">
        <v>140167</v>
      </c>
      <c r="F1194" s="17" t="s">
        <v>91</v>
      </c>
      <c r="G1194" s="14">
        <v>693014.59</v>
      </c>
      <c r="H1194" s="14">
        <v>734099.4</v>
      </c>
      <c r="I1194" s="14">
        <v>734099.4</v>
      </c>
      <c r="J1194" s="22">
        <f>H1194*(1+Assumptions!$B$6+IF(F1194="Yes",Assumptions!$C$6,0))</f>
        <v>756122.3820000001</v>
      </c>
      <c r="K1194" s="22">
        <f>H1194*(1+Assumptions!$B$7+IF(F1194="Yes",Assumptions!$C$7,0))</f>
        <v>770804.37000000011</v>
      </c>
      <c r="L1194" s="22">
        <f>H1194*(1+Assumptions!$B$8+IF(F1194="Yes",Assumptions!$C$8,0))</f>
        <v>741440.39400000009</v>
      </c>
    </row>
    <row r="1195" spans="1:12" ht="15">
      <c r="A1195" s="21">
        <v>41096</v>
      </c>
      <c r="B1195" s="21">
        <v>41091</v>
      </c>
      <c r="C1195" s="17">
        <v>22</v>
      </c>
      <c r="D1195" s="17" t="s">
        <v>92</v>
      </c>
      <c r="E1195" s="18">
        <v>119557</v>
      </c>
      <c r="F1195" s="17" t="s">
        <v>91</v>
      </c>
      <c r="G1195" s="14">
        <v>1096438.73</v>
      </c>
      <c r="H1195" s="14">
        <v>1017050.65</v>
      </c>
      <c r="I1195" s="14">
        <v>1017050.65</v>
      </c>
      <c r="J1195" s="22">
        <f>H1195*(1+Assumptions!$B$6+IF(F1195="Yes",Assumptions!$C$6,0))</f>
        <v>1047562.1695000001</v>
      </c>
      <c r="K1195" s="22">
        <f>H1195*(1+Assumptions!$B$7+IF(F1195="Yes",Assumptions!$C$7,0))</f>
        <v>1067903.1825000001</v>
      </c>
      <c r="L1195" s="22">
        <f>H1195*(1+Assumptions!$B$8+IF(F1195="Yes",Assumptions!$C$8,0))</f>
        <v>1027221.1565</v>
      </c>
    </row>
    <row r="1196" spans="1:12" ht="15">
      <c r="A1196" s="21">
        <v>41096</v>
      </c>
      <c r="B1196" s="21">
        <v>41091</v>
      </c>
      <c r="C1196" s="17">
        <v>23</v>
      </c>
      <c r="D1196" s="17" t="s">
        <v>92</v>
      </c>
      <c r="E1196" s="18">
        <v>114533</v>
      </c>
      <c r="F1196" s="17" t="s">
        <v>91</v>
      </c>
      <c r="G1196" s="14">
        <v>1545370.16</v>
      </c>
      <c r="H1196" s="14">
        <v>1379402.19</v>
      </c>
      <c r="I1196" s="14">
        <v>1379402.19</v>
      </c>
      <c r="J1196" s="22">
        <f>H1196*(1+Assumptions!$B$6+IF(F1196="Yes",Assumptions!$C$6,0))</f>
        <v>1420784.2556999999</v>
      </c>
      <c r="K1196" s="22">
        <f>H1196*(1+Assumptions!$B$7+IF(F1196="Yes",Assumptions!$C$7,0))</f>
        <v>1448372.2995</v>
      </c>
      <c r="L1196" s="22">
        <f>H1196*(1+Assumptions!$B$8+IF(F1196="Yes",Assumptions!$C$8,0))</f>
        <v>1393196.2119</v>
      </c>
    </row>
    <row r="1197" spans="1:12" ht="15">
      <c r="A1197" s="21">
        <v>41096</v>
      </c>
      <c r="B1197" s="21">
        <v>41091</v>
      </c>
      <c r="C1197" s="17">
        <v>24</v>
      </c>
      <c r="D1197" s="17" t="s">
        <v>90</v>
      </c>
      <c r="E1197" s="18">
        <v>203819</v>
      </c>
      <c r="F1197" s="17" t="s">
        <v>91</v>
      </c>
      <c r="G1197" s="14">
        <v>1645097.74</v>
      </c>
      <c r="H1197" s="14">
        <v>1567326.5</v>
      </c>
      <c r="I1197" s="14">
        <v>1567326.5</v>
      </c>
      <c r="J1197" s="22">
        <f>H1197*(1+Assumptions!$B$6+IF(F1197="Yes",Assumptions!$C$6,0))</f>
        <v>1614346.2949999999</v>
      </c>
      <c r="K1197" s="22">
        <f>H1197*(1+Assumptions!$B$7+IF(F1197="Yes",Assumptions!$C$7,0))</f>
        <v>1645692.825</v>
      </c>
      <c r="L1197" s="22">
        <f>H1197*(1+Assumptions!$B$8+IF(F1197="Yes",Assumptions!$C$8,0))</f>
        <v>1582999.7650000001</v>
      </c>
    </row>
    <row r="1198" spans="1:12" ht="15">
      <c r="A1198" s="21">
        <v>41096</v>
      </c>
      <c r="B1198" s="21">
        <v>41091</v>
      </c>
      <c r="C1198" s="17">
        <v>25</v>
      </c>
      <c r="D1198" s="17" t="s">
        <v>92</v>
      </c>
      <c r="E1198" s="18">
        <v>128107</v>
      </c>
      <c r="F1198" s="17" t="s">
        <v>91</v>
      </c>
      <c r="G1198" s="14">
        <v>747636.80999999994</v>
      </c>
      <c r="H1198" s="14">
        <v>698528.4</v>
      </c>
      <c r="I1198" s="14">
        <v>698528.4</v>
      </c>
      <c r="J1198" s="22">
        <f>H1198*(1+Assumptions!$B$6+IF(F1198="Yes",Assumptions!$C$6,0))</f>
        <v>719484.25200000009</v>
      </c>
      <c r="K1198" s="22">
        <f>H1198*(1+Assumptions!$B$7+IF(F1198="Yes",Assumptions!$C$7,0))</f>
        <v>733454.82000000007</v>
      </c>
      <c r="L1198" s="22">
        <f>H1198*(1+Assumptions!$B$8+IF(F1198="Yes",Assumptions!$C$8,0))</f>
        <v>705513.68400000001</v>
      </c>
    </row>
    <row r="1199" spans="1:12" ht="15">
      <c r="A1199" s="21">
        <v>41096</v>
      </c>
      <c r="B1199" s="21">
        <v>41091</v>
      </c>
      <c r="C1199" s="17">
        <v>26</v>
      </c>
      <c r="D1199" s="17" t="s">
        <v>90</v>
      </c>
      <c r="E1199" s="18">
        <v>152513</v>
      </c>
      <c r="F1199" s="17" t="s">
        <v>91</v>
      </c>
      <c r="G1199" s="14">
        <v>1180202.8700000001</v>
      </c>
      <c r="H1199" s="14">
        <v>1133802.57</v>
      </c>
      <c r="I1199" s="14">
        <v>1133802.57</v>
      </c>
      <c r="J1199" s="22">
        <f>H1199*(1+Assumptions!$B$6+IF(F1199="Yes",Assumptions!$C$6,0))</f>
        <v>1167816.6471000002</v>
      </c>
      <c r="K1199" s="22">
        <f>H1199*(1+Assumptions!$B$7+IF(F1199="Yes",Assumptions!$C$7,0))</f>
        <v>1190492.6985000002</v>
      </c>
      <c r="L1199" s="22">
        <f>H1199*(1+Assumptions!$B$8+IF(F1199="Yes",Assumptions!$C$8,0))</f>
        <v>1145140.5957000002</v>
      </c>
    </row>
    <row r="1200" spans="1:12" ht="15">
      <c r="A1200" s="21">
        <v>41096</v>
      </c>
      <c r="B1200" s="21">
        <v>41091</v>
      </c>
      <c r="C1200" s="17">
        <v>27</v>
      </c>
      <c r="D1200" s="17" t="s">
        <v>90</v>
      </c>
      <c r="E1200" s="18">
        <v>204184</v>
      </c>
      <c r="F1200" s="17" t="s">
        <v>91</v>
      </c>
      <c r="G1200" s="14">
        <v>2062224.92</v>
      </c>
      <c r="H1200" s="14">
        <v>2000053.77</v>
      </c>
      <c r="I1200" s="14">
        <v>2000053.77</v>
      </c>
      <c r="J1200" s="22">
        <f>H1200*(1+Assumptions!$B$6+IF(F1200="Yes",Assumptions!$C$6,0))</f>
        <v>2060055.3831</v>
      </c>
      <c r="K1200" s="22">
        <f>H1200*(1+Assumptions!$B$7+IF(F1200="Yes",Assumptions!$C$7,0))</f>
        <v>2100056.4585000002</v>
      </c>
      <c r="L1200" s="22">
        <f>H1200*(1+Assumptions!$B$8+IF(F1200="Yes",Assumptions!$C$8,0))</f>
        <v>2020054.3077</v>
      </c>
    </row>
    <row r="1201" spans="1:12" ht="15">
      <c r="A1201" s="21">
        <v>41096</v>
      </c>
      <c r="B1201" s="21">
        <v>41091</v>
      </c>
      <c r="C1201" s="17">
        <v>28</v>
      </c>
      <c r="D1201" s="17" t="s">
        <v>90</v>
      </c>
      <c r="E1201" s="18">
        <v>206302</v>
      </c>
      <c r="F1201" s="17" t="s">
        <v>91</v>
      </c>
      <c r="G1201" s="14">
        <v>1500669.94</v>
      </c>
      <c r="H1201" s="14">
        <v>1459655.8499999999</v>
      </c>
      <c r="I1201" s="14">
        <v>1459655.8499999999</v>
      </c>
      <c r="J1201" s="22">
        <f>H1201*(1+Assumptions!$B$6+IF(F1201="Yes",Assumptions!$C$6,0))</f>
        <v>1503445.5255</v>
      </c>
      <c r="K1201" s="22">
        <f>H1201*(1+Assumptions!$B$7+IF(F1201="Yes",Assumptions!$C$7,0))</f>
        <v>1532638.6424999998</v>
      </c>
      <c r="L1201" s="22">
        <f>H1201*(1+Assumptions!$B$8+IF(F1201="Yes",Assumptions!$C$8,0))</f>
        <v>1474252.4084999999</v>
      </c>
    </row>
    <row r="1202" spans="1:12" ht="15">
      <c r="A1202" s="21">
        <v>41096</v>
      </c>
      <c r="B1202" s="21">
        <v>41091</v>
      </c>
      <c r="C1202" s="17">
        <v>29</v>
      </c>
      <c r="D1202" s="17" t="s">
        <v>92</v>
      </c>
      <c r="E1202" s="18">
        <v>93638</v>
      </c>
      <c r="F1202" s="17" t="s">
        <v>91</v>
      </c>
      <c r="G1202" s="14">
        <v>578828.35</v>
      </c>
      <c r="H1202" s="14">
        <v>547571.22</v>
      </c>
      <c r="I1202" s="14">
        <v>547571.22</v>
      </c>
      <c r="J1202" s="22">
        <f>H1202*(1+Assumptions!$B$6+IF(F1202="Yes",Assumptions!$C$6,0))</f>
        <v>563998.35659999994</v>
      </c>
      <c r="K1202" s="22">
        <f>H1202*(1+Assumptions!$B$7+IF(F1202="Yes",Assumptions!$C$7,0))</f>
        <v>574949.78099999996</v>
      </c>
      <c r="L1202" s="22">
        <f>H1202*(1+Assumptions!$B$8+IF(F1202="Yes",Assumptions!$C$8,0))</f>
        <v>553046.93219999992</v>
      </c>
    </row>
    <row r="1203" spans="1:12" ht="15">
      <c r="A1203" s="21">
        <v>41096</v>
      </c>
      <c r="B1203" s="21">
        <v>41091</v>
      </c>
      <c r="C1203" s="17">
        <v>30</v>
      </c>
      <c r="D1203" s="17" t="s">
        <v>93</v>
      </c>
      <c r="E1203" s="18">
        <v>42988</v>
      </c>
      <c r="F1203" s="17" t="s">
        <v>91</v>
      </c>
      <c r="G1203" s="14">
        <v>440553.39999999997</v>
      </c>
      <c r="H1203" s="14">
        <v>419590.72</v>
      </c>
      <c r="I1203" s="14">
        <v>419590.72</v>
      </c>
      <c r="J1203" s="22">
        <f>H1203*(1+Assumptions!$B$6+IF(F1203="Yes",Assumptions!$C$6,0))</f>
        <v>432178.44159999996</v>
      </c>
      <c r="K1203" s="22">
        <f>H1203*(1+Assumptions!$B$7+IF(F1203="Yes",Assumptions!$C$7,0))</f>
        <v>440570.25599999999</v>
      </c>
      <c r="L1203" s="22">
        <f>H1203*(1+Assumptions!$B$8+IF(F1203="Yes",Assumptions!$C$8,0))</f>
        <v>423786.62719999999</v>
      </c>
    </row>
    <row r="1204" spans="1:12" ht="15">
      <c r="A1204" s="21">
        <v>41096</v>
      </c>
      <c r="B1204" s="21">
        <v>41091</v>
      </c>
      <c r="C1204" s="17">
        <v>31</v>
      </c>
      <c r="D1204" s="17" t="s">
        <v>90</v>
      </c>
      <c r="E1204" s="18">
        <v>203750</v>
      </c>
      <c r="F1204" s="17" t="s">
        <v>91</v>
      </c>
      <c r="G1204" s="14">
        <v>1458059.4</v>
      </c>
      <c r="H1204" s="14">
        <v>1423144.3699999999</v>
      </c>
      <c r="I1204" s="14">
        <v>1423144.3699999999</v>
      </c>
      <c r="J1204" s="22">
        <f>H1204*(1+Assumptions!$B$6+IF(F1204="Yes",Assumptions!$C$6,0))</f>
        <v>1465838.7010999999</v>
      </c>
      <c r="K1204" s="22">
        <f>H1204*(1+Assumptions!$B$7+IF(F1204="Yes",Assumptions!$C$7,0))</f>
        <v>1494301.5884999998</v>
      </c>
      <c r="L1204" s="22">
        <f>H1204*(1+Assumptions!$B$8+IF(F1204="Yes",Assumptions!$C$8,0))</f>
        <v>1437375.8136999998</v>
      </c>
    </row>
    <row r="1205" spans="1:12" ht="15">
      <c r="A1205" s="21">
        <v>41096</v>
      </c>
      <c r="B1205" s="21">
        <v>41091</v>
      </c>
      <c r="C1205" s="17">
        <v>32</v>
      </c>
      <c r="D1205" s="17" t="s">
        <v>90</v>
      </c>
      <c r="E1205" s="18">
        <v>203007</v>
      </c>
      <c r="F1205" s="17" t="s">
        <v>91</v>
      </c>
      <c r="G1205" s="14">
        <v>1214166.03</v>
      </c>
      <c r="H1205" s="14">
        <v>1110242.52</v>
      </c>
      <c r="I1205" s="14">
        <v>1110242.52</v>
      </c>
      <c r="J1205" s="22">
        <f>H1205*(1+Assumptions!$B$6+IF(F1205="Yes",Assumptions!$C$6,0))</f>
        <v>1143549.7956000001</v>
      </c>
      <c r="K1205" s="22">
        <f>H1205*(1+Assumptions!$B$7+IF(F1205="Yes",Assumptions!$C$7,0))</f>
        <v>1165754.6460000002</v>
      </c>
      <c r="L1205" s="22">
        <f>H1205*(1+Assumptions!$B$8+IF(F1205="Yes",Assumptions!$C$8,0))</f>
        <v>1121344.9452</v>
      </c>
    </row>
    <row r="1206" spans="1:12" ht="15">
      <c r="A1206" s="21">
        <v>41096</v>
      </c>
      <c r="B1206" s="21">
        <v>41091</v>
      </c>
      <c r="C1206" s="17">
        <v>33</v>
      </c>
      <c r="D1206" s="17" t="s">
        <v>90</v>
      </c>
      <c r="E1206" s="18">
        <v>39690</v>
      </c>
      <c r="F1206" s="17" t="s">
        <v>91</v>
      </c>
      <c r="G1206" s="14">
        <v>273497.15000000002</v>
      </c>
      <c r="H1206" s="14">
        <v>262707.71000000002</v>
      </c>
      <c r="I1206" s="14">
        <v>262707.71000000002</v>
      </c>
      <c r="J1206" s="22">
        <f>H1206*(1+Assumptions!$B$6+IF(F1206="Yes",Assumptions!$C$6,0))</f>
        <v>270588.94130000001</v>
      </c>
      <c r="K1206" s="22">
        <f>H1206*(1+Assumptions!$B$7+IF(F1206="Yes",Assumptions!$C$7,0))</f>
        <v>275843.09550000005</v>
      </c>
      <c r="L1206" s="22">
        <f>H1206*(1+Assumptions!$B$8+IF(F1206="Yes",Assumptions!$C$8,0))</f>
        <v>265334.78710000002</v>
      </c>
    </row>
    <row r="1207" spans="1:12" ht="15">
      <c r="A1207" s="21">
        <v>41096</v>
      </c>
      <c r="B1207" s="21">
        <v>41091</v>
      </c>
      <c r="C1207" s="17">
        <v>34</v>
      </c>
      <c r="D1207" s="17" t="s">
        <v>90</v>
      </c>
      <c r="E1207" s="18">
        <v>158114</v>
      </c>
      <c r="F1207" s="17" t="s">
        <v>91</v>
      </c>
      <c r="G1207" s="14">
        <v>1007966.72</v>
      </c>
      <c r="H1207" s="14">
        <v>926934.57000000007</v>
      </c>
      <c r="I1207" s="14">
        <v>926934.57000000007</v>
      </c>
      <c r="J1207" s="22">
        <f>H1207*(1+Assumptions!$B$6+IF(F1207="Yes",Assumptions!$C$6,0))</f>
        <v>954742.60710000014</v>
      </c>
      <c r="K1207" s="22">
        <f>H1207*(1+Assumptions!$B$7+IF(F1207="Yes",Assumptions!$C$7,0))</f>
        <v>973281.29850000015</v>
      </c>
      <c r="L1207" s="22">
        <f>H1207*(1+Assumptions!$B$8+IF(F1207="Yes",Assumptions!$C$8,0))</f>
        <v>936203.91570000013</v>
      </c>
    </row>
    <row r="1208" spans="1:12" ht="15">
      <c r="A1208" s="21">
        <v>41096</v>
      </c>
      <c r="B1208" s="21">
        <v>41091</v>
      </c>
      <c r="C1208" s="17">
        <v>35</v>
      </c>
      <c r="D1208" s="17" t="s">
        <v>92</v>
      </c>
      <c r="E1208" s="18">
        <v>103681</v>
      </c>
      <c r="F1208" s="17" t="s">
        <v>91</v>
      </c>
      <c r="G1208" s="14">
        <v>985582.76</v>
      </c>
      <c r="H1208" s="14">
        <v>827585.48</v>
      </c>
      <c r="I1208" s="14">
        <v>827585.48</v>
      </c>
      <c r="J1208" s="22">
        <f>H1208*(1+Assumptions!$B$6+IF(F1208="Yes",Assumptions!$C$6,0))</f>
        <v>852413.04440000001</v>
      </c>
      <c r="K1208" s="22">
        <f>H1208*(1+Assumptions!$B$7+IF(F1208="Yes",Assumptions!$C$7,0))</f>
        <v>868964.75400000007</v>
      </c>
      <c r="L1208" s="22">
        <f>H1208*(1+Assumptions!$B$8+IF(F1208="Yes",Assumptions!$C$8,0))</f>
        <v>835861.33479999995</v>
      </c>
    </row>
    <row r="1209" spans="1:12" ht="15">
      <c r="A1209" s="21">
        <v>41096</v>
      </c>
      <c r="B1209" s="21">
        <v>41091</v>
      </c>
      <c r="C1209" s="17">
        <v>36</v>
      </c>
      <c r="D1209" s="17" t="s">
        <v>90</v>
      </c>
      <c r="E1209" s="18">
        <v>39910</v>
      </c>
      <c r="F1209" s="17" t="s">
        <v>91</v>
      </c>
      <c r="G1209" s="14">
        <v>306438.39</v>
      </c>
      <c r="H1209" s="14">
        <v>377459.37</v>
      </c>
      <c r="I1209" s="14">
        <v>377459.37</v>
      </c>
      <c r="J1209" s="22">
        <f>H1209*(1+Assumptions!$B$6+IF(F1209="Yes",Assumptions!$C$6,0))</f>
        <v>388783.15110000002</v>
      </c>
      <c r="K1209" s="22">
        <f>H1209*(1+Assumptions!$B$7+IF(F1209="Yes",Assumptions!$C$7,0))</f>
        <v>396332.33850000001</v>
      </c>
      <c r="L1209" s="22">
        <f>H1209*(1+Assumptions!$B$8+IF(F1209="Yes",Assumptions!$C$8,0))</f>
        <v>381233.96370000002</v>
      </c>
    </row>
    <row r="1210" spans="1:12" ht="15">
      <c r="A1210" s="21">
        <v>41096</v>
      </c>
      <c r="B1210" s="21">
        <v>41091</v>
      </c>
      <c r="C1210" s="17">
        <v>37</v>
      </c>
      <c r="D1210" s="17" t="s">
        <v>93</v>
      </c>
      <c r="E1210" s="18">
        <v>39910</v>
      </c>
      <c r="F1210" s="17" t="s">
        <v>91</v>
      </c>
      <c r="G1210" s="14">
        <v>519310.62</v>
      </c>
      <c r="H1210" s="14">
        <v>488924.61</v>
      </c>
      <c r="I1210" s="14">
        <v>488924.61</v>
      </c>
      <c r="J1210" s="22">
        <f>H1210*(1+Assumptions!$B$6+IF(F1210="Yes",Assumptions!$C$6,0))</f>
        <v>503592.34830000001</v>
      </c>
      <c r="K1210" s="22">
        <f>H1210*(1+Assumptions!$B$7+IF(F1210="Yes",Assumptions!$C$7,0))</f>
        <v>513370.84049999999</v>
      </c>
      <c r="L1210" s="22">
        <f>H1210*(1+Assumptions!$B$8+IF(F1210="Yes",Assumptions!$C$8,0))</f>
        <v>493813.85609999998</v>
      </c>
    </row>
    <row r="1211" spans="1:12" ht="15">
      <c r="A1211" s="21">
        <v>41096</v>
      </c>
      <c r="B1211" s="21">
        <v>41091</v>
      </c>
      <c r="C1211" s="17">
        <v>38</v>
      </c>
      <c r="D1211" s="17" t="s">
        <v>93</v>
      </c>
      <c r="E1211" s="18">
        <v>39690</v>
      </c>
      <c r="F1211" s="17" t="s">
        <v>91</v>
      </c>
      <c r="G1211" s="14">
        <v>471068.21</v>
      </c>
      <c r="H1211" s="14">
        <v>399688.55</v>
      </c>
      <c r="I1211" s="14">
        <v>399688.55</v>
      </c>
      <c r="J1211" s="22">
        <f>H1211*(1+Assumptions!$B$6+IF(F1211="Yes",Assumptions!$C$6,0))</f>
        <v>411679.20649999997</v>
      </c>
      <c r="K1211" s="22">
        <f>H1211*(1+Assumptions!$B$7+IF(F1211="Yes",Assumptions!$C$7,0))</f>
        <v>419672.97749999998</v>
      </c>
      <c r="L1211" s="22">
        <f>H1211*(1+Assumptions!$B$8+IF(F1211="Yes",Assumptions!$C$8,0))</f>
        <v>403685.43549999996</v>
      </c>
    </row>
    <row r="1212" spans="1:12" ht="15">
      <c r="A1212" s="21">
        <v>41096</v>
      </c>
      <c r="B1212" s="21">
        <v>41091</v>
      </c>
      <c r="C1212" s="17">
        <v>39</v>
      </c>
      <c r="D1212" s="17" t="s">
        <v>90</v>
      </c>
      <c r="E1212" s="18">
        <v>184109</v>
      </c>
      <c r="F1212" s="17" t="s">
        <v>91</v>
      </c>
      <c r="G1212" s="14">
        <v>1659230.43</v>
      </c>
      <c r="H1212" s="14">
        <v>1414562.03</v>
      </c>
      <c r="I1212" s="14">
        <v>1414562.03</v>
      </c>
      <c r="J1212" s="22">
        <f>H1212*(1+Assumptions!$B$6+IF(F1212="Yes",Assumptions!$C$6,0))</f>
        <v>1456998.8909</v>
      </c>
      <c r="K1212" s="22">
        <f>H1212*(1+Assumptions!$B$7+IF(F1212="Yes",Assumptions!$C$7,0))</f>
        <v>1485290.1315000001</v>
      </c>
      <c r="L1212" s="22">
        <f>H1212*(1+Assumptions!$B$8+IF(F1212="Yes",Assumptions!$C$8,0))</f>
        <v>1428707.6503000001</v>
      </c>
    </row>
    <row r="1213" spans="1:12" ht="15">
      <c r="A1213" s="21">
        <v>41096</v>
      </c>
      <c r="B1213" s="21">
        <v>41091</v>
      </c>
      <c r="C1213" s="17">
        <v>40</v>
      </c>
      <c r="D1213" s="17" t="s">
        <v>90</v>
      </c>
      <c r="E1213" s="18">
        <v>155083</v>
      </c>
      <c r="F1213" s="17" t="s">
        <v>91</v>
      </c>
      <c r="G1213" s="14">
        <v>1182901.52</v>
      </c>
      <c r="H1213" s="14">
        <v>1107366.06</v>
      </c>
      <c r="I1213" s="14">
        <v>1107366.06</v>
      </c>
      <c r="J1213" s="22">
        <f>H1213*(1+Assumptions!$B$6+IF(F1213="Yes",Assumptions!$C$6,0))</f>
        <v>1140587.0418</v>
      </c>
      <c r="K1213" s="22">
        <f>H1213*(1+Assumptions!$B$7+IF(F1213="Yes",Assumptions!$C$7,0))</f>
        <v>1162734.3630000001</v>
      </c>
      <c r="L1213" s="22">
        <f>H1213*(1+Assumptions!$B$8+IF(F1213="Yes",Assumptions!$C$8,0))</f>
        <v>1118439.7206000001</v>
      </c>
    </row>
    <row r="1214" spans="1:12" ht="15">
      <c r="A1214" s="21">
        <v>41096</v>
      </c>
      <c r="B1214" s="21">
        <v>41091</v>
      </c>
      <c r="C1214" s="17">
        <v>41</v>
      </c>
      <c r="D1214" s="17" t="s">
        <v>90</v>
      </c>
      <c r="E1214" s="18">
        <v>196321</v>
      </c>
      <c r="F1214" s="17" t="s">
        <v>91</v>
      </c>
      <c r="G1214" s="14">
        <v>1456298.83</v>
      </c>
      <c r="H1214" s="14">
        <v>1338862.58</v>
      </c>
      <c r="I1214" s="14">
        <v>1338862.58</v>
      </c>
      <c r="J1214" s="22">
        <f>H1214*(1+Assumptions!$B$6+IF(F1214="Yes",Assumptions!$C$6,0))</f>
        <v>1379028.4574000002</v>
      </c>
      <c r="K1214" s="22">
        <f>H1214*(1+Assumptions!$B$7+IF(F1214="Yes",Assumptions!$C$7,0))</f>
        <v>1405805.709</v>
      </c>
      <c r="L1214" s="22">
        <f>H1214*(1+Assumptions!$B$8+IF(F1214="Yes",Assumptions!$C$8,0))</f>
        <v>1352251.2058000001</v>
      </c>
    </row>
    <row r="1215" spans="1:12" ht="15">
      <c r="A1215" s="21">
        <v>41096</v>
      </c>
      <c r="B1215" s="21">
        <v>41091</v>
      </c>
      <c r="C1215" s="17">
        <v>42</v>
      </c>
      <c r="D1215" s="17" t="s">
        <v>93</v>
      </c>
      <c r="E1215" s="18">
        <v>39690</v>
      </c>
      <c r="F1215" s="17" t="s">
        <v>91</v>
      </c>
      <c r="G1215" s="14">
        <v>618640.27</v>
      </c>
      <c r="H1215" s="14">
        <v>593169.82999999996</v>
      </c>
      <c r="I1215" s="14">
        <v>593169.82999999996</v>
      </c>
      <c r="J1215" s="22">
        <f>H1215*(1+Assumptions!$B$6+IF(F1215="Yes",Assumptions!$C$6,0))</f>
        <v>610964.92489999998</v>
      </c>
      <c r="K1215" s="22">
        <f>H1215*(1+Assumptions!$B$7+IF(F1215="Yes",Assumptions!$C$7,0))</f>
        <v>622828.32149999996</v>
      </c>
      <c r="L1215" s="22">
        <f>H1215*(1+Assumptions!$B$8+IF(F1215="Yes",Assumptions!$C$8,0))</f>
        <v>599101.52830000001</v>
      </c>
    </row>
    <row r="1216" spans="1:12" ht="15">
      <c r="A1216" s="21">
        <v>41096</v>
      </c>
      <c r="B1216" s="21">
        <v>41091</v>
      </c>
      <c r="C1216" s="17">
        <v>43</v>
      </c>
      <c r="D1216" s="17" t="s">
        <v>93</v>
      </c>
      <c r="E1216" s="18">
        <v>41062</v>
      </c>
      <c r="F1216" s="17" t="s">
        <v>91</v>
      </c>
      <c r="G1216" s="14">
        <v>645618.59</v>
      </c>
      <c r="H1216" s="14">
        <v>650961.14</v>
      </c>
      <c r="I1216" s="14">
        <v>650961.14</v>
      </c>
      <c r="J1216" s="22">
        <f>H1216*(1+Assumptions!$B$6+IF(F1216="Yes",Assumptions!$C$6,0))</f>
        <v>670489.97420000006</v>
      </c>
      <c r="K1216" s="22">
        <f>H1216*(1+Assumptions!$B$7+IF(F1216="Yes",Assumptions!$C$7,0))</f>
        <v>683509.19700000004</v>
      </c>
      <c r="L1216" s="22">
        <f>H1216*(1+Assumptions!$B$8+IF(F1216="Yes",Assumptions!$C$8,0))</f>
        <v>657470.75140000007</v>
      </c>
    </row>
    <row r="1217" spans="1:12" ht="15">
      <c r="A1217" s="21">
        <v>41096</v>
      </c>
      <c r="B1217" s="21">
        <v>41091</v>
      </c>
      <c r="C1217" s="17">
        <v>44</v>
      </c>
      <c r="D1217" s="17" t="s">
        <v>93</v>
      </c>
      <c r="E1217" s="18">
        <v>39910</v>
      </c>
      <c r="F1217" s="17" t="s">
        <v>91</v>
      </c>
      <c r="G1217" s="14">
        <v>358294.81</v>
      </c>
      <c r="H1217" s="14">
        <v>295335.05</v>
      </c>
      <c r="I1217" s="14">
        <v>295335.05</v>
      </c>
      <c r="J1217" s="22">
        <f>H1217*(1+Assumptions!$B$6+IF(F1217="Yes",Assumptions!$C$6,0))</f>
        <v>304195.10149999999</v>
      </c>
      <c r="K1217" s="22">
        <f>H1217*(1+Assumptions!$B$7+IF(F1217="Yes",Assumptions!$C$7,0))</f>
        <v>310101.80249999999</v>
      </c>
      <c r="L1217" s="22">
        <f>H1217*(1+Assumptions!$B$8+IF(F1217="Yes",Assumptions!$C$8,0))</f>
        <v>298288.40049999999</v>
      </c>
    </row>
    <row r="1218" spans="1:12" ht="15">
      <c r="A1218" s="21">
        <v>41096</v>
      </c>
      <c r="B1218" s="21">
        <v>41091</v>
      </c>
      <c r="C1218" s="17">
        <v>45</v>
      </c>
      <c r="D1218" s="17" t="s">
        <v>92</v>
      </c>
      <c r="E1218" s="18">
        <v>118221</v>
      </c>
      <c r="F1218" s="17" t="s">
        <v>91</v>
      </c>
      <c r="G1218" s="14">
        <v>843348.07000000007</v>
      </c>
      <c r="H1218" s="14">
        <v>767308.19</v>
      </c>
      <c r="I1218" s="14">
        <v>767308.19</v>
      </c>
      <c r="J1218" s="22">
        <f>H1218*(1+Assumptions!$B$6+IF(F1218="Yes",Assumptions!$C$6,0))</f>
        <v>790327.43569999991</v>
      </c>
      <c r="K1218" s="22">
        <f>H1218*(1+Assumptions!$B$7+IF(F1218="Yes",Assumptions!$C$7,0))</f>
        <v>805673.59950000001</v>
      </c>
      <c r="L1218" s="22">
        <f>H1218*(1+Assumptions!$B$8+IF(F1218="Yes",Assumptions!$C$8,0))</f>
        <v>774981.27189999993</v>
      </c>
    </row>
    <row r="1219" spans="1:12" ht="15">
      <c r="A1219" s="21">
        <v>41103</v>
      </c>
      <c r="B1219" s="21">
        <v>41091</v>
      </c>
      <c r="C1219" s="17">
        <v>1</v>
      </c>
      <c r="D1219" s="17" t="s">
        <v>90</v>
      </c>
      <c r="E1219" s="18">
        <v>151315</v>
      </c>
      <c r="F1219" s="17" t="s">
        <v>91</v>
      </c>
      <c r="G1219" s="14">
        <v>1526767.02</v>
      </c>
      <c r="H1219" s="14">
        <v>1455119.67</v>
      </c>
      <c r="I1219" s="14">
        <v>1455119.67</v>
      </c>
      <c r="J1219" s="22">
        <f>H1219*(1+Assumptions!$B$6+IF(F1219="Yes",Assumptions!$C$6,0))</f>
        <v>1498773.2601000001</v>
      </c>
      <c r="K1219" s="22">
        <f>H1219*(1+Assumptions!$B$7+IF(F1219="Yes",Assumptions!$C$7,0))</f>
        <v>1527875.6535</v>
      </c>
      <c r="L1219" s="22">
        <f>H1219*(1+Assumptions!$B$8+IF(F1219="Yes",Assumptions!$C$8,0))</f>
        <v>1469670.8666999999</v>
      </c>
    </row>
    <row r="1220" spans="1:12" ht="15">
      <c r="A1220" s="21">
        <v>41103</v>
      </c>
      <c r="B1220" s="21">
        <v>41091</v>
      </c>
      <c r="C1220" s="17">
        <v>2</v>
      </c>
      <c r="D1220" s="17" t="s">
        <v>90</v>
      </c>
      <c r="E1220" s="18">
        <v>202307</v>
      </c>
      <c r="F1220" s="17" t="s">
        <v>91</v>
      </c>
      <c r="G1220" s="14">
        <v>1830075.04</v>
      </c>
      <c r="H1220" s="14">
        <v>1785181.41</v>
      </c>
      <c r="I1220" s="14">
        <v>1785181.41</v>
      </c>
      <c r="J1220" s="22">
        <f>H1220*(1+Assumptions!$B$6+IF(F1220="Yes",Assumptions!$C$6,0))</f>
        <v>1838736.8522999999</v>
      </c>
      <c r="K1220" s="22">
        <f>H1220*(1+Assumptions!$B$7+IF(F1220="Yes",Assumptions!$C$7,0))</f>
        <v>1874440.4805000001</v>
      </c>
      <c r="L1220" s="22">
        <f>H1220*(1+Assumptions!$B$8+IF(F1220="Yes",Assumptions!$C$8,0))</f>
        <v>1803033.2241</v>
      </c>
    </row>
    <row r="1221" spans="1:12" ht="15">
      <c r="A1221" s="21">
        <v>41103</v>
      </c>
      <c r="B1221" s="21">
        <v>41091</v>
      </c>
      <c r="C1221" s="17">
        <v>3</v>
      </c>
      <c r="D1221" s="17" t="s">
        <v>92</v>
      </c>
      <c r="E1221" s="18">
        <v>37392</v>
      </c>
      <c r="F1221" s="17" t="s">
        <v>91</v>
      </c>
      <c r="G1221" s="14">
        <v>416898.1</v>
      </c>
      <c r="H1221" s="14">
        <v>373432.95</v>
      </c>
      <c r="I1221" s="14">
        <v>373432.95</v>
      </c>
      <c r="J1221" s="22">
        <f>H1221*(1+Assumptions!$B$6+IF(F1221="Yes",Assumptions!$C$6,0))</f>
        <v>384635.93850000005</v>
      </c>
      <c r="K1221" s="22">
        <f>H1221*(1+Assumptions!$B$7+IF(F1221="Yes",Assumptions!$C$7,0))</f>
        <v>392104.59750000003</v>
      </c>
      <c r="L1221" s="22">
        <f>H1221*(1+Assumptions!$B$8+IF(F1221="Yes",Assumptions!$C$8,0))</f>
        <v>377167.2795</v>
      </c>
    </row>
    <row r="1222" spans="1:12" ht="15">
      <c r="A1222" s="21">
        <v>41103</v>
      </c>
      <c r="B1222" s="21">
        <v>41091</v>
      </c>
      <c r="C1222" s="17">
        <v>4</v>
      </c>
      <c r="D1222" s="17" t="s">
        <v>90</v>
      </c>
      <c r="E1222" s="18">
        <v>205863</v>
      </c>
      <c r="F1222" s="17" t="s">
        <v>91</v>
      </c>
      <c r="G1222" s="14">
        <v>2100247.54</v>
      </c>
      <c r="H1222" s="14">
        <v>2049046.95</v>
      </c>
      <c r="I1222" s="14">
        <v>2049046.95</v>
      </c>
      <c r="J1222" s="22">
        <f>H1222*(1+Assumptions!$B$6+IF(F1222="Yes",Assumptions!$C$6,0))</f>
        <v>2110518.3585000001</v>
      </c>
      <c r="K1222" s="22">
        <f>H1222*(1+Assumptions!$B$7+IF(F1222="Yes",Assumptions!$C$7,0))</f>
        <v>2151499.2974999999</v>
      </c>
      <c r="L1222" s="22">
        <f>H1222*(1+Assumptions!$B$8+IF(F1222="Yes",Assumptions!$C$8,0))</f>
        <v>2069537.4195000001</v>
      </c>
    </row>
    <row r="1223" spans="1:12" ht="15">
      <c r="A1223" s="21">
        <v>41103</v>
      </c>
      <c r="B1223" s="21">
        <v>41091</v>
      </c>
      <c r="C1223" s="17">
        <v>5</v>
      </c>
      <c r="D1223" s="17" t="s">
        <v>92</v>
      </c>
      <c r="E1223" s="18">
        <v>34875</v>
      </c>
      <c r="F1223" s="17" t="s">
        <v>91</v>
      </c>
      <c r="G1223" s="14">
        <v>316129.12</v>
      </c>
      <c r="H1223" s="14">
        <v>283191.48</v>
      </c>
      <c r="I1223" s="14">
        <v>283191.48</v>
      </c>
      <c r="J1223" s="22">
        <f>H1223*(1+Assumptions!$B$6+IF(F1223="Yes",Assumptions!$C$6,0))</f>
        <v>291687.22440000001</v>
      </c>
      <c r="K1223" s="22">
        <f>H1223*(1+Assumptions!$B$7+IF(F1223="Yes",Assumptions!$C$7,0))</f>
        <v>297351.054</v>
      </c>
      <c r="L1223" s="22">
        <f>H1223*(1+Assumptions!$B$8+IF(F1223="Yes",Assumptions!$C$8,0))</f>
        <v>286023.39480000001</v>
      </c>
    </row>
    <row r="1224" spans="1:12" ht="15">
      <c r="A1224" s="21">
        <v>41103</v>
      </c>
      <c r="B1224" s="21">
        <v>41091</v>
      </c>
      <c r="C1224" s="17">
        <v>6</v>
      </c>
      <c r="D1224" s="17" t="s">
        <v>90</v>
      </c>
      <c r="E1224" s="18">
        <v>202505</v>
      </c>
      <c r="F1224" s="17" t="s">
        <v>91</v>
      </c>
      <c r="G1224" s="14">
        <v>1584791.19</v>
      </c>
      <c r="H1224" s="14">
        <v>1526789.27</v>
      </c>
      <c r="I1224" s="14">
        <v>1526789.27</v>
      </c>
      <c r="J1224" s="22">
        <f>H1224*(1+Assumptions!$B$6+IF(F1224="Yes",Assumptions!$C$6,0))</f>
        <v>1572592.9481000002</v>
      </c>
      <c r="K1224" s="22">
        <f>H1224*(1+Assumptions!$B$7+IF(F1224="Yes",Assumptions!$C$7,0))</f>
        <v>1603128.7335000001</v>
      </c>
      <c r="L1224" s="22">
        <f>H1224*(1+Assumptions!$B$8+IF(F1224="Yes",Assumptions!$C$8,0))</f>
        <v>1542057.1627</v>
      </c>
    </row>
    <row r="1225" spans="1:12" ht="15">
      <c r="A1225" s="21">
        <v>41103</v>
      </c>
      <c r="B1225" s="21">
        <v>41091</v>
      </c>
      <c r="C1225" s="17">
        <v>7</v>
      </c>
      <c r="D1225" s="17" t="s">
        <v>92</v>
      </c>
      <c r="E1225" s="18">
        <v>70713</v>
      </c>
      <c r="F1225" s="17" t="s">
        <v>91</v>
      </c>
      <c r="G1225" s="14">
        <v>692940.98</v>
      </c>
      <c r="H1225" s="14">
        <v>642741.27</v>
      </c>
      <c r="I1225" s="14">
        <v>642741.27</v>
      </c>
      <c r="J1225" s="22">
        <f>H1225*(1+Assumptions!$B$6+IF(F1225="Yes",Assumptions!$C$6,0))</f>
        <v>662023.50810000009</v>
      </c>
      <c r="K1225" s="22">
        <f>H1225*(1+Assumptions!$B$7+IF(F1225="Yes",Assumptions!$C$7,0))</f>
        <v>674878.33350000007</v>
      </c>
      <c r="L1225" s="22">
        <f>H1225*(1+Assumptions!$B$8+IF(F1225="Yes",Assumptions!$C$8,0))</f>
        <v>649168.6827</v>
      </c>
    </row>
    <row r="1226" spans="1:12" ht="15">
      <c r="A1226" s="21">
        <v>41103</v>
      </c>
      <c r="B1226" s="21">
        <v>41091</v>
      </c>
      <c r="C1226" s="17">
        <v>8</v>
      </c>
      <c r="D1226" s="17" t="s">
        <v>90</v>
      </c>
      <c r="E1226" s="18">
        <v>155078</v>
      </c>
      <c r="F1226" s="17" t="s">
        <v>91</v>
      </c>
      <c r="G1226" s="14">
        <v>890486.02</v>
      </c>
      <c r="H1226" s="14">
        <v>846380.37</v>
      </c>
      <c r="I1226" s="14">
        <v>846380.37</v>
      </c>
      <c r="J1226" s="22">
        <f>H1226*(1+Assumptions!$B$6+IF(F1226="Yes",Assumptions!$C$6,0))</f>
        <v>871771.78110000002</v>
      </c>
      <c r="K1226" s="22">
        <f>H1226*(1+Assumptions!$B$7+IF(F1226="Yes",Assumptions!$C$7,0))</f>
        <v>888699.3885</v>
      </c>
      <c r="L1226" s="22">
        <f>H1226*(1+Assumptions!$B$8+IF(F1226="Yes",Assumptions!$C$8,0))</f>
        <v>854844.17370000004</v>
      </c>
    </row>
    <row r="1227" spans="1:12" ht="15">
      <c r="A1227" s="21">
        <v>41103</v>
      </c>
      <c r="B1227" s="21">
        <v>41091</v>
      </c>
      <c r="C1227" s="17">
        <v>9</v>
      </c>
      <c r="D1227" s="17" t="s">
        <v>92</v>
      </c>
      <c r="E1227" s="18">
        <v>125833</v>
      </c>
      <c r="F1227" s="17" t="s">
        <v>91</v>
      </c>
      <c r="G1227" s="14">
        <v>535111.04</v>
      </c>
      <c r="H1227" s="14">
        <v>512800.16000000003</v>
      </c>
      <c r="I1227" s="14">
        <v>512800.16000000003</v>
      </c>
      <c r="J1227" s="22">
        <f>H1227*(1+Assumptions!$B$6+IF(F1227="Yes",Assumptions!$C$6,0))</f>
        <v>528184.16480000003</v>
      </c>
      <c r="K1227" s="22">
        <f>H1227*(1+Assumptions!$B$7+IF(F1227="Yes",Assumptions!$C$7,0))</f>
        <v>538440.16800000006</v>
      </c>
      <c r="L1227" s="22">
        <f>H1227*(1+Assumptions!$B$8+IF(F1227="Yes",Assumptions!$C$8,0))</f>
        <v>517928.16160000005</v>
      </c>
    </row>
    <row r="1228" spans="1:12" ht="15">
      <c r="A1228" s="21">
        <v>41103</v>
      </c>
      <c r="B1228" s="21">
        <v>41091</v>
      </c>
      <c r="C1228" s="17">
        <v>10</v>
      </c>
      <c r="D1228" s="17" t="s">
        <v>92</v>
      </c>
      <c r="E1228" s="18">
        <v>126512</v>
      </c>
      <c r="F1228" s="17" t="s">
        <v>91</v>
      </c>
      <c r="G1228" s="14">
        <v>1765347.91</v>
      </c>
      <c r="H1228" s="14">
        <v>1775056.39</v>
      </c>
      <c r="I1228" s="14">
        <v>1775056.39</v>
      </c>
      <c r="J1228" s="22">
        <f>H1228*(1+Assumptions!$B$6+IF(F1228="Yes",Assumptions!$C$6,0))</f>
        <v>1828308.0817</v>
      </c>
      <c r="K1228" s="22">
        <f>H1228*(1+Assumptions!$B$7+IF(F1228="Yes",Assumptions!$C$7,0))</f>
        <v>1863809.2094999999</v>
      </c>
      <c r="L1228" s="22">
        <f>H1228*(1+Assumptions!$B$8+IF(F1228="Yes",Assumptions!$C$8,0))</f>
        <v>1792806.9538999998</v>
      </c>
    </row>
    <row r="1229" spans="1:12" ht="15">
      <c r="A1229" s="21">
        <v>41103</v>
      </c>
      <c r="B1229" s="21">
        <v>41091</v>
      </c>
      <c r="C1229" s="17">
        <v>11</v>
      </c>
      <c r="D1229" s="17" t="s">
        <v>90</v>
      </c>
      <c r="E1229" s="18">
        <v>207499</v>
      </c>
      <c r="F1229" s="17" t="s">
        <v>91</v>
      </c>
      <c r="G1229" s="14">
        <v>1320239.03</v>
      </c>
      <c r="H1229" s="14">
        <v>1266525.29</v>
      </c>
      <c r="I1229" s="14">
        <v>1266525.29</v>
      </c>
      <c r="J1229" s="22">
        <f>H1229*(1+Assumptions!$B$6+IF(F1229="Yes",Assumptions!$C$6,0))</f>
        <v>1304521.0487000002</v>
      </c>
      <c r="K1229" s="22">
        <f>H1229*(1+Assumptions!$B$7+IF(F1229="Yes",Assumptions!$C$7,0))</f>
        <v>1329851.5545000001</v>
      </c>
      <c r="L1229" s="22">
        <f>H1229*(1+Assumptions!$B$8+IF(F1229="Yes",Assumptions!$C$8,0))</f>
        <v>1279190.5429</v>
      </c>
    </row>
    <row r="1230" spans="1:12" ht="15">
      <c r="A1230" s="21">
        <v>41103</v>
      </c>
      <c r="B1230" s="21">
        <v>41091</v>
      </c>
      <c r="C1230" s="17">
        <v>12</v>
      </c>
      <c r="D1230" s="17" t="s">
        <v>92</v>
      </c>
      <c r="E1230" s="18">
        <v>112238</v>
      </c>
      <c r="F1230" s="17" t="s">
        <v>91</v>
      </c>
      <c r="G1230" s="14">
        <v>960346.47</v>
      </c>
      <c r="H1230" s="14">
        <v>936001.98</v>
      </c>
      <c r="I1230" s="14">
        <v>936001.98</v>
      </c>
      <c r="J1230" s="22">
        <f>H1230*(1+Assumptions!$B$6+IF(F1230="Yes",Assumptions!$C$6,0))</f>
        <v>964082.03940000001</v>
      </c>
      <c r="K1230" s="22">
        <f>H1230*(1+Assumptions!$B$7+IF(F1230="Yes",Assumptions!$C$7,0))</f>
        <v>982802.07900000003</v>
      </c>
      <c r="L1230" s="22">
        <f>H1230*(1+Assumptions!$B$8+IF(F1230="Yes",Assumptions!$C$8,0))</f>
        <v>945361.99979999999</v>
      </c>
    </row>
    <row r="1231" spans="1:12" ht="15">
      <c r="A1231" s="21">
        <v>41103</v>
      </c>
      <c r="B1231" s="21">
        <v>41091</v>
      </c>
      <c r="C1231" s="17">
        <v>13</v>
      </c>
      <c r="D1231" s="17" t="s">
        <v>90</v>
      </c>
      <c r="E1231" s="18">
        <v>219622</v>
      </c>
      <c r="F1231" s="17" t="s">
        <v>91</v>
      </c>
      <c r="G1231" s="14">
        <v>2002712.94</v>
      </c>
      <c r="H1231" s="14">
        <v>1956723.43</v>
      </c>
      <c r="I1231" s="14">
        <v>1956723.43</v>
      </c>
      <c r="J1231" s="22">
        <f>H1231*(1+Assumptions!$B$6+IF(F1231="Yes",Assumptions!$C$6,0))</f>
        <v>2015425.1329000001</v>
      </c>
      <c r="K1231" s="22">
        <f>H1231*(1+Assumptions!$B$7+IF(F1231="Yes",Assumptions!$C$7,0))</f>
        <v>2054559.6015000001</v>
      </c>
      <c r="L1231" s="22">
        <f>H1231*(1+Assumptions!$B$8+IF(F1231="Yes",Assumptions!$C$8,0))</f>
        <v>1976290.6643000001</v>
      </c>
    </row>
    <row r="1232" spans="1:12" ht="15">
      <c r="A1232" s="21">
        <v>41103</v>
      </c>
      <c r="B1232" s="21">
        <v>41091</v>
      </c>
      <c r="C1232" s="17">
        <v>14</v>
      </c>
      <c r="D1232" s="17" t="s">
        <v>90</v>
      </c>
      <c r="E1232" s="18">
        <v>200898</v>
      </c>
      <c r="F1232" s="17" t="s">
        <v>91</v>
      </c>
      <c r="G1232" s="14">
        <v>1544422.24</v>
      </c>
      <c r="H1232" s="14">
        <v>1953544.76</v>
      </c>
      <c r="I1232" s="14">
        <v>1953544.76</v>
      </c>
      <c r="J1232" s="22">
        <f>H1232*(1+Assumptions!$B$6+IF(F1232="Yes",Assumptions!$C$6,0))</f>
        <v>2012151.1028</v>
      </c>
      <c r="K1232" s="22">
        <f>H1232*(1+Assumptions!$B$7+IF(F1232="Yes",Assumptions!$C$7,0))</f>
        <v>2051221.9980000001</v>
      </c>
      <c r="L1232" s="22">
        <f>H1232*(1+Assumptions!$B$8+IF(F1232="Yes",Assumptions!$C$8,0))</f>
        <v>1973080.2076000001</v>
      </c>
    </row>
    <row r="1233" spans="1:12" ht="15">
      <c r="A1233" s="21">
        <v>41103</v>
      </c>
      <c r="B1233" s="21">
        <v>41091</v>
      </c>
      <c r="C1233" s="17">
        <v>15</v>
      </c>
      <c r="D1233" s="17" t="s">
        <v>92</v>
      </c>
      <c r="E1233" s="18">
        <v>123737</v>
      </c>
      <c r="F1233" s="17" t="s">
        <v>91</v>
      </c>
      <c r="G1233" s="14">
        <v>591332.5</v>
      </c>
      <c r="H1233" s="14">
        <v>623804.73</v>
      </c>
      <c r="I1233" s="14">
        <v>623804.73</v>
      </c>
      <c r="J1233" s="22">
        <f>H1233*(1+Assumptions!$B$6+IF(F1233="Yes",Assumptions!$C$6,0))</f>
        <v>642518.87190000003</v>
      </c>
      <c r="K1233" s="22">
        <f>H1233*(1+Assumptions!$B$7+IF(F1233="Yes",Assumptions!$C$7,0))</f>
        <v>654994.96649999998</v>
      </c>
      <c r="L1233" s="22">
        <f>H1233*(1+Assumptions!$B$8+IF(F1233="Yes",Assumptions!$C$8,0))</f>
        <v>630042.77729999996</v>
      </c>
    </row>
    <row r="1234" spans="1:12" ht="15">
      <c r="A1234" s="21">
        <v>41103</v>
      </c>
      <c r="B1234" s="21">
        <v>41091</v>
      </c>
      <c r="C1234" s="17">
        <v>16</v>
      </c>
      <c r="D1234" s="17" t="s">
        <v>92</v>
      </c>
      <c r="E1234" s="18">
        <v>57197</v>
      </c>
      <c r="F1234" s="17" t="s">
        <v>91</v>
      </c>
      <c r="G1234" s="14">
        <v>567427.28</v>
      </c>
      <c r="H1234" s="14">
        <v>586666.88</v>
      </c>
      <c r="I1234" s="14">
        <v>586666.88</v>
      </c>
      <c r="J1234" s="22">
        <f>H1234*(1+Assumptions!$B$6+IF(F1234="Yes",Assumptions!$C$6,0))</f>
        <v>604266.88640000008</v>
      </c>
      <c r="K1234" s="22">
        <f>H1234*(1+Assumptions!$B$7+IF(F1234="Yes",Assumptions!$C$7,0))</f>
        <v>616000.22400000005</v>
      </c>
      <c r="L1234" s="22">
        <f>H1234*(1+Assumptions!$B$8+IF(F1234="Yes",Assumptions!$C$8,0))</f>
        <v>592533.54879999999</v>
      </c>
    </row>
    <row r="1235" spans="1:12" ht="15">
      <c r="A1235" s="21">
        <v>41103</v>
      </c>
      <c r="B1235" s="21">
        <v>41091</v>
      </c>
      <c r="C1235" s="17">
        <v>17</v>
      </c>
      <c r="D1235" s="17" t="s">
        <v>92</v>
      </c>
      <c r="E1235" s="18">
        <v>93188</v>
      </c>
      <c r="F1235" s="17" t="s">
        <v>91</v>
      </c>
      <c r="G1235" s="14">
        <v>959219.79</v>
      </c>
      <c r="H1235" s="14">
        <v>902727.76</v>
      </c>
      <c r="I1235" s="14">
        <v>902727.76</v>
      </c>
      <c r="J1235" s="22">
        <f>H1235*(1+Assumptions!$B$6+IF(F1235="Yes",Assumptions!$C$6,0))</f>
        <v>929809.59279999998</v>
      </c>
      <c r="K1235" s="22">
        <f>H1235*(1+Assumptions!$B$7+IF(F1235="Yes",Assumptions!$C$7,0))</f>
        <v>947864.14800000004</v>
      </c>
      <c r="L1235" s="22">
        <f>H1235*(1+Assumptions!$B$8+IF(F1235="Yes",Assumptions!$C$8,0))</f>
        <v>911755.03760000004</v>
      </c>
    </row>
    <row r="1236" spans="1:12" ht="15">
      <c r="A1236" s="21">
        <v>41103</v>
      </c>
      <c r="B1236" s="21">
        <v>41091</v>
      </c>
      <c r="C1236" s="17">
        <v>18</v>
      </c>
      <c r="D1236" s="17" t="s">
        <v>92</v>
      </c>
      <c r="E1236" s="18">
        <v>120653</v>
      </c>
      <c r="F1236" s="17" t="s">
        <v>91</v>
      </c>
      <c r="G1236" s="14">
        <v>1016468</v>
      </c>
      <c r="H1236" s="14">
        <v>974906.67</v>
      </c>
      <c r="I1236" s="14">
        <v>974906.67</v>
      </c>
      <c r="J1236" s="22">
        <f>H1236*(1+Assumptions!$B$6+IF(F1236="Yes",Assumptions!$C$6,0))</f>
        <v>1004153.8701000001</v>
      </c>
      <c r="K1236" s="22">
        <f>H1236*(1+Assumptions!$B$7+IF(F1236="Yes",Assumptions!$C$7,0))</f>
        <v>1023652.0035000001</v>
      </c>
      <c r="L1236" s="22">
        <f>H1236*(1+Assumptions!$B$8+IF(F1236="Yes",Assumptions!$C$8,0))</f>
        <v>984655.73670000001</v>
      </c>
    </row>
    <row r="1237" spans="1:12" ht="15">
      <c r="A1237" s="21">
        <v>41103</v>
      </c>
      <c r="B1237" s="21">
        <v>41091</v>
      </c>
      <c r="C1237" s="17">
        <v>19</v>
      </c>
      <c r="D1237" s="17" t="s">
        <v>90</v>
      </c>
      <c r="E1237" s="18">
        <v>203819</v>
      </c>
      <c r="F1237" s="17" t="s">
        <v>91</v>
      </c>
      <c r="G1237" s="14">
        <v>1321741.27</v>
      </c>
      <c r="H1237" s="14">
        <v>1391580.41</v>
      </c>
      <c r="I1237" s="14">
        <v>1391580.41</v>
      </c>
      <c r="J1237" s="22">
        <f>H1237*(1+Assumptions!$B$6+IF(F1237="Yes",Assumptions!$C$6,0))</f>
        <v>1433327.8222999999</v>
      </c>
      <c r="K1237" s="22">
        <f>H1237*(1+Assumptions!$B$7+IF(F1237="Yes",Assumptions!$C$7,0))</f>
        <v>1461159.4305</v>
      </c>
      <c r="L1237" s="22">
        <f>H1237*(1+Assumptions!$B$8+IF(F1237="Yes",Assumptions!$C$8,0))</f>
        <v>1405496.2141</v>
      </c>
    </row>
    <row r="1238" spans="1:12" ht="15">
      <c r="A1238" s="21">
        <v>41103</v>
      </c>
      <c r="B1238" s="21">
        <v>41091</v>
      </c>
      <c r="C1238" s="17">
        <v>20</v>
      </c>
      <c r="D1238" s="17" t="s">
        <v>90</v>
      </c>
      <c r="E1238" s="18">
        <v>203742</v>
      </c>
      <c r="F1238" s="17" t="s">
        <v>91</v>
      </c>
      <c r="G1238" s="14">
        <v>2134650.08</v>
      </c>
      <c r="H1238" s="14">
        <v>2039875.75</v>
      </c>
      <c r="I1238" s="14">
        <v>2039875.75</v>
      </c>
      <c r="J1238" s="22">
        <f>H1238*(1+Assumptions!$B$6+IF(F1238="Yes",Assumptions!$C$6,0))</f>
        <v>2101072.0225</v>
      </c>
      <c r="K1238" s="22">
        <f>H1238*(1+Assumptions!$B$7+IF(F1238="Yes",Assumptions!$C$7,0))</f>
        <v>2141869.5375000001</v>
      </c>
      <c r="L1238" s="22">
        <f>H1238*(1+Assumptions!$B$8+IF(F1238="Yes",Assumptions!$C$8,0))</f>
        <v>2060274.5075000001</v>
      </c>
    </row>
    <row r="1239" spans="1:12" ht="15">
      <c r="A1239" s="21">
        <v>41103</v>
      </c>
      <c r="B1239" s="21">
        <v>41091</v>
      </c>
      <c r="C1239" s="17">
        <v>21</v>
      </c>
      <c r="D1239" s="17" t="s">
        <v>92</v>
      </c>
      <c r="E1239" s="18">
        <v>140167</v>
      </c>
      <c r="F1239" s="17" t="s">
        <v>91</v>
      </c>
      <c r="G1239" s="14">
        <v>668040.68999999994</v>
      </c>
      <c r="H1239" s="14">
        <v>728311.15</v>
      </c>
      <c r="I1239" s="14">
        <v>728311.15</v>
      </c>
      <c r="J1239" s="22">
        <f>H1239*(1+Assumptions!$B$6+IF(F1239="Yes",Assumptions!$C$6,0))</f>
        <v>750160.48450000002</v>
      </c>
      <c r="K1239" s="22">
        <f>H1239*(1+Assumptions!$B$7+IF(F1239="Yes",Assumptions!$C$7,0))</f>
        <v>764726.70750000002</v>
      </c>
      <c r="L1239" s="22">
        <f>H1239*(1+Assumptions!$B$8+IF(F1239="Yes",Assumptions!$C$8,0))</f>
        <v>735594.26150000002</v>
      </c>
    </row>
    <row r="1240" spans="1:12" ht="15">
      <c r="A1240" s="21">
        <v>41103</v>
      </c>
      <c r="B1240" s="21">
        <v>41091</v>
      </c>
      <c r="C1240" s="17">
        <v>22</v>
      </c>
      <c r="D1240" s="17" t="s">
        <v>92</v>
      </c>
      <c r="E1240" s="18">
        <v>119557</v>
      </c>
      <c r="F1240" s="17" t="s">
        <v>91</v>
      </c>
      <c r="G1240" s="14">
        <v>971360.41</v>
      </c>
      <c r="H1240" s="14">
        <v>961941.6</v>
      </c>
      <c r="I1240" s="14">
        <v>961941.6</v>
      </c>
      <c r="J1240" s="22">
        <f>H1240*(1+Assumptions!$B$6+IF(F1240="Yes",Assumptions!$C$6,0))</f>
        <v>990799.848</v>
      </c>
      <c r="K1240" s="22">
        <f>H1240*(1+Assumptions!$B$7+IF(F1240="Yes",Assumptions!$C$7,0))</f>
        <v>1010038.68</v>
      </c>
      <c r="L1240" s="22">
        <f>H1240*(1+Assumptions!$B$8+IF(F1240="Yes",Assumptions!$C$8,0))</f>
        <v>971561.01599999995</v>
      </c>
    </row>
    <row r="1241" spans="1:12" ht="15">
      <c r="A1241" s="21">
        <v>41103</v>
      </c>
      <c r="B1241" s="21">
        <v>41091</v>
      </c>
      <c r="C1241" s="17">
        <v>23</v>
      </c>
      <c r="D1241" s="17" t="s">
        <v>92</v>
      </c>
      <c r="E1241" s="18">
        <v>114533</v>
      </c>
      <c r="F1241" s="17" t="s">
        <v>91</v>
      </c>
      <c r="G1241" s="14">
        <v>1384805.47</v>
      </c>
      <c r="H1241" s="14">
        <v>1360459.64</v>
      </c>
      <c r="I1241" s="14">
        <v>1360459.64</v>
      </c>
      <c r="J1241" s="22">
        <f>H1241*(1+Assumptions!$B$6+IF(F1241="Yes",Assumptions!$C$6,0))</f>
        <v>1401273.4291999999</v>
      </c>
      <c r="K1241" s="22">
        <f>H1241*(1+Assumptions!$B$7+IF(F1241="Yes",Assumptions!$C$7,0))</f>
        <v>1428482.622</v>
      </c>
      <c r="L1241" s="22">
        <f>H1241*(1+Assumptions!$B$8+IF(F1241="Yes",Assumptions!$C$8,0))</f>
        <v>1374064.2363999998</v>
      </c>
    </row>
    <row r="1242" spans="1:12" ht="15">
      <c r="A1242" s="21">
        <v>41103</v>
      </c>
      <c r="B1242" s="21">
        <v>41091</v>
      </c>
      <c r="C1242" s="17">
        <v>24</v>
      </c>
      <c r="D1242" s="17" t="s">
        <v>90</v>
      </c>
      <c r="E1242" s="18">
        <v>203819</v>
      </c>
      <c r="F1242" s="17" t="s">
        <v>91</v>
      </c>
      <c r="G1242" s="14">
        <v>1405475.77</v>
      </c>
      <c r="H1242" s="14">
        <v>1356938.95</v>
      </c>
      <c r="I1242" s="14">
        <v>1356938.95</v>
      </c>
      <c r="J1242" s="22">
        <f>H1242*(1+Assumptions!$B$6+IF(F1242="Yes",Assumptions!$C$6,0))</f>
        <v>1397647.1185000001</v>
      </c>
      <c r="K1242" s="22">
        <f>H1242*(1+Assumptions!$B$7+IF(F1242="Yes",Assumptions!$C$7,0))</f>
        <v>1424785.8975</v>
      </c>
      <c r="L1242" s="22">
        <f>H1242*(1+Assumptions!$B$8+IF(F1242="Yes",Assumptions!$C$8,0))</f>
        <v>1370508.3395</v>
      </c>
    </row>
    <row r="1243" spans="1:12" ht="15">
      <c r="A1243" s="21">
        <v>41103</v>
      </c>
      <c r="B1243" s="21">
        <v>41091</v>
      </c>
      <c r="C1243" s="17">
        <v>25</v>
      </c>
      <c r="D1243" s="17" t="s">
        <v>92</v>
      </c>
      <c r="E1243" s="18">
        <v>128107</v>
      </c>
      <c r="F1243" s="17" t="s">
        <v>91</v>
      </c>
      <c r="G1243" s="14">
        <v>708803.83</v>
      </c>
      <c r="H1243" s="14">
        <v>679524.05</v>
      </c>
      <c r="I1243" s="14">
        <v>679524.05</v>
      </c>
      <c r="J1243" s="22">
        <f>H1243*(1+Assumptions!$B$6+IF(F1243="Yes",Assumptions!$C$6,0))</f>
        <v>699909.77150000003</v>
      </c>
      <c r="K1243" s="22">
        <f>H1243*(1+Assumptions!$B$7+IF(F1243="Yes",Assumptions!$C$7,0))</f>
        <v>713500.25250000006</v>
      </c>
      <c r="L1243" s="22">
        <f>H1243*(1+Assumptions!$B$8+IF(F1243="Yes",Assumptions!$C$8,0))</f>
        <v>686319.2905</v>
      </c>
    </row>
    <row r="1244" spans="1:12" ht="15">
      <c r="A1244" s="21">
        <v>41103</v>
      </c>
      <c r="B1244" s="21">
        <v>41091</v>
      </c>
      <c r="C1244" s="17">
        <v>26</v>
      </c>
      <c r="D1244" s="17" t="s">
        <v>90</v>
      </c>
      <c r="E1244" s="18">
        <v>152513</v>
      </c>
      <c r="F1244" s="17" t="s">
        <v>91</v>
      </c>
      <c r="G1244" s="14">
        <v>1062563.74</v>
      </c>
      <c r="H1244" s="14">
        <v>1021522.73</v>
      </c>
      <c r="I1244" s="14">
        <v>1021522.73</v>
      </c>
      <c r="J1244" s="22">
        <f>H1244*(1+Assumptions!$B$6+IF(F1244="Yes",Assumptions!$C$6,0))</f>
        <v>1052168.4118999999</v>
      </c>
      <c r="K1244" s="22">
        <f>H1244*(1+Assumptions!$B$7+IF(F1244="Yes",Assumptions!$C$7,0))</f>
        <v>1072598.8665</v>
      </c>
      <c r="L1244" s="22">
        <f>H1244*(1+Assumptions!$B$8+IF(F1244="Yes",Assumptions!$C$8,0))</f>
        <v>1031737.9573</v>
      </c>
    </row>
    <row r="1245" spans="1:12" ht="15">
      <c r="A1245" s="21">
        <v>41103</v>
      </c>
      <c r="B1245" s="21">
        <v>41091</v>
      </c>
      <c r="C1245" s="17">
        <v>27</v>
      </c>
      <c r="D1245" s="17" t="s">
        <v>90</v>
      </c>
      <c r="E1245" s="18">
        <v>204184</v>
      </c>
      <c r="F1245" s="17" t="s">
        <v>91</v>
      </c>
      <c r="G1245" s="14">
        <v>1755889.47</v>
      </c>
      <c r="H1245" s="14">
        <v>1762153.69</v>
      </c>
      <c r="I1245" s="14">
        <v>1762153.69</v>
      </c>
      <c r="J1245" s="22">
        <f>H1245*(1+Assumptions!$B$6+IF(F1245="Yes",Assumptions!$C$6,0))</f>
        <v>1815018.3007</v>
      </c>
      <c r="K1245" s="22">
        <f>H1245*(1+Assumptions!$B$7+IF(F1245="Yes",Assumptions!$C$7,0))</f>
        <v>1850261.3744999999</v>
      </c>
      <c r="L1245" s="22">
        <f>H1245*(1+Assumptions!$B$8+IF(F1245="Yes",Assumptions!$C$8,0))</f>
        <v>1779775.2268999999</v>
      </c>
    </row>
    <row r="1246" spans="1:12" ht="15">
      <c r="A1246" s="21">
        <v>41103</v>
      </c>
      <c r="B1246" s="21">
        <v>41091</v>
      </c>
      <c r="C1246" s="17">
        <v>28</v>
      </c>
      <c r="D1246" s="17" t="s">
        <v>90</v>
      </c>
      <c r="E1246" s="18">
        <v>206302</v>
      </c>
      <c r="F1246" s="17" t="s">
        <v>91</v>
      </c>
      <c r="G1246" s="14">
        <v>1179902.97</v>
      </c>
      <c r="H1246" s="14">
        <v>1197368.1299999999</v>
      </c>
      <c r="I1246" s="14">
        <v>1197368.1299999999</v>
      </c>
      <c r="J1246" s="22">
        <f>H1246*(1+Assumptions!$B$6+IF(F1246="Yes",Assumptions!$C$6,0))</f>
        <v>1233289.1738999998</v>
      </c>
      <c r="K1246" s="22">
        <f>H1246*(1+Assumptions!$B$7+IF(F1246="Yes",Assumptions!$C$7,0))</f>
        <v>1257236.5364999999</v>
      </c>
      <c r="L1246" s="22">
        <f>H1246*(1+Assumptions!$B$8+IF(F1246="Yes",Assumptions!$C$8,0))</f>
        <v>1209341.8112999999</v>
      </c>
    </row>
    <row r="1247" spans="1:12" ht="15">
      <c r="A1247" s="21">
        <v>41103</v>
      </c>
      <c r="B1247" s="21">
        <v>41091</v>
      </c>
      <c r="C1247" s="17">
        <v>29</v>
      </c>
      <c r="D1247" s="17" t="s">
        <v>92</v>
      </c>
      <c r="E1247" s="18">
        <v>93638</v>
      </c>
      <c r="F1247" s="17" t="s">
        <v>91</v>
      </c>
      <c r="G1247" s="14">
        <v>514709.76000000001</v>
      </c>
      <c r="H1247" s="14">
        <v>505146.9</v>
      </c>
      <c r="I1247" s="14">
        <v>505146.9</v>
      </c>
      <c r="J1247" s="22">
        <f>H1247*(1+Assumptions!$B$6+IF(F1247="Yes",Assumptions!$C$6,0))</f>
        <v>520301.30700000003</v>
      </c>
      <c r="K1247" s="22">
        <f>H1247*(1+Assumptions!$B$7+IF(F1247="Yes",Assumptions!$C$7,0))</f>
        <v>530404.245</v>
      </c>
      <c r="L1247" s="22">
        <f>H1247*(1+Assumptions!$B$8+IF(F1247="Yes",Assumptions!$C$8,0))</f>
        <v>510198.36900000001</v>
      </c>
    </row>
    <row r="1248" spans="1:12" ht="15">
      <c r="A1248" s="21">
        <v>41103</v>
      </c>
      <c r="B1248" s="21">
        <v>41091</v>
      </c>
      <c r="C1248" s="17">
        <v>30</v>
      </c>
      <c r="D1248" s="17" t="s">
        <v>93</v>
      </c>
      <c r="E1248" s="18">
        <v>42988</v>
      </c>
      <c r="F1248" s="17" t="s">
        <v>91</v>
      </c>
      <c r="G1248" s="14">
        <v>417587.94</v>
      </c>
      <c r="H1248" s="14">
        <v>420317.92</v>
      </c>
      <c r="I1248" s="14">
        <v>420317.92</v>
      </c>
      <c r="J1248" s="22">
        <f>H1248*(1+Assumptions!$B$6+IF(F1248="Yes",Assumptions!$C$6,0))</f>
        <v>432927.45760000002</v>
      </c>
      <c r="K1248" s="22">
        <f>H1248*(1+Assumptions!$B$7+IF(F1248="Yes",Assumptions!$C$7,0))</f>
        <v>441333.81599999999</v>
      </c>
      <c r="L1248" s="22">
        <f>H1248*(1+Assumptions!$B$8+IF(F1248="Yes",Assumptions!$C$8,0))</f>
        <v>424521.0992</v>
      </c>
    </row>
    <row r="1249" spans="1:12" ht="15">
      <c r="A1249" s="21">
        <v>41103</v>
      </c>
      <c r="B1249" s="21">
        <v>41091</v>
      </c>
      <c r="C1249" s="17">
        <v>31</v>
      </c>
      <c r="D1249" s="17" t="s">
        <v>90</v>
      </c>
      <c r="E1249" s="18">
        <v>203750</v>
      </c>
      <c r="F1249" s="17" t="s">
        <v>91</v>
      </c>
      <c r="G1249" s="14">
        <v>1374301.34</v>
      </c>
      <c r="H1249" s="14">
        <v>1415473.81</v>
      </c>
      <c r="I1249" s="14">
        <v>1415473.81</v>
      </c>
      <c r="J1249" s="22">
        <f>H1249*(1+Assumptions!$B$6+IF(F1249="Yes",Assumptions!$C$6,0))</f>
        <v>1457938.0243000002</v>
      </c>
      <c r="K1249" s="22">
        <f>H1249*(1+Assumptions!$B$7+IF(F1249="Yes",Assumptions!$C$7,0))</f>
        <v>1486247.5005000001</v>
      </c>
      <c r="L1249" s="22">
        <f>H1249*(1+Assumptions!$B$8+IF(F1249="Yes",Assumptions!$C$8,0))</f>
        <v>1429628.5481</v>
      </c>
    </row>
    <row r="1250" spans="1:12" ht="15">
      <c r="A1250" s="21">
        <v>41103</v>
      </c>
      <c r="B1250" s="21">
        <v>41091</v>
      </c>
      <c r="C1250" s="17">
        <v>32</v>
      </c>
      <c r="D1250" s="17" t="s">
        <v>90</v>
      </c>
      <c r="E1250" s="18">
        <v>203007</v>
      </c>
      <c r="F1250" s="17" t="s">
        <v>91</v>
      </c>
      <c r="G1250" s="14">
        <v>1141184.45</v>
      </c>
      <c r="H1250" s="14">
        <v>1144230.3799999999</v>
      </c>
      <c r="I1250" s="14">
        <v>1144230.3799999999</v>
      </c>
      <c r="J1250" s="22">
        <f>H1250*(1+Assumptions!$B$6+IF(F1250="Yes",Assumptions!$C$6,0))</f>
        <v>1178557.2914</v>
      </c>
      <c r="K1250" s="22">
        <f>H1250*(1+Assumptions!$B$7+IF(F1250="Yes",Assumptions!$C$7,0))</f>
        <v>1201441.899</v>
      </c>
      <c r="L1250" s="22">
        <f>H1250*(1+Assumptions!$B$8+IF(F1250="Yes",Assumptions!$C$8,0))</f>
        <v>1155672.6838</v>
      </c>
    </row>
    <row r="1251" spans="1:12" ht="15">
      <c r="A1251" s="21">
        <v>41103</v>
      </c>
      <c r="B1251" s="21">
        <v>41091</v>
      </c>
      <c r="C1251" s="17">
        <v>33</v>
      </c>
      <c r="D1251" s="17" t="s">
        <v>90</v>
      </c>
      <c r="E1251" s="18">
        <v>39690</v>
      </c>
      <c r="F1251" s="17" t="s">
        <v>91</v>
      </c>
      <c r="G1251" s="14">
        <v>286846.74</v>
      </c>
      <c r="H1251" s="14">
        <v>264995.46999999997</v>
      </c>
      <c r="I1251" s="14">
        <v>264995.46999999997</v>
      </c>
      <c r="J1251" s="22">
        <f>H1251*(1+Assumptions!$B$6+IF(F1251="Yes",Assumptions!$C$6,0))</f>
        <v>272945.33409999998</v>
      </c>
      <c r="K1251" s="22">
        <f>H1251*(1+Assumptions!$B$7+IF(F1251="Yes",Assumptions!$C$7,0))</f>
        <v>278245.24349999998</v>
      </c>
      <c r="L1251" s="22">
        <f>H1251*(1+Assumptions!$B$8+IF(F1251="Yes",Assumptions!$C$8,0))</f>
        <v>267645.42469999997</v>
      </c>
    </row>
    <row r="1252" spans="1:12" ht="15">
      <c r="A1252" s="21">
        <v>41103</v>
      </c>
      <c r="B1252" s="21">
        <v>41091</v>
      </c>
      <c r="C1252" s="17">
        <v>34</v>
      </c>
      <c r="D1252" s="17" t="s">
        <v>90</v>
      </c>
      <c r="E1252" s="18">
        <v>158114</v>
      </c>
      <c r="F1252" s="17" t="s">
        <v>91</v>
      </c>
      <c r="G1252" s="14">
        <v>954675.74</v>
      </c>
      <c r="H1252" s="14">
        <v>903879.96</v>
      </c>
      <c r="I1252" s="14">
        <v>903879.96</v>
      </c>
      <c r="J1252" s="22">
        <f>H1252*(1+Assumptions!$B$6+IF(F1252="Yes",Assumptions!$C$6,0))</f>
        <v>930996.35879999993</v>
      </c>
      <c r="K1252" s="22">
        <f>H1252*(1+Assumptions!$B$7+IF(F1252="Yes",Assumptions!$C$7,0))</f>
        <v>949073.95799999998</v>
      </c>
      <c r="L1252" s="22">
        <f>H1252*(1+Assumptions!$B$8+IF(F1252="Yes",Assumptions!$C$8,0))</f>
        <v>912918.75959999999</v>
      </c>
    </row>
    <row r="1253" spans="1:12" ht="15">
      <c r="A1253" s="21">
        <v>41103</v>
      </c>
      <c r="B1253" s="21">
        <v>41091</v>
      </c>
      <c r="C1253" s="17">
        <v>35</v>
      </c>
      <c r="D1253" s="17" t="s">
        <v>92</v>
      </c>
      <c r="E1253" s="18">
        <v>103681</v>
      </c>
      <c r="F1253" s="17" t="s">
        <v>91</v>
      </c>
      <c r="G1253" s="14">
        <v>825763.48</v>
      </c>
      <c r="H1253" s="14">
        <v>813694.39</v>
      </c>
      <c r="I1253" s="14">
        <v>813694.39</v>
      </c>
      <c r="J1253" s="22">
        <f>H1253*(1+Assumptions!$B$6+IF(F1253="Yes",Assumptions!$C$6,0))</f>
        <v>838105.22169999999</v>
      </c>
      <c r="K1253" s="22">
        <f>H1253*(1+Assumptions!$B$7+IF(F1253="Yes",Assumptions!$C$7,0))</f>
        <v>854379.10950000002</v>
      </c>
      <c r="L1253" s="22">
        <f>H1253*(1+Assumptions!$B$8+IF(F1253="Yes",Assumptions!$C$8,0))</f>
        <v>821831.33389999997</v>
      </c>
    </row>
    <row r="1254" spans="1:12" ht="15">
      <c r="A1254" s="21">
        <v>41103</v>
      </c>
      <c r="B1254" s="21">
        <v>41091</v>
      </c>
      <c r="C1254" s="17">
        <v>36</v>
      </c>
      <c r="D1254" s="17" t="s">
        <v>90</v>
      </c>
      <c r="E1254" s="18">
        <v>39910</v>
      </c>
      <c r="F1254" s="17" t="s">
        <v>91</v>
      </c>
      <c r="G1254" s="14">
        <v>297867.31</v>
      </c>
      <c r="H1254" s="14">
        <v>385616.23</v>
      </c>
      <c r="I1254" s="14">
        <v>385616.23</v>
      </c>
      <c r="J1254" s="22">
        <f>H1254*(1+Assumptions!$B$6+IF(F1254="Yes",Assumptions!$C$6,0))</f>
        <v>397184.7169</v>
      </c>
      <c r="K1254" s="22">
        <f>H1254*(1+Assumptions!$B$7+IF(F1254="Yes",Assumptions!$C$7,0))</f>
        <v>404897.04149999999</v>
      </c>
      <c r="L1254" s="22">
        <f>H1254*(1+Assumptions!$B$8+IF(F1254="Yes",Assumptions!$C$8,0))</f>
        <v>389472.39230000001</v>
      </c>
    </row>
    <row r="1255" spans="1:12" ht="15">
      <c r="A1255" s="21">
        <v>41103</v>
      </c>
      <c r="B1255" s="21">
        <v>41091</v>
      </c>
      <c r="C1255" s="17">
        <v>37</v>
      </c>
      <c r="D1255" s="17" t="s">
        <v>93</v>
      </c>
      <c r="E1255" s="18">
        <v>39910</v>
      </c>
      <c r="F1255" s="17" t="s">
        <v>91</v>
      </c>
      <c r="G1255" s="14">
        <v>505852.65</v>
      </c>
      <c r="H1255" s="14">
        <v>498749.62</v>
      </c>
      <c r="I1255" s="14">
        <v>498749.62</v>
      </c>
      <c r="J1255" s="22">
        <f>H1255*(1+Assumptions!$B$6+IF(F1255="Yes",Assumptions!$C$6,0))</f>
        <v>513712.10860000004</v>
      </c>
      <c r="K1255" s="22">
        <f>H1255*(1+Assumptions!$B$7+IF(F1255="Yes",Assumptions!$C$7,0))</f>
        <v>523687.10100000002</v>
      </c>
      <c r="L1255" s="22">
        <f>H1255*(1+Assumptions!$B$8+IF(F1255="Yes",Assumptions!$C$8,0))</f>
        <v>503737.11619999999</v>
      </c>
    </row>
    <row r="1256" spans="1:12" ht="15">
      <c r="A1256" s="21">
        <v>41103</v>
      </c>
      <c r="B1256" s="21">
        <v>41091</v>
      </c>
      <c r="C1256" s="17">
        <v>38</v>
      </c>
      <c r="D1256" s="17" t="s">
        <v>93</v>
      </c>
      <c r="E1256" s="18">
        <v>39690</v>
      </c>
      <c r="F1256" s="17" t="s">
        <v>91</v>
      </c>
      <c r="G1256" s="14">
        <v>415981.25</v>
      </c>
      <c r="H1256" s="14">
        <v>367169</v>
      </c>
      <c r="I1256" s="14">
        <v>367169</v>
      </c>
      <c r="J1256" s="22">
        <f>H1256*(1+Assumptions!$B$6+IF(F1256="Yes",Assumptions!$C$6,0))</f>
        <v>378184.07</v>
      </c>
      <c r="K1256" s="22">
        <f>H1256*(1+Assumptions!$B$7+IF(F1256="Yes",Assumptions!$C$7,0))</f>
        <v>385527.45</v>
      </c>
      <c r="L1256" s="22">
        <f>H1256*(1+Assumptions!$B$8+IF(F1256="Yes",Assumptions!$C$8,0))</f>
        <v>370840.69</v>
      </c>
    </row>
    <row r="1257" spans="1:12" ht="15">
      <c r="A1257" s="21">
        <v>41103</v>
      </c>
      <c r="B1257" s="21">
        <v>41091</v>
      </c>
      <c r="C1257" s="17">
        <v>39</v>
      </c>
      <c r="D1257" s="17" t="s">
        <v>90</v>
      </c>
      <c r="E1257" s="18">
        <v>184109</v>
      </c>
      <c r="F1257" s="17" t="s">
        <v>91</v>
      </c>
      <c r="G1257" s="14">
        <v>1471260.14</v>
      </c>
      <c r="H1257" s="14">
        <v>1380257.12</v>
      </c>
      <c r="I1257" s="14">
        <v>1380257.12</v>
      </c>
      <c r="J1257" s="22">
        <f>H1257*(1+Assumptions!$B$6+IF(F1257="Yes",Assumptions!$C$6,0))</f>
        <v>1421664.8336000002</v>
      </c>
      <c r="K1257" s="22">
        <f>H1257*(1+Assumptions!$B$7+IF(F1257="Yes",Assumptions!$C$7,0))</f>
        <v>1449269.9760000003</v>
      </c>
      <c r="L1257" s="22">
        <f>H1257*(1+Assumptions!$B$8+IF(F1257="Yes",Assumptions!$C$8,0))</f>
        <v>1394059.6912000002</v>
      </c>
    </row>
    <row r="1258" spans="1:12" ht="15">
      <c r="A1258" s="21">
        <v>41103</v>
      </c>
      <c r="B1258" s="21">
        <v>41091</v>
      </c>
      <c r="C1258" s="17">
        <v>40</v>
      </c>
      <c r="D1258" s="17" t="s">
        <v>90</v>
      </c>
      <c r="E1258" s="18">
        <v>155083</v>
      </c>
      <c r="F1258" s="17" t="s">
        <v>91</v>
      </c>
      <c r="G1258" s="14">
        <v>979848.66</v>
      </c>
      <c r="H1258" s="14">
        <v>953248.64</v>
      </c>
      <c r="I1258" s="14">
        <v>953248.64</v>
      </c>
      <c r="J1258" s="22">
        <f>H1258*(1+Assumptions!$B$6+IF(F1258="Yes",Assumptions!$C$6,0))</f>
        <v>981846.09920000006</v>
      </c>
      <c r="K1258" s="22">
        <f>H1258*(1+Assumptions!$B$7+IF(F1258="Yes",Assumptions!$C$7,0))</f>
        <v>1000911.072</v>
      </c>
      <c r="L1258" s="22">
        <f>H1258*(1+Assumptions!$B$8+IF(F1258="Yes",Assumptions!$C$8,0))</f>
        <v>962781.12640000007</v>
      </c>
    </row>
    <row r="1259" spans="1:12" ht="15">
      <c r="A1259" s="21">
        <v>41103</v>
      </c>
      <c r="B1259" s="21">
        <v>41091</v>
      </c>
      <c r="C1259" s="17">
        <v>41</v>
      </c>
      <c r="D1259" s="17" t="s">
        <v>90</v>
      </c>
      <c r="E1259" s="18">
        <v>196321</v>
      </c>
      <c r="F1259" s="17" t="s">
        <v>91</v>
      </c>
      <c r="G1259" s="14">
        <v>1332561.07</v>
      </c>
      <c r="H1259" s="14">
        <v>1245766.73</v>
      </c>
      <c r="I1259" s="14">
        <v>1245766.73</v>
      </c>
      <c r="J1259" s="22">
        <f>H1259*(1+Assumptions!$B$6+IF(F1259="Yes",Assumptions!$C$6,0))</f>
        <v>1283139.7319</v>
      </c>
      <c r="K1259" s="22">
        <f>H1259*(1+Assumptions!$B$7+IF(F1259="Yes",Assumptions!$C$7,0))</f>
        <v>1308055.0665</v>
      </c>
      <c r="L1259" s="22">
        <f>H1259*(1+Assumptions!$B$8+IF(F1259="Yes",Assumptions!$C$8,0))</f>
        <v>1258224.3973000001</v>
      </c>
    </row>
    <row r="1260" spans="1:12" ht="15">
      <c r="A1260" s="21">
        <v>41103</v>
      </c>
      <c r="B1260" s="21">
        <v>41091</v>
      </c>
      <c r="C1260" s="17">
        <v>42</v>
      </c>
      <c r="D1260" s="17" t="s">
        <v>93</v>
      </c>
      <c r="E1260" s="18">
        <v>39690</v>
      </c>
      <c r="F1260" s="17" t="s">
        <v>91</v>
      </c>
      <c r="G1260" s="14">
        <v>627444.03</v>
      </c>
      <c r="H1260" s="14">
        <v>591708.36</v>
      </c>
      <c r="I1260" s="14">
        <v>591708.36</v>
      </c>
      <c r="J1260" s="22">
        <f>H1260*(1+Assumptions!$B$6+IF(F1260="Yes",Assumptions!$C$6,0))</f>
        <v>609459.61080000002</v>
      </c>
      <c r="K1260" s="22">
        <f>H1260*(1+Assumptions!$B$7+IF(F1260="Yes",Assumptions!$C$7,0))</f>
        <v>621293.77800000005</v>
      </c>
      <c r="L1260" s="22">
        <f>H1260*(1+Assumptions!$B$8+IF(F1260="Yes",Assumptions!$C$8,0))</f>
        <v>597625.4436</v>
      </c>
    </row>
    <row r="1261" spans="1:12" ht="15">
      <c r="A1261" s="21">
        <v>41103</v>
      </c>
      <c r="B1261" s="21">
        <v>41091</v>
      </c>
      <c r="C1261" s="17">
        <v>43</v>
      </c>
      <c r="D1261" s="17" t="s">
        <v>93</v>
      </c>
      <c r="E1261" s="18">
        <v>41062</v>
      </c>
      <c r="F1261" s="17" t="s">
        <v>91</v>
      </c>
      <c r="G1261" s="14">
        <v>627461.17000000004</v>
      </c>
      <c r="H1261" s="14">
        <v>631600.44000000006</v>
      </c>
      <c r="I1261" s="14">
        <v>631600.44000000006</v>
      </c>
      <c r="J1261" s="22">
        <f>H1261*(1+Assumptions!$B$6+IF(F1261="Yes",Assumptions!$C$6,0))</f>
        <v>650548.45320000011</v>
      </c>
      <c r="K1261" s="22">
        <f>H1261*(1+Assumptions!$B$7+IF(F1261="Yes",Assumptions!$C$7,0))</f>
        <v>663180.46200000006</v>
      </c>
      <c r="L1261" s="22">
        <f>H1261*(1+Assumptions!$B$8+IF(F1261="Yes",Assumptions!$C$8,0))</f>
        <v>637916.44440000004</v>
      </c>
    </row>
    <row r="1262" spans="1:12" ht="15">
      <c r="A1262" s="21">
        <v>41103</v>
      </c>
      <c r="B1262" s="21">
        <v>41091</v>
      </c>
      <c r="C1262" s="17">
        <v>44</v>
      </c>
      <c r="D1262" s="17" t="s">
        <v>93</v>
      </c>
      <c r="E1262" s="18">
        <v>39910</v>
      </c>
      <c r="F1262" s="17" t="s">
        <v>91</v>
      </c>
      <c r="G1262" s="14">
        <v>336322.46</v>
      </c>
      <c r="H1262" s="14">
        <v>289136.42</v>
      </c>
      <c r="I1262" s="14">
        <v>289136.42</v>
      </c>
      <c r="J1262" s="22">
        <f>H1262*(1+Assumptions!$B$6+IF(F1262="Yes",Assumptions!$C$6,0))</f>
        <v>297810.51260000002</v>
      </c>
      <c r="K1262" s="22">
        <f>H1262*(1+Assumptions!$B$7+IF(F1262="Yes",Assumptions!$C$7,0))</f>
        <v>303593.24099999998</v>
      </c>
      <c r="L1262" s="22">
        <f>H1262*(1+Assumptions!$B$8+IF(F1262="Yes",Assumptions!$C$8,0))</f>
        <v>292027.78419999999</v>
      </c>
    </row>
    <row r="1263" spans="1:12" ht="15">
      <c r="A1263" s="21">
        <v>41103</v>
      </c>
      <c r="B1263" s="21">
        <v>41091</v>
      </c>
      <c r="C1263" s="17">
        <v>45</v>
      </c>
      <c r="D1263" s="17" t="s">
        <v>92</v>
      </c>
      <c r="E1263" s="18">
        <v>118221</v>
      </c>
      <c r="F1263" s="17" t="s">
        <v>91</v>
      </c>
      <c r="G1263" s="14">
        <v>749817.08</v>
      </c>
      <c r="H1263" s="14">
        <v>748320.28</v>
      </c>
      <c r="I1263" s="14">
        <v>748320.28</v>
      </c>
      <c r="J1263" s="22">
        <f>H1263*(1+Assumptions!$B$6+IF(F1263="Yes",Assumptions!$C$6,0))</f>
        <v>770769.88840000005</v>
      </c>
      <c r="K1263" s="22">
        <f>H1263*(1+Assumptions!$B$7+IF(F1263="Yes",Assumptions!$C$7,0))</f>
        <v>785736.29400000011</v>
      </c>
      <c r="L1263" s="22">
        <f>H1263*(1+Assumptions!$B$8+IF(F1263="Yes",Assumptions!$C$8,0))</f>
        <v>755803.4828</v>
      </c>
    </row>
    <row r="1264" spans="1:12" ht="15">
      <c r="A1264" s="21">
        <v>41110</v>
      </c>
      <c r="B1264" s="21">
        <v>41091</v>
      </c>
      <c r="C1264" s="17">
        <v>1</v>
      </c>
      <c r="D1264" s="17" t="s">
        <v>90</v>
      </c>
      <c r="E1264" s="18">
        <v>151315</v>
      </c>
      <c r="F1264" s="17" t="s">
        <v>91</v>
      </c>
      <c r="G1264" s="14">
        <v>1497447.84</v>
      </c>
      <c r="H1264" s="14">
        <v>1396926.82</v>
      </c>
      <c r="I1264" s="14">
        <v>1396926.82</v>
      </c>
      <c r="J1264" s="22">
        <f>H1264*(1+Assumptions!$B$6+IF(F1264="Yes",Assumptions!$C$6,0))</f>
        <v>1438834.6246000002</v>
      </c>
      <c r="K1264" s="22">
        <f>H1264*(1+Assumptions!$B$7+IF(F1264="Yes",Assumptions!$C$7,0))</f>
        <v>1466773.1610000001</v>
      </c>
      <c r="L1264" s="22">
        <f>H1264*(1+Assumptions!$B$8+IF(F1264="Yes",Assumptions!$C$8,0))</f>
        <v>1410896.0882000001</v>
      </c>
    </row>
    <row r="1265" spans="1:12" ht="15">
      <c r="A1265" s="21">
        <v>41110</v>
      </c>
      <c r="B1265" s="21">
        <v>41091</v>
      </c>
      <c r="C1265" s="17">
        <v>2</v>
      </c>
      <c r="D1265" s="17" t="s">
        <v>90</v>
      </c>
      <c r="E1265" s="18">
        <v>202307</v>
      </c>
      <c r="F1265" s="17" t="s">
        <v>91</v>
      </c>
      <c r="G1265" s="14">
        <v>1819510.39</v>
      </c>
      <c r="H1265" s="14">
        <v>1743813.41</v>
      </c>
      <c r="I1265" s="14">
        <v>1743813.41</v>
      </c>
      <c r="J1265" s="22">
        <f>H1265*(1+Assumptions!$B$6+IF(F1265="Yes",Assumptions!$C$6,0))</f>
        <v>1796127.8122999999</v>
      </c>
      <c r="K1265" s="22">
        <f>H1265*(1+Assumptions!$B$7+IF(F1265="Yes",Assumptions!$C$7,0))</f>
        <v>1831004.0804999999</v>
      </c>
      <c r="L1265" s="22">
        <f>H1265*(1+Assumptions!$B$8+IF(F1265="Yes",Assumptions!$C$8,0))</f>
        <v>1761251.5440999998</v>
      </c>
    </row>
    <row r="1266" spans="1:12" ht="15">
      <c r="A1266" s="21">
        <v>41110</v>
      </c>
      <c r="B1266" s="21">
        <v>41091</v>
      </c>
      <c r="C1266" s="17">
        <v>3</v>
      </c>
      <c r="D1266" s="17" t="s">
        <v>92</v>
      </c>
      <c r="E1266" s="18">
        <v>37392</v>
      </c>
      <c r="F1266" s="17" t="s">
        <v>91</v>
      </c>
      <c r="G1266" s="14">
        <v>432357.6</v>
      </c>
      <c r="H1266" s="14">
        <v>360602.63</v>
      </c>
      <c r="I1266" s="14">
        <v>360602.63</v>
      </c>
      <c r="J1266" s="22">
        <f>H1266*(1+Assumptions!$B$6+IF(F1266="Yes",Assumptions!$C$6,0))</f>
        <v>371420.70890000003</v>
      </c>
      <c r="K1266" s="22">
        <f>H1266*(1+Assumptions!$B$7+IF(F1266="Yes",Assumptions!$C$7,0))</f>
        <v>378632.76150000002</v>
      </c>
      <c r="L1266" s="22">
        <f>H1266*(1+Assumptions!$B$8+IF(F1266="Yes",Assumptions!$C$8,0))</f>
        <v>364208.65630000003</v>
      </c>
    </row>
    <row r="1267" spans="1:12" ht="15">
      <c r="A1267" s="21">
        <v>41110</v>
      </c>
      <c r="B1267" s="21">
        <v>41091</v>
      </c>
      <c r="C1267" s="17">
        <v>4</v>
      </c>
      <c r="D1267" s="17" t="s">
        <v>90</v>
      </c>
      <c r="E1267" s="18">
        <v>205863</v>
      </c>
      <c r="F1267" s="17" t="s">
        <v>91</v>
      </c>
      <c r="G1267" s="14">
        <v>2175561.61</v>
      </c>
      <c r="H1267" s="14">
        <v>2036130.71</v>
      </c>
      <c r="I1267" s="14">
        <v>2036130.71</v>
      </c>
      <c r="J1267" s="22">
        <f>H1267*(1+Assumptions!$B$6+IF(F1267="Yes",Assumptions!$C$6,0))</f>
        <v>2097214.6313</v>
      </c>
      <c r="K1267" s="22">
        <f>H1267*(1+Assumptions!$B$7+IF(F1267="Yes",Assumptions!$C$7,0))</f>
        <v>2137937.2455000002</v>
      </c>
      <c r="L1267" s="22">
        <f>H1267*(1+Assumptions!$B$8+IF(F1267="Yes",Assumptions!$C$8,0))</f>
        <v>2056492.0171000001</v>
      </c>
    </row>
    <row r="1268" spans="1:12" ht="15">
      <c r="A1268" s="21">
        <v>41110</v>
      </c>
      <c r="B1268" s="21">
        <v>41091</v>
      </c>
      <c r="C1268" s="17">
        <v>5</v>
      </c>
      <c r="D1268" s="17" t="s">
        <v>92</v>
      </c>
      <c r="E1268" s="18">
        <v>34875</v>
      </c>
      <c r="F1268" s="17" t="s">
        <v>91</v>
      </c>
      <c r="G1268" s="14">
        <v>321134.27</v>
      </c>
      <c r="H1268" s="14">
        <v>292457.62</v>
      </c>
      <c r="I1268" s="14">
        <v>292457.62</v>
      </c>
      <c r="J1268" s="22">
        <f>H1268*(1+Assumptions!$B$6+IF(F1268="Yes",Assumptions!$C$6,0))</f>
        <v>301231.34860000003</v>
      </c>
      <c r="K1268" s="22">
        <f>H1268*(1+Assumptions!$B$7+IF(F1268="Yes",Assumptions!$C$7,0))</f>
        <v>307080.50099999999</v>
      </c>
      <c r="L1268" s="22">
        <f>H1268*(1+Assumptions!$B$8+IF(F1268="Yes",Assumptions!$C$8,0))</f>
        <v>295382.19620000001</v>
      </c>
    </row>
    <row r="1269" spans="1:12" ht="15">
      <c r="A1269" s="21">
        <v>41110</v>
      </c>
      <c r="B1269" s="21">
        <v>41091</v>
      </c>
      <c r="C1269" s="17">
        <v>6</v>
      </c>
      <c r="D1269" s="17" t="s">
        <v>90</v>
      </c>
      <c r="E1269" s="18">
        <v>202505</v>
      </c>
      <c r="F1269" s="17" t="s">
        <v>91</v>
      </c>
      <c r="G1269" s="14">
        <v>1574360.44</v>
      </c>
      <c r="H1269" s="14">
        <v>1526506.08</v>
      </c>
      <c r="I1269" s="14">
        <v>1526506.08</v>
      </c>
      <c r="J1269" s="22">
        <f>H1269*(1+Assumptions!$B$6+IF(F1269="Yes",Assumptions!$C$6,0))</f>
        <v>1572301.2624000001</v>
      </c>
      <c r="K1269" s="22">
        <f>H1269*(1+Assumptions!$B$7+IF(F1269="Yes",Assumptions!$C$7,0))</f>
        <v>1602831.3840000001</v>
      </c>
      <c r="L1269" s="22">
        <f>H1269*(1+Assumptions!$B$8+IF(F1269="Yes",Assumptions!$C$8,0))</f>
        <v>1541771.1408000002</v>
      </c>
    </row>
    <row r="1270" spans="1:12" ht="15">
      <c r="A1270" s="21">
        <v>41110</v>
      </c>
      <c r="B1270" s="21">
        <v>41091</v>
      </c>
      <c r="C1270" s="17">
        <v>7</v>
      </c>
      <c r="D1270" s="17" t="s">
        <v>92</v>
      </c>
      <c r="E1270" s="18">
        <v>70713</v>
      </c>
      <c r="F1270" s="17" t="s">
        <v>91</v>
      </c>
      <c r="G1270" s="14">
        <v>681606.35</v>
      </c>
      <c r="H1270" s="14">
        <v>686708.96</v>
      </c>
      <c r="I1270" s="14">
        <v>686708.96</v>
      </c>
      <c r="J1270" s="22">
        <f>H1270*(1+Assumptions!$B$6+IF(F1270="Yes",Assumptions!$C$6,0))</f>
        <v>707310.22879999992</v>
      </c>
      <c r="K1270" s="22">
        <f>H1270*(1+Assumptions!$B$7+IF(F1270="Yes",Assumptions!$C$7,0))</f>
        <v>721044.40799999994</v>
      </c>
      <c r="L1270" s="22">
        <f>H1270*(1+Assumptions!$B$8+IF(F1270="Yes",Assumptions!$C$8,0))</f>
        <v>693576.04959999991</v>
      </c>
    </row>
    <row r="1271" spans="1:12" ht="15">
      <c r="A1271" s="21">
        <v>41110</v>
      </c>
      <c r="B1271" s="21">
        <v>41091</v>
      </c>
      <c r="C1271" s="17">
        <v>8</v>
      </c>
      <c r="D1271" s="17" t="s">
        <v>90</v>
      </c>
      <c r="E1271" s="18">
        <v>155078</v>
      </c>
      <c r="F1271" s="17" t="s">
        <v>91</v>
      </c>
      <c r="G1271" s="14">
        <v>888834.01</v>
      </c>
      <c r="H1271" s="14">
        <v>829902.42</v>
      </c>
      <c r="I1271" s="14">
        <v>829902.42</v>
      </c>
      <c r="J1271" s="22">
        <f>H1271*(1+Assumptions!$B$6+IF(F1271="Yes",Assumptions!$C$6,0))</f>
        <v>854799.49260000011</v>
      </c>
      <c r="K1271" s="22">
        <f>H1271*(1+Assumptions!$B$7+IF(F1271="Yes",Assumptions!$C$7,0))</f>
        <v>871397.54100000008</v>
      </c>
      <c r="L1271" s="22">
        <f>H1271*(1+Assumptions!$B$8+IF(F1271="Yes",Assumptions!$C$8,0))</f>
        <v>838201.44420000003</v>
      </c>
    </row>
    <row r="1272" spans="1:12" ht="15">
      <c r="A1272" s="21">
        <v>41110</v>
      </c>
      <c r="B1272" s="21">
        <v>41091</v>
      </c>
      <c r="C1272" s="17">
        <v>9</v>
      </c>
      <c r="D1272" s="17" t="s">
        <v>92</v>
      </c>
      <c r="E1272" s="18">
        <v>125833</v>
      </c>
      <c r="F1272" s="17" t="s">
        <v>91</v>
      </c>
      <c r="G1272" s="14">
        <v>513988.13</v>
      </c>
      <c r="H1272" s="14">
        <v>490234.94</v>
      </c>
      <c r="I1272" s="14">
        <v>490234.94</v>
      </c>
      <c r="J1272" s="22">
        <f>H1272*(1+Assumptions!$B$6+IF(F1272="Yes",Assumptions!$C$6,0))</f>
        <v>504941.98820000002</v>
      </c>
      <c r="K1272" s="22">
        <f>H1272*(1+Assumptions!$B$7+IF(F1272="Yes",Assumptions!$C$7,0))</f>
        <v>514746.68700000003</v>
      </c>
      <c r="L1272" s="22">
        <f>H1272*(1+Assumptions!$B$8+IF(F1272="Yes",Assumptions!$C$8,0))</f>
        <v>495137.28940000001</v>
      </c>
    </row>
    <row r="1273" spans="1:12" ht="15">
      <c r="A1273" s="21">
        <v>41110</v>
      </c>
      <c r="B1273" s="21">
        <v>41091</v>
      </c>
      <c r="C1273" s="17">
        <v>10</v>
      </c>
      <c r="D1273" s="17" t="s">
        <v>92</v>
      </c>
      <c r="E1273" s="18">
        <v>126512</v>
      </c>
      <c r="F1273" s="17" t="s">
        <v>91</v>
      </c>
      <c r="G1273" s="14">
        <v>1869959.1</v>
      </c>
      <c r="H1273" s="14">
        <v>1774297.61</v>
      </c>
      <c r="I1273" s="14">
        <v>1774297.61</v>
      </c>
      <c r="J1273" s="22">
        <f>H1273*(1+Assumptions!$B$6+IF(F1273="Yes",Assumptions!$C$6,0))</f>
        <v>1827526.5383000001</v>
      </c>
      <c r="K1273" s="22">
        <f>H1273*(1+Assumptions!$B$7+IF(F1273="Yes",Assumptions!$C$7,0))</f>
        <v>1863012.4905000001</v>
      </c>
      <c r="L1273" s="22">
        <f>H1273*(1+Assumptions!$B$8+IF(F1273="Yes",Assumptions!$C$8,0))</f>
        <v>1792040.5861000002</v>
      </c>
    </row>
    <row r="1274" spans="1:12" ht="15">
      <c r="A1274" s="21">
        <v>41110</v>
      </c>
      <c r="B1274" s="21">
        <v>41091</v>
      </c>
      <c r="C1274" s="17">
        <v>11</v>
      </c>
      <c r="D1274" s="17" t="s">
        <v>90</v>
      </c>
      <c r="E1274" s="18">
        <v>207499</v>
      </c>
      <c r="F1274" s="17" t="s">
        <v>91</v>
      </c>
      <c r="G1274" s="14">
        <v>1344480.67</v>
      </c>
      <c r="H1274" s="14">
        <v>1290563.97</v>
      </c>
      <c r="I1274" s="14">
        <v>1290563.97</v>
      </c>
      <c r="J1274" s="22">
        <f>H1274*(1+Assumptions!$B$6+IF(F1274="Yes",Assumptions!$C$6,0))</f>
        <v>1329280.8891</v>
      </c>
      <c r="K1274" s="22">
        <f>H1274*(1+Assumptions!$B$7+IF(F1274="Yes",Assumptions!$C$7,0))</f>
        <v>1355092.1684999999</v>
      </c>
      <c r="L1274" s="22">
        <f>H1274*(1+Assumptions!$B$8+IF(F1274="Yes",Assumptions!$C$8,0))</f>
        <v>1303469.6096999999</v>
      </c>
    </row>
    <row r="1275" spans="1:12" ht="15">
      <c r="A1275" s="21">
        <v>41110</v>
      </c>
      <c r="B1275" s="21">
        <v>41091</v>
      </c>
      <c r="C1275" s="17">
        <v>12</v>
      </c>
      <c r="D1275" s="17" t="s">
        <v>92</v>
      </c>
      <c r="E1275" s="18">
        <v>112238</v>
      </c>
      <c r="F1275" s="17" t="s">
        <v>91</v>
      </c>
      <c r="G1275" s="14">
        <v>941493.34</v>
      </c>
      <c r="H1275" s="14">
        <v>922219.95</v>
      </c>
      <c r="I1275" s="14">
        <v>922219.95</v>
      </c>
      <c r="J1275" s="22">
        <f>H1275*(1+Assumptions!$B$6+IF(F1275="Yes",Assumptions!$C$6,0))</f>
        <v>949886.54850000003</v>
      </c>
      <c r="K1275" s="22">
        <f>H1275*(1+Assumptions!$B$7+IF(F1275="Yes",Assumptions!$C$7,0))</f>
        <v>968330.94750000001</v>
      </c>
      <c r="L1275" s="22">
        <f>H1275*(1+Assumptions!$B$8+IF(F1275="Yes",Assumptions!$C$8,0))</f>
        <v>931442.14949999994</v>
      </c>
    </row>
    <row r="1276" spans="1:12" ht="15">
      <c r="A1276" s="21">
        <v>41110</v>
      </c>
      <c r="B1276" s="21">
        <v>41091</v>
      </c>
      <c r="C1276" s="17">
        <v>13</v>
      </c>
      <c r="D1276" s="17" t="s">
        <v>90</v>
      </c>
      <c r="E1276" s="18">
        <v>219622</v>
      </c>
      <c r="F1276" s="17" t="s">
        <v>91</v>
      </c>
      <c r="G1276" s="14">
        <v>2053089.24</v>
      </c>
      <c r="H1276" s="14">
        <v>1986528.36</v>
      </c>
      <c r="I1276" s="14">
        <v>1986528.36</v>
      </c>
      <c r="J1276" s="22">
        <f>H1276*(1+Assumptions!$B$6+IF(F1276="Yes",Assumptions!$C$6,0))</f>
        <v>2046124.2108000002</v>
      </c>
      <c r="K1276" s="22">
        <f>H1276*(1+Assumptions!$B$7+IF(F1276="Yes",Assumptions!$C$7,0))</f>
        <v>2085854.7780000002</v>
      </c>
      <c r="L1276" s="22">
        <f>H1276*(1+Assumptions!$B$8+IF(F1276="Yes",Assumptions!$C$8,0))</f>
        <v>2006393.6436000001</v>
      </c>
    </row>
    <row r="1277" spans="1:12" ht="15">
      <c r="A1277" s="21">
        <v>41110</v>
      </c>
      <c r="B1277" s="21">
        <v>41091</v>
      </c>
      <c r="C1277" s="17">
        <v>14</v>
      </c>
      <c r="D1277" s="17" t="s">
        <v>90</v>
      </c>
      <c r="E1277" s="18">
        <v>200898</v>
      </c>
      <c r="F1277" s="17" t="s">
        <v>91</v>
      </c>
      <c r="G1277" s="14">
        <v>1553250.09</v>
      </c>
      <c r="H1277" s="14">
        <v>1882070.88</v>
      </c>
      <c r="I1277" s="14">
        <v>1882070.88</v>
      </c>
      <c r="J1277" s="22">
        <f>H1277*(1+Assumptions!$B$6+IF(F1277="Yes",Assumptions!$C$6,0))</f>
        <v>1938533.0063999998</v>
      </c>
      <c r="K1277" s="22">
        <f>H1277*(1+Assumptions!$B$7+IF(F1277="Yes",Assumptions!$C$7,0))</f>
        <v>1976174.4239999999</v>
      </c>
      <c r="L1277" s="22">
        <f>H1277*(1+Assumptions!$B$8+IF(F1277="Yes",Assumptions!$C$8,0))</f>
        <v>1900891.5887999998</v>
      </c>
    </row>
    <row r="1278" spans="1:12" ht="15">
      <c r="A1278" s="21">
        <v>41110</v>
      </c>
      <c r="B1278" s="21">
        <v>41091</v>
      </c>
      <c r="C1278" s="17">
        <v>15</v>
      </c>
      <c r="D1278" s="17" t="s">
        <v>92</v>
      </c>
      <c r="E1278" s="18">
        <v>123737</v>
      </c>
      <c r="F1278" s="17" t="s">
        <v>91</v>
      </c>
      <c r="G1278" s="14">
        <v>591983.04</v>
      </c>
      <c r="H1278" s="14">
        <v>607452.57999999996</v>
      </c>
      <c r="I1278" s="14">
        <v>607452.57999999996</v>
      </c>
      <c r="J1278" s="22">
        <f>H1278*(1+Assumptions!$B$6+IF(F1278="Yes",Assumptions!$C$6,0))</f>
        <v>625676.15740000003</v>
      </c>
      <c r="K1278" s="22">
        <f>H1278*(1+Assumptions!$B$7+IF(F1278="Yes",Assumptions!$C$7,0))</f>
        <v>637825.20900000003</v>
      </c>
      <c r="L1278" s="22">
        <f>H1278*(1+Assumptions!$B$8+IF(F1278="Yes",Assumptions!$C$8,0))</f>
        <v>613527.10580000002</v>
      </c>
    </row>
    <row r="1279" spans="1:12" ht="15">
      <c r="A1279" s="21">
        <v>41110</v>
      </c>
      <c r="B1279" s="21">
        <v>41091</v>
      </c>
      <c r="C1279" s="17">
        <v>16</v>
      </c>
      <c r="D1279" s="17" t="s">
        <v>92</v>
      </c>
      <c r="E1279" s="18">
        <v>57197</v>
      </c>
      <c r="F1279" s="17" t="s">
        <v>91</v>
      </c>
      <c r="G1279" s="14">
        <v>563016.95999999996</v>
      </c>
      <c r="H1279" s="14">
        <v>581634.62</v>
      </c>
      <c r="I1279" s="14">
        <v>581634.62</v>
      </c>
      <c r="J1279" s="22">
        <f>H1279*(1+Assumptions!$B$6+IF(F1279="Yes",Assumptions!$C$6,0))</f>
        <v>599083.65859999997</v>
      </c>
      <c r="K1279" s="22">
        <f>H1279*(1+Assumptions!$B$7+IF(F1279="Yes",Assumptions!$C$7,0))</f>
        <v>610716.35100000002</v>
      </c>
      <c r="L1279" s="22">
        <f>H1279*(1+Assumptions!$B$8+IF(F1279="Yes",Assumptions!$C$8,0))</f>
        <v>587450.96620000002</v>
      </c>
    </row>
    <row r="1280" spans="1:12" ht="15">
      <c r="A1280" s="21">
        <v>41110</v>
      </c>
      <c r="B1280" s="21">
        <v>41091</v>
      </c>
      <c r="C1280" s="17">
        <v>17</v>
      </c>
      <c r="D1280" s="17" t="s">
        <v>92</v>
      </c>
      <c r="E1280" s="18">
        <v>93188</v>
      </c>
      <c r="F1280" s="17" t="s">
        <v>91</v>
      </c>
      <c r="G1280" s="14">
        <v>943327.55</v>
      </c>
      <c r="H1280" s="14">
        <v>899032.88</v>
      </c>
      <c r="I1280" s="14">
        <v>899032.88</v>
      </c>
      <c r="J1280" s="22">
        <f>H1280*(1+Assumptions!$B$6+IF(F1280="Yes",Assumptions!$C$6,0))</f>
        <v>926003.86640000006</v>
      </c>
      <c r="K1280" s="22">
        <f>H1280*(1+Assumptions!$B$7+IF(F1280="Yes",Assumptions!$C$7,0))</f>
        <v>943984.52400000009</v>
      </c>
      <c r="L1280" s="22">
        <f>H1280*(1+Assumptions!$B$8+IF(F1280="Yes",Assumptions!$C$8,0))</f>
        <v>908023.20880000002</v>
      </c>
    </row>
    <row r="1281" spans="1:12" ht="15">
      <c r="A1281" s="21">
        <v>41110</v>
      </c>
      <c r="B1281" s="21">
        <v>41091</v>
      </c>
      <c r="C1281" s="17">
        <v>18</v>
      </c>
      <c r="D1281" s="17" t="s">
        <v>92</v>
      </c>
      <c r="E1281" s="18">
        <v>120653</v>
      </c>
      <c r="F1281" s="17" t="s">
        <v>91</v>
      </c>
      <c r="G1281" s="14">
        <v>1025071.87</v>
      </c>
      <c r="H1281" s="14">
        <v>991346.46</v>
      </c>
      <c r="I1281" s="14">
        <v>991346.46</v>
      </c>
      <c r="J1281" s="22">
        <f>H1281*(1+Assumptions!$B$6+IF(F1281="Yes",Assumptions!$C$6,0))</f>
        <v>1021086.8538</v>
      </c>
      <c r="K1281" s="22">
        <f>H1281*(1+Assumptions!$B$7+IF(F1281="Yes",Assumptions!$C$7,0))</f>
        <v>1040913.7830000001</v>
      </c>
      <c r="L1281" s="22">
        <f>H1281*(1+Assumptions!$B$8+IF(F1281="Yes",Assumptions!$C$8,0))</f>
        <v>1001259.9246</v>
      </c>
    </row>
    <row r="1282" spans="1:12" ht="15">
      <c r="A1282" s="21">
        <v>41110</v>
      </c>
      <c r="B1282" s="21">
        <v>41091</v>
      </c>
      <c r="C1282" s="17">
        <v>19</v>
      </c>
      <c r="D1282" s="17" t="s">
        <v>90</v>
      </c>
      <c r="E1282" s="18">
        <v>203819</v>
      </c>
      <c r="F1282" s="17" t="s">
        <v>91</v>
      </c>
      <c r="G1282" s="14">
        <v>1317586.04</v>
      </c>
      <c r="H1282" s="14">
        <v>1377119.45</v>
      </c>
      <c r="I1282" s="14">
        <v>1377119.45</v>
      </c>
      <c r="J1282" s="22">
        <f>H1282*(1+Assumptions!$B$6+IF(F1282="Yes",Assumptions!$C$6,0))</f>
        <v>1418433.0334999999</v>
      </c>
      <c r="K1282" s="22">
        <f>H1282*(1+Assumptions!$B$7+IF(F1282="Yes",Assumptions!$C$7,0))</f>
        <v>1445975.4225000001</v>
      </c>
      <c r="L1282" s="22">
        <f>H1282*(1+Assumptions!$B$8+IF(F1282="Yes",Assumptions!$C$8,0))</f>
        <v>1390890.6444999999</v>
      </c>
    </row>
    <row r="1283" spans="1:12" ht="15">
      <c r="A1283" s="21">
        <v>41110</v>
      </c>
      <c r="B1283" s="21">
        <v>41091</v>
      </c>
      <c r="C1283" s="17">
        <v>20</v>
      </c>
      <c r="D1283" s="17" t="s">
        <v>90</v>
      </c>
      <c r="E1283" s="18">
        <v>203742</v>
      </c>
      <c r="F1283" s="17" t="s">
        <v>91</v>
      </c>
      <c r="G1283" s="14">
        <v>1968659.44</v>
      </c>
      <c r="H1283" s="14">
        <v>1950795.87</v>
      </c>
      <c r="I1283" s="14">
        <v>1950795.87</v>
      </c>
      <c r="J1283" s="22">
        <f>H1283*(1+Assumptions!$B$6+IF(F1283="Yes",Assumptions!$C$6,0))</f>
        <v>2009319.7461000001</v>
      </c>
      <c r="K1283" s="22">
        <f>H1283*(1+Assumptions!$B$7+IF(F1283="Yes",Assumptions!$C$7,0))</f>
        <v>2048335.6635000003</v>
      </c>
      <c r="L1283" s="22">
        <f>H1283*(1+Assumptions!$B$8+IF(F1283="Yes",Assumptions!$C$8,0))</f>
        <v>1970303.8287000002</v>
      </c>
    </row>
    <row r="1284" spans="1:12" ht="15">
      <c r="A1284" s="21">
        <v>41110</v>
      </c>
      <c r="B1284" s="21">
        <v>41091</v>
      </c>
      <c r="C1284" s="17">
        <v>21</v>
      </c>
      <c r="D1284" s="17" t="s">
        <v>92</v>
      </c>
      <c r="E1284" s="18">
        <v>140167</v>
      </c>
      <c r="F1284" s="17" t="s">
        <v>91</v>
      </c>
      <c r="G1284" s="14">
        <v>691196.95</v>
      </c>
      <c r="H1284" s="14">
        <v>784377.99</v>
      </c>
      <c r="I1284" s="14">
        <v>784377.99</v>
      </c>
      <c r="J1284" s="22">
        <f>H1284*(1+Assumptions!$B$6+IF(F1284="Yes",Assumptions!$C$6,0))</f>
        <v>807909.3297</v>
      </c>
      <c r="K1284" s="22">
        <f>H1284*(1+Assumptions!$B$7+IF(F1284="Yes",Assumptions!$C$7,0))</f>
        <v>823596.88950000005</v>
      </c>
      <c r="L1284" s="22">
        <f>H1284*(1+Assumptions!$B$8+IF(F1284="Yes",Assumptions!$C$8,0))</f>
        <v>792221.76989999996</v>
      </c>
    </row>
    <row r="1285" spans="1:12" ht="15">
      <c r="A1285" s="21">
        <v>41110</v>
      </c>
      <c r="B1285" s="21">
        <v>41091</v>
      </c>
      <c r="C1285" s="17">
        <v>22</v>
      </c>
      <c r="D1285" s="17" t="s">
        <v>92</v>
      </c>
      <c r="E1285" s="18">
        <v>119557</v>
      </c>
      <c r="F1285" s="17" t="s">
        <v>91</v>
      </c>
      <c r="G1285" s="14">
        <v>991969.37</v>
      </c>
      <c r="H1285" s="14">
        <v>964623.95</v>
      </c>
      <c r="I1285" s="14">
        <v>964623.95</v>
      </c>
      <c r="J1285" s="22">
        <f>H1285*(1+Assumptions!$B$6+IF(F1285="Yes",Assumptions!$C$6,0))</f>
        <v>993562.66850000003</v>
      </c>
      <c r="K1285" s="22">
        <f>H1285*(1+Assumptions!$B$7+IF(F1285="Yes",Assumptions!$C$7,0))</f>
        <v>1012855.1475</v>
      </c>
      <c r="L1285" s="22">
        <f>H1285*(1+Assumptions!$B$8+IF(F1285="Yes",Assumptions!$C$8,0))</f>
        <v>974270.18949999998</v>
      </c>
    </row>
    <row r="1286" spans="1:12" ht="15">
      <c r="A1286" s="21">
        <v>41110</v>
      </c>
      <c r="B1286" s="21">
        <v>41091</v>
      </c>
      <c r="C1286" s="17">
        <v>23</v>
      </c>
      <c r="D1286" s="17" t="s">
        <v>92</v>
      </c>
      <c r="E1286" s="18">
        <v>114533</v>
      </c>
      <c r="F1286" s="17" t="s">
        <v>91</v>
      </c>
      <c r="G1286" s="14">
        <v>1381060.23</v>
      </c>
      <c r="H1286" s="14">
        <v>1362096.59</v>
      </c>
      <c r="I1286" s="14">
        <v>1362096.59</v>
      </c>
      <c r="J1286" s="22">
        <f>H1286*(1+Assumptions!$B$6+IF(F1286="Yes",Assumptions!$C$6,0))</f>
        <v>1402959.4877000002</v>
      </c>
      <c r="K1286" s="22">
        <f>H1286*(1+Assumptions!$B$7+IF(F1286="Yes",Assumptions!$C$7,0))</f>
        <v>1430201.4195000001</v>
      </c>
      <c r="L1286" s="22">
        <f>H1286*(1+Assumptions!$B$8+IF(F1286="Yes",Assumptions!$C$8,0))</f>
        <v>1375717.5559</v>
      </c>
    </row>
    <row r="1287" spans="1:12" ht="15">
      <c r="A1287" s="21">
        <v>41110</v>
      </c>
      <c r="B1287" s="21">
        <v>41091</v>
      </c>
      <c r="C1287" s="17">
        <v>24</v>
      </c>
      <c r="D1287" s="17" t="s">
        <v>90</v>
      </c>
      <c r="E1287" s="18">
        <v>203819</v>
      </c>
      <c r="F1287" s="17" t="s">
        <v>91</v>
      </c>
      <c r="G1287" s="14">
        <v>1394298.95</v>
      </c>
      <c r="H1287" s="14">
        <v>1357660.27</v>
      </c>
      <c r="I1287" s="14">
        <v>1357660.27</v>
      </c>
      <c r="J1287" s="22">
        <f>H1287*(1+Assumptions!$B$6+IF(F1287="Yes",Assumptions!$C$6,0))</f>
        <v>1398390.0781</v>
      </c>
      <c r="K1287" s="22">
        <f>H1287*(1+Assumptions!$B$7+IF(F1287="Yes",Assumptions!$C$7,0))</f>
        <v>1425543.2835000001</v>
      </c>
      <c r="L1287" s="22">
        <f>H1287*(1+Assumptions!$B$8+IF(F1287="Yes",Assumptions!$C$8,0))</f>
        <v>1371236.8726999999</v>
      </c>
    </row>
    <row r="1288" spans="1:12" ht="15">
      <c r="A1288" s="21">
        <v>41110</v>
      </c>
      <c r="B1288" s="21">
        <v>41091</v>
      </c>
      <c r="C1288" s="17">
        <v>25</v>
      </c>
      <c r="D1288" s="17" t="s">
        <v>92</v>
      </c>
      <c r="E1288" s="18">
        <v>128107</v>
      </c>
      <c r="F1288" s="17" t="s">
        <v>91</v>
      </c>
      <c r="G1288" s="14">
        <v>680139.11</v>
      </c>
      <c r="H1288" s="14">
        <v>670854.86</v>
      </c>
      <c r="I1288" s="14">
        <v>670854.86</v>
      </c>
      <c r="J1288" s="22">
        <f>H1288*(1+Assumptions!$B$6+IF(F1288="Yes",Assumptions!$C$6,0))</f>
        <v>690980.50580000004</v>
      </c>
      <c r="K1288" s="22">
        <f>H1288*(1+Assumptions!$B$7+IF(F1288="Yes",Assumptions!$C$7,0))</f>
        <v>704397.603</v>
      </c>
      <c r="L1288" s="22">
        <f>H1288*(1+Assumptions!$B$8+IF(F1288="Yes",Assumptions!$C$8,0))</f>
        <v>677563.40859999997</v>
      </c>
    </row>
    <row r="1289" spans="1:12" ht="15">
      <c r="A1289" s="21">
        <v>41110</v>
      </c>
      <c r="B1289" s="21">
        <v>41091</v>
      </c>
      <c r="C1289" s="17">
        <v>26</v>
      </c>
      <c r="D1289" s="17" t="s">
        <v>90</v>
      </c>
      <c r="E1289" s="18">
        <v>152513</v>
      </c>
      <c r="F1289" s="17" t="s">
        <v>91</v>
      </c>
      <c r="G1289" s="14">
        <v>1049458.8400000001</v>
      </c>
      <c r="H1289" s="14">
        <v>1017770.89</v>
      </c>
      <c r="I1289" s="14">
        <v>1017770.89</v>
      </c>
      <c r="J1289" s="22">
        <f>H1289*(1+Assumptions!$B$6+IF(F1289="Yes",Assumptions!$C$6,0))</f>
        <v>1048304.0167</v>
      </c>
      <c r="K1289" s="22">
        <f>H1289*(1+Assumptions!$B$7+IF(F1289="Yes",Assumptions!$C$7,0))</f>
        <v>1068659.4345</v>
      </c>
      <c r="L1289" s="22">
        <f>H1289*(1+Assumptions!$B$8+IF(F1289="Yes",Assumptions!$C$8,0))</f>
        <v>1027948.5989</v>
      </c>
    </row>
    <row r="1290" spans="1:12" ht="15">
      <c r="A1290" s="21">
        <v>41110</v>
      </c>
      <c r="B1290" s="21">
        <v>41091</v>
      </c>
      <c r="C1290" s="17">
        <v>27</v>
      </c>
      <c r="D1290" s="17" t="s">
        <v>90</v>
      </c>
      <c r="E1290" s="18">
        <v>204184</v>
      </c>
      <c r="F1290" s="17" t="s">
        <v>91</v>
      </c>
      <c r="G1290" s="14">
        <v>1730913.53</v>
      </c>
      <c r="H1290" s="14">
        <v>1754648.7</v>
      </c>
      <c r="I1290" s="14">
        <v>1754648.7</v>
      </c>
      <c r="J1290" s="22">
        <f>H1290*(1+Assumptions!$B$6+IF(F1290="Yes",Assumptions!$C$6,0))</f>
        <v>1807288.1610000001</v>
      </c>
      <c r="K1290" s="22">
        <f>H1290*(1+Assumptions!$B$7+IF(F1290="Yes",Assumptions!$C$7,0))</f>
        <v>1842381.135</v>
      </c>
      <c r="L1290" s="22">
        <f>H1290*(1+Assumptions!$B$8+IF(F1290="Yes",Assumptions!$C$8,0))</f>
        <v>1772195.1869999999</v>
      </c>
    </row>
    <row r="1291" spans="1:12" ht="15">
      <c r="A1291" s="21">
        <v>41110</v>
      </c>
      <c r="B1291" s="21">
        <v>41091</v>
      </c>
      <c r="C1291" s="17">
        <v>28</v>
      </c>
      <c r="D1291" s="17" t="s">
        <v>90</v>
      </c>
      <c r="E1291" s="18">
        <v>206302</v>
      </c>
      <c r="F1291" s="17" t="s">
        <v>91</v>
      </c>
      <c r="G1291" s="14">
        <v>1149427.3899999999</v>
      </c>
      <c r="H1291" s="14">
        <v>1165857.57</v>
      </c>
      <c r="I1291" s="14">
        <v>1165857.57</v>
      </c>
      <c r="J1291" s="22">
        <f>H1291*(1+Assumptions!$B$6+IF(F1291="Yes",Assumptions!$C$6,0))</f>
        <v>1200833.2971000001</v>
      </c>
      <c r="K1291" s="22">
        <f>H1291*(1+Assumptions!$B$7+IF(F1291="Yes",Assumptions!$C$7,0))</f>
        <v>1224150.4485000002</v>
      </c>
      <c r="L1291" s="22">
        <f>H1291*(1+Assumptions!$B$8+IF(F1291="Yes",Assumptions!$C$8,0))</f>
        <v>1177516.1457</v>
      </c>
    </row>
    <row r="1292" spans="1:12" ht="15">
      <c r="A1292" s="21">
        <v>41110</v>
      </c>
      <c r="B1292" s="21">
        <v>41091</v>
      </c>
      <c r="C1292" s="17">
        <v>29</v>
      </c>
      <c r="D1292" s="17" t="s">
        <v>92</v>
      </c>
      <c r="E1292" s="18">
        <v>93638</v>
      </c>
      <c r="F1292" s="17" t="s">
        <v>91</v>
      </c>
      <c r="G1292" s="14">
        <v>505489.39</v>
      </c>
      <c r="H1292" s="14">
        <v>507276.38</v>
      </c>
      <c r="I1292" s="14">
        <v>507276.38</v>
      </c>
      <c r="J1292" s="22">
        <f>H1292*(1+Assumptions!$B$6+IF(F1292="Yes",Assumptions!$C$6,0))</f>
        <v>522494.67139999999</v>
      </c>
      <c r="K1292" s="22">
        <f>H1292*(1+Assumptions!$B$7+IF(F1292="Yes",Assumptions!$C$7,0))</f>
        <v>532640.19900000002</v>
      </c>
      <c r="L1292" s="22">
        <f>H1292*(1+Assumptions!$B$8+IF(F1292="Yes",Assumptions!$C$8,0))</f>
        <v>512349.14380000002</v>
      </c>
    </row>
    <row r="1293" spans="1:12" ht="15">
      <c r="A1293" s="21">
        <v>41110</v>
      </c>
      <c r="B1293" s="21">
        <v>41091</v>
      </c>
      <c r="C1293" s="17">
        <v>30</v>
      </c>
      <c r="D1293" s="17" t="s">
        <v>93</v>
      </c>
      <c r="E1293" s="18">
        <v>42988</v>
      </c>
      <c r="F1293" s="17" t="s">
        <v>91</v>
      </c>
      <c r="G1293" s="14">
        <v>427437.52</v>
      </c>
      <c r="H1293" s="14">
        <v>423411.75</v>
      </c>
      <c r="I1293" s="14">
        <v>423411.75</v>
      </c>
      <c r="J1293" s="22">
        <f>H1293*(1+Assumptions!$B$6+IF(F1293="Yes",Assumptions!$C$6,0))</f>
        <v>436114.10250000004</v>
      </c>
      <c r="K1293" s="22">
        <f>H1293*(1+Assumptions!$B$7+IF(F1293="Yes",Assumptions!$C$7,0))</f>
        <v>444582.33750000002</v>
      </c>
      <c r="L1293" s="22">
        <f>H1293*(1+Assumptions!$B$8+IF(F1293="Yes",Assumptions!$C$8,0))</f>
        <v>427645.86749999999</v>
      </c>
    </row>
    <row r="1294" spans="1:12" ht="15">
      <c r="A1294" s="21">
        <v>41110</v>
      </c>
      <c r="B1294" s="21">
        <v>41091</v>
      </c>
      <c r="C1294" s="17">
        <v>31</v>
      </c>
      <c r="D1294" s="17" t="s">
        <v>90</v>
      </c>
      <c r="E1294" s="18">
        <v>203750</v>
      </c>
      <c r="F1294" s="17" t="s">
        <v>91</v>
      </c>
      <c r="G1294" s="14">
        <v>1392395.14</v>
      </c>
      <c r="H1294" s="14">
        <v>1401932.93</v>
      </c>
      <c r="I1294" s="14">
        <v>1401932.93</v>
      </c>
      <c r="J1294" s="22">
        <f>H1294*(1+Assumptions!$B$6+IF(F1294="Yes",Assumptions!$C$6,0))</f>
        <v>1443990.9179</v>
      </c>
      <c r="K1294" s="22">
        <f>H1294*(1+Assumptions!$B$7+IF(F1294="Yes",Assumptions!$C$7,0))</f>
        <v>1472029.5765</v>
      </c>
      <c r="L1294" s="22">
        <f>H1294*(1+Assumptions!$B$8+IF(F1294="Yes",Assumptions!$C$8,0))</f>
        <v>1415952.2593</v>
      </c>
    </row>
    <row r="1295" spans="1:12" ht="15">
      <c r="A1295" s="21">
        <v>41110</v>
      </c>
      <c r="B1295" s="21">
        <v>41091</v>
      </c>
      <c r="C1295" s="17">
        <v>32</v>
      </c>
      <c r="D1295" s="17" t="s">
        <v>90</v>
      </c>
      <c r="E1295" s="18">
        <v>203007</v>
      </c>
      <c r="F1295" s="17" t="s">
        <v>91</v>
      </c>
      <c r="G1295" s="14">
        <v>1167829.23</v>
      </c>
      <c r="H1295" s="14">
        <v>1185656.47</v>
      </c>
      <c r="I1295" s="14">
        <v>1185656.47</v>
      </c>
      <c r="J1295" s="22">
        <f>H1295*(1+Assumptions!$B$6+IF(F1295="Yes",Assumptions!$C$6,0))</f>
        <v>1221226.1640999999</v>
      </c>
      <c r="K1295" s="22">
        <f>H1295*(1+Assumptions!$B$7+IF(F1295="Yes",Assumptions!$C$7,0))</f>
        <v>1244939.2934999999</v>
      </c>
      <c r="L1295" s="22">
        <f>H1295*(1+Assumptions!$B$8+IF(F1295="Yes",Assumptions!$C$8,0))</f>
        <v>1197513.0347</v>
      </c>
    </row>
    <row r="1296" spans="1:12" ht="15">
      <c r="A1296" s="21">
        <v>41110</v>
      </c>
      <c r="B1296" s="21">
        <v>41091</v>
      </c>
      <c r="C1296" s="17">
        <v>33</v>
      </c>
      <c r="D1296" s="17" t="s">
        <v>90</v>
      </c>
      <c r="E1296" s="18">
        <v>39690</v>
      </c>
      <c r="F1296" s="17" t="s">
        <v>91</v>
      </c>
      <c r="G1296" s="14">
        <v>253062.00999999998</v>
      </c>
      <c r="H1296" s="14">
        <v>238903.25</v>
      </c>
      <c r="I1296" s="14">
        <v>238903.25</v>
      </c>
      <c r="J1296" s="22">
        <f>H1296*(1+Assumptions!$B$6+IF(F1296="Yes",Assumptions!$C$6,0))</f>
        <v>246070.3475</v>
      </c>
      <c r="K1296" s="22">
        <f>H1296*(1+Assumptions!$B$7+IF(F1296="Yes",Assumptions!$C$7,0))</f>
        <v>250848.41250000001</v>
      </c>
      <c r="L1296" s="22">
        <f>H1296*(1+Assumptions!$B$8+IF(F1296="Yes",Assumptions!$C$8,0))</f>
        <v>241292.2825</v>
      </c>
    </row>
    <row r="1297" spans="1:12" ht="15">
      <c r="A1297" s="21">
        <v>41110</v>
      </c>
      <c r="B1297" s="21">
        <v>41091</v>
      </c>
      <c r="C1297" s="17">
        <v>34</v>
      </c>
      <c r="D1297" s="17" t="s">
        <v>90</v>
      </c>
      <c r="E1297" s="18">
        <v>158114</v>
      </c>
      <c r="F1297" s="17" t="s">
        <v>91</v>
      </c>
      <c r="G1297" s="14">
        <v>951079.6</v>
      </c>
      <c r="H1297" s="14">
        <v>913215.67999999993</v>
      </c>
      <c r="I1297" s="14">
        <v>913215.67999999993</v>
      </c>
      <c r="J1297" s="22">
        <f>H1297*(1+Assumptions!$B$6+IF(F1297="Yes",Assumptions!$C$6,0))</f>
        <v>940612.15039999993</v>
      </c>
      <c r="K1297" s="22">
        <f>H1297*(1+Assumptions!$B$7+IF(F1297="Yes",Assumptions!$C$7,0))</f>
        <v>958876.46399999992</v>
      </c>
      <c r="L1297" s="22">
        <f>H1297*(1+Assumptions!$B$8+IF(F1297="Yes",Assumptions!$C$8,0))</f>
        <v>922347.83679999993</v>
      </c>
    </row>
    <row r="1298" spans="1:12" ht="15">
      <c r="A1298" s="21">
        <v>41110</v>
      </c>
      <c r="B1298" s="21">
        <v>41091</v>
      </c>
      <c r="C1298" s="17">
        <v>35</v>
      </c>
      <c r="D1298" s="17" t="s">
        <v>92</v>
      </c>
      <c r="E1298" s="18">
        <v>103681</v>
      </c>
      <c r="F1298" s="17" t="s">
        <v>91</v>
      </c>
      <c r="G1298" s="14">
        <v>841078.53</v>
      </c>
      <c r="H1298" s="14">
        <v>819908.93</v>
      </c>
      <c r="I1298" s="14">
        <v>819908.93</v>
      </c>
      <c r="J1298" s="22">
        <f>H1298*(1+Assumptions!$B$6+IF(F1298="Yes",Assumptions!$C$6,0))</f>
        <v>844506.19790000003</v>
      </c>
      <c r="K1298" s="22">
        <f>H1298*(1+Assumptions!$B$7+IF(F1298="Yes",Assumptions!$C$7,0))</f>
        <v>860904.37650000013</v>
      </c>
      <c r="L1298" s="22">
        <f>H1298*(1+Assumptions!$B$8+IF(F1298="Yes",Assumptions!$C$8,0))</f>
        <v>828108.01930000004</v>
      </c>
    </row>
    <row r="1299" spans="1:12" ht="15">
      <c r="A1299" s="21">
        <v>41110</v>
      </c>
      <c r="B1299" s="21">
        <v>41091</v>
      </c>
      <c r="C1299" s="17">
        <v>36</v>
      </c>
      <c r="D1299" s="17" t="s">
        <v>90</v>
      </c>
      <c r="E1299" s="18">
        <v>39910</v>
      </c>
      <c r="F1299" s="17" t="s">
        <v>91</v>
      </c>
      <c r="G1299" s="14">
        <v>303152.08</v>
      </c>
      <c r="H1299" s="14">
        <v>361204.16000000003</v>
      </c>
      <c r="I1299" s="14">
        <v>361204.16000000003</v>
      </c>
      <c r="J1299" s="22">
        <f>H1299*(1+Assumptions!$B$6+IF(F1299="Yes",Assumptions!$C$6,0))</f>
        <v>372040.28480000002</v>
      </c>
      <c r="K1299" s="22">
        <f>H1299*(1+Assumptions!$B$7+IF(F1299="Yes",Assumptions!$C$7,0))</f>
        <v>379264.36800000007</v>
      </c>
      <c r="L1299" s="22">
        <f>H1299*(1+Assumptions!$B$8+IF(F1299="Yes",Assumptions!$C$8,0))</f>
        <v>364816.20160000003</v>
      </c>
    </row>
    <row r="1300" spans="1:12" ht="15">
      <c r="A1300" s="21">
        <v>41110</v>
      </c>
      <c r="B1300" s="21">
        <v>41091</v>
      </c>
      <c r="C1300" s="17">
        <v>37</v>
      </c>
      <c r="D1300" s="17" t="s">
        <v>93</v>
      </c>
      <c r="E1300" s="18">
        <v>39910</v>
      </c>
      <c r="F1300" s="17" t="s">
        <v>91</v>
      </c>
      <c r="G1300" s="14">
        <v>503637.77</v>
      </c>
      <c r="H1300" s="14">
        <v>505524.97000000003</v>
      </c>
      <c r="I1300" s="14">
        <v>505524.97000000003</v>
      </c>
      <c r="J1300" s="22">
        <f>H1300*(1+Assumptions!$B$6+IF(F1300="Yes",Assumptions!$C$6,0))</f>
        <v>520690.71910000005</v>
      </c>
      <c r="K1300" s="22">
        <f>H1300*(1+Assumptions!$B$7+IF(F1300="Yes",Assumptions!$C$7,0))</f>
        <v>530801.21850000008</v>
      </c>
      <c r="L1300" s="22">
        <f>H1300*(1+Assumptions!$B$8+IF(F1300="Yes",Assumptions!$C$8,0))</f>
        <v>510580.21970000002</v>
      </c>
    </row>
    <row r="1301" spans="1:12" ht="15">
      <c r="A1301" s="21">
        <v>41110</v>
      </c>
      <c r="B1301" s="21">
        <v>41091</v>
      </c>
      <c r="C1301" s="17">
        <v>38</v>
      </c>
      <c r="D1301" s="17" t="s">
        <v>93</v>
      </c>
      <c r="E1301" s="18">
        <v>39690</v>
      </c>
      <c r="F1301" s="17" t="s">
        <v>91</v>
      </c>
      <c r="G1301" s="14">
        <v>441595.95</v>
      </c>
      <c r="H1301" s="14">
        <v>365544.96000000002</v>
      </c>
      <c r="I1301" s="14">
        <v>365544.96000000002</v>
      </c>
      <c r="J1301" s="22">
        <f>H1301*(1+Assumptions!$B$6+IF(F1301="Yes",Assumptions!$C$6,0))</f>
        <v>376511.30880000006</v>
      </c>
      <c r="K1301" s="22">
        <f>H1301*(1+Assumptions!$B$7+IF(F1301="Yes",Assumptions!$C$7,0))</f>
        <v>383822.20800000004</v>
      </c>
      <c r="L1301" s="22">
        <f>H1301*(1+Assumptions!$B$8+IF(F1301="Yes",Assumptions!$C$8,0))</f>
        <v>369200.40960000001</v>
      </c>
    </row>
    <row r="1302" spans="1:12" ht="15">
      <c r="A1302" s="21">
        <v>41110</v>
      </c>
      <c r="B1302" s="21">
        <v>41091</v>
      </c>
      <c r="C1302" s="17">
        <v>39</v>
      </c>
      <c r="D1302" s="17" t="s">
        <v>90</v>
      </c>
      <c r="E1302" s="18">
        <v>184109</v>
      </c>
      <c r="F1302" s="17" t="s">
        <v>91</v>
      </c>
      <c r="G1302" s="14">
        <v>1582168.2</v>
      </c>
      <c r="H1302" s="14">
        <v>1416005.59</v>
      </c>
      <c r="I1302" s="14">
        <v>1416005.59</v>
      </c>
      <c r="J1302" s="22">
        <f>H1302*(1+Assumptions!$B$6+IF(F1302="Yes",Assumptions!$C$6,0))</f>
        <v>1458485.7577000002</v>
      </c>
      <c r="K1302" s="22">
        <f>H1302*(1+Assumptions!$B$7+IF(F1302="Yes",Assumptions!$C$7,0))</f>
        <v>1486805.8695000003</v>
      </c>
      <c r="L1302" s="22">
        <f>H1302*(1+Assumptions!$B$8+IF(F1302="Yes",Assumptions!$C$8,0))</f>
        <v>1430165.6459000001</v>
      </c>
    </row>
    <row r="1303" spans="1:12" ht="15">
      <c r="A1303" s="21">
        <v>41110</v>
      </c>
      <c r="B1303" s="21">
        <v>41091</v>
      </c>
      <c r="C1303" s="17">
        <v>40</v>
      </c>
      <c r="D1303" s="17" t="s">
        <v>90</v>
      </c>
      <c r="E1303" s="18">
        <v>155083</v>
      </c>
      <c r="F1303" s="17" t="s">
        <v>91</v>
      </c>
      <c r="G1303" s="14">
        <v>968303.34</v>
      </c>
      <c r="H1303" s="14">
        <v>980642.1</v>
      </c>
      <c r="I1303" s="14">
        <v>980642.1</v>
      </c>
      <c r="J1303" s="22">
        <f>H1303*(1+Assumptions!$B$6+IF(F1303="Yes",Assumptions!$C$6,0))</f>
        <v>1010061.363</v>
      </c>
      <c r="K1303" s="22">
        <f>H1303*(1+Assumptions!$B$7+IF(F1303="Yes",Assumptions!$C$7,0))</f>
        <v>1029674.2050000001</v>
      </c>
      <c r="L1303" s="22">
        <f>H1303*(1+Assumptions!$B$8+IF(F1303="Yes",Assumptions!$C$8,0))</f>
        <v>990448.52099999995</v>
      </c>
    </row>
    <row r="1304" spans="1:12" ht="15">
      <c r="A1304" s="21">
        <v>41110</v>
      </c>
      <c r="B1304" s="21">
        <v>41091</v>
      </c>
      <c r="C1304" s="17">
        <v>41</v>
      </c>
      <c r="D1304" s="17" t="s">
        <v>90</v>
      </c>
      <c r="E1304" s="18">
        <v>196321</v>
      </c>
      <c r="F1304" s="17" t="s">
        <v>91</v>
      </c>
      <c r="G1304" s="14">
        <v>1344473.11</v>
      </c>
      <c r="H1304" s="14">
        <v>1292830.93</v>
      </c>
      <c r="I1304" s="14">
        <v>1292830.93</v>
      </c>
      <c r="J1304" s="22">
        <f>H1304*(1+Assumptions!$B$6+IF(F1304="Yes",Assumptions!$C$6,0))</f>
        <v>1331615.8578999999</v>
      </c>
      <c r="K1304" s="22">
        <f>H1304*(1+Assumptions!$B$7+IF(F1304="Yes",Assumptions!$C$7,0))</f>
        <v>1357472.4764999999</v>
      </c>
      <c r="L1304" s="22">
        <f>H1304*(1+Assumptions!$B$8+IF(F1304="Yes",Assumptions!$C$8,0))</f>
        <v>1305759.2393</v>
      </c>
    </row>
    <row r="1305" spans="1:12" ht="15">
      <c r="A1305" s="21">
        <v>41110</v>
      </c>
      <c r="B1305" s="21">
        <v>41091</v>
      </c>
      <c r="C1305" s="17">
        <v>42</v>
      </c>
      <c r="D1305" s="17" t="s">
        <v>93</v>
      </c>
      <c r="E1305" s="18">
        <v>39690</v>
      </c>
      <c r="F1305" s="17" t="s">
        <v>91</v>
      </c>
      <c r="G1305" s="14">
        <v>529938.25</v>
      </c>
      <c r="H1305" s="14">
        <v>511316.29</v>
      </c>
      <c r="I1305" s="14">
        <v>511316.29</v>
      </c>
      <c r="J1305" s="22">
        <f>H1305*(1+Assumptions!$B$6+IF(F1305="Yes",Assumptions!$C$6,0))</f>
        <v>526655.77870000002</v>
      </c>
      <c r="K1305" s="22">
        <f>H1305*(1+Assumptions!$B$7+IF(F1305="Yes",Assumptions!$C$7,0))</f>
        <v>536882.10450000002</v>
      </c>
      <c r="L1305" s="22">
        <f>H1305*(1+Assumptions!$B$8+IF(F1305="Yes",Assumptions!$C$8,0))</f>
        <v>516429.45289999997</v>
      </c>
    </row>
    <row r="1306" spans="1:12" ht="15">
      <c r="A1306" s="21">
        <v>41110</v>
      </c>
      <c r="B1306" s="21">
        <v>41091</v>
      </c>
      <c r="C1306" s="17">
        <v>43</v>
      </c>
      <c r="D1306" s="17" t="s">
        <v>93</v>
      </c>
      <c r="E1306" s="18">
        <v>41062</v>
      </c>
      <c r="F1306" s="17" t="s">
        <v>91</v>
      </c>
      <c r="G1306" s="14">
        <v>596443.49</v>
      </c>
      <c r="H1306" s="14">
        <v>597216.37</v>
      </c>
      <c r="I1306" s="14">
        <v>597216.37</v>
      </c>
      <c r="J1306" s="22">
        <f>H1306*(1+Assumptions!$B$6+IF(F1306="Yes",Assumptions!$C$6,0))</f>
        <v>615132.86109999998</v>
      </c>
      <c r="K1306" s="22">
        <f>H1306*(1+Assumptions!$B$7+IF(F1306="Yes",Assumptions!$C$7,0))</f>
        <v>627077.18850000005</v>
      </c>
      <c r="L1306" s="22">
        <f>H1306*(1+Assumptions!$B$8+IF(F1306="Yes",Assumptions!$C$8,0))</f>
        <v>603188.53370000003</v>
      </c>
    </row>
    <row r="1307" spans="1:12" ht="15">
      <c r="A1307" s="21">
        <v>41110</v>
      </c>
      <c r="B1307" s="21">
        <v>41091</v>
      </c>
      <c r="C1307" s="17">
        <v>44</v>
      </c>
      <c r="D1307" s="17" t="s">
        <v>93</v>
      </c>
      <c r="E1307" s="18">
        <v>39910</v>
      </c>
      <c r="F1307" s="17" t="s">
        <v>91</v>
      </c>
      <c r="G1307" s="14">
        <v>337665.88999999996</v>
      </c>
      <c r="H1307" s="14">
        <v>303061.90999999997</v>
      </c>
      <c r="I1307" s="14">
        <v>303061.90999999997</v>
      </c>
      <c r="J1307" s="22">
        <f>H1307*(1+Assumptions!$B$6+IF(F1307="Yes",Assumptions!$C$6,0))</f>
        <v>312153.76730000001</v>
      </c>
      <c r="K1307" s="22">
        <f>H1307*(1+Assumptions!$B$7+IF(F1307="Yes",Assumptions!$C$7,0))</f>
        <v>318215.00549999997</v>
      </c>
      <c r="L1307" s="22">
        <f>H1307*(1+Assumptions!$B$8+IF(F1307="Yes",Assumptions!$C$8,0))</f>
        <v>306092.52909999999</v>
      </c>
    </row>
    <row r="1308" spans="1:12" ht="15">
      <c r="A1308" s="21">
        <v>41110</v>
      </c>
      <c r="B1308" s="21">
        <v>41091</v>
      </c>
      <c r="C1308" s="17">
        <v>45</v>
      </c>
      <c r="D1308" s="17" t="s">
        <v>92</v>
      </c>
      <c r="E1308" s="18">
        <v>118221</v>
      </c>
      <c r="F1308" s="17" t="s">
        <v>91</v>
      </c>
      <c r="G1308" s="14">
        <v>737573.65</v>
      </c>
      <c r="H1308" s="14">
        <v>741621.25</v>
      </c>
      <c r="I1308" s="14">
        <v>741621.25</v>
      </c>
      <c r="J1308" s="22">
        <f>H1308*(1+Assumptions!$B$6+IF(F1308="Yes",Assumptions!$C$6,0))</f>
        <v>763869.88750000007</v>
      </c>
      <c r="K1308" s="22">
        <f>H1308*(1+Assumptions!$B$7+IF(F1308="Yes",Assumptions!$C$7,0))</f>
        <v>778702.3125</v>
      </c>
      <c r="L1308" s="22">
        <f>H1308*(1+Assumptions!$B$8+IF(F1308="Yes",Assumptions!$C$8,0))</f>
        <v>749037.46250000002</v>
      </c>
    </row>
    <row r="1309" spans="1:12" ht="15">
      <c r="A1309" s="21">
        <v>41117</v>
      </c>
      <c r="B1309" s="21">
        <v>41091</v>
      </c>
      <c r="C1309" s="17">
        <v>1</v>
      </c>
      <c r="D1309" s="17" t="s">
        <v>90</v>
      </c>
      <c r="E1309" s="18">
        <v>151315</v>
      </c>
      <c r="F1309" s="17" t="s">
        <v>91</v>
      </c>
      <c r="G1309" s="14">
        <v>1438731.67</v>
      </c>
      <c r="H1309" s="14">
        <v>1352219.79</v>
      </c>
      <c r="I1309" s="14">
        <v>1352219.79</v>
      </c>
      <c r="J1309" s="22">
        <f>H1309*(1+Assumptions!$B$6+IF(F1309="Yes",Assumptions!$C$6,0))</f>
        <v>1392786.3837000001</v>
      </c>
      <c r="K1309" s="22">
        <f>H1309*(1+Assumptions!$B$7+IF(F1309="Yes",Assumptions!$C$7,0))</f>
        <v>1419830.7795000002</v>
      </c>
      <c r="L1309" s="22">
        <f>H1309*(1+Assumptions!$B$8+IF(F1309="Yes",Assumptions!$C$8,0))</f>
        <v>1365741.9879000001</v>
      </c>
    </row>
    <row r="1310" spans="1:12" ht="15">
      <c r="A1310" s="21">
        <v>41117</v>
      </c>
      <c r="B1310" s="21">
        <v>41091</v>
      </c>
      <c r="C1310" s="17">
        <v>2</v>
      </c>
      <c r="D1310" s="17" t="s">
        <v>90</v>
      </c>
      <c r="E1310" s="18">
        <v>202307</v>
      </c>
      <c r="F1310" s="17" t="s">
        <v>91</v>
      </c>
      <c r="G1310" s="14">
        <v>1757920.85</v>
      </c>
      <c r="H1310" s="14">
        <v>1680693.06</v>
      </c>
      <c r="I1310" s="14">
        <v>1680693.06</v>
      </c>
      <c r="J1310" s="22">
        <f>H1310*(1+Assumptions!$B$6+IF(F1310="Yes",Assumptions!$C$6,0))</f>
        <v>1731113.8518000001</v>
      </c>
      <c r="K1310" s="22">
        <f>H1310*(1+Assumptions!$B$7+IF(F1310="Yes",Assumptions!$C$7,0))</f>
        <v>1764727.7130000002</v>
      </c>
      <c r="L1310" s="22">
        <f>H1310*(1+Assumptions!$B$8+IF(F1310="Yes",Assumptions!$C$8,0))</f>
        <v>1697499.9906000001</v>
      </c>
    </row>
    <row r="1311" spans="1:12" ht="15">
      <c r="A1311" s="21">
        <v>41117</v>
      </c>
      <c r="B1311" s="21">
        <v>41091</v>
      </c>
      <c r="C1311" s="17">
        <v>3</v>
      </c>
      <c r="D1311" s="17" t="s">
        <v>92</v>
      </c>
      <c r="E1311" s="18">
        <v>37392</v>
      </c>
      <c r="F1311" s="17" t="s">
        <v>91</v>
      </c>
      <c r="G1311" s="14">
        <v>389427.9</v>
      </c>
      <c r="H1311" s="14">
        <v>345379.29</v>
      </c>
      <c r="I1311" s="14">
        <v>345379.29</v>
      </c>
      <c r="J1311" s="22">
        <f>H1311*(1+Assumptions!$B$6+IF(F1311="Yes",Assumptions!$C$6,0))</f>
        <v>355740.66869999998</v>
      </c>
      <c r="K1311" s="22">
        <f>H1311*(1+Assumptions!$B$7+IF(F1311="Yes",Assumptions!$C$7,0))</f>
        <v>362648.25449999998</v>
      </c>
      <c r="L1311" s="22">
        <f>H1311*(1+Assumptions!$B$8+IF(F1311="Yes",Assumptions!$C$8,0))</f>
        <v>348833.08289999998</v>
      </c>
    </row>
    <row r="1312" spans="1:12" ht="15">
      <c r="A1312" s="21">
        <v>41117</v>
      </c>
      <c r="B1312" s="21">
        <v>41091</v>
      </c>
      <c r="C1312" s="17">
        <v>4</v>
      </c>
      <c r="D1312" s="17" t="s">
        <v>90</v>
      </c>
      <c r="E1312" s="18">
        <v>205863</v>
      </c>
      <c r="F1312" s="17" t="s">
        <v>91</v>
      </c>
      <c r="G1312" s="14">
        <v>2048613.5899999999</v>
      </c>
      <c r="H1312" s="14">
        <v>1989503.81</v>
      </c>
      <c r="I1312" s="14">
        <v>1989503.81</v>
      </c>
      <c r="J1312" s="22">
        <f>H1312*(1+Assumptions!$B$6+IF(F1312="Yes",Assumptions!$C$6,0))</f>
        <v>2049188.9243000001</v>
      </c>
      <c r="K1312" s="22">
        <f>H1312*(1+Assumptions!$B$7+IF(F1312="Yes",Assumptions!$C$7,0))</f>
        <v>2088979.0005000001</v>
      </c>
      <c r="L1312" s="22">
        <f>H1312*(1+Assumptions!$B$8+IF(F1312="Yes",Assumptions!$C$8,0))</f>
        <v>2009398.8481000001</v>
      </c>
    </row>
    <row r="1313" spans="1:12" ht="15">
      <c r="A1313" s="21">
        <v>41117</v>
      </c>
      <c r="B1313" s="21">
        <v>41091</v>
      </c>
      <c r="C1313" s="17">
        <v>5</v>
      </c>
      <c r="D1313" s="17" t="s">
        <v>92</v>
      </c>
      <c r="E1313" s="18">
        <v>34875</v>
      </c>
      <c r="F1313" s="17" t="s">
        <v>91</v>
      </c>
      <c r="G1313" s="14">
        <v>306796.21999999997</v>
      </c>
      <c r="H1313" s="14">
        <v>275177.17</v>
      </c>
      <c r="I1313" s="14">
        <v>275177.17</v>
      </c>
      <c r="J1313" s="22">
        <f>H1313*(1+Assumptions!$B$6+IF(F1313="Yes",Assumptions!$C$6,0))</f>
        <v>283432.48509999999</v>
      </c>
      <c r="K1313" s="22">
        <f>H1313*(1+Assumptions!$B$7+IF(F1313="Yes",Assumptions!$C$7,0))</f>
        <v>288936.02850000001</v>
      </c>
      <c r="L1313" s="22">
        <f>H1313*(1+Assumptions!$B$8+IF(F1313="Yes",Assumptions!$C$8,0))</f>
        <v>277928.94169999997</v>
      </c>
    </row>
    <row r="1314" spans="1:12" ht="15">
      <c r="A1314" s="21">
        <v>41117</v>
      </c>
      <c r="B1314" s="21">
        <v>41091</v>
      </c>
      <c r="C1314" s="17">
        <v>6</v>
      </c>
      <c r="D1314" s="17" t="s">
        <v>90</v>
      </c>
      <c r="E1314" s="18">
        <v>202505</v>
      </c>
      <c r="F1314" s="17" t="s">
        <v>91</v>
      </c>
      <c r="G1314" s="14">
        <v>1513228.15</v>
      </c>
      <c r="H1314" s="14">
        <v>1483991.05</v>
      </c>
      <c r="I1314" s="14">
        <v>1483991.05</v>
      </c>
      <c r="J1314" s="22">
        <f>H1314*(1+Assumptions!$B$6+IF(F1314="Yes",Assumptions!$C$6,0))</f>
        <v>1528510.7815</v>
      </c>
      <c r="K1314" s="22">
        <f>H1314*(1+Assumptions!$B$7+IF(F1314="Yes",Assumptions!$C$7,0))</f>
        <v>1558190.6025</v>
      </c>
      <c r="L1314" s="22">
        <f>H1314*(1+Assumptions!$B$8+IF(F1314="Yes",Assumptions!$C$8,0))</f>
        <v>1498830.9605</v>
      </c>
    </row>
    <row r="1315" spans="1:12" ht="15">
      <c r="A1315" s="21">
        <v>41117</v>
      </c>
      <c r="B1315" s="21">
        <v>41091</v>
      </c>
      <c r="C1315" s="17">
        <v>7</v>
      </c>
      <c r="D1315" s="17" t="s">
        <v>92</v>
      </c>
      <c r="E1315" s="18">
        <v>70713</v>
      </c>
      <c r="F1315" s="17" t="s">
        <v>91</v>
      </c>
      <c r="G1315" s="14">
        <v>684143.18</v>
      </c>
      <c r="H1315" s="14">
        <v>653382.62</v>
      </c>
      <c r="I1315" s="14">
        <v>653382.62</v>
      </c>
      <c r="J1315" s="22">
        <f>H1315*(1+Assumptions!$B$6+IF(F1315="Yes",Assumptions!$C$6,0))</f>
        <v>672984.09860000003</v>
      </c>
      <c r="K1315" s="22">
        <f>H1315*(1+Assumptions!$B$7+IF(F1315="Yes",Assumptions!$C$7,0))</f>
        <v>686051.75100000005</v>
      </c>
      <c r="L1315" s="22">
        <f>H1315*(1+Assumptions!$B$8+IF(F1315="Yes",Assumptions!$C$8,0))</f>
        <v>659916.44620000001</v>
      </c>
    </row>
    <row r="1316" spans="1:12" ht="15">
      <c r="A1316" s="21">
        <v>41117</v>
      </c>
      <c r="B1316" s="21">
        <v>41091</v>
      </c>
      <c r="C1316" s="17">
        <v>8</v>
      </c>
      <c r="D1316" s="17" t="s">
        <v>90</v>
      </c>
      <c r="E1316" s="18">
        <v>155078</v>
      </c>
      <c r="F1316" s="17" t="s">
        <v>91</v>
      </c>
      <c r="G1316" s="14">
        <v>838227.52</v>
      </c>
      <c r="H1316" s="14">
        <v>807060.19</v>
      </c>
      <c r="I1316" s="14">
        <v>807060.19</v>
      </c>
      <c r="J1316" s="22">
        <f>H1316*(1+Assumptions!$B$6+IF(F1316="Yes",Assumptions!$C$6,0))</f>
        <v>831271.99569999997</v>
      </c>
      <c r="K1316" s="22">
        <f>H1316*(1+Assumptions!$B$7+IF(F1316="Yes",Assumptions!$C$7,0))</f>
        <v>847413.19949999999</v>
      </c>
      <c r="L1316" s="22">
        <f>H1316*(1+Assumptions!$B$8+IF(F1316="Yes",Assumptions!$C$8,0))</f>
        <v>815130.79189999995</v>
      </c>
    </row>
    <row r="1317" spans="1:12" ht="15">
      <c r="A1317" s="21">
        <v>41117</v>
      </c>
      <c r="B1317" s="21">
        <v>41091</v>
      </c>
      <c r="C1317" s="17">
        <v>9</v>
      </c>
      <c r="D1317" s="17" t="s">
        <v>92</v>
      </c>
      <c r="E1317" s="18">
        <v>125833</v>
      </c>
      <c r="F1317" s="17" t="s">
        <v>91</v>
      </c>
      <c r="G1317" s="14">
        <v>495447.3</v>
      </c>
      <c r="H1317" s="14">
        <v>471449.98000000004</v>
      </c>
      <c r="I1317" s="14">
        <v>471449.98000000004</v>
      </c>
      <c r="J1317" s="22">
        <f>H1317*(1+Assumptions!$B$6+IF(F1317="Yes",Assumptions!$C$6,0))</f>
        <v>485593.47940000007</v>
      </c>
      <c r="K1317" s="22">
        <f>H1317*(1+Assumptions!$B$7+IF(F1317="Yes",Assumptions!$C$7,0))</f>
        <v>495022.47900000005</v>
      </c>
      <c r="L1317" s="22">
        <f>H1317*(1+Assumptions!$B$8+IF(F1317="Yes",Assumptions!$C$8,0))</f>
        <v>476164.47980000003</v>
      </c>
    </row>
    <row r="1318" spans="1:12" ht="15">
      <c r="A1318" s="21">
        <v>41117</v>
      </c>
      <c r="B1318" s="21">
        <v>41091</v>
      </c>
      <c r="C1318" s="17">
        <v>10</v>
      </c>
      <c r="D1318" s="17" t="s">
        <v>92</v>
      </c>
      <c r="E1318" s="18">
        <v>126512</v>
      </c>
      <c r="F1318" s="17" t="s">
        <v>91</v>
      </c>
      <c r="G1318" s="14">
        <v>1817588.68</v>
      </c>
      <c r="H1318" s="14">
        <v>1745828.24</v>
      </c>
      <c r="I1318" s="14">
        <v>1745828.24</v>
      </c>
      <c r="J1318" s="22">
        <f>H1318*(1+Assumptions!$B$6+IF(F1318="Yes",Assumptions!$C$6,0))</f>
        <v>1798203.0872</v>
      </c>
      <c r="K1318" s="22">
        <f>H1318*(1+Assumptions!$B$7+IF(F1318="Yes",Assumptions!$C$7,0))</f>
        <v>1833119.652</v>
      </c>
      <c r="L1318" s="22">
        <f>H1318*(1+Assumptions!$B$8+IF(F1318="Yes",Assumptions!$C$8,0))</f>
        <v>1763286.5223999999</v>
      </c>
    </row>
    <row r="1319" spans="1:12" ht="15">
      <c r="A1319" s="21">
        <v>41117</v>
      </c>
      <c r="B1319" s="21">
        <v>41091</v>
      </c>
      <c r="C1319" s="17">
        <v>11</v>
      </c>
      <c r="D1319" s="17" t="s">
        <v>90</v>
      </c>
      <c r="E1319" s="18">
        <v>207499</v>
      </c>
      <c r="F1319" s="17" t="s">
        <v>91</v>
      </c>
      <c r="G1319" s="14">
        <v>1272394.9099999999</v>
      </c>
      <c r="H1319" s="14">
        <v>1212938.67</v>
      </c>
      <c r="I1319" s="14">
        <v>1212938.67</v>
      </c>
      <c r="J1319" s="22">
        <f>H1319*(1+Assumptions!$B$6+IF(F1319="Yes",Assumptions!$C$6,0))</f>
        <v>1249326.8300999999</v>
      </c>
      <c r="K1319" s="22">
        <f>H1319*(1+Assumptions!$B$7+IF(F1319="Yes",Assumptions!$C$7,0))</f>
        <v>1273585.6035</v>
      </c>
      <c r="L1319" s="22">
        <f>H1319*(1+Assumptions!$B$8+IF(F1319="Yes",Assumptions!$C$8,0))</f>
        <v>1225068.0566999998</v>
      </c>
    </row>
    <row r="1320" spans="1:12" ht="15">
      <c r="A1320" s="21">
        <v>41117</v>
      </c>
      <c r="B1320" s="21">
        <v>41091</v>
      </c>
      <c r="C1320" s="17">
        <v>12</v>
      </c>
      <c r="D1320" s="17" t="s">
        <v>92</v>
      </c>
      <c r="E1320" s="18">
        <v>112238</v>
      </c>
      <c r="F1320" s="17" t="s">
        <v>91</v>
      </c>
      <c r="G1320" s="14">
        <v>916964.4</v>
      </c>
      <c r="H1320" s="14">
        <v>890396.1</v>
      </c>
      <c r="I1320" s="14">
        <v>890396.1</v>
      </c>
      <c r="J1320" s="22">
        <f>H1320*(1+Assumptions!$B$6+IF(F1320="Yes",Assumptions!$C$6,0))</f>
        <v>917107.98300000001</v>
      </c>
      <c r="K1320" s="22">
        <f>H1320*(1+Assumptions!$B$7+IF(F1320="Yes",Assumptions!$C$7,0))</f>
        <v>934915.90500000003</v>
      </c>
      <c r="L1320" s="22">
        <f>H1320*(1+Assumptions!$B$8+IF(F1320="Yes",Assumptions!$C$8,0))</f>
        <v>899300.06099999999</v>
      </c>
    </row>
    <row r="1321" spans="1:12" ht="15">
      <c r="A1321" s="21">
        <v>41117</v>
      </c>
      <c r="B1321" s="21">
        <v>41091</v>
      </c>
      <c r="C1321" s="17">
        <v>13</v>
      </c>
      <c r="D1321" s="17" t="s">
        <v>90</v>
      </c>
      <c r="E1321" s="18">
        <v>219622</v>
      </c>
      <c r="F1321" s="17" t="s">
        <v>91</v>
      </c>
      <c r="G1321" s="14">
        <v>1914400.59</v>
      </c>
      <c r="H1321" s="14">
        <v>1880685.81</v>
      </c>
      <c r="I1321" s="14">
        <v>1880685.81</v>
      </c>
      <c r="J1321" s="22">
        <f>H1321*(1+Assumptions!$B$6+IF(F1321="Yes",Assumptions!$C$6,0))</f>
        <v>1937106.3843</v>
      </c>
      <c r="K1321" s="22">
        <f>H1321*(1+Assumptions!$B$7+IF(F1321="Yes",Assumptions!$C$7,0))</f>
        <v>1974720.1005000002</v>
      </c>
      <c r="L1321" s="22">
        <f>H1321*(1+Assumptions!$B$8+IF(F1321="Yes",Assumptions!$C$8,0))</f>
        <v>1899492.6681000001</v>
      </c>
    </row>
    <row r="1322" spans="1:12" ht="15">
      <c r="A1322" s="21">
        <v>41117</v>
      </c>
      <c r="B1322" s="21">
        <v>41091</v>
      </c>
      <c r="C1322" s="17">
        <v>14</v>
      </c>
      <c r="D1322" s="17" t="s">
        <v>90</v>
      </c>
      <c r="E1322" s="18">
        <v>200898</v>
      </c>
      <c r="F1322" s="17" t="s">
        <v>91</v>
      </c>
      <c r="G1322" s="14">
        <v>1479514.58</v>
      </c>
      <c r="H1322" s="14">
        <v>1871021.01</v>
      </c>
      <c r="I1322" s="14">
        <v>1871021.01</v>
      </c>
      <c r="J1322" s="22">
        <f>H1322*(1+Assumptions!$B$6+IF(F1322="Yes",Assumptions!$C$6,0))</f>
        <v>1927151.6403000001</v>
      </c>
      <c r="K1322" s="22">
        <f>H1322*(1+Assumptions!$B$7+IF(F1322="Yes",Assumptions!$C$7,0))</f>
        <v>1964572.0605000001</v>
      </c>
      <c r="L1322" s="22">
        <f>H1322*(1+Assumptions!$B$8+IF(F1322="Yes",Assumptions!$C$8,0))</f>
        <v>1889731.2201</v>
      </c>
    </row>
    <row r="1323" spans="1:12" ht="15">
      <c r="A1323" s="21">
        <v>41117</v>
      </c>
      <c r="B1323" s="21">
        <v>41091</v>
      </c>
      <c r="C1323" s="17">
        <v>15</v>
      </c>
      <c r="D1323" s="17" t="s">
        <v>92</v>
      </c>
      <c r="E1323" s="18">
        <v>123737</v>
      </c>
      <c r="F1323" s="17" t="s">
        <v>91</v>
      </c>
      <c r="G1323" s="14">
        <v>571166.91</v>
      </c>
      <c r="H1323" s="14">
        <v>577111.04000000004</v>
      </c>
      <c r="I1323" s="14">
        <v>577111.04000000004</v>
      </c>
      <c r="J1323" s="22">
        <f>H1323*(1+Assumptions!$B$6+IF(F1323="Yes",Assumptions!$C$6,0))</f>
        <v>594424.37120000005</v>
      </c>
      <c r="K1323" s="22">
        <f>H1323*(1+Assumptions!$B$7+IF(F1323="Yes",Assumptions!$C$7,0))</f>
        <v>605966.59200000006</v>
      </c>
      <c r="L1323" s="22">
        <f>H1323*(1+Assumptions!$B$8+IF(F1323="Yes",Assumptions!$C$8,0))</f>
        <v>582882.15040000004</v>
      </c>
    </row>
    <row r="1324" spans="1:12" ht="15">
      <c r="A1324" s="21">
        <v>41117</v>
      </c>
      <c r="B1324" s="21">
        <v>41091</v>
      </c>
      <c r="C1324" s="17">
        <v>16</v>
      </c>
      <c r="D1324" s="17" t="s">
        <v>92</v>
      </c>
      <c r="E1324" s="18">
        <v>57197</v>
      </c>
      <c r="F1324" s="17" t="s">
        <v>91</v>
      </c>
      <c r="G1324" s="14">
        <v>537097.39</v>
      </c>
      <c r="H1324" s="14">
        <v>582347.92999999993</v>
      </c>
      <c r="I1324" s="14">
        <v>582347.92999999993</v>
      </c>
      <c r="J1324" s="22">
        <f>H1324*(1+Assumptions!$B$6+IF(F1324="Yes",Assumptions!$C$6,0))</f>
        <v>599818.36789999995</v>
      </c>
      <c r="K1324" s="22">
        <f>H1324*(1+Assumptions!$B$7+IF(F1324="Yes",Assumptions!$C$7,0))</f>
        <v>611465.32649999997</v>
      </c>
      <c r="L1324" s="22">
        <f>H1324*(1+Assumptions!$B$8+IF(F1324="Yes",Assumptions!$C$8,0))</f>
        <v>588171.40929999994</v>
      </c>
    </row>
    <row r="1325" spans="1:12" ht="15">
      <c r="A1325" s="21">
        <v>41117</v>
      </c>
      <c r="B1325" s="21">
        <v>41091</v>
      </c>
      <c r="C1325" s="17">
        <v>17</v>
      </c>
      <c r="D1325" s="17" t="s">
        <v>92</v>
      </c>
      <c r="E1325" s="18">
        <v>93188</v>
      </c>
      <c r="F1325" s="17" t="s">
        <v>91</v>
      </c>
      <c r="G1325" s="14">
        <v>906132.7</v>
      </c>
      <c r="H1325" s="14">
        <v>861857.87</v>
      </c>
      <c r="I1325" s="14">
        <v>861857.87</v>
      </c>
      <c r="J1325" s="22">
        <f>H1325*(1+Assumptions!$B$6+IF(F1325="Yes",Assumptions!$C$6,0))</f>
        <v>887713.60609999998</v>
      </c>
      <c r="K1325" s="22">
        <f>H1325*(1+Assumptions!$B$7+IF(F1325="Yes",Assumptions!$C$7,0))</f>
        <v>904950.7635</v>
      </c>
      <c r="L1325" s="22">
        <f>H1325*(1+Assumptions!$B$8+IF(F1325="Yes",Assumptions!$C$8,0))</f>
        <v>870476.44869999995</v>
      </c>
    </row>
    <row r="1326" spans="1:12" ht="15">
      <c r="A1326" s="21">
        <v>41117</v>
      </c>
      <c r="B1326" s="21">
        <v>41091</v>
      </c>
      <c r="C1326" s="17">
        <v>18</v>
      </c>
      <c r="D1326" s="17" t="s">
        <v>92</v>
      </c>
      <c r="E1326" s="18">
        <v>120653</v>
      </c>
      <c r="F1326" s="17" t="s">
        <v>91</v>
      </c>
      <c r="G1326" s="14">
        <v>916722.08</v>
      </c>
      <c r="H1326" s="14">
        <v>954044.62</v>
      </c>
      <c r="I1326" s="14">
        <v>954044.62</v>
      </c>
      <c r="J1326" s="22">
        <f>H1326*(1+Assumptions!$B$6+IF(F1326="Yes",Assumptions!$C$6,0))</f>
        <v>982665.95860000001</v>
      </c>
      <c r="K1326" s="22">
        <f>H1326*(1+Assumptions!$B$7+IF(F1326="Yes",Assumptions!$C$7,0))</f>
        <v>1001746.851</v>
      </c>
      <c r="L1326" s="22">
        <f>H1326*(1+Assumptions!$B$8+IF(F1326="Yes",Assumptions!$C$8,0))</f>
        <v>963585.0662</v>
      </c>
    </row>
    <row r="1327" spans="1:12" ht="15">
      <c r="A1327" s="21">
        <v>41117</v>
      </c>
      <c r="B1327" s="21">
        <v>41091</v>
      </c>
      <c r="C1327" s="17">
        <v>19</v>
      </c>
      <c r="D1327" s="17" t="s">
        <v>90</v>
      </c>
      <c r="E1327" s="18">
        <v>203819</v>
      </c>
      <c r="F1327" s="17" t="s">
        <v>91</v>
      </c>
      <c r="G1327" s="14">
        <v>1248915.3900000001</v>
      </c>
      <c r="H1327" s="14">
        <v>1298764.8</v>
      </c>
      <c r="I1327" s="14">
        <v>1298764.8</v>
      </c>
      <c r="J1327" s="22">
        <f>H1327*(1+Assumptions!$B$6+IF(F1327="Yes",Assumptions!$C$6,0))</f>
        <v>1337727.7440000002</v>
      </c>
      <c r="K1327" s="22">
        <f>H1327*(1+Assumptions!$B$7+IF(F1327="Yes",Assumptions!$C$7,0))</f>
        <v>1363703.04</v>
      </c>
      <c r="L1327" s="22">
        <f>H1327*(1+Assumptions!$B$8+IF(F1327="Yes",Assumptions!$C$8,0))</f>
        <v>1311752.4480000001</v>
      </c>
    </row>
    <row r="1328" spans="1:12" ht="15">
      <c r="A1328" s="21">
        <v>41117</v>
      </c>
      <c r="B1328" s="21">
        <v>41091</v>
      </c>
      <c r="C1328" s="17">
        <v>20</v>
      </c>
      <c r="D1328" s="17" t="s">
        <v>90</v>
      </c>
      <c r="E1328" s="18">
        <v>203742</v>
      </c>
      <c r="F1328" s="17" t="s">
        <v>91</v>
      </c>
      <c r="G1328" s="14">
        <v>1911127.04</v>
      </c>
      <c r="H1328" s="14">
        <v>1858440.92</v>
      </c>
      <c r="I1328" s="14">
        <v>1858440.92</v>
      </c>
      <c r="J1328" s="22">
        <f>H1328*(1+Assumptions!$B$6+IF(F1328="Yes",Assumptions!$C$6,0))</f>
        <v>1914194.1476</v>
      </c>
      <c r="K1328" s="22">
        <f>H1328*(1+Assumptions!$B$7+IF(F1328="Yes",Assumptions!$C$7,0))</f>
        <v>1951362.966</v>
      </c>
      <c r="L1328" s="22">
        <f>H1328*(1+Assumptions!$B$8+IF(F1328="Yes",Assumptions!$C$8,0))</f>
        <v>1877025.3292</v>
      </c>
    </row>
    <row r="1329" spans="1:12" ht="15">
      <c r="A1329" s="21">
        <v>41117</v>
      </c>
      <c r="B1329" s="21">
        <v>41091</v>
      </c>
      <c r="C1329" s="17">
        <v>21</v>
      </c>
      <c r="D1329" s="17" t="s">
        <v>92</v>
      </c>
      <c r="E1329" s="18">
        <v>140167</v>
      </c>
      <c r="F1329" s="17" t="s">
        <v>91</v>
      </c>
      <c r="G1329" s="14">
        <v>677706.4</v>
      </c>
      <c r="H1329" s="14">
        <v>751167.12</v>
      </c>
      <c r="I1329" s="14">
        <v>751167.12</v>
      </c>
      <c r="J1329" s="22">
        <f>H1329*(1+Assumptions!$B$6+IF(F1329="Yes",Assumptions!$C$6,0))</f>
        <v>773702.13360000006</v>
      </c>
      <c r="K1329" s="22">
        <f>H1329*(1+Assumptions!$B$7+IF(F1329="Yes",Assumptions!$C$7,0))</f>
        <v>788725.47600000002</v>
      </c>
      <c r="L1329" s="22">
        <f>H1329*(1+Assumptions!$B$8+IF(F1329="Yes",Assumptions!$C$8,0))</f>
        <v>758678.79119999998</v>
      </c>
    </row>
    <row r="1330" spans="1:12" ht="15">
      <c r="A1330" s="21">
        <v>41117</v>
      </c>
      <c r="B1330" s="21">
        <v>41091</v>
      </c>
      <c r="C1330" s="17">
        <v>22</v>
      </c>
      <c r="D1330" s="17" t="s">
        <v>92</v>
      </c>
      <c r="E1330" s="18">
        <v>119557</v>
      </c>
      <c r="F1330" s="17" t="s">
        <v>91</v>
      </c>
      <c r="G1330" s="14">
        <v>925729.24</v>
      </c>
      <c r="H1330" s="14">
        <v>944946.72</v>
      </c>
      <c r="I1330" s="14">
        <v>944946.72</v>
      </c>
      <c r="J1330" s="22">
        <f>H1330*(1+Assumptions!$B$6+IF(F1330="Yes",Assumptions!$C$6,0))</f>
        <v>973295.12159999995</v>
      </c>
      <c r="K1330" s="22">
        <f>H1330*(1+Assumptions!$B$7+IF(F1330="Yes",Assumptions!$C$7,0))</f>
        <v>992194.05599999998</v>
      </c>
      <c r="L1330" s="22">
        <f>H1330*(1+Assumptions!$B$8+IF(F1330="Yes",Assumptions!$C$8,0))</f>
        <v>954396.18719999993</v>
      </c>
    </row>
    <row r="1331" spans="1:12" ht="15">
      <c r="A1331" s="21">
        <v>41117</v>
      </c>
      <c r="B1331" s="21">
        <v>41091</v>
      </c>
      <c r="C1331" s="17">
        <v>23</v>
      </c>
      <c r="D1331" s="17" t="s">
        <v>92</v>
      </c>
      <c r="E1331" s="18">
        <v>114533</v>
      </c>
      <c r="F1331" s="17" t="s">
        <v>91</v>
      </c>
      <c r="G1331" s="14">
        <v>1322902.48</v>
      </c>
      <c r="H1331" s="14">
        <v>1319502.3600000001</v>
      </c>
      <c r="I1331" s="14">
        <v>1319502.3600000001</v>
      </c>
      <c r="J1331" s="22">
        <f>H1331*(1+Assumptions!$B$6+IF(F1331="Yes",Assumptions!$C$6,0))</f>
        <v>1359087.4308000002</v>
      </c>
      <c r="K1331" s="22">
        <f>H1331*(1+Assumptions!$B$7+IF(F1331="Yes",Assumptions!$C$7,0))</f>
        <v>1385477.4780000001</v>
      </c>
      <c r="L1331" s="22">
        <f>H1331*(1+Assumptions!$B$8+IF(F1331="Yes",Assumptions!$C$8,0))</f>
        <v>1332697.3836000001</v>
      </c>
    </row>
    <row r="1332" spans="1:12" ht="15">
      <c r="A1332" s="21">
        <v>41117</v>
      </c>
      <c r="B1332" s="21">
        <v>41091</v>
      </c>
      <c r="C1332" s="17">
        <v>24</v>
      </c>
      <c r="D1332" s="17" t="s">
        <v>90</v>
      </c>
      <c r="E1332" s="18">
        <v>203819</v>
      </c>
      <c r="F1332" s="17" t="s">
        <v>91</v>
      </c>
      <c r="G1332" s="14">
        <v>1307339.1099999999</v>
      </c>
      <c r="H1332" s="14">
        <v>1310968.1599999999</v>
      </c>
      <c r="I1332" s="14">
        <v>1310968.1599999999</v>
      </c>
      <c r="J1332" s="22">
        <f>H1332*(1+Assumptions!$B$6+IF(F1332="Yes",Assumptions!$C$6,0))</f>
        <v>1350297.2047999999</v>
      </c>
      <c r="K1332" s="22">
        <f>H1332*(1+Assumptions!$B$7+IF(F1332="Yes",Assumptions!$C$7,0))</f>
        <v>1376516.568</v>
      </c>
      <c r="L1332" s="22">
        <f>H1332*(1+Assumptions!$B$8+IF(F1332="Yes",Assumptions!$C$8,0))</f>
        <v>1324077.8415999999</v>
      </c>
    </row>
    <row r="1333" spans="1:12" ht="15">
      <c r="A1333" s="21">
        <v>41117</v>
      </c>
      <c r="B1333" s="21">
        <v>41091</v>
      </c>
      <c r="C1333" s="17">
        <v>25</v>
      </c>
      <c r="D1333" s="17" t="s">
        <v>92</v>
      </c>
      <c r="E1333" s="18">
        <v>128107</v>
      </c>
      <c r="F1333" s="17" t="s">
        <v>91</v>
      </c>
      <c r="G1333" s="14">
        <v>659105.56000000006</v>
      </c>
      <c r="H1333" s="14">
        <v>667766.76</v>
      </c>
      <c r="I1333" s="14">
        <v>667766.76</v>
      </c>
      <c r="J1333" s="22">
        <f>H1333*(1+Assumptions!$B$6+IF(F1333="Yes",Assumptions!$C$6,0))</f>
        <v>687799.76280000003</v>
      </c>
      <c r="K1333" s="22">
        <f>H1333*(1+Assumptions!$B$7+IF(F1333="Yes",Assumptions!$C$7,0))</f>
        <v>701155.098</v>
      </c>
      <c r="L1333" s="22">
        <f>H1333*(1+Assumptions!$B$8+IF(F1333="Yes",Assumptions!$C$8,0))</f>
        <v>674444.42760000005</v>
      </c>
    </row>
    <row r="1334" spans="1:12" ht="15">
      <c r="A1334" s="21">
        <v>41117</v>
      </c>
      <c r="B1334" s="21">
        <v>41091</v>
      </c>
      <c r="C1334" s="17">
        <v>26</v>
      </c>
      <c r="D1334" s="17" t="s">
        <v>90</v>
      </c>
      <c r="E1334" s="18">
        <v>152513</v>
      </c>
      <c r="F1334" s="17" t="s">
        <v>91</v>
      </c>
      <c r="G1334" s="14">
        <v>1031745.12</v>
      </c>
      <c r="H1334" s="14">
        <v>1005359.92</v>
      </c>
      <c r="I1334" s="14">
        <v>1005359.92</v>
      </c>
      <c r="J1334" s="22">
        <f>H1334*(1+Assumptions!$B$6+IF(F1334="Yes",Assumptions!$C$6,0))</f>
        <v>1035520.7176000001</v>
      </c>
      <c r="K1334" s="22">
        <f>H1334*(1+Assumptions!$B$7+IF(F1334="Yes",Assumptions!$C$7,0))</f>
        <v>1055627.9160000002</v>
      </c>
      <c r="L1334" s="22">
        <f>H1334*(1+Assumptions!$B$8+IF(F1334="Yes",Assumptions!$C$8,0))</f>
        <v>1015413.5192000001</v>
      </c>
    </row>
    <row r="1335" spans="1:12" ht="15">
      <c r="A1335" s="21">
        <v>41117</v>
      </c>
      <c r="B1335" s="21">
        <v>41091</v>
      </c>
      <c r="C1335" s="17">
        <v>27</v>
      </c>
      <c r="D1335" s="17" t="s">
        <v>90</v>
      </c>
      <c r="E1335" s="18">
        <v>204184</v>
      </c>
      <c r="F1335" s="17" t="s">
        <v>91</v>
      </c>
      <c r="G1335" s="14">
        <v>1625853.81</v>
      </c>
      <c r="H1335" s="14">
        <v>1744867.56</v>
      </c>
      <c r="I1335" s="14">
        <v>1744867.56</v>
      </c>
      <c r="J1335" s="22">
        <f>H1335*(1+Assumptions!$B$6+IF(F1335="Yes",Assumptions!$C$6,0))</f>
        <v>1797213.5868000002</v>
      </c>
      <c r="K1335" s="22">
        <f>H1335*(1+Assumptions!$B$7+IF(F1335="Yes",Assumptions!$C$7,0))</f>
        <v>1832110.9380000001</v>
      </c>
      <c r="L1335" s="22">
        <f>H1335*(1+Assumptions!$B$8+IF(F1335="Yes",Assumptions!$C$8,0))</f>
        <v>1762316.2356</v>
      </c>
    </row>
    <row r="1336" spans="1:12" ht="15">
      <c r="A1336" s="21">
        <v>41117</v>
      </c>
      <c r="B1336" s="21">
        <v>41091</v>
      </c>
      <c r="C1336" s="17">
        <v>28</v>
      </c>
      <c r="D1336" s="17" t="s">
        <v>90</v>
      </c>
      <c r="E1336" s="18">
        <v>206302</v>
      </c>
      <c r="F1336" s="17" t="s">
        <v>91</v>
      </c>
      <c r="G1336" s="14">
        <v>1135035.01</v>
      </c>
      <c r="H1336" s="14">
        <v>1114499.32</v>
      </c>
      <c r="I1336" s="14">
        <v>1114499.32</v>
      </c>
      <c r="J1336" s="22">
        <f>H1336*(1+Assumptions!$B$6+IF(F1336="Yes",Assumptions!$C$6,0))</f>
        <v>1147934.2996</v>
      </c>
      <c r="K1336" s="22">
        <f>H1336*(1+Assumptions!$B$7+IF(F1336="Yes",Assumptions!$C$7,0))</f>
        <v>1170224.2860000001</v>
      </c>
      <c r="L1336" s="22">
        <f>H1336*(1+Assumptions!$B$8+IF(F1336="Yes",Assumptions!$C$8,0))</f>
        <v>1125644.3132</v>
      </c>
    </row>
    <row r="1337" spans="1:12" ht="15">
      <c r="A1337" s="21">
        <v>41117</v>
      </c>
      <c r="B1337" s="21">
        <v>41091</v>
      </c>
      <c r="C1337" s="17">
        <v>29</v>
      </c>
      <c r="D1337" s="17" t="s">
        <v>92</v>
      </c>
      <c r="E1337" s="18">
        <v>93638</v>
      </c>
      <c r="F1337" s="17" t="s">
        <v>91</v>
      </c>
      <c r="G1337" s="14">
        <v>474978.24</v>
      </c>
      <c r="H1337" s="14">
        <v>474589.27999999997</v>
      </c>
      <c r="I1337" s="14">
        <v>474589.27999999997</v>
      </c>
      <c r="J1337" s="22">
        <f>H1337*(1+Assumptions!$B$6+IF(F1337="Yes",Assumptions!$C$6,0))</f>
        <v>488826.9584</v>
      </c>
      <c r="K1337" s="22">
        <f>H1337*(1+Assumptions!$B$7+IF(F1337="Yes",Assumptions!$C$7,0))</f>
        <v>498318.74400000001</v>
      </c>
      <c r="L1337" s="22">
        <f>H1337*(1+Assumptions!$B$8+IF(F1337="Yes",Assumptions!$C$8,0))</f>
        <v>479335.1728</v>
      </c>
    </row>
    <row r="1338" spans="1:12" ht="15">
      <c r="A1338" s="21">
        <v>41117</v>
      </c>
      <c r="B1338" s="21">
        <v>41091</v>
      </c>
      <c r="C1338" s="17">
        <v>30</v>
      </c>
      <c r="D1338" s="17" t="s">
        <v>93</v>
      </c>
      <c r="E1338" s="18">
        <v>42988</v>
      </c>
      <c r="F1338" s="17" t="s">
        <v>91</v>
      </c>
      <c r="G1338" s="14">
        <v>424577.81</v>
      </c>
      <c r="H1338" s="14">
        <v>414236.72</v>
      </c>
      <c r="I1338" s="14">
        <v>414236.72</v>
      </c>
      <c r="J1338" s="22">
        <f>H1338*(1+Assumptions!$B$6+IF(F1338="Yes",Assumptions!$C$6,0))</f>
        <v>426663.82159999997</v>
      </c>
      <c r="K1338" s="22">
        <f>H1338*(1+Assumptions!$B$7+IF(F1338="Yes",Assumptions!$C$7,0))</f>
        <v>434948.55599999998</v>
      </c>
      <c r="L1338" s="22">
        <f>H1338*(1+Assumptions!$B$8+IF(F1338="Yes",Assumptions!$C$8,0))</f>
        <v>418379.08719999995</v>
      </c>
    </row>
    <row r="1339" spans="1:12" ht="15">
      <c r="A1339" s="21">
        <v>41117</v>
      </c>
      <c r="B1339" s="21">
        <v>41091</v>
      </c>
      <c r="C1339" s="17">
        <v>31</v>
      </c>
      <c r="D1339" s="17" t="s">
        <v>90</v>
      </c>
      <c r="E1339" s="18">
        <v>203750</v>
      </c>
      <c r="F1339" s="17" t="s">
        <v>91</v>
      </c>
      <c r="G1339" s="14">
        <v>1303679.3</v>
      </c>
      <c r="H1339" s="14">
        <v>1308122.1499999999</v>
      </c>
      <c r="I1339" s="14">
        <v>1308122.1499999999</v>
      </c>
      <c r="J1339" s="22">
        <f>H1339*(1+Assumptions!$B$6+IF(F1339="Yes",Assumptions!$C$6,0))</f>
        <v>1347365.8144999999</v>
      </c>
      <c r="K1339" s="22">
        <f>H1339*(1+Assumptions!$B$7+IF(F1339="Yes",Assumptions!$C$7,0))</f>
        <v>1373528.2575000001</v>
      </c>
      <c r="L1339" s="22">
        <f>H1339*(1+Assumptions!$B$8+IF(F1339="Yes",Assumptions!$C$8,0))</f>
        <v>1321203.3714999999</v>
      </c>
    </row>
    <row r="1340" spans="1:12" ht="15">
      <c r="A1340" s="21">
        <v>41117</v>
      </c>
      <c r="B1340" s="21">
        <v>41091</v>
      </c>
      <c r="C1340" s="17">
        <v>32</v>
      </c>
      <c r="D1340" s="17" t="s">
        <v>90</v>
      </c>
      <c r="E1340" s="18">
        <v>203007</v>
      </c>
      <c r="F1340" s="17" t="s">
        <v>91</v>
      </c>
      <c r="G1340" s="14">
        <v>1144847.6400000001</v>
      </c>
      <c r="H1340" s="14">
        <v>1169972.6200000001</v>
      </c>
      <c r="I1340" s="14">
        <v>1169972.6200000001</v>
      </c>
      <c r="J1340" s="22">
        <f>H1340*(1+Assumptions!$B$6+IF(F1340="Yes",Assumptions!$C$6,0))</f>
        <v>1205071.7986000001</v>
      </c>
      <c r="K1340" s="22">
        <f>H1340*(1+Assumptions!$B$7+IF(F1340="Yes",Assumptions!$C$7,0))</f>
        <v>1228471.2510000002</v>
      </c>
      <c r="L1340" s="22">
        <f>H1340*(1+Assumptions!$B$8+IF(F1340="Yes",Assumptions!$C$8,0))</f>
        <v>1181672.3462</v>
      </c>
    </row>
    <row r="1341" spans="1:12" ht="15">
      <c r="A1341" s="21">
        <v>41117</v>
      </c>
      <c r="B1341" s="21">
        <v>41091</v>
      </c>
      <c r="C1341" s="17">
        <v>33</v>
      </c>
      <c r="D1341" s="17" t="s">
        <v>90</v>
      </c>
      <c r="E1341" s="18">
        <v>39690</v>
      </c>
      <c r="F1341" s="17" t="s">
        <v>91</v>
      </c>
      <c r="G1341" s="14">
        <v>249026.42</v>
      </c>
      <c r="H1341" s="14">
        <v>224751.1</v>
      </c>
      <c r="I1341" s="14">
        <v>224751.1</v>
      </c>
      <c r="J1341" s="22">
        <f>H1341*(1+Assumptions!$B$6+IF(F1341="Yes",Assumptions!$C$6,0))</f>
        <v>231493.633</v>
      </c>
      <c r="K1341" s="22">
        <f>H1341*(1+Assumptions!$B$7+IF(F1341="Yes",Assumptions!$C$7,0))</f>
        <v>235988.65500000003</v>
      </c>
      <c r="L1341" s="22">
        <f>H1341*(1+Assumptions!$B$8+IF(F1341="Yes",Assumptions!$C$8,0))</f>
        <v>226998.611</v>
      </c>
    </row>
    <row r="1342" spans="1:12" ht="15">
      <c r="A1342" s="21">
        <v>41117</v>
      </c>
      <c r="B1342" s="21">
        <v>41091</v>
      </c>
      <c r="C1342" s="17">
        <v>34</v>
      </c>
      <c r="D1342" s="17" t="s">
        <v>90</v>
      </c>
      <c r="E1342" s="18">
        <v>158114</v>
      </c>
      <c r="F1342" s="17" t="s">
        <v>91</v>
      </c>
      <c r="G1342" s="14">
        <v>917883.78</v>
      </c>
      <c r="H1342" s="14">
        <v>851447.1</v>
      </c>
      <c r="I1342" s="14">
        <v>851447.1</v>
      </c>
      <c r="J1342" s="22">
        <f>H1342*(1+Assumptions!$B$6+IF(F1342="Yes",Assumptions!$C$6,0))</f>
        <v>876990.51300000004</v>
      </c>
      <c r="K1342" s="22">
        <f>H1342*(1+Assumptions!$B$7+IF(F1342="Yes",Assumptions!$C$7,0))</f>
        <v>894019.45499999996</v>
      </c>
      <c r="L1342" s="22">
        <f>H1342*(1+Assumptions!$B$8+IF(F1342="Yes",Assumptions!$C$8,0))</f>
        <v>859961.571</v>
      </c>
    </row>
    <row r="1343" spans="1:12" ht="15">
      <c r="A1343" s="21">
        <v>41117</v>
      </c>
      <c r="B1343" s="21">
        <v>41091</v>
      </c>
      <c r="C1343" s="17">
        <v>35</v>
      </c>
      <c r="D1343" s="17" t="s">
        <v>92</v>
      </c>
      <c r="E1343" s="18">
        <v>103681</v>
      </c>
      <c r="F1343" s="17" t="s">
        <v>91</v>
      </c>
      <c r="G1343" s="14">
        <v>807990.79</v>
      </c>
      <c r="H1343" s="14">
        <v>770815.75</v>
      </c>
      <c r="I1343" s="14">
        <v>770815.75</v>
      </c>
      <c r="J1343" s="22">
        <f>H1343*(1+Assumptions!$B$6+IF(F1343="Yes",Assumptions!$C$6,0))</f>
        <v>793940.22250000003</v>
      </c>
      <c r="K1343" s="22">
        <f>H1343*(1+Assumptions!$B$7+IF(F1343="Yes",Assumptions!$C$7,0))</f>
        <v>809356.53749999998</v>
      </c>
      <c r="L1343" s="22">
        <f>H1343*(1+Assumptions!$B$8+IF(F1343="Yes",Assumptions!$C$8,0))</f>
        <v>778523.90749999997</v>
      </c>
    </row>
    <row r="1344" spans="1:12" ht="15">
      <c r="A1344" s="21">
        <v>41117</v>
      </c>
      <c r="B1344" s="21">
        <v>41091</v>
      </c>
      <c r="C1344" s="17">
        <v>36</v>
      </c>
      <c r="D1344" s="17" t="s">
        <v>90</v>
      </c>
      <c r="E1344" s="18">
        <v>39910</v>
      </c>
      <c r="F1344" s="17" t="s">
        <v>91</v>
      </c>
      <c r="G1344" s="14">
        <v>279539.46000000002</v>
      </c>
      <c r="H1344" s="14">
        <v>354315.08</v>
      </c>
      <c r="I1344" s="14">
        <v>354315.08</v>
      </c>
      <c r="J1344" s="22">
        <f>H1344*(1+Assumptions!$B$6+IF(F1344="Yes",Assumptions!$C$6,0))</f>
        <v>364944.53240000003</v>
      </c>
      <c r="K1344" s="22">
        <f>H1344*(1+Assumptions!$B$7+IF(F1344="Yes",Assumptions!$C$7,0))</f>
        <v>372030.83400000003</v>
      </c>
      <c r="L1344" s="22">
        <f>H1344*(1+Assumptions!$B$8+IF(F1344="Yes",Assumptions!$C$8,0))</f>
        <v>357858.23080000002</v>
      </c>
    </row>
    <row r="1345" spans="1:12" ht="15">
      <c r="A1345" s="21">
        <v>41117</v>
      </c>
      <c r="B1345" s="21">
        <v>41091</v>
      </c>
      <c r="C1345" s="17">
        <v>37</v>
      </c>
      <c r="D1345" s="17" t="s">
        <v>93</v>
      </c>
      <c r="E1345" s="18">
        <v>39910</v>
      </c>
      <c r="F1345" s="17" t="s">
        <v>91</v>
      </c>
      <c r="G1345" s="14">
        <v>514232.65</v>
      </c>
      <c r="H1345" s="14">
        <v>504840.32</v>
      </c>
      <c r="I1345" s="14">
        <v>504840.32</v>
      </c>
      <c r="J1345" s="22">
        <f>H1345*(1+Assumptions!$B$6+IF(F1345="Yes",Assumptions!$C$6,0))</f>
        <v>519985.52960000001</v>
      </c>
      <c r="K1345" s="22">
        <f>H1345*(1+Assumptions!$B$7+IF(F1345="Yes",Assumptions!$C$7,0))</f>
        <v>530082.33600000001</v>
      </c>
      <c r="L1345" s="22">
        <f>H1345*(1+Assumptions!$B$8+IF(F1345="Yes",Assumptions!$C$8,0))</f>
        <v>509888.72320000001</v>
      </c>
    </row>
    <row r="1346" spans="1:12" ht="15">
      <c r="A1346" s="21">
        <v>41117</v>
      </c>
      <c r="B1346" s="21">
        <v>41091</v>
      </c>
      <c r="C1346" s="17">
        <v>38</v>
      </c>
      <c r="D1346" s="17" t="s">
        <v>93</v>
      </c>
      <c r="E1346" s="18">
        <v>39690</v>
      </c>
      <c r="F1346" s="17" t="s">
        <v>91</v>
      </c>
      <c r="G1346" s="14">
        <v>407055.23</v>
      </c>
      <c r="H1346" s="14">
        <v>355114.86</v>
      </c>
      <c r="I1346" s="14">
        <v>355114.86</v>
      </c>
      <c r="J1346" s="22">
        <f>H1346*(1+Assumptions!$B$6+IF(F1346="Yes",Assumptions!$C$6,0))</f>
        <v>365768.30579999997</v>
      </c>
      <c r="K1346" s="22">
        <f>H1346*(1+Assumptions!$B$7+IF(F1346="Yes",Assumptions!$C$7,0))</f>
        <v>372870.603</v>
      </c>
      <c r="L1346" s="22">
        <f>H1346*(1+Assumptions!$B$8+IF(F1346="Yes",Assumptions!$C$8,0))</f>
        <v>358666.0086</v>
      </c>
    </row>
    <row r="1347" spans="1:12" ht="15">
      <c r="A1347" s="21">
        <v>41117</v>
      </c>
      <c r="B1347" s="21">
        <v>41091</v>
      </c>
      <c r="C1347" s="17">
        <v>39</v>
      </c>
      <c r="D1347" s="17" t="s">
        <v>90</v>
      </c>
      <c r="E1347" s="18">
        <v>184109</v>
      </c>
      <c r="F1347" s="17" t="s">
        <v>91</v>
      </c>
      <c r="G1347" s="14">
        <v>1487749.16</v>
      </c>
      <c r="H1347" s="14">
        <v>1426423</v>
      </c>
      <c r="I1347" s="14">
        <v>1426423</v>
      </c>
      <c r="J1347" s="22">
        <f>H1347*(1+Assumptions!$B$6+IF(F1347="Yes",Assumptions!$C$6,0))</f>
        <v>1469215.69</v>
      </c>
      <c r="K1347" s="22">
        <f>H1347*(1+Assumptions!$B$7+IF(F1347="Yes",Assumptions!$C$7,0))</f>
        <v>1497744.1500000001</v>
      </c>
      <c r="L1347" s="22">
        <f>H1347*(1+Assumptions!$B$8+IF(F1347="Yes",Assumptions!$C$8,0))</f>
        <v>1440687.23</v>
      </c>
    </row>
    <row r="1348" spans="1:12" ht="15">
      <c r="A1348" s="21">
        <v>41117</v>
      </c>
      <c r="B1348" s="21">
        <v>41091</v>
      </c>
      <c r="C1348" s="17">
        <v>40</v>
      </c>
      <c r="D1348" s="17" t="s">
        <v>90</v>
      </c>
      <c r="E1348" s="18">
        <v>155083</v>
      </c>
      <c r="F1348" s="17" t="s">
        <v>91</v>
      </c>
      <c r="G1348" s="14">
        <v>953712.83</v>
      </c>
      <c r="H1348" s="14">
        <v>929080.67</v>
      </c>
      <c r="I1348" s="14">
        <v>929080.67</v>
      </c>
      <c r="J1348" s="22">
        <f>H1348*(1+Assumptions!$B$6+IF(F1348="Yes",Assumptions!$C$6,0))</f>
        <v>956953.09010000003</v>
      </c>
      <c r="K1348" s="22">
        <f>H1348*(1+Assumptions!$B$7+IF(F1348="Yes",Assumptions!$C$7,0))</f>
        <v>975534.70350000006</v>
      </c>
      <c r="L1348" s="22">
        <f>H1348*(1+Assumptions!$B$8+IF(F1348="Yes",Assumptions!$C$8,0))</f>
        <v>938371.4767</v>
      </c>
    </row>
    <row r="1349" spans="1:12" ht="15">
      <c r="A1349" s="21">
        <v>41117</v>
      </c>
      <c r="B1349" s="21">
        <v>41091</v>
      </c>
      <c r="C1349" s="17">
        <v>41</v>
      </c>
      <c r="D1349" s="17" t="s">
        <v>90</v>
      </c>
      <c r="E1349" s="18">
        <v>196321</v>
      </c>
      <c r="F1349" s="17" t="s">
        <v>91</v>
      </c>
      <c r="G1349" s="14">
        <v>1344622.97</v>
      </c>
      <c r="H1349" s="14">
        <v>1248330.1000000001</v>
      </c>
      <c r="I1349" s="14">
        <v>1248330.1000000001</v>
      </c>
      <c r="J1349" s="22">
        <f>H1349*(1+Assumptions!$B$6+IF(F1349="Yes",Assumptions!$C$6,0))</f>
        <v>1285780.003</v>
      </c>
      <c r="K1349" s="22">
        <f>H1349*(1+Assumptions!$B$7+IF(F1349="Yes",Assumptions!$C$7,0))</f>
        <v>1310746.6050000002</v>
      </c>
      <c r="L1349" s="22">
        <f>H1349*(1+Assumptions!$B$8+IF(F1349="Yes",Assumptions!$C$8,0))</f>
        <v>1260813.4010000001</v>
      </c>
    </row>
    <row r="1350" spans="1:12" ht="15">
      <c r="A1350" s="21">
        <v>41117</v>
      </c>
      <c r="B1350" s="21">
        <v>41091</v>
      </c>
      <c r="C1350" s="17">
        <v>42</v>
      </c>
      <c r="D1350" s="17" t="s">
        <v>93</v>
      </c>
      <c r="E1350" s="18">
        <v>39690</v>
      </c>
      <c r="F1350" s="17" t="s">
        <v>91</v>
      </c>
      <c r="G1350" s="14">
        <v>516039.43</v>
      </c>
      <c r="H1350" s="14">
        <v>479207.62</v>
      </c>
      <c r="I1350" s="14">
        <v>479207.62</v>
      </c>
      <c r="J1350" s="22">
        <f>H1350*(1+Assumptions!$B$6+IF(F1350="Yes",Assumptions!$C$6,0))</f>
        <v>493583.84860000003</v>
      </c>
      <c r="K1350" s="22">
        <f>H1350*(1+Assumptions!$B$7+IF(F1350="Yes",Assumptions!$C$7,0))</f>
        <v>503168.00099999999</v>
      </c>
      <c r="L1350" s="22">
        <f>H1350*(1+Assumptions!$B$8+IF(F1350="Yes",Assumptions!$C$8,0))</f>
        <v>483999.69620000001</v>
      </c>
    </row>
    <row r="1351" spans="1:12" ht="15">
      <c r="A1351" s="21">
        <v>41117</v>
      </c>
      <c r="B1351" s="21">
        <v>41091</v>
      </c>
      <c r="C1351" s="17">
        <v>43</v>
      </c>
      <c r="D1351" s="17" t="s">
        <v>93</v>
      </c>
      <c r="E1351" s="18">
        <v>41062</v>
      </c>
      <c r="F1351" s="17" t="s">
        <v>91</v>
      </c>
      <c r="G1351" s="14">
        <v>572186</v>
      </c>
      <c r="H1351" s="14">
        <v>533811.51</v>
      </c>
      <c r="I1351" s="14">
        <v>533811.51</v>
      </c>
      <c r="J1351" s="22">
        <f>H1351*(1+Assumptions!$B$6+IF(F1351="Yes",Assumptions!$C$6,0))</f>
        <v>549825.85530000005</v>
      </c>
      <c r="K1351" s="22">
        <f>H1351*(1+Assumptions!$B$7+IF(F1351="Yes",Assumptions!$C$7,0))</f>
        <v>560502.08550000004</v>
      </c>
      <c r="L1351" s="22">
        <f>H1351*(1+Assumptions!$B$8+IF(F1351="Yes",Assumptions!$C$8,0))</f>
        <v>539149.62510000006</v>
      </c>
    </row>
    <row r="1352" spans="1:12" ht="15">
      <c r="A1352" s="21">
        <v>41117</v>
      </c>
      <c r="B1352" s="21">
        <v>41091</v>
      </c>
      <c r="C1352" s="17">
        <v>44</v>
      </c>
      <c r="D1352" s="17" t="s">
        <v>93</v>
      </c>
      <c r="E1352" s="18">
        <v>39910</v>
      </c>
      <c r="F1352" s="17" t="s">
        <v>91</v>
      </c>
      <c r="G1352" s="14">
        <v>319728.08</v>
      </c>
      <c r="H1352" s="14">
        <v>279643.94</v>
      </c>
      <c r="I1352" s="14">
        <v>279643.94</v>
      </c>
      <c r="J1352" s="22">
        <f>H1352*(1+Assumptions!$B$6+IF(F1352="Yes",Assumptions!$C$6,0))</f>
        <v>288033.25819999998</v>
      </c>
      <c r="K1352" s="22">
        <f>H1352*(1+Assumptions!$B$7+IF(F1352="Yes",Assumptions!$C$7,0))</f>
        <v>293626.13699999999</v>
      </c>
      <c r="L1352" s="22">
        <f>H1352*(1+Assumptions!$B$8+IF(F1352="Yes",Assumptions!$C$8,0))</f>
        <v>282440.37939999998</v>
      </c>
    </row>
    <row r="1353" spans="1:12" ht="15">
      <c r="A1353" s="21">
        <v>41117</v>
      </c>
      <c r="B1353" s="21">
        <v>41091</v>
      </c>
      <c r="C1353" s="17">
        <v>45</v>
      </c>
      <c r="D1353" s="17" t="s">
        <v>92</v>
      </c>
      <c r="E1353" s="18">
        <v>118221</v>
      </c>
      <c r="F1353" s="17" t="s">
        <v>91</v>
      </c>
      <c r="G1353" s="14">
        <v>711671.58</v>
      </c>
      <c r="H1353" s="14">
        <v>704637.05</v>
      </c>
      <c r="I1353" s="14">
        <v>704637.05</v>
      </c>
      <c r="J1353" s="22">
        <f>H1353*(1+Assumptions!$B$6+IF(F1353="Yes",Assumptions!$C$6,0))</f>
        <v>725776.16150000005</v>
      </c>
      <c r="K1353" s="22">
        <f>H1353*(1+Assumptions!$B$7+IF(F1353="Yes",Assumptions!$C$7,0))</f>
        <v>739868.90250000008</v>
      </c>
      <c r="L1353" s="22">
        <f>H1353*(1+Assumptions!$B$8+IF(F1353="Yes",Assumptions!$C$8,0))</f>
        <v>711683.42050000001</v>
      </c>
    </row>
    <row r="1354" spans="1:12" ht="15">
      <c r="A1354" s="21">
        <v>41124</v>
      </c>
      <c r="B1354" s="21">
        <v>41122</v>
      </c>
      <c r="C1354" s="17">
        <v>1</v>
      </c>
      <c r="D1354" s="17" t="s">
        <v>90</v>
      </c>
      <c r="E1354" s="18">
        <v>151315</v>
      </c>
      <c r="F1354" s="17" t="s">
        <v>91</v>
      </c>
      <c r="G1354" s="14">
        <v>1631115.79</v>
      </c>
      <c r="H1354" s="14">
        <v>1624185.75</v>
      </c>
      <c r="I1354" s="14">
        <v>1624185.75</v>
      </c>
      <c r="J1354" s="22">
        <f>H1354*(1+Assumptions!$B$6+IF(F1354="Yes",Assumptions!$C$6,0))</f>
        <v>1672911.3225</v>
      </c>
      <c r="K1354" s="22">
        <f>H1354*(1+Assumptions!$B$7+IF(F1354="Yes",Assumptions!$C$7,0))</f>
        <v>1705395.0375000001</v>
      </c>
      <c r="L1354" s="22">
        <f>H1354*(1+Assumptions!$B$8+IF(F1354="Yes",Assumptions!$C$8,0))</f>
        <v>1640427.6074999999</v>
      </c>
    </row>
    <row r="1355" spans="1:12" ht="15">
      <c r="A1355" s="21">
        <v>41124</v>
      </c>
      <c r="B1355" s="21">
        <v>41122</v>
      </c>
      <c r="C1355" s="17">
        <v>2</v>
      </c>
      <c r="D1355" s="17" t="s">
        <v>90</v>
      </c>
      <c r="E1355" s="18">
        <v>202307</v>
      </c>
      <c r="F1355" s="17" t="s">
        <v>91</v>
      </c>
      <c r="G1355" s="14">
        <v>1945859.65</v>
      </c>
      <c r="H1355" s="14">
        <v>1876704.26</v>
      </c>
      <c r="I1355" s="14">
        <v>1876704.26</v>
      </c>
      <c r="J1355" s="22">
        <f>H1355*(1+Assumptions!$B$6+IF(F1355="Yes",Assumptions!$C$6,0))</f>
        <v>1933005.3878000001</v>
      </c>
      <c r="K1355" s="22">
        <f>H1355*(1+Assumptions!$B$7+IF(F1355="Yes",Assumptions!$C$7,0))</f>
        <v>1970539.473</v>
      </c>
      <c r="L1355" s="22">
        <f>H1355*(1+Assumptions!$B$8+IF(F1355="Yes",Assumptions!$C$8,0))</f>
        <v>1895471.3026000001</v>
      </c>
    </row>
    <row r="1356" spans="1:12" ht="15">
      <c r="A1356" s="21">
        <v>41124</v>
      </c>
      <c r="B1356" s="21">
        <v>41122</v>
      </c>
      <c r="C1356" s="17">
        <v>3</v>
      </c>
      <c r="D1356" s="17" t="s">
        <v>92</v>
      </c>
      <c r="E1356" s="18">
        <v>37392</v>
      </c>
      <c r="F1356" s="17" t="s">
        <v>91</v>
      </c>
      <c r="G1356" s="14">
        <v>419943.97000000003</v>
      </c>
      <c r="H1356" s="14">
        <v>409977.89</v>
      </c>
      <c r="I1356" s="14">
        <v>409977.89</v>
      </c>
      <c r="J1356" s="22">
        <f>H1356*(1+Assumptions!$B$6+IF(F1356="Yes",Assumptions!$C$6,0))</f>
        <v>422277.2267</v>
      </c>
      <c r="K1356" s="22">
        <f>H1356*(1+Assumptions!$B$7+IF(F1356="Yes",Assumptions!$C$7,0))</f>
        <v>430476.78450000001</v>
      </c>
      <c r="L1356" s="22">
        <f>H1356*(1+Assumptions!$B$8+IF(F1356="Yes",Assumptions!$C$8,0))</f>
        <v>414077.66889999999</v>
      </c>
    </row>
    <row r="1357" spans="1:12" ht="15">
      <c r="A1357" s="21">
        <v>41124</v>
      </c>
      <c r="B1357" s="21">
        <v>41122</v>
      </c>
      <c r="C1357" s="17">
        <v>4</v>
      </c>
      <c r="D1357" s="17" t="s">
        <v>90</v>
      </c>
      <c r="E1357" s="18">
        <v>205863</v>
      </c>
      <c r="F1357" s="17" t="s">
        <v>91</v>
      </c>
      <c r="G1357" s="14">
        <v>2174440.81</v>
      </c>
      <c r="H1357" s="14">
        <v>2160057.39</v>
      </c>
      <c r="I1357" s="14">
        <v>2160057.39</v>
      </c>
      <c r="J1357" s="22">
        <f>H1357*(1+Assumptions!$B$6+IF(F1357="Yes",Assumptions!$C$6,0))</f>
        <v>2224859.1117000002</v>
      </c>
      <c r="K1357" s="22">
        <f>H1357*(1+Assumptions!$B$7+IF(F1357="Yes",Assumptions!$C$7,0))</f>
        <v>2268060.2595000002</v>
      </c>
      <c r="L1357" s="22">
        <f>H1357*(1+Assumptions!$B$8+IF(F1357="Yes",Assumptions!$C$8,0))</f>
        <v>2181657.9639000003</v>
      </c>
    </row>
    <row r="1358" spans="1:12" ht="15">
      <c r="A1358" s="21">
        <v>41124</v>
      </c>
      <c r="B1358" s="21">
        <v>41122</v>
      </c>
      <c r="C1358" s="17">
        <v>5</v>
      </c>
      <c r="D1358" s="17" t="s">
        <v>92</v>
      </c>
      <c r="E1358" s="18">
        <v>34875</v>
      </c>
      <c r="F1358" s="17" t="s">
        <v>91</v>
      </c>
      <c r="G1358" s="14">
        <v>324164.26</v>
      </c>
      <c r="H1358" s="14">
        <v>316008.56</v>
      </c>
      <c r="I1358" s="14">
        <v>316008.56</v>
      </c>
      <c r="J1358" s="22">
        <f>H1358*(1+Assumptions!$B$6+IF(F1358="Yes",Assumptions!$C$6,0))</f>
        <v>325488.81680000003</v>
      </c>
      <c r="K1358" s="22">
        <f>H1358*(1+Assumptions!$B$7+IF(F1358="Yes",Assumptions!$C$7,0))</f>
        <v>331808.98800000001</v>
      </c>
      <c r="L1358" s="22">
        <f>H1358*(1+Assumptions!$B$8+IF(F1358="Yes",Assumptions!$C$8,0))</f>
        <v>319168.64559999999</v>
      </c>
    </row>
    <row r="1359" spans="1:12" ht="15">
      <c r="A1359" s="21">
        <v>41124</v>
      </c>
      <c r="B1359" s="21">
        <v>41122</v>
      </c>
      <c r="C1359" s="17">
        <v>6</v>
      </c>
      <c r="D1359" s="17" t="s">
        <v>90</v>
      </c>
      <c r="E1359" s="18">
        <v>202505</v>
      </c>
      <c r="F1359" s="17" t="s">
        <v>91</v>
      </c>
      <c r="G1359" s="14">
        <v>1627251.96</v>
      </c>
      <c r="H1359" s="14">
        <v>1601399.91</v>
      </c>
      <c r="I1359" s="14">
        <v>1601399.91</v>
      </c>
      <c r="J1359" s="22">
        <f>H1359*(1+Assumptions!$B$6+IF(F1359="Yes",Assumptions!$C$6,0))</f>
        <v>1649441.9072999998</v>
      </c>
      <c r="K1359" s="22">
        <f>H1359*(1+Assumptions!$B$7+IF(F1359="Yes",Assumptions!$C$7,0))</f>
        <v>1681469.9054999999</v>
      </c>
      <c r="L1359" s="22">
        <f>H1359*(1+Assumptions!$B$8+IF(F1359="Yes",Assumptions!$C$8,0))</f>
        <v>1617413.9090999998</v>
      </c>
    </row>
    <row r="1360" spans="1:12" ht="15">
      <c r="A1360" s="21">
        <v>41124</v>
      </c>
      <c r="B1360" s="21">
        <v>41122</v>
      </c>
      <c r="C1360" s="17">
        <v>7</v>
      </c>
      <c r="D1360" s="17" t="s">
        <v>92</v>
      </c>
      <c r="E1360" s="18">
        <v>70713</v>
      </c>
      <c r="F1360" s="17" t="s">
        <v>91</v>
      </c>
      <c r="G1360" s="14">
        <v>678286.32</v>
      </c>
      <c r="H1360" s="14">
        <v>695392.84</v>
      </c>
      <c r="I1360" s="14">
        <v>695392.84</v>
      </c>
      <c r="J1360" s="22">
        <f>H1360*(1+Assumptions!$B$6+IF(F1360="Yes",Assumptions!$C$6,0))</f>
        <v>716254.62520000001</v>
      </c>
      <c r="K1360" s="22">
        <f>H1360*(1+Assumptions!$B$7+IF(F1360="Yes",Assumptions!$C$7,0))</f>
        <v>730162.48199999996</v>
      </c>
      <c r="L1360" s="22">
        <f>H1360*(1+Assumptions!$B$8+IF(F1360="Yes",Assumptions!$C$8,0))</f>
        <v>702346.76839999994</v>
      </c>
    </row>
    <row r="1361" spans="1:12" ht="15">
      <c r="A1361" s="21">
        <v>41124</v>
      </c>
      <c r="B1361" s="21">
        <v>41122</v>
      </c>
      <c r="C1361" s="17">
        <v>8</v>
      </c>
      <c r="D1361" s="17" t="s">
        <v>90</v>
      </c>
      <c r="E1361" s="18">
        <v>155078</v>
      </c>
      <c r="F1361" s="17" t="s">
        <v>91</v>
      </c>
      <c r="G1361" s="14">
        <v>897056.73</v>
      </c>
      <c r="H1361" s="14">
        <v>890869.01</v>
      </c>
      <c r="I1361" s="14">
        <v>890869.01</v>
      </c>
      <c r="J1361" s="22">
        <f>H1361*(1+Assumptions!$B$6+IF(F1361="Yes",Assumptions!$C$6,0))</f>
        <v>917595.08030000003</v>
      </c>
      <c r="K1361" s="22">
        <f>H1361*(1+Assumptions!$B$7+IF(F1361="Yes",Assumptions!$C$7,0))</f>
        <v>935412.46050000004</v>
      </c>
      <c r="L1361" s="22">
        <f>H1361*(1+Assumptions!$B$8+IF(F1361="Yes",Assumptions!$C$8,0))</f>
        <v>899777.70010000002</v>
      </c>
    </row>
    <row r="1362" spans="1:12" ht="15">
      <c r="A1362" s="21">
        <v>41124</v>
      </c>
      <c r="B1362" s="21">
        <v>41122</v>
      </c>
      <c r="C1362" s="17">
        <v>9</v>
      </c>
      <c r="D1362" s="17" t="s">
        <v>92</v>
      </c>
      <c r="E1362" s="18">
        <v>125833</v>
      </c>
      <c r="F1362" s="17" t="s">
        <v>91</v>
      </c>
      <c r="G1362" s="14">
        <v>533761.44999999995</v>
      </c>
      <c r="H1362" s="14">
        <v>554850.37</v>
      </c>
      <c r="I1362" s="14">
        <v>554850.37</v>
      </c>
      <c r="J1362" s="22">
        <f>H1362*(1+Assumptions!$B$6+IF(F1362="Yes",Assumptions!$C$6,0))</f>
        <v>571495.8811</v>
      </c>
      <c r="K1362" s="22">
        <f>H1362*(1+Assumptions!$B$7+IF(F1362="Yes",Assumptions!$C$7,0))</f>
        <v>582592.8885</v>
      </c>
      <c r="L1362" s="22">
        <f>H1362*(1+Assumptions!$B$8+IF(F1362="Yes",Assumptions!$C$8,0))</f>
        <v>560398.8737</v>
      </c>
    </row>
    <row r="1363" spans="1:12" ht="15">
      <c r="A1363" s="21">
        <v>41124</v>
      </c>
      <c r="B1363" s="21">
        <v>41122</v>
      </c>
      <c r="C1363" s="17">
        <v>10</v>
      </c>
      <c r="D1363" s="17" t="s">
        <v>92</v>
      </c>
      <c r="E1363" s="18">
        <v>126512</v>
      </c>
      <c r="F1363" s="17" t="s">
        <v>91</v>
      </c>
      <c r="G1363" s="14">
        <v>1939440.09</v>
      </c>
      <c r="H1363" s="14">
        <v>1887096.83</v>
      </c>
      <c r="I1363" s="14">
        <v>1887096.83</v>
      </c>
      <c r="J1363" s="22">
        <f>H1363*(1+Assumptions!$B$6+IF(F1363="Yes",Assumptions!$C$6,0))</f>
        <v>1943709.7349</v>
      </c>
      <c r="K1363" s="22">
        <f>H1363*(1+Assumptions!$B$7+IF(F1363="Yes",Assumptions!$C$7,0))</f>
        <v>1981451.6715000002</v>
      </c>
      <c r="L1363" s="22">
        <f>H1363*(1+Assumptions!$B$8+IF(F1363="Yes",Assumptions!$C$8,0))</f>
        <v>1905967.7983000001</v>
      </c>
    </row>
    <row r="1364" spans="1:12" ht="15">
      <c r="A1364" s="21">
        <v>41124</v>
      </c>
      <c r="B1364" s="21">
        <v>41122</v>
      </c>
      <c r="C1364" s="17">
        <v>11</v>
      </c>
      <c r="D1364" s="17" t="s">
        <v>90</v>
      </c>
      <c r="E1364" s="18">
        <v>207499</v>
      </c>
      <c r="F1364" s="17" t="s">
        <v>91</v>
      </c>
      <c r="G1364" s="14">
        <v>1399280.99</v>
      </c>
      <c r="H1364" s="14">
        <v>1403187.47</v>
      </c>
      <c r="I1364" s="14">
        <v>1403187.47</v>
      </c>
      <c r="J1364" s="22">
        <f>H1364*(1+Assumptions!$B$6+IF(F1364="Yes",Assumptions!$C$6,0))</f>
        <v>1445283.0941000001</v>
      </c>
      <c r="K1364" s="22">
        <f>H1364*(1+Assumptions!$B$7+IF(F1364="Yes",Assumptions!$C$7,0))</f>
        <v>1473346.8435</v>
      </c>
      <c r="L1364" s="22">
        <f>H1364*(1+Assumptions!$B$8+IF(F1364="Yes",Assumptions!$C$8,0))</f>
        <v>1417219.3447</v>
      </c>
    </row>
    <row r="1365" spans="1:12" ht="15">
      <c r="A1365" s="21">
        <v>41124</v>
      </c>
      <c r="B1365" s="21">
        <v>41122</v>
      </c>
      <c r="C1365" s="17">
        <v>12</v>
      </c>
      <c r="D1365" s="17" t="s">
        <v>92</v>
      </c>
      <c r="E1365" s="18">
        <v>112238</v>
      </c>
      <c r="F1365" s="17" t="s">
        <v>91</v>
      </c>
      <c r="G1365" s="14">
        <v>958577.56</v>
      </c>
      <c r="H1365" s="14">
        <v>988692.52</v>
      </c>
      <c r="I1365" s="14">
        <v>988692.52</v>
      </c>
      <c r="J1365" s="22">
        <f>H1365*(1+Assumptions!$B$6+IF(F1365="Yes",Assumptions!$C$6,0))</f>
        <v>1018353.2956000001</v>
      </c>
      <c r="K1365" s="22">
        <f>H1365*(1+Assumptions!$B$7+IF(F1365="Yes",Assumptions!$C$7,0))</f>
        <v>1038127.1460000001</v>
      </c>
      <c r="L1365" s="22">
        <f>H1365*(1+Assumptions!$B$8+IF(F1365="Yes",Assumptions!$C$8,0))</f>
        <v>998579.44520000007</v>
      </c>
    </row>
    <row r="1366" spans="1:12" ht="15">
      <c r="A1366" s="21">
        <v>41124</v>
      </c>
      <c r="B1366" s="21">
        <v>41122</v>
      </c>
      <c r="C1366" s="17">
        <v>13</v>
      </c>
      <c r="D1366" s="17" t="s">
        <v>90</v>
      </c>
      <c r="E1366" s="18">
        <v>219622</v>
      </c>
      <c r="F1366" s="17" t="s">
        <v>91</v>
      </c>
      <c r="G1366" s="14">
        <v>2044025.23</v>
      </c>
      <c r="H1366" s="14">
        <v>2076186.84</v>
      </c>
      <c r="I1366" s="14">
        <v>2076186.84</v>
      </c>
      <c r="J1366" s="22">
        <f>H1366*(1+Assumptions!$B$6+IF(F1366="Yes",Assumptions!$C$6,0))</f>
        <v>2138472.4452</v>
      </c>
      <c r="K1366" s="22">
        <f>H1366*(1+Assumptions!$B$7+IF(F1366="Yes",Assumptions!$C$7,0))</f>
        <v>2179996.182</v>
      </c>
      <c r="L1366" s="22">
        <f>H1366*(1+Assumptions!$B$8+IF(F1366="Yes",Assumptions!$C$8,0))</f>
        <v>2096948.7084000001</v>
      </c>
    </row>
    <row r="1367" spans="1:12" ht="15">
      <c r="A1367" s="21">
        <v>41124</v>
      </c>
      <c r="B1367" s="21">
        <v>41122</v>
      </c>
      <c r="C1367" s="17">
        <v>14</v>
      </c>
      <c r="D1367" s="17" t="s">
        <v>90</v>
      </c>
      <c r="E1367" s="18">
        <v>200898</v>
      </c>
      <c r="F1367" s="17" t="s">
        <v>91</v>
      </c>
      <c r="G1367" s="14">
        <v>1656632.5</v>
      </c>
      <c r="H1367" s="14">
        <v>2066020.69</v>
      </c>
      <c r="I1367" s="14">
        <v>2066020.69</v>
      </c>
      <c r="J1367" s="22">
        <f>H1367*(1+Assumptions!$B$6+IF(F1367="Yes",Assumptions!$C$6,0))</f>
        <v>2128001.3106999998</v>
      </c>
      <c r="K1367" s="22">
        <f>H1367*(1+Assumptions!$B$7+IF(F1367="Yes",Assumptions!$C$7,0))</f>
        <v>2169321.7245</v>
      </c>
      <c r="L1367" s="22">
        <f>H1367*(1+Assumptions!$B$8+IF(F1367="Yes",Assumptions!$C$8,0))</f>
        <v>2086680.8969000001</v>
      </c>
    </row>
    <row r="1368" spans="1:12" ht="15">
      <c r="A1368" s="21">
        <v>41124</v>
      </c>
      <c r="B1368" s="21">
        <v>41122</v>
      </c>
      <c r="C1368" s="17">
        <v>15</v>
      </c>
      <c r="D1368" s="17" t="s">
        <v>92</v>
      </c>
      <c r="E1368" s="18">
        <v>123737</v>
      </c>
      <c r="F1368" s="17" t="s">
        <v>91</v>
      </c>
      <c r="G1368" s="14">
        <v>590742.6</v>
      </c>
      <c r="H1368" s="14">
        <v>607960.71</v>
      </c>
      <c r="I1368" s="14">
        <v>607960.71</v>
      </c>
      <c r="J1368" s="22">
        <f>H1368*(1+Assumptions!$B$6+IF(F1368="Yes",Assumptions!$C$6,0))</f>
        <v>626199.53130000003</v>
      </c>
      <c r="K1368" s="22">
        <f>H1368*(1+Assumptions!$B$7+IF(F1368="Yes",Assumptions!$C$7,0))</f>
        <v>638358.74549999996</v>
      </c>
      <c r="L1368" s="22">
        <f>H1368*(1+Assumptions!$B$8+IF(F1368="Yes",Assumptions!$C$8,0))</f>
        <v>614040.31709999999</v>
      </c>
    </row>
    <row r="1369" spans="1:12" ht="15">
      <c r="A1369" s="21">
        <v>41124</v>
      </c>
      <c r="B1369" s="21">
        <v>41122</v>
      </c>
      <c r="C1369" s="17">
        <v>16</v>
      </c>
      <c r="D1369" s="17" t="s">
        <v>92</v>
      </c>
      <c r="E1369" s="18">
        <v>57197</v>
      </c>
      <c r="F1369" s="17" t="s">
        <v>91</v>
      </c>
      <c r="G1369" s="14">
        <v>581814.09</v>
      </c>
      <c r="H1369" s="14">
        <v>592981.32999999996</v>
      </c>
      <c r="I1369" s="14">
        <v>592981.32999999996</v>
      </c>
      <c r="J1369" s="22">
        <f>H1369*(1+Assumptions!$B$6+IF(F1369="Yes",Assumptions!$C$6,0))</f>
        <v>610770.76989999996</v>
      </c>
      <c r="K1369" s="22">
        <f>H1369*(1+Assumptions!$B$7+IF(F1369="Yes",Assumptions!$C$7,0))</f>
        <v>622630.39650000003</v>
      </c>
      <c r="L1369" s="22">
        <f>H1369*(1+Assumptions!$B$8+IF(F1369="Yes",Assumptions!$C$8,0))</f>
        <v>598911.1433</v>
      </c>
    </row>
    <row r="1370" spans="1:12" ht="15">
      <c r="A1370" s="21">
        <v>41124</v>
      </c>
      <c r="B1370" s="21">
        <v>41122</v>
      </c>
      <c r="C1370" s="17">
        <v>17</v>
      </c>
      <c r="D1370" s="17" t="s">
        <v>92</v>
      </c>
      <c r="E1370" s="18">
        <v>93188</v>
      </c>
      <c r="F1370" s="17" t="s">
        <v>91</v>
      </c>
      <c r="G1370" s="14">
        <v>876598.79</v>
      </c>
      <c r="H1370" s="14">
        <v>866081.22</v>
      </c>
      <c r="I1370" s="14">
        <v>866081.22</v>
      </c>
      <c r="J1370" s="22">
        <f>H1370*(1+Assumptions!$B$6+IF(F1370="Yes",Assumptions!$C$6,0))</f>
        <v>892063.65659999999</v>
      </c>
      <c r="K1370" s="22">
        <f>H1370*(1+Assumptions!$B$7+IF(F1370="Yes",Assumptions!$C$7,0))</f>
        <v>909385.28099999996</v>
      </c>
      <c r="L1370" s="22">
        <f>H1370*(1+Assumptions!$B$8+IF(F1370="Yes",Assumptions!$C$8,0))</f>
        <v>874742.03220000002</v>
      </c>
    </row>
    <row r="1371" spans="1:12" ht="15">
      <c r="A1371" s="21">
        <v>41124</v>
      </c>
      <c r="B1371" s="21">
        <v>41122</v>
      </c>
      <c r="C1371" s="17">
        <v>18</v>
      </c>
      <c r="D1371" s="17" t="s">
        <v>92</v>
      </c>
      <c r="E1371" s="18">
        <v>120653</v>
      </c>
      <c r="F1371" s="17" t="s">
        <v>91</v>
      </c>
      <c r="G1371" s="14">
        <v>1043440.5599999999</v>
      </c>
      <c r="H1371" s="14">
        <v>1002803.39</v>
      </c>
      <c r="I1371" s="14">
        <v>1002803.39</v>
      </c>
      <c r="J1371" s="22">
        <f>H1371*(1+Assumptions!$B$6+IF(F1371="Yes",Assumptions!$C$6,0))</f>
        <v>1032887.4917</v>
      </c>
      <c r="K1371" s="22">
        <f>H1371*(1+Assumptions!$B$7+IF(F1371="Yes",Assumptions!$C$7,0))</f>
        <v>1052943.5595</v>
      </c>
      <c r="L1371" s="22">
        <f>H1371*(1+Assumptions!$B$8+IF(F1371="Yes",Assumptions!$C$8,0))</f>
        <v>1012831.4239000001</v>
      </c>
    </row>
    <row r="1372" spans="1:12" ht="15">
      <c r="A1372" s="21">
        <v>41124</v>
      </c>
      <c r="B1372" s="21">
        <v>41122</v>
      </c>
      <c r="C1372" s="17">
        <v>19</v>
      </c>
      <c r="D1372" s="17" t="s">
        <v>90</v>
      </c>
      <c r="E1372" s="18">
        <v>203819</v>
      </c>
      <c r="F1372" s="17" t="s">
        <v>91</v>
      </c>
      <c r="G1372" s="14">
        <v>1342053.78</v>
      </c>
      <c r="H1372" s="14">
        <v>1408850.71</v>
      </c>
      <c r="I1372" s="14">
        <v>1408850.71</v>
      </c>
      <c r="J1372" s="22">
        <f>H1372*(1+Assumptions!$B$6+IF(F1372="Yes",Assumptions!$C$6,0))</f>
        <v>1451116.2313000001</v>
      </c>
      <c r="K1372" s="22">
        <f>H1372*(1+Assumptions!$B$7+IF(F1372="Yes",Assumptions!$C$7,0))</f>
        <v>1479293.2455</v>
      </c>
      <c r="L1372" s="22">
        <f>H1372*(1+Assumptions!$B$8+IF(F1372="Yes",Assumptions!$C$8,0))</f>
        <v>1422939.2171</v>
      </c>
    </row>
    <row r="1373" spans="1:12" ht="15">
      <c r="A1373" s="21">
        <v>41124</v>
      </c>
      <c r="B1373" s="21">
        <v>41122</v>
      </c>
      <c r="C1373" s="17">
        <v>20</v>
      </c>
      <c r="D1373" s="17" t="s">
        <v>90</v>
      </c>
      <c r="E1373" s="18">
        <v>203742</v>
      </c>
      <c r="F1373" s="17" t="s">
        <v>91</v>
      </c>
      <c r="G1373" s="14">
        <v>2094475.6300000001</v>
      </c>
      <c r="H1373" s="14">
        <v>2189282.69</v>
      </c>
      <c r="I1373" s="14">
        <v>2189282.69</v>
      </c>
      <c r="J1373" s="22">
        <f>H1373*(1+Assumptions!$B$6+IF(F1373="Yes",Assumptions!$C$6,0))</f>
        <v>2254961.1707000001</v>
      </c>
      <c r="K1373" s="22">
        <f>H1373*(1+Assumptions!$B$7+IF(F1373="Yes",Assumptions!$C$7,0))</f>
        <v>2298746.8245000001</v>
      </c>
      <c r="L1373" s="22">
        <f>H1373*(1+Assumptions!$B$8+IF(F1373="Yes",Assumptions!$C$8,0))</f>
        <v>2211175.5169000002</v>
      </c>
    </row>
    <row r="1374" spans="1:12" ht="15">
      <c r="A1374" s="21">
        <v>41124</v>
      </c>
      <c r="B1374" s="21">
        <v>41122</v>
      </c>
      <c r="C1374" s="17">
        <v>21</v>
      </c>
      <c r="D1374" s="17" t="s">
        <v>92</v>
      </c>
      <c r="E1374" s="18">
        <v>140167</v>
      </c>
      <c r="F1374" s="17" t="s">
        <v>91</v>
      </c>
      <c r="G1374" s="14">
        <v>693749.87</v>
      </c>
      <c r="H1374" s="14">
        <v>783614.89</v>
      </c>
      <c r="I1374" s="14">
        <v>783614.89</v>
      </c>
      <c r="J1374" s="22">
        <f>H1374*(1+Assumptions!$B$6+IF(F1374="Yes",Assumptions!$C$6,0))</f>
        <v>807123.33669999999</v>
      </c>
      <c r="K1374" s="22">
        <f>H1374*(1+Assumptions!$B$7+IF(F1374="Yes",Assumptions!$C$7,0))</f>
        <v>822795.63450000004</v>
      </c>
      <c r="L1374" s="22">
        <f>H1374*(1+Assumptions!$B$8+IF(F1374="Yes",Assumptions!$C$8,0))</f>
        <v>791451.03890000004</v>
      </c>
    </row>
    <row r="1375" spans="1:12" ht="15">
      <c r="A1375" s="21">
        <v>41124</v>
      </c>
      <c r="B1375" s="21">
        <v>41122</v>
      </c>
      <c r="C1375" s="17">
        <v>22</v>
      </c>
      <c r="D1375" s="17" t="s">
        <v>92</v>
      </c>
      <c r="E1375" s="18">
        <v>119557</v>
      </c>
      <c r="F1375" s="17" t="s">
        <v>91</v>
      </c>
      <c r="G1375" s="14">
        <v>1007256.85</v>
      </c>
      <c r="H1375" s="14">
        <v>983220.99</v>
      </c>
      <c r="I1375" s="14">
        <v>983220.99</v>
      </c>
      <c r="J1375" s="22">
        <f>H1375*(1+Assumptions!$B$6+IF(F1375="Yes",Assumptions!$C$6,0))</f>
        <v>1012717.6197</v>
      </c>
      <c r="K1375" s="22">
        <f>H1375*(1+Assumptions!$B$7+IF(F1375="Yes",Assumptions!$C$7,0))</f>
        <v>1032382.0395000001</v>
      </c>
      <c r="L1375" s="22">
        <f>H1375*(1+Assumptions!$B$8+IF(F1375="Yes",Assumptions!$C$8,0))</f>
        <v>993053.19990000001</v>
      </c>
    </row>
    <row r="1376" spans="1:12" ht="15">
      <c r="A1376" s="21">
        <v>41124</v>
      </c>
      <c r="B1376" s="21">
        <v>41122</v>
      </c>
      <c r="C1376" s="17">
        <v>23</v>
      </c>
      <c r="D1376" s="17" t="s">
        <v>92</v>
      </c>
      <c r="E1376" s="18">
        <v>114533</v>
      </c>
      <c r="F1376" s="17" t="s">
        <v>91</v>
      </c>
      <c r="G1376" s="14">
        <v>1416824.17</v>
      </c>
      <c r="H1376" s="14">
        <v>1416509.68</v>
      </c>
      <c r="I1376" s="14">
        <v>1416509.68</v>
      </c>
      <c r="J1376" s="22">
        <f>H1376*(1+Assumptions!$B$6+IF(F1376="Yes",Assumptions!$C$6,0))</f>
        <v>1459004.9704</v>
      </c>
      <c r="K1376" s="22">
        <f>H1376*(1+Assumptions!$B$7+IF(F1376="Yes",Assumptions!$C$7,0))</f>
        <v>1487335.1640000001</v>
      </c>
      <c r="L1376" s="22">
        <f>H1376*(1+Assumptions!$B$8+IF(F1376="Yes",Assumptions!$C$8,0))</f>
        <v>1430674.7767999999</v>
      </c>
    </row>
    <row r="1377" spans="1:12" ht="15">
      <c r="A1377" s="21">
        <v>41124</v>
      </c>
      <c r="B1377" s="21">
        <v>41122</v>
      </c>
      <c r="C1377" s="17">
        <v>24</v>
      </c>
      <c r="D1377" s="17" t="s">
        <v>90</v>
      </c>
      <c r="E1377" s="18">
        <v>203819</v>
      </c>
      <c r="F1377" s="17" t="s">
        <v>91</v>
      </c>
      <c r="G1377" s="14">
        <v>1440274.13</v>
      </c>
      <c r="H1377" s="14">
        <v>1417613.21</v>
      </c>
      <c r="I1377" s="14">
        <v>1417613.21</v>
      </c>
      <c r="J1377" s="22">
        <f>H1377*(1+Assumptions!$B$6+IF(F1377="Yes",Assumptions!$C$6,0))</f>
        <v>1460141.6063000001</v>
      </c>
      <c r="K1377" s="22">
        <f>H1377*(1+Assumptions!$B$7+IF(F1377="Yes",Assumptions!$C$7,0))</f>
        <v>1488493.8705</v>
      </c>
      <c r="L1377" s="22">
        <f>H1377*(1+Assumptions!$B$8+IF(F1377="Yes",Assumptions!$C$8,0))</f>
        <v>1431789.3421</v>
      </c>
    </row>
    <row r="1378" spans="1:12" ht="15">
      <c r="A1378" s="21">
        <v>41124</v>
      </c>
      <c r="B1378" s="21">
        <v>41122</v>
      </c>
      <c r="C1378" s="17">
        <v>25</v>
      </c>
      <c r="D1378" s="17" t="s">
        <v>92</v>
      </c>
      <c r="E1378" s="18">
        <v>128107</v>
      </c>
      <c r="F1378" s="17" t="s">
        <v>91</v>
      </c>
      <c r="G1378" s="14">
        <v>709663.25</v>
      </c>
      <c r="H1378" s="14">
        <v>679706.01</v>
      </c>
      <c r="I1378" s="14">
        <v>679706.01</v>
      </c>
      <c r="J1378" s="22">
        <f>H1378*(1+Assumptions!$B$6+IF(F1378="Yes",Assumptions!$C$6,0))</f>
        <v>700097.19030000002</v>
      </c>
      <c r="K1378" s="22">
        <f>H1378*(1+Assumptions!$B$7+IF(F1378="Yes",Assumptions!$C$7,0))</f>
        <v>713691.31050000002</v>
      </c>
      <c r="L1378" s="22">
        <f>H1378*(1+Assumptions!$B$8+IF(F1378="Yes",Assumptions!$C$8,0))</f>
        <v>686503.07010000001</v>
      </c>
    </row>
    <row r="1379" spans="1:12" ht="15">
      <c r="A1379" s="21">
        <v>41124</v>
      </c>
      <c r="B1379" s="21">
        <v>41122</v>
      </c>
      <c r="C1379" s="17">
        <v>26</v>
      </c>
      <c r="D1379" s="17" t="s">
        <v>90</v>
      </c>
      <c r="E1379" s="18">
        <v>152513</v>
      </c>
      <c r="F1379" s="17" t="s">
        <v>91</v>
      </c>
      <c r="G1379" s="14">
        <v>1090439.57</v>
      </c>
      <c r="H1379" s="14">
        <v>1107552.43</v>
      </c>
      <c r="I1379" s="14">
        <v>1107552.43</v>
      </c>
      <c r="J1379" s="22">
        <f>H1379*(1+Assumptions!$B$6+IF(F1379="Yes",Assumptions!$C$6,0))</f>
        <v>1140779.0029</v>
      </c>
      <c r="K1379" s="22">
        <f>H1379*(1+Assumptions!$B$7+IF(F1379="Yes",Assumptions!$C$7,0))</f>
        <v>1162930.0515000001</v>
      </c>
      <c r="L1379" s="22">
        <f>H1379*(1+Assumptions!$B$8+IF(F1379="Yes",Assumptions!$C$8,0))</f>
        <v>1118627.9542999999</v>
      </c>
    </row>
    <row r="1380" spans="1:12" ht="15">
      <c r="A1380" s="21">
        <v>41124</v>
      </c>
      <c r="B1380" s="21">
        <v>41122</v>
      </c>
      <c r="C1380" s="17">
        <v>27</v>
      </c>
      <c r="D1380" s="17" t="s">
        <v>90</v>
      </c>
      <c r="E1380" s="18">
        <v>204184</v>
      </c>
      <c r="F1380" s="17" t="s">
        <v>91</v>
      </c>
      <c r="G1380" s="14">
        <v>1705590.8</v>
      </c>
      <c r="H1380" s="14">
        <v>1747176.71</v>
      </c>
      <c r="I1380" s="14">
        <v>1747176.71</v>
      </c>
      <c r="J1380" s="22">
        <f>H1380*(1+Assumptions!$B$6+IF(F1380="Yes",Assumptions!$C$6,0))</f>
        <v>1799592.0112999999</v>
      </c>
      <c r="K1380" s="22">
        <f>H1380*(1+Assumptions!$B$7+IF(F1380="Yes",Assumptions!$C$7,0))</f>
        <v>1834535.5455</v>
      </c>
      <c r="L1380" s="22">
        <f>H1380*(1+Assumptions!$B$8+IF(F1380="Yes",Assumptions!$C$8,0))</f>
        <v>1764648.4771</v>
      </c>
    </row>
    <row r="1381" spans="1:12" ht="15">
      <c r="A1381" s="21">
        <v>41124</v>
      </c>
      <c r="B1381" s="21">
        <v>41122</v>
      </c>
      <c r="C1381" s="17">
        <v>28</v>
      </c>
      <c r="D1381" s="17" t="s">
        <v>90</v>
      </c>
      <c r="E1381" s="18">
        <v>206302</v>
      </c>
      <c r="F1381" s="17" t="s">
        <v>91</v>
      </c>
      <c r="G1381" s="14">
        <v>1376450.07</v>
      </c>
      <c r="H1381" s="14">
        <v>1523870.8900000001</v>
      </c>
      <c r="I1381" s="14">
        <v>1523870.8900000001</v>
      </c>
      <c r="J1381" s="22">
        <f>H1381*(1+Assumptions!$B$6+IF(F1381="Yes",Assumptions!$C$6,0))</f>
        <v>1569587.0167000003</v>
      </c>
      <c r="K1381" s="22">
        <f>H1381*(1+Assumptions!$B$7+IF(F1381="Yes",Assumptions!$C$7,0))</f>
        <v>1600064.4345000002</v>
      </c>
      <c r="L1381" s="22">
        <f>H1381*(1+Assumptions!$B$8+IF(F1381="Yes",Assumptions!$C$8,0))</f>
        <v>1539109.5989000001</v>
      </c>
    </row>
    <row r="1382" spans="1:12" ht="15">
      <c r="A1382" s="21">
        <v>41124</v>
      </c>
      <c r="B1382" s="21">
        <v>41122</v>
      </c>
      <c r="C1382" s="17">
        <v>29</v>
      </c>
      <c r="D1382" s="17" t="s">
        <v>92</v>
      </c>
      <c r="E1382" s="18">
        <v>93638</v>
      </c>
      <c r="F1382" s="17" t="s">
        <v>91</v>
      </c>
      <c r="G1382" s="14">
        <v>504525.74</v>
      </c>
      <c r="H1382" s="14">
        <v>503305.88</v>
      </c>
      <c r="I1382" s="14">
        <v>503305.88</v>
      </c>
      <c r="J1382" s="22">
        <f>H1382*(1+Assumptions!$B$6+IF(F1382="Yes",Assumptions!$C$6,0))</f>
        <v>518405.0564</v>
      </c>
      <c r="K1382" s="22">
        <f>H1382*(1+Assumptions!$B$7+IF(F1382="Yes",Assumptions!$C$7,0))</f>
        <v>528471.174</v>
      </c>
      <c r="L1382" s="22">
        <f>H1382*(1+Assumptions!$B$8+IF(F1382="Yes",Assumptions!$C$8,0))</f>
        <v>508338.9388</v>
      </c>
    </row>
    <row r="1383" spans="1:12" ht="15">
      <c r="A1383" s="21">
        <v>41124</v>
      </c>
      <c r="B1383" s="21">
        <v>41122</v>
      </c>
      <c r="C1383" s="17">
        <v>30</v>
      </c>
      <c r="D1383" s="17" t="s">
        <v>93</v>
      </c>
      <c r="E1383" s="18">
        <v>42988</v>
      </c>
      <c r="F1383" s="17" t="s">
        <v>91</v>
      </c>
      <c r="G1383" s="14">
        <v>425022.85000000003</v>
      </c>
      <c r="H1383" s="14">
        <v>431644.09</v>
      </c>
      <c r="I1383" s="14">
        <v>431644.09</v>
      </c>
      <c r="J1383" s="22">
        <f>H1383*(1+Assumptions!$B$6+IF(F1383="Yes",Assumptions!$C$6,0))</f>
        <v>444593.41270000004</v>
      </c>
      <c r="K1383" s="22">
        <f>H1383*(1+Assumptions!$B$7+IF(F1383="Yes",Assumptions!$C$7,0))</f>
        <v>453226.29450000002</v>
      </c>
      <c r="L1383" s="22">
        <f>H1383*(1+Assumptions!$B$8+IF(F1383="Yes",Assumptions!$C$8,0))</f>
        <v>435960.53090000001</v>
      </c>
    </row>
    <row r="1384" spans="1:12" ht="15">
      <c r="A1384" s="21">
        <v>41124</v>
      </c>
      <c r="B1384" s="21">
        <v>41122</v>
      </c>
      <c r="C1384" s="17">
        <v>31</v>
      </c>
      <c r="D1384" s="17" t="s">
        <v>90</v>
      </c>
      <c r="E1384" s="18">
        <v>203750</v>
      </c>
      <c r="F1384" s="17" t="s">
        <v>91</v>
      </c>
      <c r="G1384" s="14">
        <v>1390124.55</v>
      </c>
      <c r="H1384" s="14">
        <v>1428993.33</v>
      </c>
      <c r="I1384" s="14">
        <v>1428993.33</v>
      </c>
      <c r="J1384" s="22">
        <f>H1384*(1+Assumptions!$B$6+IF(F1384="Yes",Assumptions!$C$6,0))</f>
        <v>1471863.1299000001</v>
      </c>
      <c r="K1384" s="22">
        <f>H1384*(1+Assumptions!$B$7+IF(F1384="Yes",Assumptions!$C$7,0))</f>
        <v>1500442.9965000001</v>
      </c>
      <c r="L1384" s="22">
        <f>H1384*(1+Assumptions!$B$8+IF(F1384="Yes",Assumptions!$C$8,0))</f>
        <v>1443283.2633</v>
      </c>
    </row>
    <row r="1385" spans="1:12" ht="15">
      <c r="A1385" s="21">
        <v>41124</v>
      </c>
      <c r="B1385" s="21">
        <v>41122</v>
      </c>
      <c r="C1385" s="17">
        <v>32</v>
      </c>
      <c r="D1385" s="17" t="s">
        <v>90</v>
      </c>
      <c r="E1385" s="18">
        <v>203007</v>
      </c>
      <c r="F1385" s="17" t="s">
        <v>91</v>
      </c>
      <c r="G1385" s="14">
        <v>1183402.82</v>
      </c>
      <c r="H1385" s="14">
        <v>1201655.22</v>
      </c>
      <c r="I1385" s="14">
        <v>1201655.22</v>
      </c>
      <c r="J1385" s="22">
        <f>H1385*(1+Assumptions!$B$6+IF(F1385="Yes",Assumptions!$C$6,0))</f>
        <v>1237704.8766000001</v>
      </c>
      <c r="K1385" s="22">
        <f>H1385*(1+Assumptions!$B$7+IF(F1385="Yes",Assumptions!$C$7,0))</f>
        <v>1261737.9809999999</v>
      </c>
      <c r="L1385" s="22">
        <f>H1385*(1+Assumptions!$B$8+IF(F1385="Yes",Assumptions!$C$8,0))</f>
        <v>1213671.7722</v>
      </c>
    </row>
    <row r="1386" spans="1:12" ht="15">
      <c r="A1386" s="21">
        <v>41124</v>
      </c>
      <c r="B1386" s="21">
        <v>41122</v>
      </c>
      <c r="C1386" s="17">
        <v>33</v>
      </c>
      <c r="D1386" s="17" t="s">
        <v>90</v>
      </c>
      <c r="E1386" s="18">
        <v>39690</v>
      </c>
      <c r="F1386" s="17" t="s">
        <v>91</v>
      </c>
      <c r="G1386" s="14">
        <v>258483.18</v>
      </c>
      <c r="H1386" s="14">
        <v>242295.55000000002</v>
      </c>
      <c r="I1386" s="14">
        <v>242295.55000000002</v>
      </c>
      <c r="J1386" s="22">
        <f>H1386*(1+Assumptions!$B$6+IF(F1386="Yes",Assumptions!$C$6,0))</f>
        <v>249564.41650000002</v>
      </c>
      <c r="K1386" s="22">
        <f>H1386*(1+Assumptions!$B$7+IF(F1386="Yes",Assumptions!$C$7,0))</f>
        <v>254410.32750000004</v>
      </c>
      <c r="L1386" s="22">
        <f>H1386*(1+Assumptions!$B$8+IF(F1386="Yes",Assumptions!$C$8,0))</f>
        <v>244718.50550000003</v>
      </c>
    </row>
    <row r="1387" spans="1:12" ht="15">
      <c r="A1387" s="21">
        <v>41124</v>
      </c>
      <c r="B1387" s="21">
        <v>41122</v>
      </c>
      <c r="C1387" s="17">
        <v>34</v>
      </c>
      <c r="D1387" s="17" t="s">
        <v>90</v>
      </c>
      <c r="E1387" s="18">
        <v>158114</v>
      </c>
      <c r="F1387" s="17" t="s">
        <v>91</v>
      </c>
      <c r="G1387" s="14">
        <v>973150.4</v>
      </c>
      <c r="H1387" s="14">
        <v>942227.45</v>
      </c>
      <c r="I1387" s="14">
        <v>942227.45</v>
      </c>
      <c r="J1387" s="22">
        <f>H1387*(1+Assumptions!$B$6+IF(F1387="Yes",Assumptions!$C$6,0))</f>
        <v>970494.27350000001</v>
      </c>
      <c r="K1387" s="22">
        <f>H1387*(1+Assumptions!$B$7+IF(F1387="Yes",Assumptions!$C$7,0))</f>
        <v>989338.82250000001</v>
      </c>
      <c r="L1387" s="22">
        <f>H1387*(1+Assumptions!$B$8+IF(F1387="Yes",Assumptions!$C$8,0))</f>
        <v>951649.72450000001</v>
      </c>
    </row>
    <row r="1388" spans="1:12" ht="15">
      <c r="A1388" s="21">
        <v>41124</v>
      </c>
      <c r="B1388" s="21">
        <v>41122</v>
      </c>
      <c r="C1388" s="17">
        <v>35</v>
      </c>
      <c r="D1388" s="17" t="s">
        <v>92</v>
      </c>
      <c r="E1388" s="18">
        <v>103681</v>
      </c>
      <c r="F1388" s="17" t="s">
        <v>91</v>
      </c>
      <c r="G1388" s="14">
        <v>866162.48</v>
      </c>
      <c r="H1388" s="14">
        <v>826820.95000000007</v>
      </c>
      <c r="I1388" s="14">
        <v>826820.95000000007</v>
      </c>
      <c r="J1388" s="22">
        <f>H1388*(1+Assumptions!$B$6+IF(F1388="Yes",Assumptions!$C$6,0))</f>
        <v>851625.57850000006</v>
      </c>
      <c r="K1388" s="22">
        <f>H1388*(1+Assumptions!$B$7+IF(F1388="Yes",Assumptions!$C$7,0))</f>
        <v>868161.99750000006</v>
      </c>
      <c r="L1388" s="22">
        <f>H1388*(1+Assumptions!$B$8+IF(F1388="Yes",Assumptions!$C$8,0))</f>
        <v>835089.15950000007</v>
      </c>
    </row>
    <row r="1389" spans="1:12" ht="15">
      <c r="A1389" s="21">
        <v>41124</v>
      </c>
      <c r="B1389" s="21">
        <v>41122</v>
      </c>
      <c r="C1389" s="17">
        <v>36</v>
      </c>
      <c r="D1389" s="17" t="s">
        <v>90</v>
      </c>
      <c r="E1389" s="18">
        <v>39910</v>
      </c>
      <c r="F1389" s="17" t="s">
        <v>91</v>
      </c>
      <c r="G1389" s="14">
        <v>304964.97000000003</v>
      </c>
      <c r="H1389" s="14">
        <v>380905.36</v>
      </c>
      <c r="I1389" s="14">
        <v>380905.36</v>
      </c>
      <c r="J1389" s="22">
        <f>H1389*(1+Assumptions!$B$6+IF(F1389="Yes",Assumptions!$C$6,0))</f>
        <v>392332.5208</v>
      </c>
      <c r="K1389" s="22">
        <f>H1389*(1+Assumptions!$B$7+IF(F1389="Yes",Assumptions!$C$7,0))</f>
        <v>399950.62800000003</v>
      </c>
      <c r="L1389" s="22">
        <f>H1389*(1+Assumptions!$B$8+IF(F1389="Yes",Assumptions!$C$8,0))</f>
        <v>384714.41359999997</v>
      </c>
    </row>
    <row r="1390" spans="1:12" ht="15">
      <c r="A1390" s="21">
        <v>41124</v>
      </c>
      <c r="B1390" s="21">
        <v>41122</v>
      </c>
      <c r="C1390" s="17">
        <v>37</v>
      </c>
      <c r="D1390" s="17" t="s">
        <v>93</v>
      </c>
      <c r="E1390" s="18">
        <v>39910</v>
      </c>
      <c r="F1390" s="17" t="s">
        <v>91</v>
      </c>
      <c r="G1390" s="14">
        <v>521725.52</v>
      </c>
      <c r="H1390" s="14">
        <v>510784.71</v>
      </c>
      <c r="I1390" s="14">
        <v>510784.71</v>
      </c>
      <c r="J1390" s="22">
        <f>H1390*(1+Assumptions!$B$6+IF(F1390="Yes",Assumptions!$C$6,0))</f>
        <v>526108.2513</v>
      </c>
      <c r="K1390" s="22">
        <f>H1390*(1+Assumptions!$B$7+IF(F1390="Yes",Assumptions!$C$7,0))</f>
        <v>536323.94550000003</v>
      </c>
      <c r="L1390" s="22">
        <f>H1390*(1+Assumptions!$B$8+IF(F1390="Yes",Assumptions!$C$8,0))</f>
        <v>515892.55710000003</v>
      </c>
    </row>
    <row r="1391" spans="1:12" ht="15">
      <c r="A1391" s="21">
        <v>41124</v>
      </c>
      <c r="B1391" s="21">
        <v>41122</v>
      </c>
      <c r="C1391" s="17">
        <v>38</v>
      </c>
      <c r="D1391" s="17" t="s">
        <v>93</v>
      </c>
      <c r="E1391" s="18">
        <v>39690</v>
      </c>
      <c r="F1391" s="17" t="s">
        <v>91</v>
      </c>
      <c r="G1391" s="14">
        <v>469025.12</v>
      </c>
      <c r="H1391" s="14">
        <v>437513.37</v>
      </c>
      <c r="I1391" s="14">
        <v>437513.37</v>
      </c>
      <c r="J1391" s="22">
        <f>H1391*(1+Assumptions!$B$6+IF(F1391="Yes",Assumptions!$C$6,0))</f>
        <v>450638.77110000001</v>
      </c>
      <c r="K1391" s="22">
        <f>H1391*(1+Assumptions!$B$7+IF(F1391="Yes",Assumptions!$C$7,0))</f>
        <v>459389.03850000002</v>
      </c>
      <c r="L1391" s="22">
        <f>H1391*(1+Assumptions!$B$8+IF(F1391="Yes",Assumptions!$C$8,0))</f>
        <v>441888.5037</v>
      </c>
    </row>
    <row r="1392" spans="1:12" ht="15">
      <c r="A1392" s="21">
        <v>41124</v>
      </c>
      <c r="B1392" s="21">
        <v>41122</v>
      </c>
      <c r="C1392" s="17">
        <v>39</v>
      </c>
      <c r="D1392" s="17" t="s">
        <v>90</v>
      </c>
      <c r="E1392" s="18">
        <v>184109</v>
      </c>
      <c r="F1392" s="17" t="s">
        <v>91</v>
      </c>
      <c r="G1392" s="14">
        <v>1608084.08</v>
      </c>
      <c r="H1392" s="14">
        <v>1518742.04</v>
      </c>
      <c r="I1392" s="14">
        <v>1518742.04</v>
      </c>
      <c r="J1392" s="22">
        <f>H1392*(1+Assumptions!$B$6+IF(F1392="Yes",Assumptions!$C$6,0))</f>
        <v>1564304.3012000001</v>
      </c>
      <c r="K1392" s="22">
        <f>H1392*(1+Assumptions!$B$7+IF(F1392="Yes",Assumptions!$C$7,0))</f>
        <v>1594679.142</v>
      </c>
      <c r="L1392" s="22">
        <f>H1392*(1+Assumptions!$B$8+IF(F1392="Yes",Assumptions!$C$8,0))</f>
        <v>1533929.4604</v>
      </c>
    </row>
    <row r="1393" spans="1:12" ht="15">
      <c r="A1393" s="21">
        <v>41124</v>
      </c>
      <c r="B1393" s="21">
        <v>41122</v>
      </c>
      <c r="C1393" s="17">
        <v>40</v>
      </c>
      <c r="D1393" s="17" t="s">
        <v>90</v>
      </c>
      <c r="E1393" s="18">
        <v>155083</v>
      </c>
      <c r="F1393" s="17" t="s">
        <v>91</v>
      </c>
      <c r="G1393" s="14">
        <v>1068286.74</v>
      </c>
      <c r="H1393" s="14">
        <v>1063817.8500000001</v>
      </c>
      <c r="I1393" s="14">
        <v>1063817.8500000001</v>
      </c>
      <c r="J1393" s="22">
        <f>H1393*(1+Assumptions!$B$6+IF(F1393="Yes",Assumptions!$C$6,0))</f>
        <v>1095732.3855000001</v>
      </c>
      <c r="K1393" s="22">
        <f>H1393*(1+Assumptions!$B$7+IF(F1393="Yes",Assumptions!$C$7,0))</f>
        <v>1117008.7425000002</v>
      </c>
      <c r="L1393" s="22">
        <f>H1393*(1+Assumptions!$B$8+IF(F1393="Yes",Assumptions!$C$8,0))</f>
        <v>1074456.0285</v>
      </c>
    </row>
    <row r="1394" spans="1:12" ht="15">
      <c r="A1394" s="21">
        <v>41124</v>
      </c>
      <c r="B1394" s="21">
        <v>41122</v>
      </c>
      <c r="C1394" s="17">
        <v>41</v>
      </c>
      <c r="D1394" s="17" t="s">
        <v>90</v>
      </c>
      <c r="E1394" s="18">
        <v>196321</v>
      </c>
      <c r="F1394" s="17" t="s">
        <v>91</v>
      </c>
      <c r="G1394" s="14">
        <v>1439469.83</v>
      </c>
      <c r="H1394" s="14">
        <v>1402233.69</v>
      </c>
      <c r="I1394" s="14">
        <v>1402233.69</v>
      </c>
      <c r="J1394" s="22">
        <f>H1394*(1+Assumptions!$B$6+IF(F1394="Yes",Assumptions!$C$6,0))</f>
        <v>1444300.7006999999</v>
      </c>
      <c r="K1394" s="22">
        <f>H1394*(1+Assumptions!$B$7+IF(F1394="Yes",Assumptions!$C$7,0))</f>
        <v>1472345.3744999999</v>
      </c>
      <c r="L1394" s="22">
        <f>H1394*(1+Assumptions!$B$8+IF(F1394="Yes",Assumptions!$C$8,0))</f>
        <v>1416256.0268999999</v>
      </c>
    </row>
    <row r="1395" spans="1:12" ht="15">
      <c r="A1395" s="21">
        <v>41124</v>
      </c>
      <c r="B1395" s="21">
        <v>41122</v>
      </c>
      <c r="C1395" s="17">
        <v>42</v>
      </c>
      <c r="D1395" s="17" t="s">
        <v>93</v>
      </c>
      <c r="E1395" s="18">
        <v>39690</v>
      </c>
      <c r="F1395" s="17" t="s">
        <v>91</v>
      </c>
      <c r="G1395" s="14">
        <v>572809.48</v>
      </c>
      <c r="H1395" s="14">
        <v>572560.19999999995</v>
      </c>
      <c r="I1395" s="14">
        <v>572560.19999999995</v>
      </c>
      <c r="J1395" s="22">
        <f>H1395*(1+Assumptions!$B$6+IF(F1395="Yes",Assumptions!$C$6,0))</f>
        <v>589737.00599999994</v>
      </c>
      <c r="K1395" s="22">
        <f>H1395*(1+Assumptions!$B$7+IF(F1395="Yes",Assumptions!$C$7,0))</f>
        <v>601188.21</v>
      </c>
      <c r="L1395" s="22">
        <f>H1395*(1+Assumptions!$B$8+IF(F1395="Yes",Assumptions!$C$8,0))</f>
        <v>578285.80199999991</v>
      </c>
    </row>
    <row r="1396" spans="1:12" ht="15">
      <c r="A1396" s="21">
        <v>41124</v>
      </c>
      <c r="B1396" s="21">
        <v>41122</v>
      </c>
      <c r="C1396" s="17">
        <v>43</v>
      </c>
      <c r="D1396" s="17" t="s">
        <v>93</v>
      </c>
      <c r="E1396" s="18">
        <v>41062</v>
      </c>
      <c r="F1396" s="17" t="s">
        <v>91</v>
      </c>
      <c r="G1396" s="14">
        <v>613909.15</v>
      </c>
      <c r="H1396" s="14">
        <v>605889.69999999995</v>
      </c>
      <c r="I1396" s="14">
        <v>605889.69999999995</v>
      </c>
      <c r="J1396" s="22">
        <f>H1396*(1+Assumptions!$B$6+IF(F1396="Yes",Assumptions!$C$6,0))</f>
        <v>624066.39099999995</v>
      </c>
      <c r="K1396" s="22">
        <f>H1396*(1+Assumptions!$B$7+IF(F1396="Yes",Assumptions!$C$7,0))</f>
        <v>636184.18499999994</v>
      </c>
      <c r="L1396" s="22">
        <f>H1396*(1+Assumptions!$B$8+IF(F1396="Yes",Assumptions!$C$8,0))</f>
        <v>611948.59699999995</v>
      </c>
    </row>
    <row r="1397" spans="1:12" ht="15">
      <c r="A1397" s="21">
        <v>41124</v>
      </c>
      <c r="B1397" s="21">
        <v>41122</v>
      </c>
      <c r="C1397" s="17">
        <v>44</v>
      </c>
      <c r="D1397" s="17" t="s">
        <v>93</v>
      </c>
      <c r="E1397" s="18">
        <v>39910</v>
      </c>
      <c r="F1397" s="17" t="s">
        <v>91</v>
      </c>
      <c r="G1397" s="14">
        <v>342306.96</v>
      </c>
      <c r="H1397" s="14">
        <v>298030.8</v>
      </c>
      <c r="I1397" s="14">
        <v>298030.8</v>
      </c>
      <c r="J1397" s="22">
        <f>H1397*(1+Assumptions!$B$6+IF(F1397="Yes",Assumptions!$C$6,0))</f>
        <v>306971.72399999999</v>
      </c>
      <c r="K1397" s="22">
        <f>H1397*(1+Assumptions!$B$7+IF(F1397="Yes",Assumptions!$C$7,0))</f>
        <v>312932.34000000003</v>
      </c>
      <c r="L1397" s="22">
        <f>H1397*(1+Assumptions!$B$8+IF(F1397="Yes",Assumptions!$C$8,0))</f>
        <v>301011.10800000001</v>
      </c>
    </row>
    <row r="1398" spans="1:12" ht="15">
      <c r="A1398" s="21">
        <v>41124</v>
      </c>
      <c r="B1398" s="21">
        <v>41122</v>
      </c>
      <c r="C1398" s="17">
        <v>45</v>
      </c>
      <c r="D1398" s="17" t="s">
        <v>92</v>
      </c>
      <c r="E1398" s="18">
        <v>118221</v>
      </c>
      <c r="F1398" s="17" t="s">
        <v>91</v>
      </c>
      <c r="G1398" s="14">
        <v>725486.99</v>
      </c>
      <c r="H1398" s="14">
        <v>765995.92</v>
      </c>
      <c r="I1398" s="14">
        <v>765995.92</v>
      </c>
      <c r="J1398" s="22">
        <f>H1398*(1+Assumptions!$B$6+IF(F1398="Yes",Assumptions!$C$6,0))</f>
        <v>788975.79760000005</v>
      </c>
      <c r="K1398" s="22">
        <f>H1398*(1+Assumptions!$B$7+IF(F1398="Yes",Assumptions!$C$7,0))</f>
        <v>804295.71600000013</v>
      </c>
      <c r="L1398" s="22">
        <f>H1398*(1+Assumptions!$B$8+IF(F1398="Yes",Assumptions!$C$8,0))</f>
        <v>773655.87920000008</v>
      </c>
    </row>
    <row r="1399" spans="1:12" ht="15">
      <c r="A1399" s="21">
        <v>41131</v>
      </c>
      <c r="B1399" s="21">
        <v>41122</v>
      </c>
      <c r="C1399" s="17">
        <v>1</v>
      </c>
      <c r="D1399" s="17" t="s">
        <v>90</v>
      </c>
      <c r="E1399" s="18">
        <v>151315</v>
      </c>
      <c r="F1399" s="17" t="s">
        <v>91</v>
      </c>
      <c r="G1399" s="14">
        <v>1592409.95</v>
      </c>
      <c r="H1399" s="14">
        <v>1525147.09</v>
      </c>
      <c r="I1399" s="14">
        <v>1525147.09</v>
      </c>
      <c r="J1399" s="22">
        <f>H1399*(1+Assumptions!$B$6+IF(F1399="Yes",Assumptions!$C$6,0))</f>
        <v>1570901.5027000001</v>
      </c>
      <c r="K1399" s="22">
        <f>H1399*(1+Assumptions!$B$7+IF(F1399="Yes",Assumptions!$C$7,0))</f>
        <v>1601404.4445000002</v>
      </c>
      <c r="L1399" s="22">
        <f>H1399*(1+Assumptions!$B$8+IF(F1399="Yes",Assumptions!$C$8,0))</f>
        <v>1540398.5609000002</v>
      </c>
    </row>
    <row r="1400" spans="1:12" ht="15">
      <c r="A1400" s="21">
        <v>41131</v>
      </c>
      <c r="B1400" s="21">
        <v>41122</v>
      </c>
      <c r="C1400" s="17">
        <v>2</v>
      </c>
      <c r="D1400" s="17" t="s">
        <v>90</v>
      </c>
      <c r="E1400" s="18">
        <v>202307</v>
      </c>
      <c r="F1400" s="17" t="s">
        <v>91</v>
      </c>
      <c r="G1400" s="14">
        <v>1866678.52</v>
      </c>
      <c r="H1400" s="14">
        <v>1812737.3800000001</v>
      </c>
      <c r="I1400" s="14">
        <v>1812737.3800000001</v>
      </c>
      <c r="J1400" s="22">
        <f>H1400*(1+Assumptions!$B$6+IF(F1400="Yes",Assumptions!$C$6,0))</f>
        <v>1867119.5014000002</v>
      </c>
      <c r="K1400" s="22">
        <f>H1400*(1+Assumptions!$B$7+IF(F1400="Yes",Assumptions!$C$7,0))</f>
        <v>1903374.2490000003</v>
      </c>
      <c r="L1400" s="22">
        <f>H1400*(1+Assumptions!$B$8+IF(F1400="Yes",Assumptions!$C$8,0))</f>
        <v>1830864.7538000001</v>
      </c>
    </row>
    <row r="1401" spans="1:12" ht="15">
      <c r="A1401" s="21">
        <v>41131</v>
      </c>
      <c r="B1401" s="21">
        <v>41122</v>
      </c>
      <c r="C1401" s="17">
        <v>3</v>
      </c>
      <c r="D1401" s="17" t="s">
        <v>92</v>
      </c>
      <c r="E1401" s="18">
        <v>37392</v>
      </c>
      <c r="F1401" s="17" t="s">
        <v>91</v>
      </c>
      <c r="G1401" s="14">
        <v>391772.87</v>
      </c>
      <c r="H1401" s="14">
        <v>380373.52999999997</v>
      </c>
      <c r="I1401" s="14">
        <v>380373.52999999997</v>
      </c>
      <c r="J1401" s="22">
        <f>H1401*(1+Assumptions!$B$6+IF(F1401="Yes",Assumptions!$C$6,0))</f>
        <v>391784.73589999997</v>
      </c>
      <c r="K1401" s="22">
        <f>H1401*(1+Assumptions!$B$7+IF(F1401="Yes",Assumptions!$C$7,0))</f>
        <v>399392.20649999997</v>
      </c>
      <c r="L1401" s="22">
        <f>H1401*(1+Assumptions!$B$8+IF(F1401="Yes",Assumptions!$C$8,0))</f>
        <v>384177.26529999997</v>
      </c>
    </row>
    <row r="1402" spans="1:12" ht="15">
      <c r="A1402" s="21">
        <v>41131</v>
      </c>
      <c r="B1402" s="21">
        <v>41122</v>
      </c>
      <c r="C1402" s="17">
        <v>4</v>
      </c>
      <c r="D1402" s="17" t="s">
        <v>90</v>
      </c>
      <c r="E1402" s="18">
        <v>205863</v>
      </c>
      <c r="F1402" s="17" t="s">
        <v>91</v>
      </c>
      <c r="G1402" s="14">
        <v>2193275.8199999998</v>
      </c>
      <c r="H1402" s="14">
        <v>2105668.7399999998</v>
      </c>
      <c r="I1402" s="14">
        <v>2105668.7399999998</v>
      </c>
      <c r="J1402" s="22">
        <f>H1402*(1+Assumptions!$B$6+IF(F1402="Yes",Assumptions!$C$6,0))</f>
        <v>2168838.8021999998</v>
      </c>
      <c r="K1402" s="22">
        <f>H1402*(1+Assumptions!$B$7+IF(F1402="Yes",Assumptions!$C$7,0))</f>
        <v>2210952.1769999997</v>
      </c>
      <c r="L1402" s="22">
        <f>H1402*(1+Assumptions!$B$8+IF(F1402="Yes",Assumptions!$C$8,0))</f>
        <v>2126725.4273999999</v>
      </c>
    </row>
    <row r="1403" spans="1:12" ht="15">
      <c r="A1403" s="21">
        <v>41131</v>
      </c>
      <c r="B1403" s="21">
        <v>41122</v>
      </c>
      <c r="C1403" s="17">
        <v>5</v>
      </c>
      <c r="D1403" s="17" t="s">
        <v>92</v>
      </c>
      <c r="E1403" s="18">
        <v>34875</v>
      </c>
      <c r="F1403" s="17" t="s">
        <v>91</v>
      </c>
      <c r="G1403" s="14">
        <v>306656.09999999998</v>
      </c>
      <c r="H1403" s="14">
        <v>289915.16000000003</v>
      </c>
      <c r="I1403" s="14">
        <v>289915.16000000003</v>
      </c>
      <c r="J1403" s="22">
        <f>H1403*(1+Assumptions!$B$6+IF(F1403="Yes",Assumptions!$C$6,0))</f>
        <v>298612.61480000004</v>
      </c>
      <c r="K1403" s="22">
        <f>H1403*(1+Assumptions!$B$7+IF(F1403="Yes",Assumptions!$C$7,0))</f>
        <v>304410.91800000006</v>
      </c>
      <c r="L1403" s="22">
        <f>H1403*(1+Assumptions!$B$8+IF(F1403="Yes",Assumptions!$C$8,0))</f>
        <v>292814.31160000002</v>
      </c>
    </row>
    <row r="1404" spans="1:12" ht="15">
      <c r="A1404" s="21">
        <v>41131</v>
      </c>
      <c r="B1404" s="21">
        <v>41122</v>
      </c>
      <c r="C1404" s="17">
        <v>6</v>
      </c>
      <c r="D1404" s="17" t="s">
        <v>90</v>
      </c>
      <c r="E1404" s="18">
        <v>202505</v>
      </c>
      <c r="F1404" s="17" t="s">
        <v>91</v>
      </c>
      <c r="G1404" s="14">
        <v>1588320.71</v>
      </c>
      <c r="H1404" s="14">
        <v>1484983.41</v>
      </c>
      <c r="I1404" s="14">
        <v>1484983.41</v>
      </c>
      <c r="J1404" s="22">
        <f>H1404*(1+Assumptions!$B$6+IF(F1404="Yes",Assumptions!$C$6,0))</f>
        <v>1529532.9123</v>
      </c>
      <c r="K1404" s="22">
        <f>H1404*(1+Assumptions!$B$7+IF(F1404="Yes",Assumptions!$C$7,0))</f>
        <v>1559232.5804999999</v>
      </c>
      <c r="L1404" s="22">
        <f>H1404*(1+Assumptions!$B$8+IF(F1404="Yes",Assumptions!$C$8,0))</f>
        <v>1499833.2441</v>
      </c>
    </row>
    <row r="1405" spans="1:12" ht="15">
      <c r="A1405" s="21">
        <v>41131</v>
      </c>
      <c r="B1405" s="21">
        <v>41122</v>
      </c>
      <c r="C1405" s="17">
        <v>7</v>
      </c>
      <c r="D1405" s="17" t="s">
        <v>92</v>
      </c>
      <c r="E1405" s="18">
        <v>70713</v>
      </c>
      <c r="F1405" s="17" t="s">
        <v>91</v>
      </c>
      <c r="G1405" s="14">
        <v>674412.25</v>
      </c>
      <c r="H1405" s="14">
        <v>670645.57999999996</v>
      </c>
      <c r="I1405" s="14">
        <v>670645.57999999996</v>
      </c>
      <c r="J1405" s="22">
        <f>H1405*(1+Assumptions!$B$6+IF(F1405="Yes",Assumptions!$C$6,0))</f>
        <v>690764.94739999995</v>
      </c>
      <c r="K1405" s="22">
        <f>H1405*(1+Assumptions!$B$7+IF(F1405="Yes",Assumptions!$C$7,0))</f>
        <v>704177.85899999994</v>
      </c>
      <c r="L1405" s="22">
        <f>H1405*(1+Assumptions!$B$8+IF(F1405="Yes",Assumptions!$C$8,0))</f>
        <v>677352.03579999995</v>
      </c>
    </row>
    <row r="1406" spans="1:12" ht="15">
      <c r="A1406" s="21">
        <v>41131</v>
      </c>
      <c r="B1406" s="21">
        <v>41122</v>
      </c>
      <c r="C1406" s="17">
        <v>8</v>
      </c>
      <c r="D1406" s="17" t="s">
        <v>90</v>
      </c>
      <c r="E1406" s="18">
        <v>155078</v>
      </c>
      <c r="F1406" s="17" t="s">
        <v>91</v>
      </c>
      <c r="G1406" s="14">
        <v>930745.67</v>
      </c>
      <c r="H1406" s="14">
        <v>856788.22</v>
      </c>
      <c r="I1406" s="14">
        <v>856788.22</v>
      </c>
      <c r="J1406" s="22">
        <f>H1406*(1+Assumptions!$B$6+IF(F1406="Yes",Assumptions!$C$6,0))</f>
        <v>882491.86659999995</v>
      </c>
      <c r="K1406" s="22">
        <f>H1406*(1+Assumptions!$B$7+IF(F1406="Yes",Assumptions!$C$7,0))</f>
        <v>899627.63100000005</v>
      </c>
      <c r="L1406" s="22">
        <f>H1406*(1+Assumptions!$B$8+IF(F1406="Yes",Assumptions!$C$8,0))</f>
        <v>865356.10219999996</v>
      </c>
    </row>
    <row r="1407" spans="1:12" ht="15">
      <c r="A1407" s="21">
        <v>41131</v>
      </c>
      <c r="B1407" s="21">
        <v>41122</v>
      </c>
      <c r="C1407" s="17">
        <v>9</v>
      </c>
      <c r="D1407" s="17" t="s">
        <v>92</v>
      </c>
      <c r="E1407" s="18">
        <v>125833</v>
      </c>
      <c r="F1407" s="17" t="s">
        <v>91</v>
      </c>
      <c r="G1407" s="14">
        <v>538633.69000000006</v>
      </c>
      <c r="H1407" s="14">
        <v>520246.79</v>
      </c>
      <c r="I1407" s="14">
        <v>520246.79</v>
      </c>
      <c r="J1407" s="22">
        <f>H1407*(1+Assumptions!$B$6+IF(F1407="Yes",Assumptions!$C$6,0))</f>
        <v>535854.19369999995</v>
      </c>
      <c r="K1407" s="22">
        <f>H1407*(1+Assumptions!$B$7+IF(F1407="Yes",Assumptions!$C$7,0))</f>
        <v>546259.12950000004</v>
      </c>
      <c r="L1407" s="22">
        <f>H1407*(1+Assumptions!$B$8+IF(F1407="Yes",Assumptions!$C$8,0))</f>
        <v>525449.25789999997</v>
      </c>
    </row>
    <row r="1408" spans="1:12" ht="15">
      <c r="A1408" s="21">
        <v>41131</v>
      </c>
      <c r="B1408" s="21">
        <v>41122</v>
      </c>
      <c r="C1408" s="17">
        <v>10</v>
      </c>
      <c r="D1408" s="17" t="s">
        <v>92</v>
      </c>
      <c r="E1408" s="18">
        <v>126512</v>
      </c>
      <c r="F1408" s="17" t="s">
        <v>91</v>
      </c>
      <c r="G1408" s="14">
        <v>1880436.94</v>
      </c>
      <c r="H1408" s="14">
        <v>1916886.61</v>
      </c>
      <c r="I1408" s="14">
        <v>1916886.61</v>
      </c>
      <c r="J1408" s="22">
        <f>H1408*(1+Assumptions!$B$6+IF(F1408="Yes",Assumptions!$C$6,0))</f>
        <v>1974393.2083000001</v>
      </c>
      <c r="K1408" s="22">
        <f>H1408*(1+Assumptions!$B$7+IF(F1408="Yes",Assumptions!$C$7,0))</f>
        <v>2012730.9405000003</v>
      </c>
      <c r="L1408" s="22">
        <f>H1408*(1+Assumptions!$B$8+IF(F1408="Yes",Assumptions!$C$8,0))</f>
        <v>1936055.4761000001</v>
      </c>
    </row>
    <row r="1409" spans="1:12" ht="15">
      <c r="A1409" s="21">
        <v>41131</v>
      </c>
      <c r="B1409" s="21">
        <v>41122</v>
      </c>
      <c r="C1409" s="17">
        <v>11</v>
      </c>
      <c r="D1409" s="17" t="s">
        <v>90</v>
      </c>
      <c r="E1409" s="18">
        <v>207499</v>
      </c>
      <c r="F1409" s="17" t="s">
        <v>91</v>
      </c>
      <c r="G1409" s="14">
        <v>1388801.34</v>
      </c>
      <c r="H1409" s="14">
        <v>1354188.43</v>
      </c>
      <c r="I1409" s="14">
        <v>1354188.43</v>
      </c>
      <c r="J1409" s="22">
        <f>H1409*(1+Assumptions!$B$6+IF(F1409="Yes",Assumptions!$C$6,0))</f>
        <v>1394814.0829</v>
      </c>
      <c r="K1409" s="22">
        <f>H1409*(1+Assumptions!$B$7+IF(F1409="Yes",Assumptions!$C$7,0))</f>
        <v>1421897.8515000001</v>
      </c>
      <c r="L1409" s="22">
        <f>H1409*(1+Assumptions!$B$8+IF(F1409="Yes",Assumptions!$C$8,0))</f>
        <v>1367730.3143</v>
      </c>
    </row>
    <row r="1410" spans="1:12" ht="15">
      <c r="A1410" s="21">
        <v>41131</v>
      </c>
      <c r="B1410" s="21">
        <v>41122</v>
      </c>
      <c r="C1410" s="17">
        <v>12</v>
      </c>
      <c r="D1410" s="17" t="s">
        <v>92</v>
      </c>
      <c r="E1410" s="18">
        <v>112238</v>
      </c>
      <c r="F1410" s="17" t="s">
        <v>91</v>
      </c>
      <c r="G1410" s="14">
        <v>984656.26</v>
      </c>
      <c r="H1410" s="14">
        <v>955896.05</v>
      </c>
      <c r="I1410" s="14">
        <v>955896.05</v>
      </c>
      <c r="J1410" s="22">
        <f>H1410*(1+Assumptions!$B$6+IF(F1410="Yes",Assumptions!$C$6,0))</f>
        <v>984572.93150000006</v>
      </c>
      <c r="K1410" s="22">
        <f>H1410*(1+Assumptions!$B$7+IF(F1410="Yes",Assumptions!$C$7,0))</f>
        <v>1003690.8525</v>
      </c>
      <c r="L1410" s="22">
        <f>H1410*(1+Assumptions!$B$8+IF(F1410="Yes",Assumptions!$C$8,0))</f>
        <v>965455.01050000009</v>
      </c>
    </row>
    <row r="1411" spans="1:12" ht="15">
      <c r="A1411" s="21">
        <v>41131</v>
      </c>
      <c r="B1411" s="21">
        <v>41122</v>
      </c>
      <c r="C1411" s="17">
        <v>13</v>
      </c>
      <c r="D1411" s="17" t="s">
        <v>90</v>
      </c>
      <c r="E1411" s="18">
        <v>219622</v>
      </c>
      <c r="F1411" s="17" t="s">
        <v>91</v>
      </c>
      <c r="G1411" s="14">
        <v>2040948.1199999999</v>
      </c>
      <c r="H1411" s="14">
        <v>1970331.28</v>
      </c>
      <c r="I1411" s="14">
        <v>1970331.28</v>
      </c>
      <c r="J1411" s="22">
        <f>H1411*(1+Assumptions!$B$6+IF(F1411="Yes",Assumptions!$C$6,0))</f>
        <v>2029441.2184000001</v>
      </c>
      <c r="K1411" s="22">
        <f>H1411*(1+Assumptions!$B$7+IF(F1411="Yes",Assumptions!$C$7,0))</f>
        <v>2068847.844</v>
      </c>
      <c r="L1411" s="22">
        <f>H1411*(1+Assumptions!$B$8+IF(F1411="Yes",Assumptions!$C$8,0))</f>
        <v>1990034.5928</v>
      </c>
    </row>
    <row r="1412" spans="1:12" ht="15">
      <c r="A1412" s="21">
        <v>41131</v>
      </c>
      <c r="B1412" s="21">
        <v>41122</v>
      </c>
      <c r="C1412" s="17">
        <v>14</v>
      </c>
      <c r="D1412" s="17" t="s">
        <v>90</v>
      </c>
      <c r="E1412" s="18">
        <v>200898</v>
      </c>
      <c r="F1412" s="17" t="s">
        <v>91</v>
      </c>
      <c r="G1412" s="14">
        <v>1648477.01</v>
      </c>
      <c r="H1412" s="14">
        <v>1928730.1</v>
      </c>
      <c r="I1412" s="14">
        <v>1928730.1</v>
      </c>
      <c r="J1412" s="22">
        <f>H1412*(1+Assumptions!$B$6+IF(F1412="Yes",Assumptions!$C$6,0))</f>
        <v>1986592.0030000003</v>
      </c>
      <c r="K1412" s="22">
        <f>H1412*(1+Assumptions!$B$7+IF(F1412="Yes",Assumptions!$C$7,0))</f>
        <v>2025166.6050000002</v>
      </c>
      <c r="L1412" s="22">
        <f>H1412*(1+Assumptions!$B$8+IF(F1412="Yes",Assumptions!$C$8,0))</f>
        <v>1948017.4010000001</v>
      </c>
    </row>
    <row r="1413" spans="1:12" ht="15">
      <c r="A1413" s="21">
        <v>41131</v>
      </c>
      <c r="B1413" s="21">
        <v>41122</v>
      </c>
      <c r="C1413" s="17">
        <v>15</v>
      </c>
      <c r="D1413" s="17" t="s">
        <v>92</v>
      </c>
      <c r="E1413" s="18">
        <v>123737</v>
      </c>
      <c r="F1413" s="17" t="s">
        <v>91</v>
      </c>
      <c r="G1413" s="14">
        <v>589778.63</v>
      </c>
      <c r="H1413" s="14">
        <v>590843.05000000005</v>
      </c>
      <c r="I1413" s="14">
        <v>590843.05000000005</v>
      </c>
      <c r="J1413" s="22">
        <f>H1413*(1+Assumptions!$B$6+IF(F1413="Yes",Assumptions!$C$6,0))</f>
        <v>608568.3415000001</v>
      </c>
      <c r="K1413" s="22">
        <f>H1413*(1+Assumptions!$B$7+IF(F1413="Yes",Assumptions!$C$7,0))</f>
        <v>620385.20250000013</v>
      </c>
      <c r="L1413" s="22">
        <f>H1413*(1+Assumptions!$B$8+IF(F1413="Yes",Assumptions!$C$8,0))</f>
        <v>596751.48050000006</v>
      </c>
    </row>
    <row r="1414" spans="1:12" ht="15">
      <c r="A1414" s="21">
        <v>41131</v>
      </c>
      <c r="B1414" s="21">
        <v>41122</v>
      </c>
      <c r="C1414" s="17">
        <v>16</v>
      </c>
      <c r="D1414" s="17" t="s">
        <v>92</v>
      </c>
      <c r="E1414" s="18">
        <v>57197</v>
      </c>
      <c r="F1414" s="17" t="s">
        <v>91</v>
      </c>
      <c r="G1414" s="14">
        <v>552349.36</v>
      </c>
      <c r="H1414" s="14">
        <v>563827.27</v>
      </c>
      <c r="I1414" s="14">
        <v>563827.27</v>
      </c>
      <c r="J1414" s="22">
        <f>H1414*(1+Assumptions!$B$6+IF(F1414="Yes",Assumptions!$C$6,0))</f>
        <v>580742.08810000005</v>
      </c>
      <c r="K1414" s="22">
        <f>H1414*(1+Assumptions!$B$7+IF(F1414="Yes",Assumptions!$C$7,0))</f>
        <v>592018.6335</v>
      </c>
      <c r="L1414" s="22">
        <f>H1414*(1+Assumptions!$B$8+IF(F1414="Yes",Assumptions!$C$8,0))</f>
        <v>569465.54269999999</v>
      </c>
    </row>
    <row r="1415" spans="1:12" ht="15">
      <c r="A1415" s="21">
        <v>41131</v>
      </c>
      <c r="B1415" s="21">
        <v>41122</v>
      </c>
      <c r="C1415" s="17">
        <v>17</v>
      </c>
      <c r="D1415" s="17" t="s">
        <v>92</v>
      </c>
      <c r="E1415" s="18">
        <v>93188</v>
      </c>
      <c r="F1415" s="17" t="s">
        <v>91</v>
      </c>
      <c r="G1415" s="14">
        <v>847593.85</v>
      </c>
      <c r="H1415" s="14">
        <v>800802.89</v>
      </c>
      <c r="I1415" s="14">
        <v>800802.89</v>
      </c>
      <c r="J1415" s="22">
        <f>H1415*(1+Assumptions!$B$6+IF(F1415="Yes",Assumptions!$C$6,0))</f>
        <v>824826.9767</v>
      </c>
      <c r="K1415" s="22">
        <f>H1415*(1+Assumptions!$B$7+IF(F1415="Yes",Assumptions!$C$7,0))</f>
        <v>840843.03450000007</v>
      </c>
      <c r="L1415" s="22">
        <f>H1415*(1+Assumptions!$B$8+IF(F1415="Yes",Assumptions!$C$8,0))</f>
        <v>808810.91890000005</v>
      </c>
    </row>
    <row r="1416" spans="1:12" ht="15">
      <c r="A1416" s="21">
        <v>41131</v>
      </c>
      <c r="B1416" s="21">
        <v>41122</v>
      </c>
      <c r="C1416" s="17">
        <v>18</v>
      </c>
      <c r="D1416" s="17" t="s">
        <v>92</v>
      </c>
      <c r="E1416" s="18">
        <v>120653</v>
      </c>
      <c r="F1416" s="17" t="s">
        <v>91</v>
      </c>
      <c r="G1416" s="14">
        <v>967300.86</v>
      </c>
      <c r="H1416" s="14">
        <v>928362.1</v>
      </c>
      <c r="I1416" s="14">
        <v>928362.1</v>
      </c>
      <c r="J1416" s="22">
        <f>H1416*(1+Assumptions!$B$6+IF(F1416="Yes",Assumptions!$C$6,0))</f>
        <v>956212.96299999999</v>
      </c>
      <c r="K1416" s="22">
        <f>H1416*(1+Assumptions!$B$7+IF(F1416="Yes",Assumptions!$C$7,0))</f>
        <v>974780.20500000007</v>
      </c>
      <c r="L1416" s="22">
        <f>H1416*(1+Assumptions!$B$8+IF(F1416="Yes",Assumptions!$C$8,0))</f>
        <v>937645.72100000002</v>
      </c>
    </row>
    <row r="1417" spans="1:12" ht="15">
      <c r="A1417" s="21">
        <v>41131</v>
      </c>
      <c r="B1417" s="21">
        <v>41122</v>
      </c>
      <c r="C1417" s="17">
        <v>19</v>
      </c>
      <c r="D1417" s="17" t="s">
        <v>90</v>
      </c>
      <c r="E1417" s="18">
        <v>203819</v>
      </c>
      <c r="F1417" s="17" t="s">
        <v>91</v>
      </c>
      <c r="G1417" s="14">
        <v>1408897.85</v>
      </c>
      <c r="H1417" s="14">
        <v>1360879.45</v>
      </c>
      <c r="I1417" s="14">
        <v>1360879.45</v>
      </c>
      <c r="J1417" s="22">
        <f>H1417*(1+Assumptions!$B$6+IF(F1417="Yes",Assumptions!$C$6,0))</f>
        <v>1401705.8334999999</v>
      </c>
      <c r="K1417" s="22">
        <f>H1417*(1+Assumptions!$B$7+IF(F1417="Yes",Assumptions!$C$7,0))</f>
        <v>1428923.4225000001</v>
      </c>
      <c r="L1417" s="22">
        <f>H1417*(1+Assumptions!$B$8+IF(F1417="Yes",Assumptions!$C$8,0))</f>
        <v>1374488.2445</v>
      </c>
    </row>
    <row r="1418" spans="1:12" ht="15">
      <c r="A1418" s="21">
        <v>41131</v>
      </c>
      <c r="B1418" s="21">
        <v>41122</v>
      </c>
      <c r="C1418" s="17">
        <v>20</v>
      </c>
      <c r="D1418" s="17" t="s">
        <v>90</v>
      </c>
      <c r="E1418" s="18">
        <v>203742</v>
      </c>
      <c r="F1418" s="17" t="s">
        <v>91</v>
      </c>
      <c r="G1418" s="14">
        <v>2144245.33</v>
      </c>
      <c r="H1418" s="14">
        <v>2052216.37</v>
      </c>
      <c r="I1418" s="14">
        <v>2052216.37</v>
      </c>
      <c r="J1418" s="22">
        <f>H1418*(1+Assumptions!$B$6+IF(F1418="Yes",Assumptions!$C$6,0))</f>
        <v>2113782.8611000003</v>
      </c>
      <c r="K1418" s="22">
        <f>H1418*(1+Assumptions!$B$7+IF(F1418="Yes",Assumptions!$C$7,0))</f>
        <v>2154827.1885000002</v>
      </c>
      <c r="L1418" s="22">
        <f>H1418*(1+Assumptions!$B$8+IF(F1418="Yes",Assumptions!$C$8,0))</f>
        <v>2072738.5337</v>
      </c>
    </row>
    <row r="1419" spans="1:12" ht="15">
      <c r="A1419" s="21">
        <v>41131</v>
      </c>
      <c r="B1419" s="21">
        <v>41122</v>
      </c>
      <c r="C1419" s="17">
        <v>21</v>
      </c>
      <c r="D1419" s="17" t="s">
        <v>92</v>
      </c>
      <c r="E1419" s="18">
        <v>140167</v>
      </c>
      <c r="F1419" s="17" t="s">
        <v>91</v>
      </c>
      <c r="G1419" s="14">
        <v>700241.16</v>
      </c>
      <c r="H1419" s="14">
        <v>776933.37</v>
      </c>
      <c r="I1419" s="14">
        <v>776933.37</v>
      </c>
      <c r="J1419" s="22">
        <f>H1419*(1+Assumptions!$B$6+IF(F1419="Yes",Assumptions!$C$6,0))</f>
        <v>800241.37109999999</v>
      </c>
      <c r="K1419" s="22">
        <f>H1419*(1+Assumptions!$B$7+IF(F1419="Yes",Assumptions!$C$7,0))</f>
        <v>815780.03850000002</v>
      </c>
      <c r="L1419" s="22">
        <f>H1419*(1+Assumptions!$B$8+IF(F1419="Yes",Assumptions!$C$8,0))</f>
        <v>784702.70369999995</v>
      </c>
    </row>
    <row r="1420" spans="1:12" ht="15">
      <c r="A1420" s="21">
        <v>41131</v>
      </c>
      <c r="B1420" s="21">
        <v>41122</v>
      </c>
      <c r="C1420" s="17">
        <v>22</v>
      </c>
      <c r="D1420" s="17" t="s">
        <v>92</v>
      </c>
      <c r="E1420" s="18">
        <v>119557</v>
      </c>
      <c r="F1420" s="17" t="s">
        <v>91</v>
      </c>
      <c r="G1420" s="14">
        <v>973562.34</v>
      </c>
      <c r="H1420" s="14">
        <v>991826.57</v>
      </c>
      <c r="I1420" s="14">
        <v>991826.57</v>
      </c>
      <c r="J1420" s="22">
        <f>H1420*(1+Assumptions!$B$6+IF(F1420="Yes",Assumptions!$C$6,0))</f>
        <v>1021581.3670999999</v>
      </c>
      <c r="K1420" s="22">
        <f>H1420*(1+Assumptions!$B$7+IF(F1420="Yes",Assumptions!$C$7,0))</f>
        <v>1041417.8985</v>
      </c>
      <c r="L1420" s="22">
        <f>H1420*(1+Assumptions!$B$8+IF(F1420="Yes",Assumptions!$C$8,0))</f>
        <v>1001744.8356999999</v>
      </c>
    </row>
    <row r="1421" spans="1:12" ht="15">
      <c r="A1421" s="21">
        <v>41131</v>
      </c>
      <c r="B1421" s="21">
        <v>41122</v>
      </c>
      <c r="C1421" s="17">
        <v>23</v>
      </c>
      <c r="D1421" s="17" t="s">
        <v>92</v>
      </c>
      <c r="E1421" s="18">
        <v>114533</v>
      </c>
      <c r="F1421" s="17" t="s">
        <v>91</v>
      </c>
      <c r="G1421" s="14">
        <v>1436307.15</v>
      </c>
      <c r="H1421" s="14">
        <v>1380888.15</v>
      </c>
      <c r="I1421" s="14">
        <v>1380888.15</v>
      </c>
      <c r="J1421" s="22">
        <f>H1421*(1+Assumptions!$B$6+IF(F1421="Yes",Assumptions!$C$6,0))</f>
        <v>1422314.7944999998</v>
      </c>
      <c r="K1421" s="22">
        <f>H1421*(1+Assumptions!$B$7+IF(F1421="Yes",Assumptions!$C$7,0))</f>
        <v>1449932.5574999999</v>
      </c>
      <c r="L1421" s="22">
        <f>H1421*(1+Assumptions!$B$8+IF(F1421="Yes",Assumptions!$C$8,0))</f>
        <v>1394697.0314999998</v>
      </c>
    </row>
    <row r="1422" spans="1:12" ht="15">
      <c r="A1422" s="21">
        <v>41131</v>
      </c>
      <c r="B1422" s="21">
        <v>41122</v>
      </c>
      <c r="C1422" s="17">
        <v>24</v>
      </c>
      <c r="D1422" s="17" t="s">
        <v>90</v>
      </c>
      <c r="E1422" s="18">
        <v>203819</v>
      </c>
      <c r="F1422" s="17" t="s">
        <v>91</v>
      </c>
      <c r="G1422" s="14">
        <v>1497054.79</v>
      </c>
      <c r="H1422" s="14">
        <v>1402782.1</v>
      </c>
      <c r="I1422" s="14">
        <v>1402782.1</v>
      </c>
      <c r="J1422" s="22">
        <f>H1422*(1+Assumptions!$B$6+IF(F1422="Yes",Assumptions!$C$6,0))</f>
        <v>1444865.5630000001</v>
      </c>
      <c r="K1422" s="22">
        <f>H1422*(1+Assumptions!$B$7+IF(F1422="Yes",Assumptions!$C$7,0))</f>
        <v>1472921.2050000001</v>
      </c>
      <c r="L1422" s="22">
        <f>H1422*(1+Assumptions!$B$8+IF(F1422="Yes",Assumptions!$C$8,0))</f>
        <v>1416809.9210000001</v>
      </c>
    </row>
    <row r="1423" spans="1:12" ht="15">
      <c r="A1423" s="21">
        <v>41131</v>
      </c>
      <c r="B1423" s="21">
        <v>41122</v>
      </c>
      <c r="C1423" s="17">
        <v>25</v>
      </c>
      <c r="D1423" s="17" t="s">
        <v>92</v>
      </c>
      <c r="E1423" s="18">
        <v>128107</v>
      </c>
      <c r="F1423" s="17" t="s">
        <v>91</v>
      </c>
      <c r="G1423" s="14">
        <v>710313.98</v>
      </c>
      <c r="H1423" s="14">
        <v>667130.48</v>
      </c>
      <c r="I1423" s="14">
        <v>667130.48</v>
      </c>
      <c r="J1423" s="22">
        <f>H1423*(1+Assumptions!$B$6+IF(F1423="Yes",Assumptions!$C$6,0))</f>
        <v>687144.39439999999</v>
      </c>
      <c r="K1423" s="22">
        <f>H1423*(1+Assumptions!$B$7+IF(F1423="Yes",Assumptions!$C$7,0))</f>
        <v>700487.00399999996</v>
      </c>
      <c r="L1423" s="22">
        <f>H1423*(1+Assumptions!$B$8+IF(F1423="Yes",Assumptions!$C$8,0))</f>
        <v>673801.78480000002</v>
      </c>
    </row>
    <row r="1424" spans="1:12" ht="15">
      <c r="A1424" s="21">
        <v>41131</v>
      </c>
      <c r="B1424" s="21">
        <v>41122</v>
      </c>
      <c r="C1424" s="17">
        <v>26</v>
      </c>
      <c r="D1424" s="17" t="s">
        <v>90</v>
      </c>
      <c r="E1424" s="18">
        <v>152513</v>
      </c>
      <c r="F1424" s="17" t="s">
        <v>91</v>
      </c>
      <c r="G1424" s="14">
        <v>1121260.71</v>
      </c>
      <c r="H1424" s="14">
        <v>1087585</v>
      </c>
      <c r="I1424" s="14">
        <v>1087585</v>
      </c>
      <c r="J1424" s="22">
        <f>H1424*(1+Assumptions!$B$6+IF(F1424="Yes",Assumptions!$C$6,0))</f>
        <v>1120212.55</v>
      </c>
      <c r="K1424" s="22">
        <f>H1424*(1+Assumptions!$B$7+IF(F1424="Yes",Assumptions!$C$7,0))</f>
        <v>1141964.25</v>
      </c>
      <c r="L1424" s="22">
        <f>H1424*(1+Assumptions!$B$8+IF(F1424="Yes",Assumptions!$C$8,0))</f>
        <v>1098460.8500000001</v>
      </c>
    </row>
    <row r="1425" spans="1:12" ht="15">
      <c r="A1425" s="21">
        <v>41131</v>
      </c>
      <c r="B1425" s="21">
        <v>41122</v>
      </c>
      <c r="C1425" s="17">
        <v>27</v>
      </c>
      <c r="D1425" s="17" t="s">
        <v>90</v>
      </c>
      <c r="E1425" s="18">
        <v>204184</v>
      </c>
      <c r="F1425" s="17" t="s">
        <v>91</v>
      </c>
      <c r="G1425" s="14">
        <v>1720507.38</v>
      </c>
      <c r="H1425" s="14">
        <v>1758389.08</v>
      </c>
      <c r="I1425" s="14">
        <v>1758389.08</v>
      </c>
      <c r="J1425" s="22">
        <f>H1425*(1+Assumptions!$B$6+IF(F1425="Yes",Assumptions!$C$6,0))</f>
        <v>1811140.7524000001</v>
      </c>
      <c r="K1425" s="22">
        <f>H1425*(1+Assumptions!$B$7+IF(F1425="Yes",Assumptions!$C$7,0))</f>
        <v>1846308.5340000002</v>
      </c>
      <c r="L1425" s="22">
        <f>H1425*(1+Assumptions!$B$8+IF(F1425="Yes",Assumptions!$C$8,0))</f>
        <v>1775972.9708</v>
      </c>
    </row>
    <row r="1426" spans="1:12" ht="15">
      <c r="A1426" s="21">
        <v>41131</v>
      </c>
      <c r="B1426" s="21">
        <v>41122</v>
      </c>
      <c r="C1426" s="17">
        <v>28</v>
      </c>
      <c r="D1426" s="17" t="s">
        <v>90</v>
      </c>
      <c r="E1426" s="18">
        <v>206302</v>
      </c>
      <c r="F1426" s="17" t="s">
        <v>91</v>
      </c>
      <c r="G1426" s="14">
        <v>1269113.3900000001</v>
      </c>
      <c r="H1426" s="14">
        <v>1218741</v>
      </c>
      <c r="I1426" s="14">
        <v>1218741</v>
      </c>
      <c r="J1426" s="22">
        <f>H1426*(1+Assumptions!$B$6+IF(F1426="Yes",Assumptions!$C$6,0))</f>
        <v>1255303.23</v>
      </c>
      <c r="K1426" s="22">
        <f>H1426*(1+Assumptions!$B$7+IF(F1426="Yes",Assumptions!$C$7,0))</f>
        <v>1279678.05</v>
      </c>
      <c r="L1426" s="22">
        <f>H1426*(1+Assumptions!$B$8+IF(F1426="Yes",Assumptions!$C$8,0))</f>
        <v>1230928.4099999999</v>
      </c>
    </row>
    <row r="1427" spans="1:12" ht="15">
      <c r="A1427" s="21">
        <v>41131</v>
      </c>
      <c r="B1427" s="21">
        <v>41122</v>
      </c>
      <c r="C1427" s="17">
        <v>29</v>
      </c>
      <c r="D1427" s="17" t="s">
        <v>92</v>
      </c>
      <c r="E1427" s="18">
        <v>93638</v>
      </c>
      <c r="F1427" s="17" t="s">
        <v>91</v>
      </c>
      <c r="G1427" s="14">
        <v>518628.42</v>
      </c>
      <c r="H1427" s="14">
        <v>471311.5</v>
      </c>
      <c r="I1427" s="14">
        <v>471311.5</v>
      </c>
      <c r="J1427" s="22">
        <f>H1427*(1+Assumptions!$B$6+IF(F1427="Yes",Assumptions!$C$6,0))</f>
        <v>485450.84500000003</v>
      </c>
      <c r="K1427" s="22">
        <f>H1427*(1+Assumptions!$B$7+IF(F1427="Yes",Assumptions!$C$7,0))</f>
        <v>494877.07500000001</v>
      </c>
      <c r="L1427" s="22">
        <f>H1427*(1+Assumptions!$B$8+IF(F1427="Yes",Assumptions!$C$8,0))</f>
        <v>476024.61499999999</v>
      </c>
    </row>
    <row r="1428" spans="1:12" ht="15">
      <c r="A1428" s="21">
        <v>41131</v>
      </c>
      <c r="B1428" s="21">
        <v>41122</v>
      </c>
      <c r="C1428" s="17">
        <v>30</v>
      </c>
      <c r="D1428" s="17" t="s">
        <v>93</v>
      </c>
      <c r="E1428" s="18">
        <v>42988</v>
      </c>
      <c r="F1428" s="17" t="s">
        <v>91</v>
      </c>
      <c r="G1428" s="14">
        <v>430865.37</v>
      </c>
      <c r="H1428" s="14">
        <v>412025.33</v>
      </c>
      <c r="I1428" s="14">
        <v>412025.33</v>
      </c>
      <c r="J1428" s="22">
        <f>H1428*(1+Assumptions!$B$6+IF(F1428="Yes",Assumptions!$C$6,0))</f>
        <v>424386.08990000002</v>
      </c>
      <c r="K1428" s="22">
        <f>H1428*(1+Assumptions!$B$7+IF(F1428="Yes",Assumptions!$C$7,0))</f>
        <v>432626.59650000004</v>
      </c>
      <c r="L1428" s="22">
        <f>H1428*(1+Assumptions!$B$8+IF(F1428="Yes",Assumptions!$C$8,0))</f>
        <v>416145.5833</v>
      </c>
    </row>
    <row r="1429" spans="1:12" ht="15">
      <c r="A1429" s="21">
        <v>41131</v>
      </c>
      <c r="B1429" s="21">
        <v>41122</v>
      </c>
      <c r="C1429" s="17">
        <v>31</v>
      </c>
      <c r="D1429" s="17" t="s">
        <v>90</v>
      </c>
      <c r="E1429" s="18">
        <v>203750</v>
      </c>
      <c r="F1429" s="17" t="s">
        <v>91</v>
      </c>
      <c r="G1429" s="14">
        <v>1386462.54</v>
      </c>
      <c r="H1429" s="14">
        <v>1443291.49</v>
      </c>
      <c r="I1429" s="14">
        <v>1443291.49</v>
      </c>
      <c r="J1429" s="22">
        <f>H1429*(1+Assumptions!$B$6+IF(F1429="Yes",Assumptions!$C$6,0))</f>
        <v>1486590.2346999999</v>
      </c>
      <c r="K1429" s="22">
        <f>H1429*(1+Assumptions!$B$7+IF(F1429="Yes",Assumptions!$C$7,0))</f>
        <v>1515456.0645000001</v>
      </c>
      <c r="L1429" s="22">
        <f>H1429*(1+Assumptions!$B$8+IF(F1429="Yes",Assumptions!$C$8,0))</f>
        <v>1457724.4049</v>
      </c>
    </row>
    <row r="1430" spans="1:12" ht="15">
      <c r="A1430" s="21">
        <v>41131</v>
      </c>
      <c r="B1430" s="21">
        <v>41122</v>
      </c>
      <c r="C1430" s="17">
        <v>32</v>
      </c>
      <c r="D1430" s="17" t="s">
        <v>90</v>
      </c>
      <c r="E1430" s="18">
        <v>203007</v>
      </c>
      <c r="F1430" s="17" t="s">
        <v>91</v>
      </c>
      <c r="G1430" s="14">
        <v>1227439.24</v>
      </c>
      <c r="H1430" s="14">
        <v>1206795.6399999999</v>
      </c>
      <c r="I1430" s="14">
        <v>1206795.6399999999</v>
      </c>
      <c r="J1430" s="22">
        <f>H1430*(1+Assumptions!$B$6+IF(F1430="Yes",Assumptions!$C$6,0))</f>
        <v>1242999.5092</v>
      </c>
      <c r="K1430" s="22">
        <f>H1430*(1+Assumptions!$B$7+IF(F1430="Yes",Assumptions!$C$7,0))</f>
        <v>1267135.422</v>
      </c>
      <c r="L1430" s="22">
        <f>H1430*(1+Assumptions!$B$8+IF(F1430="Yes",Assumptions!$C$8,0))</f>
        <v>1218863.5963999999</v>
      </c>
    </row>
    <row r="1431" spans="1:12" ht="15">
      <c r="A1431" s="21">
        <v>41131</v>
      </c>
      <c r="B1431" s="21">
        <v>41122</v>
      </c>
      <c r="C1431" s="17">
        <v>33</v>
      </c>
      <c r="D1431" s="17" t="s">
        <v>90</v>
      </c>
      <c r="E1431" s="18">
        <v>39690</v>
      </c>
      <c r="F1431" s="17" t="s">
        <v>91</v>
      </c>
      <c r="G1431" s="14">
        <v>297727.49</v>
      </c>
      <c r="H1431" s="14">
        <v>274453.15000000002</v>
      </c>
      <c r="I1431" s="14">
        <v>274453.15000000002</v>
      </c>
      <c r="J1431" s="22">
        <f>H1431*(1+Assumptions!$B$6+IF(F1431="Yes",Assumptions!$C$6,0))</f>
        <v>282686.74450000003</v>
      </c>
      <c r="K1431" s="22">
        <f>H1431*(1+Assumptions!$B$7+IF(F1431="Yes",Assumptions!$C$7,0))</f>
        <v>288175.80750000005</v>
      </c>
      <c r="L1431" s="22">
        <f>H1431*(1+Assumptions!$B$8+IF(F1431="Yes",Assumptions!$C$8,0))</f>
        <v>277197.68150000001</v>
      </c>
    </row>
    <row r="1432" spans="1:12" ht="15">
      <c r="A1432" s="21">
        <v>41131</v>
      </c>
      <c r="B1432" s="21">
        <v>41122</v>
      </c>
      <c r="C1432" s="17">
        <v>34</v>
      </c>
      <c r="D1432" s="17" t="s">
        <v>90</v>
      </c>
      <c r="E1432" s="18">
        <v>158114</v>
      </c>
      <c r="F1432" s="17" t="s">
        <v>91</v>
      </c>
      <c r="G1432" s="14">
        <v>1003747.04</v>
      </c>
      <c r="H1432" s="14">
        <v>956215.27</v>
      </c>
      <c r="I1432" s="14">
        <v>956215.27</v>
      </c>
      <c r="J1432" s="22">
        <f>H1432*(1+Assumptions!$B$6+IF(F1432="Yes",Assumptions!$C$6,0))</f>
        <v>984901.72810000007</v>
      </c>
      <c r="K1432" s="22">
        <f>H1432*(1+Assumptions!$B$7+IF(F1432="Yes",Assumptions!$C$7,0))</f>
        <v>1004026.0335</v>
      </c>
      <c r="L1432" s="22">
        <f>H1432*(1+Assumptions!$B$8+IF(F1432="Yes",Assumptions!$C$8,0))</f>
        <v>965777.4227</v>
      </c>
    </row>
    <row r="1433" spans="1:12" ht="15">
      <c r="A1433" s="21">
        <v>41131</v>
      </c>
      <c r="B1433" s="21">
        <v>41122</v>
      </c>
      <c r="C1433" s="17">
        <v>35</v>
      </c>
      <c r="D1433" s="17" t="s">
        <v>92</v>
      </c>
      <c r="E1433" s="18">
        <v>103681</v>
      </c>
      <c r="F1433" s="17" t="s">
        <v>91</v>
      </c>
      <c r="G1433" s="14">
        <v>888368.8</v>
      </c>
      <c r="H1433" s="14">
        <v>819895.53</v>
      </c>
      <c r="I1433" s="14">
        <v>819895.53</v>
      </c>
      <c r="J1433" s="22">
        <f>H1433*(1+Assumptions!$B$6+IF(F1433="Yes",Assumptions!$C$6,0))</f>
        <v>844492.3959</v>
      </c>
      <c r="K1433" s="22">
        <f>H1433*(1+Assumptions!$B$7+IF(F1433="Yes",Assumptions!$C$7,0))</f>
        <v>860890.30650000006</v>
      </c>
      <c r="L1433" s="22">
        <f>H1433*(1+Assumptions!$B$8+IF(F1433="Yes",Assumptions!$C$8,0))</f>
        <v>828094.48530000006</v>
      </c>
    </row>
    <row r="1434" spans="1:12" ht="15">
      <c r="A1434" s="21">
        <v>41131</v>
      </c>
      <c r="B1434" s="21">
        <v>41122</v>
      </c>
      <c r="C1434" s="17">
        <v>36</v>
      </c>
      <c r="D1434" s="17" t="s">
        <v>90</v>
      </c>
      <c r="E1434" s="18">
        <v>39910</v>
      </c>
      <c r="F1434" s="17" t="s">
        <v>91</v>
      </c>
      <c r="G1434" s="14">
        <v>298932.28000000003</v>
      </c>
      <c r="H1434" s="14">
        <v>380094.85</v>
      </c>
      <c r="I1434" s="14">
        <v>380094.85</v>
      </c>
      <c r="J1434" s="22">
        <f>H1434*(1+Assumptions!$B$6+IF(F1434="Yes",Assumptions!$C$6,0))</f>
        <v>391497.69549999997</v>
      </c>
      <c r="K1434" s="22">
        <f>H1434*(1+Assumptions!$B$7+IF(F1434="Yes",Assumptions!$C$7,0))</f>
        <v>399099.59249999997</v>
      </c>
      <c r="L1434" s="22">
        <f>H1434*(1+Assumptions!$B$8+IF(F1434="Yes",Assumptions!$C$8,0))</f>
        <v>383895.79849999998</v>
      </c>
    </row>
    <row r="1435" spans="1:12" ht="15">
      <c r="A1435" s="21">
        <v>41131</v>
      </c>
      <c r="B1435" s="21">
        <v>41122</v>
      </c>
      <c r="C1435" s="17">
        <v>37</v>
      </c>
      <c r="D1435" s="17" t="s">
        <v>93</v>
      </c>
      <c r="E1435" s="18">
        <v>39910</v>
      </c>
      <c r="F1435" s="17" t="s">
        <v>91</v>
      </c>
      <c r="G1435" s="14">
        <v>500789.68</v>
      </c>
      <c r="H1435" s="14">
        <v>502503.42</v>
      </c>
      <c r="I1435" s="14">
        <v>502503.42</v>
      </c>
      <c r="J1435" s="22">
        <f>H1435*(1+Assumptions!$B$6+IF(F1435="Yes",Assumptions!$C$6,0))</f>
        <v>517578.52260000003</v>
      </c>
      <c r="K1435" s="22">
        <f>H1435*(1+Assumptions!$B$7+IF(F1435="Yes",Assumptions!$C$7,0))</f>
        <v>527628.59100000001</v>
      </c>
      <c r="L1435" s="22">
        <f>H1435*(1+Assumptions!$B$8+IF(F1435="Yes",Assumptions!$C$8,0))</f>
        <v>507528.45419999998</v>
      </c>
    </row>
    <row r="1436" spans="1:12" ht="15">
      <c r="A1436" s="21">
        <v>41131</v>
      </c>
      <c r="B1436" s="21">
        <v>41122</v>
      </c>
      <c r="C1436" s="17">
        <v>38</v>
      </c>
      <c r="D1436" s="17" t="s">
        <v>93</v>
      </c>
      <c r="E1436" s="18">
        <v>39690</v>
      </c>
      <c r="F1436" s="17" t="s">
        <v>91</v>
      </c>
      <c r="G1436" s="14">
        <v>436480.21</v>
      </c>
      <c r="H1436" s="14">
        <v>387844.05</v>
      </c>
      <c r="I1436" s="14">
        <v>387844.05</v>
      </c>
      <c r="J1436" s="22">
        <f>H1436*(1+Assumptions!$B$6+IF(F1436="Yes",Assumptions!$C$6,0))</f>
        <v>399479.37150000001</v>
      </c>
      <c r="K1436" s="22">
        <f>H1436*(1+Assumptions!$B$7+IF(F1436="Yes",Assumptions!$C$7,0))</f>
        <v>407236.2525</v>
      </c>
      <c r="L1436" s="22">
        <f>H1436*(1+Assumptions!$B$8+IF(F1436="Yes",Assumptions!$C$8,0))</f>
        <v>391722.49050000001</v>
      </c>
    </row>
    <row r="1437" spans="1:12" ht="15">
      <c r="A1437" s="21">
        <v>41131</v>
      </c>
      <c r="B1437" s="21">
        <v>41122</v>
      </c>
      <c r="C1437" s="17">
        <v>39</v>
      </c>
      <c r="D1437" s="17" t="s">
        <v>90</v>
      </c>
      <c r="E1437" s="18">
        <v>184109</v>
      </c>
      <c r="F1437" s="17" t="s">
        <v>91</v>
      </c>
      <c r="G1437" s="14">
        <v>1641790.14</v>
      </c>
      <c r="H1437" s="14">
        <v>1514055.97</v>
      </c>
      <c r="I1437" s="14">
        <v>1514055.97</v>
      </c>
      <c r="J1437" s="22">
        <f>H1437*(1+Assumptions!$B$6+IF(F1437="Yes",Assumptions!$C$6,0))</f>
        <v>1559477.6491</v>
      </c>
      <c r="K1437" s="22">
        <f>H1437*(1+Assumptions!$B$7+IF(F1437="Yes",Assumptions!$C$7,0))</f>
        <v>1589758.7685</v>
      </c>
      <c r="L1437" s="22">
        <f>H1437*(1+Assumptions!$B$8+IF(F1437="Yes",Assumptions!$C$8,0))</f>
        <v>1529196.5297000001</v>
      </c>
    </row>
    <row r="1438" spans="1:12" ht="15">
      <c r="A1438" s="21">
        <v>41131</v>
      </c>
      <c r="B1438" s="21">
        <v>41122</v>
      </c>
      <c r="C1438" s="17">
        <v>40</v>
      </c>
      <c r="D1438" s="17" t="s">
        <v>90</v>
      </c>
      <c r="E1438" s="18">
        <v>155083</v>
      </c>
      <c r="F1438" s="17" t="s">
        <v>91</v>
      </c>
      <c r="G1438" s="14">
        <v>1007906.37</v>
      </c>
      <c r="H1438" s="14">
        <v>955506.85</v>
      </c>
      <c r="I1438" s="14">
        <v>955506.85</v>
      </c>
      <c r="J1438" s="22">
        <f>H1438*(1+Assumptions!$B$6+IF(F1438="Yes",Assumptions!$C$6,0))</f>
        <v>984172.05550000002</v>
      </c>
      <c r="K1438" s="22">
        <f>H1438*(1+Assumptions!$B$7+IF(F1438="Yes",Assumptions!$C$7,0))</f>
        <v>1003282.1925</v>
      </c>
      <c r="L1438" s="22">
        <f>H1438*(1+Assumptions!$B$8+IF(F1438="Yes",Assumptions!$C$8,0))</f>
        <v>965061.91850000003</v>
      </c>
    </row>
    <row r="1439" spans="1:12" ht="15">
      <c r="A1439" s="21">
        <v>41131</v>
      </c>
      <c r="B1439" s="21">
        <v>41122</v>
      </c>
      <c r="C1439" s="17">
        <v>41</v>
      </c>
      <c r="D1439" s="17" t="s">
        <v>90</v>
      </c>
      <c r="E1439" s="18">
        <v>196321</v>
      </c>
      <c r="F1439" s="17" t="s">
        <v>91</v>
      </c>
      <c r="G1439" s="14">
        <v>1504453.32</v>
      </c>
      <c r="H1439" s="14">
        <v>1356689.88</v>
      </c>
      <c r="I1439" s="14">
        <v>1356689.88</v>
      </c>
      <c r="J1439" s="22">
        <f>H1439*(1+Assumptions!$B$6+IF(F1439="Yes",Assumptions!$C$6,0))</f>
        <v>1397390.5763999999</v>
      </c>
      <c r="K1439" s="22">
        <f>H1439*(1+Assumptions!$B$7+IF(F1439="Yes",Assumptions!$C$7,0))</f>
        <v>1424524.3739999998</v>
      </c>
      <c r="L1439" s="22">
        <f>H1439*(1+Assumptions!$B$8+IF(F1439="Yes",Assumptions!$C$8,0))</f>
        <v>1370256.7788</v>
      </c>
    </row>
    <row r="1440" spans="1:12" ht="15">
      <c r="A1440" s="21">
        <v>41131</v>
      </c>
      <c r="B1440" s="21">
        <v>41122</v>
      </c>
      <c r="C1440" s="17">
        <v>42</v>
      </c>
      <c r="D1440" s="17" t="s">
        <v>93</v>
      </c>
      <c r="E1440" s="18">
        <v>39690</v>
      </c>
      <c r="F1440" s="17" t="s">
        <v>91</v>
      </c>
      <c r="G1440" s="14">
        <v>576372.65</v>
      </c>
      <c r="H1440" s="14">
        <v>603062.57000000007</v>
      </c>
      <c r="I1440" s="14">
        <v>603062.57000000007</v>
      </c>
      <c r="J1440" s="22">
        <f>H1440*(1+Assumptions!$B$6+IF(F1440="Yes",Assumptions!$C$6,0))</f>
        <v>621154.44710000011</v>
      </c>
      <c r="K1440" s="22">
        <f>H1440*(1+Assumptions!$B$7+IF(F1440="Yes",Assumptions!$C$7,0))</f>
        <v>633215.69850000006</v>
      </c>
      <c r="L1440" s="22">
        <f>H1440*(1+Assumptions!$B$8+IF(F1440="Yes",Assumptions!$C$8,0))</f>
        <v>609093.19570000004</v>
      </c>
    </row>
    <row r="1441" spans="1:12" ht="15">
      <c r="A1441" s="21">
        <v>41131</v>
      </c>
      <c r="B1441" s="21">
        <v>41122</v>
      </c>
      <c r="C1441" s="17">
        <v>43</v>
      </c>
      <c r="D1441" s="17" t="s">
        <v>93</v>
      </c>
      <c r="E1441" s="18">
        <v>41062</v>
      </c>
      <c r="F1441" s="17" t="s">
        <v>91</v>
      </c>
      <c r="G1441" s="14">
        <v>643254.05000000005</v>
      </c>
      <c r="H1441" s="14">
        <v>595609.09</v>
      </c>
      <c r="I1441" s="14">
        <v>595609.09</v>
      </c>
      <c r="J1441" s="22">
        <f>H1441*(1+Assumptions!$B$6+IF(F1441="Yes",Assumptions!$C$6,0))</f>
        <v>613477.36269999994</v>
      </c>
      <c r="K1441" s="22">
        <f>H1441*(1+Assumptions!$B$7+IF(F1441="Yes",Assumptions!$C$7,0))</f>
        <v>625389.54449999996</v>
      </c>
      <c r="L1441" s="22">
        <f>H1441*(1+Assumptions!$B$8+IF(F1441="Yes",Assumptions!$C$8,0))</f>
        <v>601565.18089999992</v>
      </c>
    </row>
    <row r="1442" spans="1:12" ht="15">
      <c r="A1442" s="21">
        <v>41131</v>
      </c>
      <c r="B1442" s="21">
        <v>41122</v>
      </c>
      <c r="C1442" s="17">
        <v>44</v>
      </c>
      <c r="D1442" s="17" t="s">
        <v>93</v>
      </c>
      <c r="E1442" s="18">
        <v>39910</v>
      </c>
      <c r="F1442" s="17" t="s">
        <v>91</v>
      </c>
      <c r="G1442" s="14">
        <v>333397.40000000002</v>
      </c>
      <c r="H1442" s="14">
        <v>290399.65999999997</v>
      </c>
      <c r="I1442" s="14">
        <v>290399.65999999997</v>
      </c>
      <c r="J1442" s="22">
        <f>H1442*(1+Assumptions!$B$6+IF(F1442="Yes",Assumptions!$C$6,0))</f>
        <v>299111.64979999996</v>
      </c>
      <c r="K1442" s="22">
        <f>H1442*(1+Assumptions!$B$7+IF(F1442="Yes",Assumptions!$C$7,0))</f>
        <v>304919.64299999998</v>
      </c>
      <c r="L1442" s="22">
        <f>H1442*(1+Assumptions!$B$8+IF(F1442="Yes",Assumptions!$C$8,0))</f>
        <v>293303.65659999999</v>
      </c>
    </row>
    <row r="1443" spans="1:12" ht="15">
      <c r="A1443" s="21">
        <v>41131</v>
      </c>
      <c r="B1443" s="21">
        <v>41122</v>
      </c>
      <c r="C1443" s="17">
        <v>45</v>
      </c>
      <c r="D1443" s="17" t="s">
        <v>92</v>
      </c>
      <c r="E1443" s="18">
        <v>118221</v>
      </c>
      <c r="F1443" s="17" t="s">
        <v>91</v>
      </c>
      <c r="G1443" s="14">
        <v>733037.32</v>
      </c>
      <c r="H1443" s="14">
        <v>724168.95</v>
      </c>
      <c r="I1443" s="14">
        <v>724168.95</v>
      </c>
      <c r="J1443" s="22">
        <f>H1443*(1+Assumptions!$B$6+IF(F1443="Yes",Assumptions!$C$6,0))</f>
        <v>745894.01850000001</v>
      </c>
      <c r="K1443" s="22">
        <f>H1443*(1+Assumptions!$B$7+IF(F1443="Yes",Assumptions!$C$7,0))</f>
        <v>760377.39749999996</v>
      </c>
      <c r="L1443" s="22">
        <f>H1443*(1+Assumptions!$B$8+IF(F1443="Yes",Assumptions!$C$8,0))</f>
        <v>731410.63949999993</v>
      </c>
    </row>
    <row r="1444" spans="1:12" ht="15">
      <c r="A1444" s="21">
        <v>41138</v>
      </c>
      <c r="B1444" s="21">
        <v>41122</v>
      </c>
      <c r="C1444" s="17">
        <v>1</v>
      </c>
      <c r="D1444" s="17" t="s">
        <v>90</v>
      </c>
      <c r="E1444" s="18">
        <v>151315</v>
      </c>
      <c r="F1444" s="17" t="s">
        <v>91</v>
      </c>
      <c r="G1444" s="14">
        <v>1597858.08</v>
      </c>
      <c r="H1444" s="14">
        <v>1530761.43</v>
      </c>
      <c r="I1444" s="14">
        <v>1530761.43</v>
      </c>
      <c r="J1444" s="22">
        <f>H1444*(1+Assumptions!$B$6+IF(F1444="Yes",Assumptions!$C$6,0))</f>
        <v>1576684.2729</v>
      </c>
      <c r="K1444" s="22">
        <f>H1444*(1+Assumptions!$B$7+IF(F1444="Yes",Assumptions!$C$7,0))</f>
        <v>1607299.5015</v>
      </c>
      <c r="L1444" s="22">
        <f>H1444*(1+Assumptions!$B$8+IF(F1444="Yes",Assumptions!$C$8,0))</f>
        <v>1546069.0443</v>
      </c>
    </row>
    <row r="1445" spans="1:12" ht="15">
      <c r="A1445" s="21">
        <v>41138</v>
      </c>
      <c r="B1445" s="21">
        <v>41122</v>
      </c>
      <c r="C1445" s="17">
        <v>2</v>
      </c>
      <c r="D1445" s="17" t="s">
        <v>90</v>
      </c>
      <c r="E1445" s="18">
        <v>202307</v>
      </c>
      <c r="F1445" s="17" t="s">
        <v>91</v>
      </c>
      <c r="G1445" s="14">
        <v>1928003.07</v>
      </c>
      <c r="H1445" s="14">
        <v>1844094.59</v>
      </c>
      <c r="I1445" s="14">
        <v>1844094.59</v>
      </c>
      <c r="J1445" s="22">
        <f>H1445*(1+Assumptions!$B$6+IF(F1445="Yes",Assumptions!$C$6,0))</f>
        <v>1899417.4277000001</v>
      </c>
      <c r="K1445" s="22">
        <f>H1445*(1+Assumptions!$B$7+IF(F1445="Yes",Assumptions!$C$7,0))</f>
        <v>1936299.3195000002</v>
      </c>
      <c r="L1445" s="22">
        <f>H1445*(1+Assumptions!$B$8+IF(F1445="Yes",Assumptions!$C$8,0))</f>
        <v>1862535.5359</v>
      </c>
    </row>
    <row r="1446" spans="1:12" ht="15">
      <c r="A1446" s="21">
        <v>41138</v>
      </c>
      <c r="B1446" s="21">
        <v>41122</v>
      </c>
      <c r="C1446" s="17">
        <v>3</v>
      </c>
      <c r="D1446" s="17" t="s">
        <v>92</v>
      </c>
      <c r="E1446" s="18">
        <v>37392</v>
      </c>
      <c r="F1446" s="17" t="s">
        <v>91</v>
      </c>
      <c r="G1446" s="14">
        <v>394843.9</v>
      </c>
      <c r="H1446" s="14">
        <v>379694.83</v>
      </c>
      <c r="I1446" s="14">
        <v>379694.83</v>
      </c>
      <c r="J1446" s="22">
        <f>H1446*(1+Assumptions!$B$6+IF(F1446="Yes",Assumptions!$C$6,0))</f>
        <v>391085.67490000004</v>
      </c>
      <c r="K1446" s="22">
        <f>H1446*(1+Assumptions!$B$7+IF(F1446="Yes",Assumptions!$C$7,0))</f>
        <v>398679.57150000002</v>
      </c>
      <c r="L1446" s="22">
        <f>H1446*(1+Assumptions!$B$8+IF(F1446="Yes",Assumptions!$C$8,0))</f>
        <v>383491.77830000001</v>
      </c>
    </row>
    <row r="1447" spans="1:12" ht="15">
      <c r="A1447" s="21">
        <v>41138</v>
      </c>
      <c r="B1447" s="21">
        <v>41122</v>
      </c>
      <c r="C1447" s="17">
        <v>4</v>
      </c>
      <c r="D1447" s="17" t="s">
        <v>90</v>
      </c>
      <c r="E1447" s="18">
        <v>205863</v>
      </c>
      <c r="F1447" s="17" t="s">
        <v>91</v>
      </c>
      <c r="G1447" s="14">
        <v>2283482.1</v>
      </c>
      <c r="H1447" s="14">
        <v>2232892.1</v>
      </c>
      <c r="I1447" s="14">
        <v>2232892.1</v>
      </c>
      <c r="J1447" s="22">
        <f>H1447*(1+Assumptions!$B$6+IF(F1447="Yes",Assumptions!$C$6,0))</f>
        <v>2299878.8630000004</v>
      </c>
      <c r="K1447" s="22">
        <f>H1447*(1+Assumptions!$B$7+IF(F1447="Yes",Assumptions!$C$7,0))</f>
        <v>2344536.7050000001</v>
      </c>
      <c r="L1447" s="22">
        <f>H1447*(1+Assumptions!$B$8+IF(F1447="Yes",Assumptions!$C$8,0))</f>
        <v>2255221.0210000002</v>
      </c>
    </row>
    <row r="1448" spans="1:12" ht="15">
      <c r="A1448" s="21">
        <v>41138</v>
      </c>
      <c r="B1448" s="21">
        <v>41122</v>
      </c>
      <c r="C1448" s="17">
        <v>5</v>
      </c>
      <c r="D1448" s="17" t="s">
        <v>92</v>
      </c>
      <c r="E1448" s="18">
        <v>34875</v>
      </c>
      <c r="F1448" s="17" t="s">
        <v>91</v>
      </c>
      <c r="G1448" s="14">
        <v>313989.24</v>
      </c>
      <c r="H1448" s="14">
        <v>302326.93</v>
      </c>
      <c r="I1448" s="14">
        <v>302326.93</v>
      </c>
      <c r="J1448" s="22">
        <f>H1448*(1+Assumptions!$B$6+IF(F1448="Yes",Assumptions!$C$6,0))</f>
        <v>311396.73790000001</v>
      </c>
      <c r="K1448" s="22">
        <f>H1448*(1+Assumptions!$B$7+IF(F1448="Yes",Assumptions!$C$7,0))</f>
        <v>317443.27649999998</v>
      </c>
      <c r="L1448" s="22">
        <f>H1448*(1+Assumptions!$B$8+IF(F1448="Yes",Assumptions!$C$8,0))</f>
        <v>305350.19929999998</v>
      </c>
    </row>
    <row r="1449" spans="1:12" ht="15">
      <c r="A1449" s="21">
        <v>41138</v>
      </c>
      <c r="B1449" s="21">
        <v>41122</v>
      </c>
      <c r="C1449" s="17">
        <v>6</v>
      </c>
      <c r="D1449" s="17" t="s">
        <v>90</v>
      </c>
      <c r="E1449" s="18">
        <v>202505</v>
      </c>
      <c r="F1449" s="17" t="s">
        <v>91</v>
      </c>
      <c r="G1449" s="14">
        <v>1543049.52</v>
      </c>
      <c r="H1449" s="14">
        <v>1493520.1</v>
      </c>
      <c r="I1449" s="14">
        <v>1493520.1</v>
      </c>
      <c r="J1449" s="22">
        <f>H1449*(1+Assumptions!$B$6+IF(F1449="Yes",Assumptions!$C$6,0))</f>
        <v>1538325.7030000002</v>
      </c>
      <c r="K1449" s="22">
        <f>H1449*(1+Assumptions!$B$7+IF(F1449="Yes",Assumptions!$C$7,0))</f>
        <v>1568196.1050000002</v>
      </c>
      <c r="L1449" s="22">
        <f>H1449*(1+Assumptions!$B$8+IF(F1449="Yes",Assumptions!$C$8,0))</f>
        <v>1508455.3010000002</v>
      </c>
    </row>
    <row r="1450" spans="1:12" ht="15">
      <c r="A1450" s="21">
        <v>41138</v>
      </c>
      <c r="B1450" s="21">
        <v>41122</v>
      </c>
      <c r="C1450" s="17">
        <v>7</v>
      </c>
      <c r="D1450" s="17" t="s">
        <v>92</v>
      </c>
      <c r="E1450" s="18">
        <v>70713</v>
      </c>
      <c r="F1450" s="17" t="s">
        <v>91</v>
      </c>
      <c r="G1450" s="14">
        <v>642422.61</v>
      </c>
      <c r="H1450" s="14">
        <v>645106.21</v>
      </c>
      <c r="I1450" s="14">
        <v>645106.21</v>
      </c>
      <c r="J1450" s="22">
        <f>H1450*(1+Assumptions!$B$6+IF(F1450="Yes",Assumptions!$C$6,0))</f>
        <v>664459.39630000002</v>
      </c>
      <c r="K1450" s="22">
        <f>H1450*(1+Assumptions!$B$7+IF(F1450="Yes",Assumptions!$C$7,0))</f>
        <v>677361.52049999998</v>
      </c>
      <c r="L1450" s="22">
        <f>H1450*(1+Assumptions!$B$8+IF(F1450="Yes",Assumptions!$C$8,0))</f>
        <v>651557.27209999994</v>
      </c>
    </row>
    <row r="1451" spans="1:12" ht="15">
      <c r="A1451" s="21">
        <v>41138</v>
      </c>
      <c r="B1451" s="21">
        <v>41122</v>
      </c>
      <c r="C1451" s="17">
        <v>8</v>
      </c>
      <c r="D1451" s="17" t="s">
        <v>90</v>
      </c>
      <c r="E1451" s="18">
        <v>155078</v>
      </c>
      <c r="F1451" s="17" t="s">
        <v>91</v>
      </c>
      <c r="G1451" s="14">
        <v>896588.46</v>
      </c>
      <c r="H1451" s="14">
        <v>895066.5</v>
      </c>
      <c r="I1451" s="14">
        <v>895066.5</v>
      </c>
      <c r="J1451" s="22">
        <f>H1451*(1+Assumptions!$B$6+IF(F1451="Yes",Assumptions!$C$6,0))</f>
        <v>921918.495</v>
      </c>
      <c r="K1451" s="22">
        <f>H1451*(1+Assumptions!$B$7+IF(F1451="Yes",Assumptions!$C$7,0))</f>
        <v>939819.82500000007</v>
      </c>
      <c r="L1451" s="22">
        <f>H1451*(1+Assumptions!$B$8+IF(F1451="Yes",Assumptions!$C$8,0))</f>
        <v>904017.16500000004</v>
      </c>
    </row>
    <row r="1452" spans="1:12" ht="15">
      <c r="A1452" s="21">
        <v>41138</v>
      </c>
      <c r="B1452" s="21">
        <v>41122</v>
      </c>
      <c r="C1452" s="17">
        <v>9</v>
      </c>
      <c r="D1452" s="17" t="s">
        <v>92</v>
      </c>
      <c r="E1452" s="18">
        <v>125833</v>
      </c>
      <c r="F1452" s="17" t="s">
        <v>91</v>
      </c>
      <c r="G1452" s="14">
        <v>535153.47</v>
      </c>
      <c r="H1452" s="14">
        <v>540768.94999999995</v>
      </c>
      <c r="I1452" s="14">
        <v>540768.94999999995</v>
      </c>
      <c r="J1452" s="22">
        <f>H1452*(1+Assumptions!$B$6+IF(F1452="Yes",Assumptions!$C$6,0))</f>
        <v>556992.01850000001</v>
      </c>
      <c r="K1452" s="22">
        <f>H1452*(1+Assumptions!$B$7+IF(F1452="Yes",Assumptions!$C$7,0))</f>
        <v>567807.39749999996</v>
      </c>
      <c r="L1452" s="22">
        <f>H1452*(1+Assumptions!$B$8+IF(F1452="Yes",Assumptions!$C$8,0))</f>
        <v>546176.63949999993</v>
      </c>
    </row>
    <row r="1453" spans="1:12" ht="15">
      <c r="A1453" s="21">
        <v>41138</v>
      </c>
      <c r="B1453" s="21">
        <v>41122</v>
      </c>
      <c r="C1453" s="17">
        <v>10</v>
      </c>
      <c r="D1453" s="17" t="s">
        <v>92</v>
      </c>
      <c r="E1453" s="18">
        <v>126512</v>
      </c>
      <c r="F1453" s="17" t="s">
        <v>91</v>
      </c>
      <c r="G1453" s="14">
        <v>1827797.4</v>
      </c>
      <c r="H1453" s="14">
        <v>1954829.68</v>
      </c>
      <c r="I1453" s="14">
        <v>1954829.68</v>
      </c>
      <c r="J1453" s="22">
        <f>H1453*(1+Assumptions!$B$6+IF(F1453="Yes",Assumptions!$C$6,0))</f>
        <v>2013474.5704000001</v>
      </c>
      <c r="K1453" s="22">
        <f>H1453*(1+Assumptions!$B$7+IF(F1453="Yes",Assumptions!$C$7,0))</f>
        <v>2052571.1640000001</v>
      </c>
      <c r="L1453" s="22">
        <f>H1453*(1+Assumptions!$B$8+IF(F1453="Yes",Assumptions!$C$8,0))</f>
        <v>1974377.9768000001</v>
      </c>
    </row>
    <row r="1454" spans="1:12" ht="15">
      <c r="A1454" s="21">
        <v>41138</v>
      </c>
      <c r="B1454" s="21">
        <v>41122</v>
      </c>
      <c r="C1454" s="17">
        <v>11</v>
      </c>
      <c r="D1454" s="17" t="s">
        <v>90</v>
      </c>
      <c r="E1454" s="18">
        <v>207499</v>
      </c>
      <c r="F1454" s="17" t="s">
        <v>91</v>
      </c>
      <c r="G1454" s="14">
        <v>1421153.28</v>
      </c>
      <c r="H1454" s="14">
        <v>1484169.74</v>
      </c>
      <c r="I1454" s="14">
        <v>1484169.74</v>
      </c>
      <c r="J1454" s="22">
        <f>H1454*(1+Assumptions!$B$6+IF(F1454="Yes",Assumptions!$C$6,0))</f>
        <v>1528694.8322000001</v>
      </c>
      <c r="K1454" s="22">
        <f>H1454*(1+Assumptions!$B$7+IF(F1454="Yes",Assumptions!$C$7,0))</f>
        <v>1558378.227</v>
      </c>
      <c r="L1454" s="22">
        <f>H1454*(1+Assumptions!$B$8+IF(F1454="Yes",Assumptions!$C$8,0))</f>
        <v>1499011.4373999999</v>
      </c>
    </row>
    <row r="1455" spans="1:12" ht="15">
      <c r="A1455" s="21">
        <v>41138</v>
      </c>
      <c r="B1455" s="21">
        <v>41122</v>
      </c>
      <c r="C1455" s="17">
        <v>12</v>
      </c>
      <c r="D1455" s="17" t="s">
        <v>92</v>
      </c>
      <c r="E1455" s="18">
        <v>112238</v>
      </c>
      <c r="F1455" s="17" t="s">
        <v>91</v>
      </c>
      <c r="G1455" s="14">
        <v>1004862.12</v>
      </c>
      <c r="H1455" s="14">
        <v>966814.27</v>
      </c>
      <c r="I1455" s="14">
        <v>966814.27</v>
      </c>
      <c r="J1455" s="22">
        <f>H1455*(1+Assumptions!$B$6+IF(F1455="Yes",Assumptions!$C$6,0))</f>
        <v>995818.69810000004</v>
      </c>
      <c r="K1455" s="22">
        <f>H1455*(1+Assumptions!$B$7+IF(F1455="Yes",Assumptions!$C$7,0))</f>
        <v>1015154.9835000001</v>
      </c>
      <c r="L1455" s="22">
        <f>H1455*(1+Assumptions!$B$8+IF(F1455="Yes",Assumptions!$C$8,0))</f>
        <v>976482.41269999999</v>
      </c>
    </row>
    <row r="1456" spans="1:12" ht="15">
      <c r="A1456" s="21">
        <v>41138</v>
      </c>
      <c r="B1456" s="21">
        <v>41122</v>
      </c>
      <c r="C1456" s="17">
        <v>13</v>
      </c>
      <c r="D1456" s="17" t="s">
        <v>90</v>
      </c>
      <c r="E1456" s="18">
        <v>219622</v>
      </c>
      <c r="F1456" s="17" t="s">
        <v>91</v>
      </c>
      <c r="G1456" s="14">
        <v>2095769.18</v>
      </c>
      <c r="H1456" s="14">
        <v>2090311.02</v>
      </c>
      <c r="I1456" s="14">
        <v>2090311.02</v>
      </c>
      <c r="J1456" s="22">
        <f>H1456*(1+Assumptions!$B$6+IF(F1456="Yes",Assumptions!$C$6,0))</f>
        <v>2153020.3506</v>
      </c>
      <c r="K1456" s="22">
        <f>H1456*(1+Assumptions!$B$7+IF(F1456="Yes",Assumptions!$C$7,0))</f>
        <v>2194826.571</v>
      </c>
      <c r="L1456" s="22">
        <f>H1456*(1+Assumptions!$B$8+IF(F1456="Yes",Assumptions!$C$8,0))</f>
        <v>2111214.1302</v>
      </c>
    </row>
    <row r="1457" spans="1:12" ht="15">
      <c r="A1457" s="21">
        <v>41138</v>
      </c>
      <c r="B1457" s="21">
        <v>41122</v>
      </c>
      <c r="C1457" s="17">
        <v>14</v>
      </c>
      <c r="D1457" s="17" t="s">
        <v>90</v>
      </c>
      <c r="E1457" s="18">
        <v>200898</v>
      </c>
      <c r="F1457" s="17" t="s">
        <v>91</v>
      </c>
      <c r="G1457" s="14">
        <v>1660431.32</v>
      </c>
      <c r="H1457" s="14">
        <v>1896831.19</v>
      </c>
      <c r="I1457" s="14">
        <v>1896831.19</v>
      </c>
      <c r="J1457" s="22">
        <f>H1457*(1+Assumptions!$B$6+IF(F1457="Yes",Assumptions!$C$6,0))</f>
        <v>1953736.1257</v>
      </c>
      <c r="K1457" s="22">
        <f>H1457*(1+Assumptions!$B$7+IF(F1457="Yes",Assumptions!$C$7,0))</f>
        <v>1991672.7494999999</v>
      </c>
      <c r="L1457" s="22">
        <f>H1457*(1+Assumptions!$B$8+IF(F1457="Yes",Assumptions!$C$8,0))</f>
        <v>1915799.5019</v>
      </c>
    </row>
    <row r="1458" spans="1:12" ht="15">
      <c r="A1458" s="21">
        <v>41138</v>
      </c>
      <c r="B1458" s="21">
        <v>41122</v>
      </c>
      <c r="C1458" s="17">
        <v>15</v>
      </c>
      <c r="D1458" s="17" t="s">
        <v>92</v>
      </c>
      <c r="E1458" s="18">
        <v>123737</v>
      </c>
      <c r="F1458" s="17" t="s">
        <v>91</v>
      </c>
      <c r="G1458" s="14">
        <v>579735.19999999995</v>
      </c>
      <c r="H1458" s="14">
        <v>599464.86</v>
      </c>
      <c r="I1458" s="14">
        <v>599464.86</v>
      </c>
      <c r="J1458" s="22">
        <f>H1458*(1+Assumptions!$B$6+IF(F1458="Yes",Assumptions!$C$6,0))</f>
        <v>617448.80579999997</v>
      </c>
      <c r="K1458" s="22">
        <f>H1458*(1+Assumptions!$B$7+IF(F1458="Yes",Assumptions!$C$7,0))</f>
        <v>629438.103</v>
      </c>
      <c r="L1458" s="22">
        <f>H1458*(1+Assumptions!$B$8+IF(F1458="Yes",Assumptions!$C$8,0))</f>
        <v>605459.50859999994</v>
      </c>
    </row>
    <row r="1459" spans="1:12" ht="15">
      <c r="A1459" s="21">
        <v>41138</v>
      </c>
      <c r="B1459" s="21">
        <v>41122</v>
      </c>
      <c r="C1459" s="17">
        <v>16</v>
      </c>
      <c r="D1459" s="17" t="s">
        <v>92</v>
      </c>
      <c r="E1459" s="18">
        <v>57197</v>
      </c>
      <c r="F1459" s="17" t="s">
        <v>91</v>
      </c>
      <c r="G1459" s="14">
        <v>520547.8</v>
      </c>
      <c r="H1459" s="14">
        <v>554318.15</v>
      </c>
      <c r="I1459" s="14">
        <v>554318.15</v>
      </c>
      <c r="J1459" s="22">
        <f>H1459*(1+Assumptions!$B$6+IF(F1459="Yes",Assumptions!$C$6,0))</f>
        <v>570947.69449999998</v>
      </c>
      <c r="K1459" s="22">
        <f>H1459*(1+Assumptions!$B$7+IF(F1459="Yes",Assumptions!$C$7,0))</f>
        <v>582034.0575</v>
      </c>
      <c r="L1459" s="22">
        <f>H1459*(1+Assumptions!$B$8+IF(F1459="Yes",Assumptions!$C$8,0))</f>
        <v>559861.33149999997</v>
      </c>
    </row>
    <row r="1460" spans="1:12" ht="15">
      <c r="A1460" s="21">
        <v>41138</v>
      </c>
      <c r="B1460" s="21">
        <v>41122</v>
      </c>
      <c r="C1460" s="17">
        <v>17</v>
      </c>
      <c r="D1460" s="17" t="s">
        <v>92</v>
      </c>
      <c r="E1460" s="18">
        <v>93188</v>
      </c>
      <c r="F1460" s="17" t="s">
        <v>91</v>
      </c>
      <c r="G1460" s="14">
        <v>843907.77</v>
      </c>
      <c r="H1460" s="14">
        <v>797221.95</v>
      </c>
      <c r="I1460" s="14">
        <v>797221.95</v>
      </c>
      <c r="J1460" s="22">
        <f>H1460*(1+Assumptions!$B$6+IF(F1460="Yes",Assumptions!$C$6,0))</f>
        <v>821138.60849999997</v>
      </c>
      <c r="K1460" s="22">
        <f>H1460*(1+Assumptions!$B$7+IF(F1460="Yes",Assumptions!$C$7,0))</f>
        <v>837083.04749999999</v>
      </c>
      <c r="L1460" s="22">
        <f>H1460*(1+Assumptions!$B$8+IF(F1460="Yes",Assumptions!$C$8,0))</f>
        <v>805194.16949999996</v>
      </c>
    </row>
    <row r="1461" spans="1:12" ht="15">
      <c r="A1461" s="21">
        <v>41138</v>
      </c>
      <c r="B1461" s="21">
        <v>41122</v>
      </c>
      <c r="C1461" s="17">
        <v>18</v>
      </c>
      <c r="D1461" s="17" t="s">
        <v>92</v>
      </c>
      <c r="E1461" s="18">
        <v>120653</v>
      </c>
      <c r="F1461" s="17" t="s">
        <v>91</v>
      </c>
      <c r="G1461" s="14">
        <v>1042231.6799999999</v>
      </c>
      <c r="H1461" s="14">
        <v>932679.79</v>
      </c>
      <c r="I1461" s="14">
        <v>932679.79</v>
      </c>
      <c r="J1461" s="22">
        <f>H1461*(1+Assumptions!$B$6+IF(F1461="Yes",Assumptions!$C$6,0))</f>
        <v>960660.18370000005</v>
      </c>
      <c r="K1461" s="22">
        <f>H1461*(1+Assumptions!$B$7+IF(F1461="Yes",Assumptions!$C$7,0))</f>
        <v>979313.77950000006</v>
      </c>
      <c r="L1461" s="22">
        <f>H1461*(1+Assumptions!$B$8+IF(F1461="Yes",Assumptions!$C$8,0))</f>
        <v>942006.58790000004</v>
      </c>
    </row>
    <row r="1462" spans="1:12" ht="15">
      <c r="A1462" s="21">
        <v>41138</v>
      </c>
      <c r="B1462" s="21">
        <v>41122</v>
      </c>
      <c r="C1462" s="17">
        <v>19</v>
      </c>
      <c r="D1462" s="17" t="s">
        <v>90</v>
      </c>
      <c r="E1462" s="18">
        <v>203819</v>
      </c>
      <c r="F1462" s="17" t="s">
        <v>91</v>
      </c>
      <c r="G1462" s="14">
        <v>1375096.54</v>
      </c>
      <c r="H1462" s="14">
        <v>1391585.69</v>
      </c>
      <c r="I1462" s="14">
        <v>1391585.69</v>
      </c>
      <c r="J1462" s="22">
        <f>H1462*(1+Assumptions!$B$6+IF(F1462="Yes",Assumptions!$C$6,0))</f>
        <v>1433333.2607</v>
      </c>
      <c r="K1462" s="22">
        <f>H1462*(1+Assumptions!$B$7+IF(F1462="Yes",Assumptions!$C$7,0))</f>
        <v>1461164.9745</v>
      </c>
      <c r="L1462" s="22">
        <f>H1462*(1+Assumptions!$B$8+IF(F1462="Yes",Assumptions!$C$8,0))</f>
        <v>1405501.5469</v>
      </c>
    </row>
    <row r="1463" spans="1:12" ht="15">
      <c r="A1463" s="21">
        <v>41138</v>
      </c>
      <c r="B1463" s="21">
        <v>41122</v>
      </c>
      <c r="C1463" s="17">
        <v>20</v>
      </c>
      <c r="D1463" s="17" t="s">
        <v>90</v>
      </c>
      <c r="E1463" s="18">
        <v>203742</v>
      </c>
      <c r="F1463" s="17" t="s">
        <v>91</v>
      </c>
      <c r="G1463" s="14">
        <v>2045236.22</v>
      </c>
      <c r="H1463" s="14">
        <v>1989958.51</v>
      </c>
      <c r="I1463" s="14">
        <v>1989958.51</v>
      </c>
      <c r="J1463" s="22">
        <f>H1463*(1+Assumptions!$B$6+IF(F1463="Yes",Assumptions!$C$6,0))</f>
        <v>2049657.2653000001</v>
      </c>
      <c r="K1463" s="22">
        <f>H1463*(1+Assumptions!$B$7+IF(F1463="Yes",Assumptions!$C$7,0))</f>
        <v>2089456.4355000001</v>
      </c>
      <c r="L1463" s="22">
        <f>H1463*(1+Assumptions!$B$8+IF(F1463="Yes",Assumptions!$C$8,0))</f>
        <v>2009858.0951</v>
      </c>
    </row>
    <row r="1464" spans="1:12" ht="15">
      <c r="A1464" s="21">
        <v>41138</v>
      </c>
      <c r="B1464" s="21">
        <v>41122</v>
      </c>
      <c r="C1464" s="17">
        <v>21</v>
      </c>
      <c r="D1464" s="17" t="s">
        <v>92</v>
      </c>
      <c r="E1464" s="18">
        <v>140167</v>
      </c>
      <c r="F1464" s="17" t="s">
        <v>91</v>
      </c>
      <c r="G1464" s="14">
        <v>751953.87</v>
      </c>
      <c r="H1464" s="14">
        <v>855546.5</v>
      </c>
      <c r="I1464" s="14">
        <v>855546.5</v>
      </c>
      <c r="J1464" s="22">
        <f>H1464*(1+Assumptions!$B$6+IF(F1464="Yes",Assumptions!$C$6,0))</f>
        <v>881212.89500000002</v>
      </c>
      <c r="K1464" s="22">
        <f>H1464*(1+Assumptions!$B$7+IF(F1464="Yes",Assumptions!$C$7,0))</f>
        <v>898323.82500000007</v>
      </c>
      <c r="L1464" s="22">
        <f>H1464*(1+Assumptions!$B$8+IF(F1464="Yes",Assumptions!$C$8,0))</f>
        <v>864101.96499999997</v>
      </c>
    </row>
    <row r="1465" spans="1:12" ht="15">
      <c r="A1465" s="21">
        <v>41138</v>
      </c>
      <c r="B1465" s="21">
        <v>41122</v>
      </c>
      <c r="C1465" s="17">
        <v>22</v>
      </c>
      <c r="D1465" s="17" t="s">
        <v>92</v>
      </c>
      <c r="E1465" s="18">
        <v>119557</v>
      </c>
      <c r="F1465" s="17" t="s">
        <v>91</v>
      </c>
      <c r="G1465" s="14">
        <v>981272.26</v>
      </c>
      <c r="H1465" s="14">
        <v>973004.91</v>
      </c>
      <c r="I1465" s="14">
        <v>973004.91</v>
      </c>
      <c r="J1465" s="22">
        <f>H1465*(1+Assumptions!$B$6+IF(F1465="Yes",Assumptions!$C$6,0))</f>
        <v>1002195.0573000001</v>
      </c>
      <c r="K1465" s="22">
        <f>H1465*(1+Assumptions!$B$7+IF(F1465="Yes",Assumptions!$C$7,0))</f>
        <v>1021655.1555000001</v>
      </c>
      <c r="L1465" s="22">
        <f>H1465*(1+Assumptions!$B$8+IF(F1465="Yes",Assumptions!$C$8,0))</f>
        <v>982734.95910000009</v>
      </c>
    </row>
    <row r="1466" spans="1:12" ht="15">
      <c r="A1466" s="21">
        <v>41138</v>
      </c>
      <c r="B1466" s="21">
        <v>41122</v>
      </c>
      <c r="C1466" s="17">
        <v>23</v>
      </c>
      <c r="D1466" s="17" t="s">
        <v>92</v>
      </c>
      <c r="E1466" s="18">
        <v>114533</v>
      </c>
      <c r="F1466" s="17" t="s">
        <v>91</v>
      </c>
      <c r="G1466" s="14">
        <v>1510131.45</v>
      </c>
      <c r="H1466" s="14">
        <v>1453391.81</v>
      </c>
      <c r="I1466" s="14">
        <v>1453391.81</v>
      </c>
      <c r="J1466" s="22">
        <f>H1466*(1+Assumptions!$B$6+IF(F1466="Yes",Assumptions!$C$6,0))</f>
        <v>1496993.5643000002</v>
      </c>
      <c r="K1466" s="22">
        <f>H1466*(1+Assumptions!$B$7+IF(F1466="Yes",Assumptions!$C$7,0))</f>
        <v>1526061.4005000002</v>
      </c>
      <c r="L1466" s="22">
        <f>H1466*(1+Assumptions!$B$8+IF(F1466="Yes",Assumptions!$C$8,0))</f>
        <v>1467925.7281000002</v>
      </c>
    </row>
    <row r="1467" spans="1:12" ht="15">
      <c r="A1467" s="21">
        <v>41138</v>
      </c>
      <c r="B1467" s="21">
        <v>41122</v>
      </c>
      <c r="C1467" s="17">
        <v>24</v>
      </c>
      <c r="D1467" s="17" t="s">
        <v>90</v>
      </c>
      <c r="E1467" s="18">
        <v>203819</v>
      </c>
      <c r="F1467" s="17" t="s">
        <v>91</v>
      </c>
      <c r="G1467" s="14">
        <v>1397944.75</v>
      </c>
      <c r="H1467" s="14">
        <v>1352038.38</v>
      </c>
      <c r="I1467" s="14">
        <v>1352038.38</v>
      </c>
      <c r="J1467" s="22">
        <f>H1467*(1+Assumptions!$B$6+IF(F1467="Yes",Assumptions!$C$6,0))</f>
        <v>1392599.5314</v>
      </c>
      <c r="K1467" s="22">
        <f>H1467*(1+Assumptions!$B$7+IF(F1467="Yes",Assumptions!$C$7,0))</f>
        <v>1419640.2989999999</v>
      </c>
      <c r="L1467" s="22">
        <f>H1467*(1+Assumptions!$B$8+IF(F1467="Yes",Assumptions!$C$8,0))</f>
        <v>1365558.7637999998</v>
      </c>
    </row>
    <row r="1468" spans="1:12" ht="15">
      <c r="A1468" s="21">
        <v>41138</v>
      </c>
      <c r="B1468" s="21">
        <v>41122</v>
      </c>
      <c r="C1468" s="17">
        <v>25</v>
      </c>
      <c r="D1468" s="17" t="s">
        <v>92</v>
      </c>
      <c r="E1468" s="18">
        <v>128107</v>
      </c>
      <c r="F1468" s="17" t="s">
        <v>91</v>
      </c>
      <c r="G1468" s="14">
        <v>728467.72</v>
      </c>
      <c r="H1468" s="14">
        <v>688935.75</v>
      </c>
      <c r="I1468" s="14">
        <v>688935.75</v>
      </c>
      <c r="J1468" s="22">
        <f>H1468*(1+Assumptions!$B$6+IF(F1468="Yes",Assumptions!$C$6,0))</f>
        <v>709603.82250000001</v>
      </c>
      <c r="K1468" s="22">
        <f>H1468*(1+Assumptions!$B$7+IF(F1468="Yes",Assumptions!$C$7,0))</f>
        <v>723382.53749999998</v>
      </c>
      <c r="L1468" s="22">
        <f>H1468*(1+Assumptions!$B$8+IF(F1468="Yes",Assumptions!$C$8,0))</f>
        <v>695825.10750000004</v>
      </c>
    </row>
    <row r="1469" spans="1:12" ht="15">
      <c r="A1469" s="21">
        <v>41138</v>
      </c>
      <c r="B1469" s="21">
        <v>41122</v>
      </c>
      <c r="C1469" s="17">
        <v>26</v>
      </c>
      <c r="D1469" s="17" t="s">
        <v>90</v>
      </c>
      <c r="E1469" s="18">
        <v>152513</v>
      </c>
      <c r="F1469" s="17" t="s">
        <v>91</v>
      </c>
      <c r="G1469" s="14">
        <v>1067604.56</v>
      </c>
      <c r="H1469" s="14">
        <v>1021756.14</v>
      </c>
      <c r="I1469" s="14">
        <v>1021756.14</v>
      </c>
      <c r="J1469" s="22">
        <f>H1469*(1+Assumptions!$B$6+IF(F1469="Yes",Assumptions!$C$6,0))</f>
        <v>1052408.8242000001</v>
      </c>
      <c r="K1469" s="22">
        <f>H1469*(1+Assumptions!$B$7+IF(F1469="Yes",Assumptions!$C$7,0))</f>
        <v>1072843.9470000002</v>
      </c>
      <c r="L1469" s="22">
        <f>H1469*(1+Assumptions!$B$8+IF(F1469="Yes",Assumptions!$C$8,0))</f>
        <v>1031973.7014</v>
      </c>
    </row>
    <row r="1470" spans="1:12" ht="15">
      <c r="A1470" s="21">
        <v>41138</v>
      </c>
      <c r="B1470" s="21">
        <v>41122</v>
      </c>
      <c r="C1470" s="17">
        <v>27</v>
      </c>
      <c r="D1470" s="17" t="s">
        <v>90</v>
      </c>
      <c r="E1470" s="18">
        <v>204184</v>
      </c>
      <c r="F1470" s="17" t="s">
        <v>91</v>
      </c>
      <c r="G1470" s="14">
        <v>1735339.59</v>
      </c>
      <c r="H1470" s="14">
        <v>1781907.6</v>
      </c>
      <c r="I1470" s="14">
        <v>1781907.6</v>
      </c>
      <c r="J1470" s="22">
        <f>H1470*(1+Assumptions!$B$6+IF(F1470="Yes",Assumptions!$C$6,0))</f>
        <v>1835364.8280000002</v>
      </c>
      <c r="K1470" s="22">
        <f>H1470*(1+Assumptions!$B$7+IF(F1470="Yes",Assumptions!$C$7,0))</f>
        <v>1871002.9800000002</v>
      </c>
      <c r="L1470" s="22">
        <f>H1470*(1+Assumptions!$B$8+IF(F1470="Yes",Assumptions!$C$8,0))</f>
        <v>1799726.6760000002</v>
      </c>
    </row>
    <row r="1471" spans="1:12" ht="15">
      <c r="A1471" s="21">
        <v>41138</v>
      </c>
      <c r="B1471" s="21">
        <v>41122</v>
      </c>
      <c r="C1471" s="17">
        <v>28</v>
      </c>
      <c r="D1471" s="17" t="s">
        <v>90</v>
      </c>
      <c r="E1471" s="18">
        <v>206302</v>
      </c>
      <c r="F1471" s="17" t="s">
        <v>91</v>
      </c>
      <c r="G1471" s="14">
        <v>1184188.44</v>
      </c>
      <c r="H1471" s="14">
        <v>1199997.8</v>
      </c>
      <c r="I1471" s="14">
        <v>1199997.8</v>
      </c>
      <c r="J1471" s="22">
        <f>H1471*(1+Assumptions!$B$6+IF(F1471="Yes",Assumptions!$C$6,0))</f>
        <v>1235997.7340000002</v>
      </c>
      <c r="K1471" s="22">
        <f>H1471*(1+Assumptions!$B$7+IF(F1471="Yes",Assumptions!$C$7,0))</f>
        <v>1259997.6900000002</v>
      </c>
      <c r="L1471" s="22">
        <f>H1471*(1+Assumptions!$B$8+IF(F1471="Yes",Assumptions!$C$8,0))</f>
        <v>1211997.7780000002</v>
      </c>
    </row>
    <row r="1472" spans="1:12" ht="15">
      <c r="A1472" s="21">
        <v>41138</v>
      </c>
      <c r="B1472" s="21">
        <v>41122</v>
      </c>
      <c r="C1472" s="17">
        <v>29</v>
      </c>
      <c r="D1472" s="17" t="s">
        <v>92</v>
      </c>
      <c r="E1472" s="18">
        <v>93638</v>
      </c>
      <c r="F1472" s="17" t="s">
        <v>91</v>
      </c>
      <c r="G1472" s="14">
        <v>416881.66</v>
      </c>
      <c r="H1472" s="14">
        <v>497439.68</v>
      </c>
      <c r="I1472" s="14">
        <v>497439.68</v>
      </c>
      <c r="J1472" s="22">
        <f>H1472*(1+Assumptions!$B$6+IF(F1472="Yes",Assumptions!$C$6,0))</f>
        <v>512362.87040000001</v>
      </c>
      <c r="K1472" s="22">
        <f>H1472*(1+Assumptions!$B$7+IF(F1472="Yes",Assumptions!$C$7,0))</f>
        <v>522311.66399999999</v>
      </c>
      <c r="L1472" s="22">
        <f>H1472*(1+Assumptions!$B$8+IF(F1472="Yes",Assumptions!$C$8,0))</f>
        <v>502414.07679999998</v>
      </c>
    </row>
    <row r="1473" spans="1:12" ht="15">
      <c r="A1473" s="21">
        <v>41138</v>
      </c>
      <c r="B1473" s="21">
        <v>41122</v>
      </c>
      <c r="C1473" s="17">
        <v>30</v>
      </c>
      <c r="D1473" s="17" t="s">
        <v>93</v>
      </c>
      <c r="E1473" s="18">
        <v>42988</v>
      </c>
      <c r="F1473" s="17" t="s">
        <v>91</v>
      </c>
      <c r="G1473" s="14">
        <v>423293.15</v>
      </c>
      <c r="H1473" s="14">
        <v>414055.51</v>
      </c>
      <c r="I1473" s="14">
        <v>414055.51</v>
      </c>
      <c r="J1473" s="22">
        <f>H1473*(1+Assumptions!$B$6+IF(F1473="Yes",Assumptions!$C$6,0))</f>
        <v>426477.1753</v>
      </c>
      <c r="K1473" s="22">
        <f>H1473*(1+Assumptions!$B$7+IF(F1473="Yes",Assumptions!$C$7,0))</f>
        <v>434758.28550000006</v>
      </c>
      <c r="L1473" s="22">
        <f>H1473*(1+Assumptions!$B$8+IF(F1473="Yes",Assumptions!$C$8,0))</f>
        <v>418196.06510000001</v>
      </c>
    </row>
    <row r="1474" spans="1:12" ht="15">
      <c r="A1474" s="21">
        <v>41138</v>
      </c>
      <c r="B1474" s="21">
        <v>41122</v>
      </c>
      <c r="C1474" s="17">
        <v>31</v>
      </c>
      <c r="D1474" s="17" t="s">
        <v>90</v>
      </c>
      <c r="E1474" s="18">
        <v>203750</v>
      </c>
      <c r="F1474" s="17" t="s">
        <v>91</v>
      </c>
      <c r="G1474" s="14">
        <v>1410181.7</v>
      </c>
      <c r="H1474" s="14">
        <v>1487295.49</v>
      </c>
      <c r="I1474" s="14">
        <v>1487295.49</v>
      </c>
      <c r="J1474" s="22">
        <f>H1474*(1+Assumptions!$B$6+IF(F1474="Yes",Assumptions!$C$6,0))</f>
        <v>1531914.3547</v>
      </c>
      <c r="K1474" s="22">
        <f>H1474*(1+Assumptions!$B$7+IF(F1474="Yes",Assumptions!$C$7,0))</f>
        <v>1561660.2645</v>
      </c>
      <c r="L1474" s="22">
        <f>H1474*(1+Assumptions!$B$8+IF(F1474="Yes",Assumptions!$C$8,0))</f>
        <v>1502168.4449</v>
      </c>
    </row>
    <row r="1475" spans="1:12" ht="15">
      <c r="A1475" s="21">
        <v>41138</v>
      </c>
      <c r="B1475" s="21">
        <v>41122</v>
      </c>
      <c r="C1475" s="17">
        <v>32</v>
      </c>
      <c r="D1475" s="17" t="s">
        <v>90</v>
      </c>
      <c r="E1475" s="18">
        <v>203007</v>
      </c>
      <c r="F1475" s="17" t="s">
        <v>91</v>
      </c>
      <c r="G1475" s="14">
        <v>1261324.3699999999</v>
      </c>
      <c r="H1475" s="14">
        <v>1221316.23</v>
      </c>
      <c r="I1475" s="14">
        <v>1221316.23</v>
      </c>
      <c r="J1475" s="22">
        <f>H1475*(1+Assumptions!$B$6+IF(F1475="Yes",Assumptions!$C$6,0))</f>
        <v>1257955.7169000001</v>
      </c>
      <c r="K1475" s="22">
        <f>H1475*(1+Assumptions!$B$7+IF(F1475="Yes",Assumptions!$C$7,0))</f>
        <v>1282382.0415000001</v>
      </c>
      <c r="L1475" s="22">
        <f>H1475*(1+Assumptions!$B$8+IF(F1475="Yes",Assumptions!$C$8,0))</f>
        <v>1233529.3922999999</v>
      </c>
    </row>
    <row r="1476" spans="1:12" ht="15">
      <c r="A1476" s="21">
        <v>41138</v>
      </c>
      <c r="B1476" s="21">
        <v>41122</v>
      </c>
      <c r="C1476" s="17">
        <v>33</v>
      </c>
      <c r="D1476" s="17" t="s">
        <v>90</v>
      </c>
      <c r="E1476" s="18">
        <v>39690</v>
      </c>
      <c r="F1476" s="17" t="s">
        <v>91</v>
      </c>
      <c r="G1476" s="14">
        <v>270075.78999999998</v>
      </c>
      <c r="H1476" s="14">
        <v>242690.93</v>
      </c>
      <c r="I1476" s="14">
        <v>242690.93</v>
      </c>
      <c r="J1476" s="22">
        <f>H1476*(1+Assumptions!$B$6+IF(F1476="Yes",Assumptions!$C$6,0))</f>
        <v>249971.65789999999</v>
      </c>
      <c r="K1476" s="22">
        <f>H1476*(1+Assumptions!$B$7+IF(F1476="Yes",Assumptions!$C$7,0))</f>
        <v>254825.47649999999</v>
      </c>
      <c r="L1476" s="22">
        <f>H1476*(1+Assumptions!$B$8+IF(F1476="Yes",Assumptions!$C$8,0))</f>
        <v>245117.83929999999</v>
      </c>
    </row>
    <row r="1477" spans="1:12" ht="15">
      <c r="A1477" s="21">
        <v>41138</v>
      </c>
      <c r="B1477" s="21">
        <v>41122</v>
      </c>
      <c r="C1477" s="17">
        <v>34</v>
      </c>
      <c r="D1477" s="17" t="s">
        <v>90</v>
      </c>
      <c r="E1477" s="18">
        <v>158114</v>
      </c>
      <c r="F1477" s="17" t="s">
        <v>91</v>
      </c>
      <c r="G1477" s="14">
        <v>1013812.86</v>
      </c>
      <c r="H1477" s="14">
        <v>960403.07</v>
      </c>
      <c r="I1477" s="14">
        <v>960403.07</v>
      </c>
      <c r="J1477" s="22">
        <f>H1477*(1+Assumptions!$B$6+IF(F1477="Yes",Assumptions!$C$6,0))</f>
        <v>989215.16209999996</v>
      </c>
      <c r="K1477" s="22">
        <f>H1477*(1+Assumptions!$B$7+IF(F1477="Yes",Assumptions!$C$7,0))</f>
        <v>1008423.2235</v>
      </c>
      <c r="L1477" s="22">
        <f>H1477*(1+Assumptions!$B$8+IF(F1477="Yes",Assumptions!$C$8,0))</f>
        <v>970007.10069999995</v>
      </c>
    </row>
    <row r="1478" spans="1:12" ht="15">
      <c r="A1478" s="21">
        <v>41138</v>
      </c>
      <c r="B1478" s="21">
        <v>41122</v>
      </c>
      <c r="C1478" s="17">
        <v>35</v>
      </c>
      <c r="D1478" s="17" t="s">
        <v>92</v>
      </c>
      <c r="E1478" s="18">
        <v>103681</v>
      </c>
      <c r="F1478" s="17" t="s">
        <v>91</v>
      </c>
      <c r="G1478" s="14">
        <v>887973.13</v>
      </c>
      <c r="H1478" s="14">
        <v>820288.35</v>
      </c>
      <c r="I1478" s="14">
        <v>820288.35</v>
      </c>
      <c r="J1478" s="22">
        <f>H1478*(1+Assumptions!$B$6+IF(F1478="Yes",Assumptions!$C$6,0))</f>
        <v>844897.00049999997</v>
      </c>
      <c r="K1478" s="22">
        <f>H1478*(1+Assumptions!$B$7+IF(F1478="Yes",Assumptions!$C$7,0))</f>
        <v>861302.76749999996</v>
      </c>
      <c r="L1478" s="22">
        <f>H1478*(1+Assumptions!$B$8+IF(F1478="Yes",Assumptions!$C$8,0))</f>
        <v>828491.23349999997</v>
      </c>
    </row>
    <row r="1479" spans="1:12" ht="15">
      <c r="A1479" s="21">
        <v>41138</v>
      </c>
      <c r="B1479" s="21">
        <v>41122</v>
      </c>
      <c r="C1479" s="17">
        <v>36</v>
      </c>
      <c r="D1479" s="17" t="s">
        <v>90</v>
      </c>
      <c r="E1479" s="18">
        <v>39910</v>
      </c>
      <c r="F1479" s="17" t="s">
        <v>91</v>
      </c>
      <c r="G1479" s="14">
        <v>315042.73</v>
      </c>
      <c r="H1479" s="14">
        <v>373199.57999999996</v>
      </c>
      <c r="I1479" s="14">
        <v>373199.57999999996</v>
      </c>
      <c r="J1479" s="22">
        <f>H1479*(1+Assumptions!$B$6+IF(F1479="Yes",Assumptions!$C$6,0))</f>
        <v>384395.56739999994</v>
      </c>
      <c r="K1479" s="22">
        <f>H1479*(1+Assumptions!$B$7+IF(F1479="Yes",Assumptions!$C$7,0))</f>
        <v>391859.55899999995</v>
      </c>
      <c r="L1479" s="22">
        <f>H1479*(1+Assumptions!$B$8+IF(F1479="Yes",Assumptions!$C$8,0))</f>
        <v>376931.57579999993</v>
      </c>
    </row>
    <row r="1480" spans="1:12" ht="15">
      <c r="A1480" s="21">
        <v>41138</v>
      </c>
      <c r="B1480" s="21">
        <v>41122</v>
      </c>
      <c r="C1480" s="17">
        <v>37</v>
      </c>
      <c r="D1480" s="17" t="s">
        <v>93</v>
      </c>
      <c r="E1480" s="18">
        <v>39910</v>
      </c>
      <c r="F1480" s="17" t="s">
        <v>91</v>
      </c>
      <c r="G1480" s="14">
        <v>509401.84</v>
      </c>
      <c r="H1480" s="14">
        <v>506855.21</v>
      </c>
      <c r="I1480" s="14">
        <v>506855.21</v>
      </c>
      <c r="J1480" s="22">
        <f>H1480*(1+Assumptions!$B$6+IF(F1480="Yes",Assumptions!$C$6,0))</f>
        <v>522060.86630000005</v>
      </c>
      <c r="K1480" s="22">
        <f>H1480*(1+Assumptions!$B$7+IF(F1480="Yes",Assumptions!$C$7,0))</f>
        <v>532197.97050000005</v>
      </c>
      <c r="L1480" s="22">
        <f>H1480*(1+Assumptions!$B$8+IF(F1480="Yes",Assumptions!$C$8,0))</f>
        <v>511923.76210000005</v>
      </c>
    </row>
    <row r="1481" spans="1:12" ht="15">
      <c r="A1481" s="21">
        <v>41138</v>
      </c>
      <c r="B1481" s="21">
        <v>41122</v>
      </c>
      <c r="C1481" s="17">
        <v>38</v>
      </c>
      <c r="D1481" s="17" t="s">
        <v>93</v>
      </c>
      <c r="E1481" s="18">
        <v>39690</v>
      </c>
      <c r="F1481" s="17" t="s">
        <v>91</v>
      </c>
      <c r="G1481" s="14">
        <v>411809.92</v>
      </c>
      <c r="H1481" s="14">
        <v>362199.59</v>
      </c>
      <c r="I1481" s="14">
        <v>362199.59</v>
      </c>
      <c r="J1481" s="22">
        <f>H1481*(1+Assumptions!$B$6+IF(F1481="Yes",Assumptions!$C$6,0))</f>
        <v>373065.57770000002</v>
      </c>
      <c r="K1481" s="22">
        <f>H1481*(1+Assumptions!$B$7+IF(F1481="Yes",Assumptions!$C$7,0))</f>
        <v>380309.56950000004</v>
      </c>
      <c r="L1481" s="22">
        <f>H1481*(1+Assumptions!$B$8+IF(F1481="Yes",Assumptions!$C$8,0))</f>
        <v>365821.58590000001</v>
      </c>
    </row>
    <row r="1482" spans="1:12" ht="15">
      <c r="A1482" s="21">
        <v>41138</v>
      </c>
      <c r="B1482" s="21">
        <v>41122</v>
      </c>
      <c r="C1482" s="17">
        <v>39</v>
      </c>
      <c r="D1482" s="17" t="s">
        <v>90</v>
      </c>
      <c r="E1482" s="18">
        <v>184109</v>
      </c>
      <c r="F1482" s="17" t="s">
        <v>91</v>
      </c>
      <c r="G1482" s="14">
        <v>1720221.16</v>
      </c>
      <c r="H1482" s="14">
        <v>1629066.9</v>
      </c>
      <c r="I1482" s="14">
        <v>1629066.9</v>
      </c>
      <c r="J1482" s="22">
        <f>H1482*(1+Assumptions!$B$6+IF(F1482="Yes",Assumptions!$C$6,0))</f>
        <v>1677938.9069999999</v>
      </c>
      <c r="K1482" s="22">
        <f>H1482*(1+Assumptions!$B$7+IF(F1482="Yes",Assumptions!$C$7,0))</f>
        <v>1710520.2449999999</v>
      </c>
      <c r="L1482" s="22">
        <f>H1482*(1+Assumptions!$B$8+IF(F1482="Yes",Assumptions!$C$8,0))</f>
        <v>1645357.5689999999</v>
      </c>
    </row>
    <row r="1483" spans="1:12" ht="15">
      <c r="A1483" s="21">
        <v>41138</v>
      </c>
      <c r="B1483" s="21">
        <v>41122</v>
      </c>
      <c r="C1483" s="17">
        <v>40</v>
      </c>
      <c r="D1483" s="17" t="s">
        <v>90</v>
      </c>
      <c r="E1483" s="18">
        <v>155083</v>
      </c>
      <c r="F1483" s="17" t="s">
        <v>91</v>
      </c>
      <c r="G1483" s="14">
        <v>969387.48</v>
      </c>
      <c r="H1483" s="14">
        <v>942926.3</v>
      </c>
      <c r="I1483" s="14">
        <v>942926.3</v>
      </c>
      <c r="J1483" s="22">
        <f>H1483*(1+Assumptions!$B$6+IF(F1483="Yes",Assumptions!$C$6,0))</f>
        <v>971214.08900000004</v>
      </c>
      <c r="K1483" s="22">
        <f>H1483*(1+Assumptions!$B$7+IF(F1483="Yes",Assumptions!$C$7,0))</f>
        <v>990072.61500000011</v>
      </c>
      <c r="L1483" s="22">
        <f>H1483*(1+Assumptions!$B$8+IF(F1483="Yes",Assumptions!$C$8,0))</f>
        <v>952355.56300000008</v>
      </c>
    </row>
    <row r="1484" spans="1:12" ht="15">
      <c r="A1484" s="21">
        <v>41138</v>
      </c>
      <c r="B1484" s="21">
        <v>41122</v>
      </c>
      <c r="C1484" s="17">
        <v>41</v>
      </c>
      <c r="D1484" s="17" t="s">
        <v>90</v>
      </c>
      <c r="E1484" s="18">
        <v>196321</v>
      </c>
      <c r="F1484" s="17" t="s">
        <v>91</v>
      </c>
      <c r="G1484" s="14">
        <v>1559529.05</v>
      </c>
      <c r="H1484" s="14">
        <v>1412955.41</v>
      </c>
      <c r="I1484" s="14">
        <v>1412955.41</v>
      </c>
      <c r="J1484" s="22">
        <f>H1484*(1+Assumptions!$B$6+IF(F1484="Yes",Assumptions!$C$6,0))</f>
        <v>1455344.0722999999</v>
      </c>
      <c r="K1484" s="22">
        <f>H1484*(1+Assumptions!$B$7+IF(F1484="Yes",Assumptions!$C$7,0))</f>
        <v>1483603.1805</v>
      </c>
      <c r="L1484" s="22">
        <f>H1484*(1+Assumptions!$B$8+IF(F1484="Yes",Assumptions!$C$8,0))</f>
        <v>1427084.9641</v>
      </c>
    </row>
    <row r="1485" spans="1:12" ht="15">
      <c r="A1485" s="21">
        <v>41138</v>
      </c>
      <c r="B1485" s="21">
        <v>41122</v>
      </c>
      <c r="C1485" s="17">
        <v>42</v>
      </c>
      <c r="D1485" s="17" t="s">
        <v>93</v>
      </c>
      <c r="E1485" s="18">
        <v>39690</v>
      </c>
      <c r="F1485" s="17" t="s">
        <v>91</v>
      </c>
      <c r="G1485" s="14">
        <v>575804.4</v>
      </c>
      <c r="H1485" s="14">
        <v>526721.19999999995</v>
      </c>
      <c r="I1485" s="14">
        <v>526721.19999999995</v>
      </c>
      <c r="J1485" s="22">
        <f>H1485*(1+Assumptions!$B$6+IF(F1485="Yes",Assumptions!$C$6,0))</f>
        <v>542522.83600000001</v>
      </c>
      <c r="K1485" s="22">
        <f>H1485*(1+Assumptions!$B$7+IF(F1485="Yes",Assumptions!$C$7,0))</f>
        <v>553057.26</v>
      </c>
      <c r="L1485" s="22">
        <f>H1485*(1+Assumptions!$B$8+IF(F1485="Yes",Assumptions!$C$8,0))</f>
        <v>531988.41200000001</v>
      </c>
    </row>
    <row r="1486" spans="1:12" ht="15">
      <c r="A1486" s="21">
        <v>41138</v>
      </c>
      <c r="B1486" s="21">
        <v>41122</v>
      </c>
      <c r="C1486" s="17">
        <v>43</v>
      </c>
      <c r="D1486" s="17" t="s">
        <v>93</v>
      </c>
      <c r="E1486" s="18">
        <v>41062</v>
      </c>
      <c r="F1486" s="17" t="s">
        <v>91</v>
      </c>
      <c r="G1486" s="14">
        <v>639678.54</v>
      </c>
      <c r="H1486" s="14">
        <v>663373.42000000004</v>
      </c>
      <c r="I1486" s="14">
        <v>663373.42000000004</v>
      </c>
      <c r="J1486" s="22">
        <f>H1486*(1+Assumptions!$B$6+IF(F1486="Yes",Assumptions!$C$6,0))</f>
        <v>683274.62260000012</v>
      </c>
      <c r="K1486" s="22">
        <f>H1486*(1+Assumptions!$B$7+IF(F1486="Yes",Assumptions!$C$7,0))</f>
        <v>696542.09100000013</v>
      </c>
      <c r="L1486" s="22">
        <f>H1486*(1+Assumptions!$B$8+IF(F1486="Yes",Assumptions!$C$8,0))</f>
        <v>670007.15420000011</v>
      </c>
    </row>
    <row r="1487" spans="1:12" ht="15">
      <c r="A1487" s="21">
        <v>41138</v>
      </c>
      <c r="B1487" s="21">
        <v>41122</v>
      </c>
      <c r="C1487" s="17">
        <v>44</v>
      </c>
      <c r="D1487" s="17" t="s">
        <v>93</v>
      </c>
      <c r="E1487" s="18">
        <v>39910</v>
      </c>
      <c r="F1487" s="17" t="s">
        <v>91</v>
      </c>
      <c r="G1487" s="14">
        <v>327291.43</v>
      </c>
      <c r="H1487" s="14">
        <v>290842.3</v>
      </c>
      <c r="I1487" s="14">
        <v>290842.3</v>
      </c>
      <c r="J1487" s="22">
        <f>H1487*(1+Assumptions!$B$6+IF(F1487="Yes",Assumptions!$C$6,0))</f>
        <v>299567.56900000002</v>
      </c>
      <c r="K1487" s="22">
        <f>H1487*(1+Assumptions!$B$7+IF(F1487="Yes",Assumptions!$C$7,0))</f>
        <v>305384.41499999998</v>
      </c>
      <c r="L1487" s="22">
        <f>H1487*(1+Assumptions!$B$8+IF(F1487="Yes",Assumptions!$C$8,0))</f>
        <v>293750.723</v>
      </c>
    </row>
    <row r="1488" spans="1:12" ht="15">
      <c r="A1488" s="21">
        <v>41138</v>
      </c>
      <c r="B1488" s="21">
        <v>41122</v>
      </c>
      <c r="C1488" s="17">
        <v>45</v>
      </c>
      <c r="D1488" s="17" t="s">
        <v>92</v>
      </c>
      <c r="E1488" s="18">
        <v>118221</v>
      </c>
      <c r="F1488" s="17" t="s">
        <v>91</v>
      </c>
      <c r="G1488" s="14">
        <v>722496.92999999993</v>
      </c>
      <c r="H1488" s="14">
        <v>712293.66</v>
      </c>
      <c r="I1488" s="14">
        <v>712293.66</v>
      </c>
      <c r="J1488" s="22">
        <f>H1488*(1+Assumptions!$B$6+IF(F1488="Yes",Assumptions!$C$6,0))</f>
        <v>733662.46980000008</v>
      </c>
      <c r="K1488" s="22">
        <f>H1488*(1+Assumptions!$B$7+IF(F1488="Yes",Assumptions!$C$7,0))</f>
        <v>747908.34300000011</v>
      </c>
      <c r="L1488" s="22">
        <f>H1488*(1+Assumptions!$B$8+IF(F1488="Yes",Assumptions!$C$8,0))</f>
        <v>719416.59660000005</v>
      </c>
    </row>
    <row r="1489" spans="1:12" ht="15">
      <c r="A1489" s="21">
        <v>41145</v>
      </c>
      <c r="B1489" s="21">
        <v>41122</v>
      </c>
      <c r="C1489" s="17">
        <v>1</v>
      </c>
      <c r="D1489" s="17" t="s">
        <v>90</v>
      </c>
      <c r="E1489" s="18">
        <v>151315</v>
      </c>
      <c r="F1489" s="17" t="s">
        <v>91</v>
      </c>
      <c r="G1489" s="14">
        <v>1494122.38</v>
      </c>
      <c r="H1489" s="14">
        <v>1463734.55</v>
      </c>
      <c r="I1489" s="14">
        <v>1463734.55</v>
      </c>
      <c r="J1489" s="22">
        <f>H1489*(1+Assumptions!$B$6+IF(F1489="Yes",Assumptions!$C$6,0))</f>
        <v>1507646.5865</v>
      </c>
      <c r="K1489" s="22">
        <f>H1489*(1+Assumptions!$B$7+IF(F1489="Yes",Assumptions!$C$7,0))</f>
        <v>1536921.2775000001</v>
      </c>
      <c r="L1489" s="22">
        <f>H1489*(1+Assumptions!$B$8+IF(F1489="Yes",Assumptions!$C$8,0))</f>
        <v>1478371.8955000001</v>
      </c>
    </row>
    <row r="1490" spans="1:12" ht="15">
      <c r="A1490" s="21">
        <v>41145</v>
      </c>
      <c r="B1490" s="21">
        <v>41122</v>
      </c>
      <c r="C1490" s="17">
        <v>2</v>
      </c>
      <c r="D1490" s="17" t="s">
        <v>90</v>
      </c>
      <c r="E1490" s="18">
        <v>202307</v>
      </c>
      <c r="F1490" s="17" t="s">
        <v>91</v>
      </c>
      <c r="G1490" s="14">
        <v>1876788.15</v>
      </c>
      <c r="H1490" s="14">
        <v>1820928.07</v>
      </c>
      <c r="I1490" s="14">
        <v>1820928.07</v>
      </c>
      <c r="J1490" s="22">
        <f>H1490*(1+Assumptions!$B$6+IF(F1490="Yes",Assumptions!$C$6,0))</f>
        <v>1875555.9121000001</v>
      </c>
      <c r="K1490" s="22">
        <f>H1490*(1+Assumptions!$B$7+IF(F1490="Yes",Assumptions!$C$7,0))</f>
        <v>1911974.4735000001</v>
      </c>
      <c r="L1490" s="22">
        <f>H1490*(1+Assumptions!$B$8+IF(F1490="Yes",Assumptions!$C$8,0))</f>
        <v>1839137.3507000001</v>
      </c>
    </row>
    <row r="1491" spans="1:12" ht="15">
      <c r="A1491" s="21">
        <v>41145</v>
      </c>
      <c r="B1491" s="21">
        <v>41122</v>
      </c>
      <c r="C1491" s="17">
        <v>3</v>
      </c>
      <c r="D1491" s="17" t="s">
        <v>92</v>
      </c>
      <c r="E1491" s="18">
        <v>37392</v>
      </c>
      <c r="F1491" s="17" t="s">
        <v>91</v>
      </c>
      <c r="G1491" s="14">
        <v>412444.26</v>
      </c>
      <c r="H1491" s="14">
        <v>366367.55</v>
      </c>
      <c r="I1491" s="14">
        <v>366367.55</v>
      </c>
      <c r="J1491" s="22">
        <f>H1491*(1+Assumptions!$B$6+IF(F1491="Yes",Assumptions!$C$6,0))</f>
        <v>377358.57650000002</v>
      </c>
      <c r="K1491" s="22">
        <f>H1491*(1+Assumptions!$B$7+IF(F1491="Yes",Assumptions!$C$7,0))</f>
        <v>384685.92749999999</v>
      </c>
      <c r="L1491" s="22">
        <f>H1491*(1+Assumptions!$B$8+IF(F1491="Yes",Assumptions!$C$8,0))</f>
        <v>370031.2255</v>
      </c>
    </row>
    <row r="1492" spans="1:12" ht="15">
      <c r="A1492" s="21">
        <v>41145</v>
      </c>
      <c r="B1492" s="21">
        <v>41122</v>
      </c>
      <c r="C1492" s="17">
        <v>4</v>
      </c>
      <c r="D1492" s="17" t="s">
        <v>90</v>
      </c>
      <c r="E1492" s="18">
        <v>205863</v>
      </c>
      <c r="F1492" s="17" t="s">
        <v>91</v>
      </c>
      <c r="G1492" s="14">
        <v>2125231.21</v>
      </c>
      <c r="H1492" s="14">
        <v>1988490.21</v>
      </c>
      <c r="I1492" s="14">
        <v>1988490.21</v>
      </c>
      <c r="J1492" s="22">
        <f>H1492*(1+Assumptions!$B$6+IF(F1492="Yes",Assumptions!$C$6,0))</f>
        <v>2048144.9162999999</v>
      </c>
      <c r="K1492" s="22">
        <f>H1492*(1+Assumptions!$B$7+IF(F1492="Yes",Assumptions!$C$7,0))</f>
        <v>2087914.7205000001</v>
      </c>
      <c r="L1492" s="22">
        <f>H1492*(1+Assumptions!$B$8+IF(F1492="Yes",Assumptions!$C$8,0))</f>
        <v>2008375.1121</v>
      </c>
    </row>
    <row r="1493" spans="1:12" ht="15">
      <c r="A1493" s="21">
        <v>41145</v>
      </c>
      <c r="B1493" s="21">
        <v>41122</v>
      </c>
      <c r="C1493" s="17">
        <v>5</v>
      </c>
      <c r="D1493" s="17" t="s">
        <v>92</v>
      </c>
      <c r="E1493" s="18">
        <v>34875</v>
      </c>
      <c r="F1493" s="17" t="s">
        <v>91</v>
      </c>
      <c r="G1493" s="14">
        <v>320804.36</v>
      </c>
      <c r="H1493" s="14">
        <v>310318.2</v>
      </c>
      <c r="I1493" s="14">
        <v>310318.2</v>
      </c>
      <c r="J1493" s="22">
        <f>H1493*(1+Assumptions!$B$6+IF(F1493="Yes",Assumptions!$C$6,0))</f>
        <v>319627.74600000004</v>
      </c>
      <c r="K1493" s="22">
        <f>H1493*(1+Assumptions!$B$7+IF(F1493="Yes",Assumptions!$C$7,0))</f>
        <v>325834.11000000004</v>
      </c>
      <c r="L1493" s="22">
        <f>H1493*(1+Assumptions!$B$8+IF(F1493="Yes",Assumptions!$C$8,0))</f>
        <v>313421.38200000004</v>
      </c>
    </row>
    <row r="1494" spans="1:12" ht="15">
      <c r="A1494" s="21">
        <v>41145</v>
      </c>
      <c r="B1494" s="21">
        <v>41122</v>
      </c>
      <c r="C1494" s="17">
        <v>6</v>
      </c>
      <c r="D1494" s="17" t="s">
        <v>90</v>
      </c>
      <c r="E1494" s="18">
        <v>202505</v>
      </c>
      <c r="F1494" s="17" t="s">
        <v>91</v>
      </c>
      <c r="G1494" s="14">
        <v>1501095.49</v>
      </c>
      <c r="H1494" s="14">
        <v>1420381.47</v>
      </c>
      <c r="I1494" s="14">
        <v>1420381.47</v>
      </c>
      <c r="J1494" s="22">
        <f>H1494*(1+Assumptions!$B$6+IF(F1494="Yes",Assumptions!$C$6,0))</f>
        <v>1462992.9140999999</v>
      </c>
      <c r="K1494" s="22">
        <f>H1494*(1+Assumptions!$B$7+IF(F1494="Yes",Assumptions!$C$7,0))</f>
        <v>1491400.5435000001</v>
      </c>
      <c r="L1494" s="22">
        <f>H1494*(1+Assumptions!$B$8+IF(F1494="Yes",Assumptions!$C$8,0))</f>
        <v>1434585.2847</v>
      </c>
    </row>
    <row r="1495" spans="1:12" ht="15">
      <c r="A1495" s="21">
        <v>41145</v>
      </c>
      <c r="B1495" s="21">
        <v>41122</v>
      </c>
      <c r="C1495" s="17">
        <v>7</v>
      </c>
      <c r="D1495" s="17" t="s">
        <v>92</v>
      </c>
      <c r="E1495" s="18">
        <v>70713</v>
      </c>
      <c r="F1495" s="17" t="s">
        <v>91</v>
      </c>
      <c r="G1495" s="14">
        <v>609056.57999999996</v>
      </c>
      <c r="H1495" s="14">
        <v>629632.23</v>
      </c>
      <c r="I1495" s="14">
        <v>629632.23</v>
      </c>
      <c r="J1495" s="22">
        <f>H1495*(1+Assumptions!$B$6+IF(F1495="Yes",Assumptions!$C$6,0))</f>
        <v>648521.19689999998</v>
      </c>
      <c r="K1495" s="22">
        <f>H1495*(1+Assumptions!$B$7+IF(F1495="Yes",Assumptions!$C$7,0))</f>
        <v>661113.84149999998</v>
      </c>
      <c r="L1495" s="22">
        <f>H1495*(1+Assumptions!$B$8+IF(F1495="Yes",Assumptions!$C$8,0))</f>
        <v>635928.55229999998</v>
      </c>
    </row>
    <row r="1496" spans="1:12" ht="15">
      <c r="A1496" s="21">
        <v>41145</v>
      </c>
      <c r="B1496" s="21">
        <v>41122</v>
      </c>
      <c r="C1496" s="17">
        <v>8</v>
      </c>
      <c r="D1496" s="17" t="s">
        <v>90</v>
      </c>
      <c r="E1496" s="18">
        <v>155078</v>
      </c>
      <c r="F1496" s="17" t="s">
        <v>91</v>
      </c>
      <c r="G1496" s="14">
        <v>936373.65</v>
      </c>
      <c r="H1496" s="14">
        <v>912542.82</v>
      </c>
      <c r="I1496" s="14">
        <v>912542.82</v>
      </c>
      <c r="J1496" s="22">
        <f>H1496*(1+Assumptions!$B$6+IF(F1496="Yes",Assumptions!$C$6,0))</f>
        <v>939919.10459999996</v>
      </c>
      <c r="K1496" s="22">
        <f>H1496*(1+Assumptions!$B$7+IF(F1496="Yes",Assumptions!$C$7,0))</f>
        <v>958169.96100000001</v>
      </c>
      <c r="L1496" s="22">
        <f>H1496*(1+Assumptions!$B$8+IF(F1496="Yes",Assumptions!$C$8,0))</f>
        <v>921668.24819999991</v>
      </c>
    </row>
    <row r="1497" spans="1:12" ht="15">
      <c r="A1497" s="21">
        <v>41145</v>
      </c>
      <c r="B1497" s="21">
        <v>41122</v>
      </c>
      <c r="C1497" s="17">
        <v>9</v>
      </c>
      <c r="D1497" s="17" t="s">
        <v>92</v>
      </c>
      <c r="E1497" s="18">
        <v>125833</v>
      </c>
      <c r="F1497" s="17" t="s">
        <v>91</v>
      </c>
      <c r="G1497" s="14">
        <v>572893.05000000005</v>
      </c>
      <c r="H1497" s="14">
        <v>542573.16</v>
      </c>
      <c r="I1497" s="14">
        <v>542573.16</v>
      </c>
      <c r="J1497" s="22">
        <f>H1497*(1+Assumptions!$B$6+IF(F1497="Yes",Assumptions!$C$6,0))</f>
        <v>558850.35480000009</v>
      </c>
      <c r="K1497" s="22">
        <f>H1497*(1+Assumptions!$B$7+IF(F1497="Yes",Assumptions!$C$7,0))</f>
        <v>569701.81800000009</v>
      </c>
      <c r="L1497" s="22">
        <f>H1497*(1+Assumptions!$B$8+IF(F1497="Yes",Assumptions!$C$8,0))</f>
        <v>547998.89160000009</v>
      </c>
    </row>
    <row r="1498" spans="1:12" ht="15">
      <c r="A1498" s="21">
        <v>41145</v>
      </c>
      <c r="B1498" s="21">
        <v>41122</v>
      </c>
      <c r="C1498" s="17">
        <v>10</v>
      </c>
      <c r="D1498" s="17" t="s">
        <v>92</v>
      </c>
      <c r="E1498" s="18">
        <v>126512</v>
      </c>
      <c r="F1498" s="17" t="s">
        <v>91</v>
      </c>
      <c r="G1498" s="14">
        <v>1765252.85</v>
      </c>
      <c r="H1498" s="14">
        <v>1728397.09</v>
      </c>
      <c r="I1498" s="14">
        <v>1728397.09</v>
      </c>
      <c r="J1498" s="22">
        <f>H1498*(1+Assumptions!$B$6+IF(F1498="Yes",Assumptions!$C$6,0))</f>
        <v>1780249.0027000001</v>
      </c>
      <c r="K1498" s="22">
        <f>H1498*(1+Assumptions!$B$7+IF(F1498="Yes",Assumptions!$C$7,0))</f>
        <v>1814816.9445000002</v>
      </c>
      <c r="L1498" s="22">
        <f>H1498*(1+Assumptions!$B$8+IF(F1498="Yes",Assumptions!$C$8,0))</f>
        <v>1745681.0609000002</v>
      </c>
    </row>
    <row r="1499" spans="1:12" ht="15">
      <c r="A1499" s="21">
        <v>41145</v>
      </c>
      <c r="B1499" s="21">
        <v>41122</v>
      </c>
      <c r="C1499" s="17">
        <v>11</v>
      </c>
      <c r="D1499" s="17" t="s">
        <v>90</v>
      </c>
      <c r="E1499" s="18">
        <v>207499</v>
      </c>
      <c r="F1499" s="17" t="s">
        <v>91</v>
      </c>
      <c r="G1499" s="14">
        <v>1409515.73</v>
      </c>
      <c r="H1499" s="14">
        <v>1304615.9099999999</v>
      </c>
      <c r="I1499" s="14">
        <v>1304615.9099999999</v>
      </c>
      <c r="J1499" s="22">
        <f>H1499*(1+Assumptions!$B$6+IF(F1499="Yes",Assumptions!$C$6,0))</f>
        <v>1343754.3873000001</v>
      </c>
      <c r="K1499" s="22">
        <f>H1499*(1+Assumptions!$B$7+IF(F1499="Yes",Assumptions!$C$7,0))</f>
        <v>1369846.7054999999</v>
      </c>
      <c r="L1499" s="22">
        <f>H1499*(1+Assumptions!$B$8+IF(F1499="Yes",Assumptions!$C$8,0))</f>
        <v>1317662.0691</v>
      </c>
    </row>
    <row r="1500" spans="1:12" ht="15">
      <c r="A1500" s="21">
        <v>41145</v>
      </c>
      <c r="B1500" s="21">
        <v>41122</v>
      </c>
      <c r="C1500" s="17">
        <v>12</v>
      </c>
      <c r="D1500" s="17" t="s">
        <v>92</v>
      </c>
      <c r="E1500" s="18">
        <v>112238</v>
      </c>
      <c r="F1500" s="17" t="s">
        <v>91</v>
      </c>
      <c r="G1500" s="14">
        <v>1048093.42</v>
      </c>
      <c r="H1500" s="14">
        <v>1017593.47</v>
      </c>
      <c r="I1500" s="14">
        <v>1017593.47</v>
      </c>
      <c r="J1500" s="22">
        <f>H1500*(1+Assumptions!$B$6+IF(F1500="Yes",Assumptions!$C$6,0))</f>
        <v>1048121.2741</v>
      </c>
      <c r="K1500" s="22">
        <f>H1500*(1+Assumptions!$B$7+IF(F1500="Yes",Assumptions!$C$7,0))</f>
        <v>1068473.1435</v>
      </c>
      <c r="L1500" s="22">
        <f>H1500*(1+Assumptions!$B$8+IF(F1500="Yes",Assumptions!$C$8,0))</f>
        <v>1027769.4047</v>
      </c>
    </row>
    <row r="1501" spans="1:12" ht="15">
      <c r="A1501" s="21">
        <v>41145</v>
      </c>
      <c r="B1501" s="21">
        <v>41122</v>
      </c>
      <c r="C1501" s="17">
        <v>13</v>
      </c>
      <c r="D1501" s="17" t="s">
        <v>90</v>
      </c>
      <c r="E1501" s="18">
        <v>219622</v>
      </c>
      <c r="F1501" s="17" t="s">
        <v>91</v>
      </c>
      <c r="G1501" s="14">
        <v>2059440.31</v>
      </c>
      <c r="H1501" s="14">
        <v>2035148.08</v>
      </c>
      <c r="I1501" s="14">
        <v>2035148.08</v>
      </c>
      <c r="J1501" s="22">
        <f>H1501*(1+Assumptions!$B$6+IF(F1501="Yes",Assumptions!$C$6,0))</f>
        <v>2096202.5224000001</v>
      </c>
      <c r="K1501" s="22">
        <f>H1501*(1+Assumptions!$B$7+IF(F1501="Yes",Assumptions!$C$7,0))</f>
        <v>2136905.4840000002</v>
      </c>
      <c r="L1501" s="22">
        <f>H1501*(1+Assumptions!$B$8+IF(F1501="Yes",Assumptions!$C$8,0))</f>
        <v>2055499.5608000001</v>
      </c>
    </row>
    <row r="1502" spans="1:12" ht="15">
      <c r="A1502" s="21">
        <v>41145</v>
      </c>
      <c r="B1502" s="21">
        <v>41122</v>
      </c>
      <c r="C1502" s="17">
        <v>14</v>
      </c>
      <c r="D1502" s="17" t="s">
        <v>90</v>
      </c>
      <c r="E1502" s="18">
        <v>200898</v>
      </c>
      <c r="F1502" s="17" t="s">
        <v>91</v>
      </c>
      <c r="G1502" s="14">
        <v>1621841.33</v>
      </c>
      <c r="H1502" s="14">
        <v>2273434.7000000002</v>
      </c>
      <c r="I1502" s="14">
        <v>2273434.7000000002</v>
      </c>
      <c r="J1502" s="22">
        <f>H1502*(1+Assumptions!$B$6+IF(F1502="Yes",Assumptions!$C$6,0))</f>
        <v>2341637.7410000004</v>
      </c>
      <c r="K1502" s="22">
        <f>H1502*(1+Assumptions!$B$7+IF(F1502="Yes",Assumptions!$C$7,0))</f>
        <v>2387106.4350000005</v>
      </c>
      <c r="L1502" s="22">
        <f>H1502*(1+Assumptions!$B$8+IF(F1502="Yes",Assumptions!$C$8,0))</f>
        <v>2296169.0470000003</v>
      </c>
    </row>
    <row r="1503" spans="1:12" ht="15">
      <c r="A1503" s="21">
        <v>41145</v>
      </c>
      <c r="B1503" s="21">
        <v>41122</v>
      </c>
      <c r="C1503" s="17">
        <v>15</v>
      </c>
      <c r="D1503" s="17" t="s">
        <v>92</v>
      </c>
      <c r="E1503" s="18">
        <v>123737</v>
      </c>
      <c r="F1503" s="17" t="s">
        <v>91</v>
      </c>
      <c r="G1503" s="14">
        <v>606210.77</v>
      </c>
      <c r="H1503" s="14">
        <v>605393.30999999994</v>
      </c>
      <c r="I1503" s="14">
        <v>605393.30999999994</v>
      </c>
      <c r="J1503" s="22">
        <f>H1503*(1+Assumptions!$B$6+IF(F1503="Yes",Assumptions!$C$6,0))</f>
        <v>623555.10930000001</v>
      </c>
      <c r="K1503" s="22">
        <f>H1503*(1+Assumptions!$B$7+IF(F1503="Yes",Assumptions!$C$7,0))</f>
        <v>635662.97549999994</v>
      </c>
      <c r="L1503" s="22">
        <f>H1503*(1+Assumptions!$B$8+IF(F1503="Yes",Assumptions!$C$8,0))</f>
        <v>611447.24309999996</v>
      </c>
    </row>
    <row r="1504" spans="1:12" ht="15">
      <c r="A1504" s="21">
        <v>41145</v>
      </c>
      <c r="B1504" s="21">
        <v>41122</v>
      </c>
      <c r="C1504" s="17">
        <v>16</v>
      </c>
      <c r="D1504" s="17" t="s">
        <v>92</v>
      </c>
      <c r="E1504" s="18">
        <v>57197</v>
      </c>
      <c r="F1504" s="17" t="s">
        <v>91</v>
      </c>
      <c r="G1504" s="14">
        <v>548452.44999999995</v>
      </c>
      <c r="H1504" s="14">
        <v>557115.55000000005</v>
      </c>
      <c r="I1504" s="14">
        <v>557115.55000000005</v>
      </c>
      <c r="J1504" s="22">
        <f>H1504*(1+Assumptions!$B$6+IF(F1504="Yes",Assumptions!$C$6,0))</f>
        <v>573829.01650000003</v>
      </c>
      <c r="K1504" s="22">
        <f>H1504*(1+Assumptions!$B$7+IF(F1504="Yes",Assumptions!$C$7,0))</f>
        <v>584971.32750000013</v>
      </c>
      <c r="L1504" s="22">
        <f>H1504*(1+Assumptions!$B$8+IF(F1504="Yes",Assumptions!$C$8,0))</f>
        <v>562686.70550000004</v>
      </c>
    </row>
    <row r="1505" spans="1:12" ht="15">
      <c r="A1505" s="21">
        <v>41145</v>
      </c>
      <c r="B1505" s="21">
        <v>41122</v>
      </c>
      <c r="C1505" s="17">
        <v>17</v>
      </c>
      <c r="D1505" s="17" t="s">
        <v>92</v>
      </c>
      <c r="E1505" s="18">
        <v>93188</v>
      </c>
      <c r="F1505" s="17" t="s">
        <v>91</v>
      </c>
      <c r="G1505" s="14">
        <v>923298.25</v>
      </c>
      <c r="H1505" s="14">
        <v>837350.11</v>
      </c>
      <c r="I1505" s="14">
        <v>837350.11</v>
      </c>
      <c r="J1505" s="22">
        <f>H1505*(1+Assumptions!$B$6+IF(F1505="Yes",Assumptions!$C$6,0))</f>
        <v>862470.61329999997</v>
      </c>
      <c r="K1505" s="22">
        <f>H1505*(1+Assumptions!$B$7+IF(F1505="Yes",Assumptions!$C$7,0))</f>
        <v>879217.61550000007</v>
      </c>
      <c r="L1505" s="22">
        <f>H1505*(1+Assumptions!$B$8+IF(F1505="Yes",Assumptions!$C$8,0))</f>
        <v>845723.61109999998</v>
      </c>
    </row>
    <row r="1506" spans="1:12" ht="15">
      <c r="A1506" s="21">
        <v>41145</v>
      </c>
      <c r="B1506" s="21">
        <v>41122</v>
      </c>
      <c r="C1506" s="17">
        <v>18</v>
      </c>
      <c r="D1506" s="17" t="s">
        <v>92</v>
      </c>
      <c r="E1506" s="18">
        <v>120653</v>
      </c>
      <c r="F1506" s="17" t="s">
        <v>91</v>
      </c>
      <c r="G1506" s="14">
        <v>1126179.74</v>
      </c>
      <c r="H1506" s="14">
        <v>1147906.46</v>
      </c>
      <c r="I1506" s="14">
        <v>1147906.46</v>
      </c>
      <c r="J1506" s="22">
        <f>H1506*(1+Assumptions!$B$6+IF(F1506="Yes",Assumptions!$C$6,0))</f>
        <v>1182343.6538</v>
      </c>
      <c r="K1506" s="22">
        <f>H1506*(1+Assumptions!$B$7+IF(F1506="Yes",Assumptions!$C$7,0))</f>
        <v>1205301.7830000001</v>
      </c>
      <c r="L1506" s="22">
        <f>H1506*(1+Assumptions!$B$8+IF(F1506="Yes",Assumptions!$C$8,0))</f>
        <v>1159385.5245999999</v>
      </c>
    </row>
    <row r="1507" spans="1:12" ht="15">
      <c r="A1507" s="21">
        <v>41145</v>
      </c>
      <c r="B1507" s="21">
        <v>41122</v>
      </c>
      <c r="C1507" s="17">
        <v>19</v>
      </c>
      <c r="D1507" s="17" t="s">
        <v>90</v>
      </c>
      <c r="E1507" s="18">
        <v>203819</v>
      </c>
      <c r="F1507" s="17" t="s">
        <v>91</v>
      </c>
      <c r="G1507" s="14">
        <v>1545302.3699999999</v>
      </c>
      <c r="H1507" s="14">
        <v>1547699.24</v>
      </c>
      <c r="I1507" s="14">
        <v>1547699.24</v>
      </c>
      <c r="J1507" s="22">
        <f>H1507*(1+Assumptions!$B$6+IF(F1507="Yes",Assumptions!$C$6,0))</f>
        <v>1594130.2172000001</v>
      </c>
      <c r="K1507" s="22">
        <f>H1507*(1+Assumptions!$B$7+IF(F1507="Yes",Assumptions!$C$7,0))</f>
        <v>1625084.202</v>
      </c>
      <c r="L1507" s="22">
        <f>H1507*(1+Assumptions!$B$8+IF(F1507="Yes",Assumptions!$C$8,0))</f>
        <v>1563176.2324000001</v>
      </c>
    </row>
    <row r="1508" spans="1:12" ht="15">
      <c r="A1508" s="21">
        <v>41145</v>
      </c>
      <c r="B1508" s="21">
        <v>41122</v>
      </c>
      <c r="C1508" s="17">
        <v>20</v>
      </c>
      <c r="D1508" s="17" t="s">
        <v>90</v>
      </c>
      <c r="E1508" s="18">
        <v>203742</v>
      </c>
      <c r="F1508" s="17" t="s">
        <v>91</v>
      </c>
      <c r="G1508" s="14">
        <v>2005375.4300000002</v>
      </c>
      <c r="H1508" s="14">
        <v>1933531.2</v>
      </c>
      <c r="I1508" s="14">
        <v>1933531.2</v>
      </c>
      <c r="J1508" s="22">
        <f>H1508*(1+Assumptions!$B$6+IF(F1508="Yes",Assumptions!$C$6,0))</f>
        <v>1991537.1359999999</v>
      </c>
      <c r="K1508" s="22">
        <f>H1508*(1+Assumptions!$B$7+IF(F1508="Yes",Assumptions!$C$7,0))</f>
        <v>2030207.76</v>
      </c>
      <c r="L1508" s="22">
        <f>H1508*(1+Assumptions!$B$8+IF(F1508="Yes",Assumptions!$C$8,0))</f>
        <v>1952866.5119999999</v>
      </c>
    </row>
    <row r="1509" spans="1:12" ht="15">
      <c r="A1509" s="21">
        <v>41145</v>
      </c>
      <c r="B1509" s="21">
        <v>41122</v>
      </c>
      <c r="C1509" s="17">
        <v>21</v>
      </c>
      <c r="D1509" s="17" t="s">
        <v>92</v>
      </c>
      <c r="E1509" s="18">
        <v>140167</v>
      </c>
      <c r="F1509" s="17" t="s">
        <v>91</v>
      </c>
      <c r="G1509" s="14">
        <v>801384.57</v>
      </c>
      <c r="H1509" s="14">
        <v>821127.53</v>
      </c>
      <c r="I1509" s="14">
        <v>821127.53</v>
      </c>
      <c r="J1509" s="22">
        <f>H1509*(1+Assumptions!$B$6+IF(F1509="Yes",Assumptions!$C$6,0))</f>
        <v>845761.35590000008</v>
      </c>
      <c r="K1509" s="22">
        <f>H1509*(1+Assumptions!$B$7+IF(F1509="Yes",Assumptions!$C$7,0))</f>
        <v>862183.90650000004</v>
      </c>
      <c r="L1509" s="22">
        <f>H1509*(1+Assumptions!$B$8+IF(F1509="Yes",Assumptions!$C$8,0))</f>
        <v>829338.80530000001</v>
      </c>
    </row>
    <row r="1510" spans="1:12" ht="15">
      <c r="A1510" s="21">
        <v>41145</v>
      </c>
      <c r="B1510" s="21">
        <v>41122</v>
      </c>
      <c r="C1510" s="17">
        <v>22</v>
      </c>
      <c r="D1510" s="17" t="s">
        <v>92</v>
      </c>
      <c r="E1510" s="18">
        <v>119557</v>
      </c>
      <c r="F1510" s="17" t="s">
        <v>91</v>
      </c>
      <c r="G1510" s="14">
        <v>1060953.1000000001</v>
      </c>
      <c r="H1510" s="14">
        <v>1181791.3699999999</v>
      </c>
      <c r="I1510" s="14">
        <v>1181791.3699999999</v>
      </c>
      <c r="J1510" s="22">
        <f>H1510*(1+Assumptions!$B$6+IF(F1510="Yes",Assumptions!$C$6,0))</f>
        <v>1217245.1110999999</v>
      </c>
      <c r="K1510" s="22">
        <f>H1510*(1+Assumptions!$B$7+IF(F1510="Yes",Assumptions!$C$7,0))</f>
        <v>1240880.9384999999</v>
      </c>
      <c r="L1510" s="22">
        <f>H1510*(1+Assumptions!$B$8+IF(F1510="Yes",Assumptions!$C$8,0))</f>
        <v>1193609.2836999998</v>
      </c>
    </row>
    <row r="1511" spans="1:12" ht="15">
      <c r="A1511" s="21">
        <v>41145</v>
      </c>
      <c r="B1511" s="21">
        <v>41122</v>
      </c>
      <c r="C1511" s="17">
        <v>23</v>
      </c>
      <c r="D1511" s="17" t="s">
        <v>92</v>
      </c>
      <c r="E1511" s="18">
        <v>114533</v>
      </c>
      <c r="F1511" s="17" t="s">
        <v>91</v>
      </c>
      <c r="G1511" s="14">
        <v>1702220.96</v>
      </c>
      <c r="H1511" s="14">
        <v>1637231.3699999999</v>
      </c>
      <c r="I1511" s="14">
        <v>1637231.3699999999</v>
      </c>
      <c r="J1511" s="22">
        <f>H1511*(1+Assumptions!$B$6+IF(F1511="Yes",Assumptions!$C$6,0))</f>
        <v>1686348.3110999998</v>
      </c>
      <c r="K1511" s="22">
        <f>H1511*(1+Assumptions!$B$7+IF(F1511="Yes",Assumptions!$C$7,0))</f>
        <v>1719092.9384999999</v>
      </c>
      <c r="L1511" s="22">
        <f>H1511*(1+Assumptions!$B$8+IF(F1511="Yes",Assumptions!$C$8,0))</f>
        <v>1653603.6836999999</v>
      </c>
    </row>
    <row r="1512" spans="1:12" ht="15">
      <c r="A1512" s="21">
        <v>41145</v>
      </c>
      <c r="B1512" s="21">
        <v>41122</v>
      </c>
      <c r="C1512" s="17">
        <v>24</v>
      </c>
      <c r="D1512" s="17" t="s">
        <v>90</v>
      </c>
      <c r="E1512" s="18">
        <v>203819</v>
      </c>
      <c r="F1512" s="17" t="s">
        <v>91</v>
      </c>
      <c r="G1512" s="14">
        <v>1303714.42</v>
      </c>
      <c r="H1512" s="14">
        <v>1402348.15</v>
      </c>
      <c r="I1512" s="14">
        <v>1402348.15</v>
      </c>
      <c r="J1512" s="22">
        <f>H1512*(1+Assumptions!$B$6+IF(F1512="Yes",Assumptions!$C$6,0))</f>
        <v>1444418.5944999999</v>
      </c>
      <c r="K1512" s="22">
        <f>H1512*(1+Assumptions!$B$7+IF(F1512="Yes",Assumptions!$C$7,0))</f>
        <v>1472465.5574999999</v>
      </c>
      <c r="L1512" s="22">
        <f>H1512*(1+Assumptions!$B$8+IF(F1512="Yes",Assumptions!$C$8,0))</f>
        <v>1416371.6314999999</v>
      </c>
    </row>
    <row r="1513" spans="1:12" ht="15">
      <c r="A1513" s="21">
        <v>41145</v>
      </c>
      <c r="B1513" s="21">
        <v>41122</v>
      </c>
      <c r="C1513" s="17">
        <v>25</v>
      </c>
      <c r="D1513" s="17" t="s">
        <v>92</v>
      </c>
      <c r="E1513" s="18">
        <v>128107</v>
      </c>
      <c r="F1513" s="17" t="s">
        <v>91</v>
      </c>
      <c r="G1513" s="14">
        <v>756527.64</v>
      </c>
      <c r="H1513" s="14">
        <v>726422.55</v>
      </c>
      <c r="I1513" s="14">
        <v>726422.55</v>
      </c>
      <c r="J1513" s="22">
        <f>H1513*(1+Assumptions!$B$6+IF(F1513="Yes",Assumptions!$C$6,0))</f>
        <v>748215.22650000011</v>
      </c>
      <c r="K1513" s="22">
        <f>H1513*(1+Assumptions!$B$7+IF(F1513="Yes",Assumptions!$C$7,0))</f>
        <v>762743.67750000011</v>
      </c>
      <c r="L1513" s="22">
        <f>H1513*(1+Assumptions!$B$8+IF(F1513="Yes",Assumptions!$C$8,0))</f>
        <v>733686.77550000011</v>
      </c>
    </row>
    <row r="1514" spans="1:12" ht="15">
      <c r="A1514" s="21">
        <v>41145</v>
      </c>
      <c r="B1514" s="21">
        <v>41122</v>
      </c>
      <c r="C1514" s="17">
        <v>26</v>
      </c>
      <c r="D1514" s="17" t="s">
        <v>90</v>
      </c>
      <c r="E1514" s="18">
        <v>152513</v>
      </c>
      <c r="F1514" s="17" t="s">
        <v>91</v>
      </c>
      <c r="G1514" s="14">
        <v>1022704.2</v>
      </c>
      <c r="H1514" s="14">
        <v>1064558.1199999999</v>
      </c>
      <c r="I1514" s="14">
        <v>1064558.1199999999</v>
      </c>
      <c r="J1514" s="22">
        <f>H1514*(1+Assumptions!$B$6+IF(F1514="Yes",Assumptions!$C$6,0))</f>
        <v>1096494.8635999998</v>
      </c>
      <c r="K1514" s="22">
        <f>H1514*(1+Assumptions!$B$7+IF(F1514="Yes",Assumptions!$C$7,0))</f>
        <v>1117786.0259999998</v>
      </c>
      <c r="L1514" s="22">
        <f>H1514*(1+Assumptions!$B$8+IF(F1514="Yes",Assumptions!$C$8,0))</f>
        <v>1075203.7011999998</v>
      </c>
    </row>
    <row r="1515" spans="1:12" ht="15">
      <c r="A1515" s="21">
        <v>41145</v>
      </c>
      <c r="B1515" s="21">
        <v>41122</v>
      </c>
      <c r="C1515" s="17">
        <v>27</v>
      </c>
      <c r="D1515" s="17" t="s">
        <v>90</v>
      </c>
      <c r="E1515" s="18">
        <v>204184</v>
      </c>
      <c r="F1515" s="17" t="s">
        <v>91</v>
      </c>
      <c r="G1515" s="14">
        <v>1780443.3599999999</v>
      </c>
      <c r="H1515" s="14">
        <v>2034400.78</v>
      </c>
      <c r="I1515" s="14">
        <v>2034400.78</v>
      </c>
      <c r="J1515" s="22">
        <f>H1515*(1+Assumptions!$B$6+IF(F1515="Yes",Assumptions!$C$6,0))</f>
        <v>2095432.8034000001</v>
      </c>
      <c r="K1515" s="22">
        <f>H1515*(1+Assumptions!$B$7+IF(F1515="Yes",Assumptions!$C$7,0))</f>
        <v>2136120.8190000001</v>
      </c>
      <c r="L1515" s="22">
        <f>H1515*(1+Assumptions!$B$8+IF(F1515="Yes",Assumptions!$C$8,0))</f>
        <v>2054744.7878</v>
      </c>
    </row>
    <row r="1516" spans="1:12" ht="15">
      <c r="A1516" s="21">
        <v>41145</v>
      </c>
      <c r="B1516" s="21">
        <v>41122</v>
      </c>
      <c r="C1516" s="17">
        <v>28</v>
      </c>
      <c r="D1516" s="17" t="s">
        <v>90</v>
      </c>
      <c r="E1516" s="18">
        <v>206302</v>
      </c>
      <c r="F1516" s="17" t="s">
        <v>91</v>
      </c>
      <c r="G1516" s="14">
        <v>1199304.6200000001</v>
      </c>
      <c r="H1516" s="14">
        <v>1166467.54</v>
      </c>
      <c r="I1516" s="14">
        <v>1166467.54</v>
      </c>
      <c r="J1516" s="22">
        <f>H1516*(1+Assumptions!$B$6+IF(F1516="Yes",Assumptions!$C$6,0))</f>
        <v>1201461.5662</v>
      </c>
      <c r="K1516" s="22">
        <f>H1516*(1+Assumptions!$B$7+IF(F1516="Yes",Assumptions!$C$7,0))</f>
        <v>1224790.9170000001</v>
      </c>
      <c r="L1516" s="22">
        <f>H1516*(1+Assumptions!$B$8+IF(F1516="Yes",Assumptions!$C$8,0))</f>
        <v>1178132.2154000001</v>
      </c>
    </row>
    <row r="1517" spans="1:12" ht="15">
      <c r="A1517" s="21">
        <v>41145</v>
      </c>
      <c r="B1517" s="21">
        <v>41122</v>
      </c>
      <c r="C1517" s="17">
        <v>29</v>
      </c>
      <c r="D1517" s="17" t="s">
        <v>92</v>
      </c>
      <c r="E1517" s="18">
        <v>93638</v>
      </c>
      <c r="F1517" s="17" t="s">
        <v>91</v>
      </c>
      <c r="G1517" s="14">
        <v>615025.19000000006</v>
      </c>
      <c r="H1517" s="14">
        <v>607804.18999999994</v>
      </c>
      <c r="I1517" s="14">
        <v>607804.18999999994</v>
      </c>
      <c r="J1517" s="22">
        <f>H1517*(1+Assumptions!$B$6+IF(F1517="Yes",Assumptions!$C$6,0))</f>
        <v>626038.31569999992</v>
      </c>
      <c r="K1517" s="22">
        <f>H1517*(1+Assumptions!$B$7+IF(F1517="Yes",Assumptions!$C$7,0))</f>
        <v>638194.39949999994</v>
      </c>
      <c r="L1517" s="22">
        <f>H1517*(1+Assumptions!$B$8+IF(F1517="Yes",Assumptions!$C$8,0))</f>
        <v>613882.2318999999</v>
      </c>
    </row>
    <row r="1518" spans="1:12" ht="15">
      <c r="A1518" s="21">
        <v>41145</v>
      </c>
      <c r="B1518" s="21">
        <v>41122</v>
      </c>
      <c r="C1518" s="17">
        <v>30</v>
      </c>
      <c r="D1518" s="17" t="s">
        <v>93</v>
      </c>
      <c r="E1518" s="18">
        <v>42988</v>
      </c>
      <c r="F1518" s="17" t="s">
        <v>91</v>
      </c>
      <c r="G1518" s="14">
        <v>425185.97</v>
      </c>
      <c r="H1518" s="14">
        <v>387928.95</v>
      </c>
      <c r="I1518" s="14">
        <v>387928.95</v>
      </c>
      <c r="J1518" s="22">
        <f>H1518*(1+Assumptions!$B$6+IF(F1518="Yes",Assumptions!$C$6,0))</f>
        <v>399566.81849999999</v>
      </c>
      <c r="K1518" s="22">
        <f>H1518*(1+Assumptions!$B$7+IF(F1518="Yes",Assumptions!$C$7,0))</f>
        <v>407325.39750000002</v>
      </c>
      <c r="L1518" s="22">
        <f>H1518*(1+Assumptions!$B$8+IF(F1518="Yes",Assumptions!$C$8,0))</f>
        <v>391808.23950000003</v>
      </c>
    </row>
    <row r="1519" spans="1:12" ht="15">
      <c r="A1519" s="21">
        <v>41145</v>
      </c>
      <c r="B1519" s="21">
        <v>41122</v>
      </c>
      <c r="C1519" s="17">
        <v>31</v>
      </c>
      <c r="D1519" s="17" t="s">
        <v>90</v>
      </c>
      <c r="E1519" s="18">
        <v>203750</v>
      </c>
      <c r="F1519" s="17" t="s">
        <v>91</v>
      </c>
      <c r="G1519" s="14">
        <v>1379763.27</v>
      </c>
      <c r="H1519" s="14">
        <v>1417259.57</v>
      </c>
      <c r="I1519" s="14">
        <v>1417259.57</v>
      </c>
      <c r="J1519" s="22">
        <f>H1519*(1+Assumptions!$B$6+IF(F1519="Yes",Assumptions!$C$6,0))</f>
        <v>1459777.3571000001</v>
      </c>
      <c r="K1519" s="22">
        <f>H1519*(1+Assumptions!$B$7+IF(F1519="Yes",Assumptions!$C$7,0))</f>
        <v>1488122.5485</v>
      </c>
      <c r="L1519" s="22">
        <f>H1519*(1+Assumptions!$B$8+IF(F1519="Yes",Assumptions!$C$8,0))</f>
        <v>1431432.1657</v>
      </c>
    </row>
    <row r="1520" spans="1:12" ht="15">
      <c r="A1520" s="21">
        <v>41145</v>
      </c>
      <c r="B1520" s="21">
        <v>41122</v>
      </c>
      <c r="C1520" s="17">
        <v>32</v>
      </c>
      <c r="D1520" s="17" t="s">
        <v>90</v>
      </c>
      <c r="E1520" s="18">
        <v>203007</v>
      </c>
      <c r="F1520" s="17" t="s">
        <v>91</v>
      </c>
      <c r="G1520" s="14">
        <v>1272809.1100000001</v>
      </c>
      <c r="H1520" s="14">
        <v>1183740.9099999999</v>
      </c>
      <c r="I1520" s="14">
        <v>1183740.9099999999</v>
      </c>
      <c r="J1520" s="22">
        <f>H1520*(1+Assumptions!$B$6+IF(F1520="Yes",Assumptions!$C$6,0))</f>
        <v>1219253.1373000001</v>
      </c>
      <c r="K1520" s="22">
        <f>H1520*(1+Assumptions!$B$7+IF(F1520="Yes",Assumptions!$C$7,0))</f>
        <v>1242927.9554999999</v>
      </c>
      <c r="L1520" s="22">
        <f>H1520*(1+Assumptions!$B$8+IF(F1520="Yes",Assumptions!$C$8,0))</f>
        <v>1195578.3191</v>
      </c>
    </row>
    <row r="1521" spans="1:12" ht="15">
      <c r="A1521" s="21">
        <v>41145</v>
      </c>
      <c r="B1521" s="21">
        <v>41122</v>
      </c>
      <c r="C1521" s="17">
        <v>33</v>
      </c>
      <c r="D1521" s="17" t="s">
        <v>90</v>
      </c>
      <c r="E1521" s="18">
        <v>39690</v>
      </c>
      <c r="F1521" s="17" t="s">
        <v>91</v>
      </c>
      <c r="G1521" s="14">
        <v>247659.19999999998</v>
      </c>
      <c r="H1521" s="14">
        <v>237006.51</v>
      </c>
      <c r="I1521" s="14">
        <v>237006.51</v>
      </c>
      <c r="J1521" s="22">
        <f>H1521*(1+Assumptions!$B$6+IF(F1521="Yes",Assumptions!$C$6,0))</f>
        <v>244116.7053</v>
      </c>
      <c r="K1521" s="22">
        <f>H1521*(1+Assumptions!$B$7+IF(F1521="Yes",Assumptions!$C$7,0))</f>
        <v>248856.83550000002</v>
      </c>
      <c r="L1521" s="22">
        <f>H1521*(1+Assumptions!$B$8+IF(F1521="Yes",Assumptions!$C$8,0))</f>
        <v>239376.57510000002</v>
      </c>
    </row>
    <row r="1522" spans="1:12" ht="15">
      <c r="A1522" s="21">
        <v>41145</v>
      </c>
      <c r="B1522" s="21">
        <v>41122</v>
      </c>
      <c r="C1522" s="17">
        <v>34</v>
      </c>
      <c r="D1522" s="17" t="s">
        <v>90</v>
      </c>
      <c r="E1522" s="18">
        <v>158114</v>
      </c>
      <c r="F1522" s="17" t="s">
        <v>91</v>
      </c>
      <c r="G1522" s="14">
        <v>926250.21</v>
      </c>
      <c r="H1522" s="14">
        <v>871392.63</v>
      </c>
      <c r="I1522" s="14">
        <v>871392.63</v>
      </c>
      <c r="J1522" s="22">
        <f>H1522*(1+Assumptions!$B$6+IF(F1522="Yes",Assumptions!$C$6,0))</f>
        <v>897534.40890000004</v>
      </c>
      <c r="K1522" s="22">
        <f>H1522*(1+Assumptions!$B$7+IF(F1522="Yes",Assumptions!$C$7,0))</f>
        <v>914962.26150000002</v>
      </c>
      <c r="L1522" s="22">
        <f>H1522*(1+Assumptions!$B$8+IF(F1522="Yes",Assumptions!$C$8,0))</f>
        <v>880106.55630000005</v>
      </c>
    </row>
    <row r="1523" spans="1:12" ht="15">
      <c r="A1523" s="21">
        <v>41145</v>
      </c>
      <c r="B1523" s="21">
        <v>41122</v>
      </c>
      <c r="C1523" s="17">
        <v>35</v>
      </c>
      <c r="D1523" s="17" t="s">
        <v>92</v>
      </c>
      <c r="E1523" s="18">
        <v>103681</v>
      </c>
      <c r="F1523" s="17" t="s">
        <v>91</v>
      </c>
      <c r="G1523" s="14">
        <v>895228.67</v>
      </c>
      <c r="H1523" s="14">
        <v>897034.09</v>
      </c>
      <c r="I1523" s="14">
        <v>897034.09</v>
      </c>
      <c r="J1523" s="22">
        <f>H1523*(1+Assumptions!$B$6+IF(F1523="Yes",Assumptions!$C$6,0))</f>
        <v>923945.11269999994</v>
      </c>
      <c r="K1523" s="22">
        <f>H1523*(1+Assumptions!$B$7+IF(F1523="Yes",Assumptions!$C$7,0))</f>
        <v>941885.79449999996</v>
      </c>
      <c r="L1523" s="22">
        <f>H1523*(1+Assumptions!$B$8+IF(F1523="Yes",Assumptions!$C$8,0))</f>
        <v>906004.43089999992</v>
      </c>
    </row>
    <row r="1524" spans="1:12" ht="15">
      <c r="A1524" s="21">
        <v>41145</v>
      </c>
      <c r="B1524" s="21">
        <v>41122</v>
      </c>
      <c r="C1524" s="17">
        <v>36</v>
      </c>
      <c r="D1524" s="17" t="s">
        <v>90</v>
      </c>
      <c r="E1524" s="18">
        <v>39910</v>
      </c>
      <c r="F1524" s="17" t="s">
        <v>91</v>
      </c>
      <c r="G1524" s="14">
        <v>282600.52</v>
      </c>
      <c r="H1524" s="14">
        <v>344922.2</v>
      </c>
      <c r="I1524" s="14">
        <v>344922.2</v>
      </c>
      <c r="J1524" s="22">
        <f>H1524*(1+Assumptions!$B$6+IF(F1524="Yes",Assumptions!$C$6,0))</f>
        <v>355269.86600000004</v>
      </c>
      <c r="K1524" s="22">
        <f>H1524*(1+Assumptions!$B$7+IF(F1524="Yes",Assumptions!$C$7,0))</f>
        <v>362168.31000000006</v>
      </c>
      <c r="L1524" s="22">
        <f>H1524*(1+Assumptions!$B$8+IF(F1524="Yes",Assumptions!$C$8,0))</f>
        <v>348371.42200000002</v>
      </c>
    </row>
    <row r="1525" spans="1:12" ht="15">
      <c r="A1525" s="21">
        <v>41145</v>
      </c>
      <c r="B1525" s="21">
        <v>41122</v>
      </c>
      <c r="C1525" s="17">
        <v>37</v>
      </c>
      <c r="D1525" s="17" t="s">
        <v>93</v>
      </c>
      <c r="E1525" s="18">
        <v>39910</v>
      </c>
      <c r="F1525" s="17" t="s">
        <v>91</v>
      </c>
      <c r="G1525" s="14">
        <v>522499.27999999997</v>
      </c>
      <c r="H1525" s="14">
        <v>527933.77</v>
      </c>
      <c r="I1525" s="14">
        <v>527933.77</v>
      </c>
      <c r="J1525" s="22">
        <f>H1525*(1+Assumptions!$B$6+IF(F1525="Yes",Assumptions!$C$6,0))</f>
        <v>543771.7831</v>
      </c>
      <c r="K1525" s="22">
        <f>H1525*(1+Assumptions!$B$7+IF(F1525="Yes",Assumptions!$C$7,0))</f>
        <v>554330.45850000007</v>
      </c>
      <c r="L1525" s="22">
        <f>H1525*(1+Assumptions!$B$8+IF(F1525="Yes",Assumptions!$C$8,0))</f>
        <v>533213.10770000005</v>
      </c>
    </row>
    <row r="1526" spans="1:12" ht="15">
      <c r="A1526" s="21">
        <v>41145</v>
      </c>
      <c r="B1526" s="21">
        <v>41122</v>
      </c>
      <c r="C1526" s="17">
        <v>38</v>
      </c>
      <c r="D1526" s="17" t="s">
        <v>93</v>
      </c>
      <c r="E1526" s="18">
        <v>39690</v>
      </c>
      <c r="F1526" s="17" t="s">
        <v>91</v>
      </c>
      <c r="G1526" s="14">
        <v>397365.25</v>
      </c>
      <c r="H1526" s="14">
        <v>365638.47000000003</v>
      </c>
      <c r="I1526" s="14">
        <v>365638.47000000003</v>
      </c>
      <c r="J1526" s="22">
        <f>H1526*(1+Assumptions!$B$6+IF(F1526="Yes",Assumptions!$C$6,0))</f>
        <v>376607.62410000002</v>
      </c>
      <c r="K1526" s="22">
        <f>H1526*(1+Assumptions!$B$7+IF(F1526="Yes",Assumptions!$C$7,0))</f>
        <v>383920.39350000006</v>
      </c>
      <c r="L1526" s="22">
        <f>H1526*(1+Assumptions!$B$8+IF(F1526="Yes",Assumptions!$C$8,0))</f>
        <v>369294.85470000003</v>
      </c>
    </row>
    <row r="1527" spans="1:12" ht="15">
      <c r="A1527" s="21">
        <v>41145</v>
      </c>
      <c r="B1527" s="21">
        <v>41122</v>
      </c>
      <c r="C1527" s="17">
        <v>39</v>
      </c>
      <c r="D1527" s="17" t="s">
        <v>90</v>
      </c>
      <c r="E1527" s="18">
        <v>184109</v>
      </c>
      <c r="F1527" s="17" t="s">
        <v>91</v>
      </c>
      <c r="G1527" s="14">
        <v>1724645.8699999999</v>
      </c>
      <c r="H1527" s="14">
        <v>1573811.71</v>
      </c>
      <c r="I1527" s="14">
        <v>1573811.71</v>
      </c>
      <c r="J1527" s="22">
        <f>H1527*(1+Assumptions!$B$6+IF(F1527="Yes",Assumptions!$C$6,0))</f>
        <v>1621026.0612999999</v>
      </c>
      <c r="K1527" s="22">
        <f>H1527*(1+Assumptions!$B$7+IF(F1527="Yes",Assumptions!$C$7,0))</f>
        <v>1652502.2955</v>
      </c>
      <c r="L1527" s="22">
        <f>H1527*(1+Assumptions!$B$8+IF(F1527="Yes",Assumptions!$C$8,0))</f>
        <v>1589549.8270999999</v>
      </c>
    </row>
    <row r="1528" spans="1:12" ht="15">
      <c r="A1528" s="21">
        <v>41145</v>
      </c>
      <c r="B1528" s="21">
        <v>41122</v>
      </c>
      <c r="C1528" s="17">
        <v>40</v>
      </c>
      <c r="D1528" s="17" t="s">
        <v>90</v>
      </c>
      <c r="E1528" s="18">
        <v>155083</v>
      </c>
      <c r="F1528" s="17" t="s">
        <v>91</v>
      </c>
      <c r="G1528" s="14">
        <v>945287.55</v>
      </c>
      <c r="H1528" s="14">
        <v>969605.39</v>
      </c>
      <c r="I1528" s="14">
        <v>969605.39</v>
      </c>
      <c r="J1528" s="22">
        <f>H1528*(1+Assumptions!$B$6+IF(F1528="Yes",Assumptions!$C$6,0))</f>
        <v>998693.55170000007</v>
      </c>
      <c r="K1528" s="22">
        <f>H1528*(1+Assumptions!$B$7+IF(F1528="Yes",Assumptions!$C$7,0))</f>
        <v>1018085.6595000001</v>
      </c>
      <c r="L1528" s="22">
        <f>H1528*(1+Assumptions!$B$8+IF(F1528="Yes",Assumptions!$C$8,0))</f>
        <v>979301.44390000007</v>
      </c>
    </row>
    <row r="1529" spans="1:12" ht="15">
      <c r="A1529" s="21">
        <v>41145</v>
      </c>
      <c r="B1529" s="21">
        <v>41122</v>
      </c>
      <c r="C1529" s="17">
        <v>41</v>
      </c>
      <c r="D1529" s="17" t="s">
        <v>90</v>
      </c>
      <c r="E1529" s="18">
        <v>196321</v>
      </c>
      <c r="F1529" s="17" t="s">
        <v>91</v>
      </c>
      <c r="G1529" s="14">
        <v>1464462.85</v>
      </c>
      <c r="H1529" s="14">
        <v>1328740.71</v>
      </c>
      <c r="I1529" s="14">
        <v>1328740.71</v>
      </c>
      <c r="J1529" s="22">
        <f>H1529*(1+Assumptions!$B$6+IF(F1529="Yes",Assumptions!$C$6,0))</f>
        <v>1368602.9313000001</v>
      </c>
      <c r="K1529" s="22">
        <f>H1529*(1+Assumptions!$B$7+IF(F1529="Yes",Assumptions!$C$7,0))</f>
        <v>1395177.7455</v>
      </c>
      <c r="L1529" s="22">
        <f>H1529*(1+Assumptions!$B$8+IF(F1529="Yes",Assumptions!$C$8,0))</f>
        <v>1342028.1170999999</v>
      </c>
    </row>
    <row r="1530" spans="1:12" ht="15">
      <c r="A1530" s="21">
        <v>41145</v>
      </c>
      <c r="B1530" s="21">
        <v>41122</v>
      </c>
      <c r="C1530" s="17">
        <v>42</v>
      </c>
      <c r="D1530" s="17" t="s">
        <v>93</v>
      </c>
      <c r="E1530" s="18">
        <v>39690</v>
      </c>
      <c r="F1530" s="17" t="s">
        <v>91</v>
      </c>
      <c r="G1530" s="14">
        <v>535102.31999999995</v>
      </c>
      <c r="H1530" s="14">
        <v>503719.27999999997</v>
      </c>
      <c r="I1530" s="14">
        <v>503719.27999999997</v>
      </c>
      <c r="J1530" s="22">
        <f>H1530*(1+Assumptions!$B$6+IF(F1530="Yes",Assumptions!$C$6,0))</f>
        <v>518830.85839999997</v>
      </c>
      <c r="K1530" s="22">
        <f>H1530*(1+Assumptions!$B$7+IF(F1530="Yes",Assumptions!$C$7,0))</f>
        <v>528905.24399999995</v>
      </c>
      <c r="L1530" s="22">
        <f>H1530*(1+Assumptions!$B$8+IF(F1530="Yes",Assumptions!$C$8,0))</f>
        <v>508756.47279999999</v>
      </c>
    </row>
    <row r="1531" spans="1:12" ht="15">
      <c r="A1531" s="21">
        <v>41145</v>
      </c>
      <c r="B1531" s="21">
        <v>41122</v>
      </c>
      <c r="C1531" s="17">
        <v>43</v>
      </c>
      <c r="D1531" s="17" t="s">
        <v>93</v>
      </c>
      <c r="E1531" s="18">
        <v>41062</v>
      </c>
      <c r="F1531" s="17" t="s">
        <v>91</v>
      </c>
      <c r="G1531" s="14">
        <v>598231.06000000006</v>
      </c>
      <c r="H1531" s="14">
        <v>561530.92000000004</v>
      </c>
      <c r="I1531" s="14">
        <v>561530.92000000004</v>
      </c>
      <c r="J1531" s="22">
        <f>H1531*(1+Assumptions!$B$6+IF(F1531="Yes",Assumptions!$C$6,0))</f>
        <v>578376.8476000001</v>
      </c>
      <c r="K1531" s="22">
        <f>H1531*(1+Assumptions!$B$7+IF(F1531="Yes",Assumptions!$C$7,0))</f>
        <v>589607.46600000001</v>
      </c>
      <c r="L1531" s="22">
        <f>H1531*(1+Assumptions!$B$8+IF(F1531="Yes",Assumptions!$C$8,0))</f>
        <v>567146.22920000006</v>
      </c>
    </row>
    <row r="1532" spans="1:12" ht="15">
      <c r="A1532" s="21">
        <v>41145</v>
      </c>
      <c r="B1532" s="21">
        <v>41122</v>
      </c>
      <c r="C1532" s="17">
        <v>44</v>
      </c>
      <c r="D1532" s="17" t="s">
        <v>93</v>
      </c>
      <c r="E1532" s="18">
        <v>39910</v>
      </c>
      <c r="F1532" s="17" t="s">
        <v>91</v>
      </c>
      <c r="G1532" s="14">
        <v>337867.98</v>
      </c>
      <c r="H1532" s="14">
        <v>324170.90999999997</v>
      </c>
      <c r="I1532" s="14">
        <v>324170.90999999997</v>
      </c>
      <c r="J1532" s="22">
        <f>H1532*(1+Assumptions!$B$6+IF(F1532="Yes",Assumptions!$C$6,0))</f>
        <v>333896.03729999997</v>
      </c>
      <c r="K1532" s="22">
        <f>H1532*(1+Assumptions!$B$7+IF(F1532="Yes",Assumptions!$C$7,0))</f>
        <v>340379.45549999998</v>
      </c>
      <c r="L1532" s="22">
        <f>H1532*(1+Assumptions!$B$8+IF(F1532="Yes",Assumptions!$C$8,0))</f>
        <v>327412.61909999995</v>
      </c>
    </row>
    <row r="1533" spans="1:12" ht="15">
      <c r="A1533" s="21">
        <v>41145</v>
      </c>
      <c r="B1533" s="21">
        <v>41122</v>
      </c>
      <c r="C1533" s="17">
        <v>45</v>
      </c>
      <c r="D1533" s="17" t="s">
        <v>92</v>
      </c>
      <c r="E1533" s="18">
        <v>118221</v>
      </c>
      <c r="F1533" s="17" t="s">
        <v>91</v>
      </c>
      <c r="G1533" s="14">
        <v>718232.26</v>
      </c>
      <c r="H1533" s="14">
        <v>833978.51</v>
      </c>
      <c r="I1533" s="14">
        <v>833978.51</v>
      </c>
      <c r="J1533" s="22">
        <f>H1533*(1+Assumptions!$B$6+IF(F1533="Yes",Assumptions!$C$6,0))</f>
        <v>858997.86530000006</v>
      </c>
      <c r="K1533" s="22">
        <f>H1533*(1+Assumptions!$B$7+IF(F1533="Yes",Assumptions!$C$7,0))</f>
        <v>875677.43550000002</v>
      </c>
      <c r="L1533" s="22">
        <f>H1533*(1+Assumptions!$B$8+IF(F1533="Yes",Assumptions!$C$8,0))</f>
        <v>842318.29509999999</v>
      </c>
    </row>
    <row r="1534" spans="1:12" ht="15">
      <c r="A1534" s="21">
        <v>41152</v>
      </c>
      <c r="B1534" s="21">
        <v>41122</v>
      </c>
      <c r="C1534" s="17">
        <v>1</v>
      </c>
      <c r="D1534" s="17" t="s">
        <v>90</v>
      </c>
      <c r="E1534" s="18">
        <v>151315</v>
      </c>
      <c r="F1534" s="17" t="s">
        <v>91</v>
      </c>
      <c r="G1534" s="14">
        <v>1582083.4</v>
      </c>
      <c r="H1534" s="14">
        <v>1550217.25</v>
      </c>
      <c r="I1534" s="14">
        <v>1550217.25</v>
      </c>
      <c r="J1534" s="22">
        <f>H1534*(1+Assumptions!$B$6+IF(F1534="Yes",Assumptions!$C$6,0))</f>
        <v>1596723.7675000001</v>
      </c>
      <c r="K1534" s="22">
        <f>H1534*(1+Assumptions!$B$7+IF(F1534="Yes",Assumptions!$C$7,0))</f>
        <v>1627728.1125</v>
      </c>
      <c r="L1534" s="22">
        <f>H1534*(1+Assumptions!$B$8+IF(F1534="Yes",Assumptions!$C$8,0))</f>
        <v>1565719.4225000001</v>
      </c>
    </row>
    <row r="1535" spans="1:12" ht="15">
      <c r="A1535" s="21">
        <v>41152</v>
      </c>
      <c r="B1535" s="21">
        <v>41122</v>
      </c>
      <c r="C1535" s="17">
        <v>2</v>
      </c>
      <c r="D1535" s="17" t="s">
        <v>90</v>
      </c>
      <c r="E1535" s="18">
        <v>202307</v>
      </c>
      <c r="F1535" s="17" t="s">
        <v>91</v>
      </c>
      <c r="G1535" s="14">
        <v>1947077.33</v>
      </c>
      <c r="H1535" s="14">
        <v>1809119.7</v>
      </c>
      <c r="I1535" s="14">
        <v>1809119.7</v>
      </c>
      <c r="J1535" s="22">
        <f>H1535*(1+Assumptions!$B$6+IF(F1535="Yes",Assumptions!$C$6,0))</f>
        <v>1863393.291</v>
      </c>
      <c r="K1535" s="22">
        <f>H1535*(1+Assumptions!$B$7+IF(F1535="Yes",Assumptions!$C$7,0))</f>
        <v>1899575.6850000001</v>
      </c>
      <c r="L1535" s="22">
        <f>H1535*(1+Assumptions!$B$8+IF(F1535="Yes",Assumptions!$C$8,0))</f>
        <v>1827210.8969999999</v>
      </c>
    </row>
    <row r="1536" spans="1:12" ht="15">
      <c r="A1536" s="21">
        <v>41152</v>
      </c>
      <c r="B1536" s="21">
        <v>41122</v>
      </c>
      <c r="C1536" s="17">
        <v>3</v>
      </c>
      <c r="D1536" s="17" t="s">
        <v>92</v>
      </c>
      <c r="E1536" s="18">
        <v>37392</v>
      </c>
      <c r="F1536" s="17" t="s">
        <v>91</v>
      </c>
      <c r="G1536" s="14">
        <v>408829.82</v>
      </c>
      <c r="H1536" s="14">
        <v>375945.21</v>
      </c>
      <c r="I1536" s="14">
        <v>375945.21</v>
      </c>
      <c r="J1536" s="22">
        <f>H1536*(1+Assumptions!$B$6+IF(F1536="Yes",Assumptions!$C$6,0))</f>
        <v>387223.56630000001</v>
      </c>
      <c r="K1536" s="22">
        <f>H1536*(1+Assumptions!$B$7+IF(F1536="Yes",Assumptions!$C$7,0))</f>
        <v>394742.47050000005</v>
      </c>
      <c r="L1536" s="22">
        <f>H1536*(1+Assumptions!$B$8+IF(F1536="Yes",Assumptions!$C$8,0))</f>
        <v>379704.66210000002</v>
      </c>
    </row>
    <row r="1537" spans="1:12" ht="15">
      <c r="A1537" s="21">
        <v>41152</v>
      </c>
      <c r="B1537" s="21">
        <v>41122</v>
      </c>
      <c r="C1537" s="17">
        <v>4</v>
      </c>
      <c r="D1537" s="17" t="s">
        <v>90</v>
      </c>
      <c r="E1537" s="18">
        <v>205863</v>
      </c>
      <c r="F1537" s="17" t="s">
        <v>91</v>
      </c>
      <c r="G1537" s="14">
        <v>2081181.35</v>
      </c>
      <c r="H1537" s="14">
        <v>2078420.31</v>
      </c>
      <c r="I1537" s="14">
        <v>2078420.31</v>
      </c>
      <c r="J1537" s="22">
        <f>H1537*(1+Assumptions!$B$6+IF(F1537="Yes",Assumptions!$C$6,0))</f>
        <v>2140772.9193000002</v>
      </c>
      <c r="K1537" s="22">
        <f>H1537*(1+Assumptions!$B$7+IF(F1537="Yes",Assumptions!$C$7,0))</f>
        <v>2182341.3255000003</v>
      </c>
      <c r="L1537" s="22">
        <f>H1537*(1+Assumptions!$B$8+IF(F1537="Yes",Assumptions!$C$8,0))</f>
        <v>2099204.5131000001</v>
      </c>
    </row>
    <row r="1538" spans="1:12" ht="15">
      <c r="A1538" s="21">
        <v>41152</v>
      </c>
      <c r="B1538" s="21">
        <v>41122</v>
      </c>
      <c r="C1538" s="17">
        <v>5</v>
      </c>
      <c r="D1538" s="17" t="s">
        <v>92</v>
      </c>
      <c r="E1538" s="18">
        <v>34875</v>
      </c>
      <c r="F1538" s="17" t="s">
        <v>91</v>
      </c>
      <c r="G1538" s="14">
        <v>344609.04</v>
      </c>
      <c r="H1538" s="14">
        <v>315638.05</v>
      </c>
      <c r="I1538" s="14">
        <v>315638.05</v>
      </c>
      <c r="J1538" s="22">
        <f>H1538*(1+Assumptions!$B$6+IF(F1538="Yes",Assumptions!$C$6,0))</f>
        <v>325107.19150000002</v>
      </c>
      <c r="K1538" s="22">
        <f>H1538*(1+Assumptions!$B$7+IF(F1538="Yes",Assumptions!$C$7,0))</f>
        <v>331419.95250000001</v>
      </c>
      <c r="L1538" s="22">
        <f>H1538*(1+Assumptions!$B$8+IF(F1538="Yes",Assumptions!$C$8,0))</f>
        <v>318794.43050000002</v>
      </c>
    </row>
    <row r="1539" spans="1:12" ht="15">
      <c r="A1539" s="21">
        <v>41152</v>
      </c>
      <c r="B1539" s="21">
        <v>41122</v>
      </c>
      <c r="C1539" s="17">
        <v>6</v>
      </c>
      <c r="D1539" s="17" t="s">
        <v>90</v>
      </c>
      <c r="E1539" s="18">
        <v>202505</v>
      </c>
      <c r="F1539" s="17" t="s">
        <v>91</v>
      </c>
      <c r="G1539" s="14">
        <v>1577439.81</v>
      </c>
      <c r="H1539" s="14">
        <v>1481606.77</v>
      </c>
      <c r="I1539" s="14">
        <v>1481606.77</v>
      </c>
      <c r="J1539" s="22">
        <f>H1539*(1+Assumptions!$B$6+IF(F1539="Yes",Assumptions!$C$6,0))</f>
        <v>1526054.9731000001</v>
      </c>
      <c r="K1539" s="22">
        <f>H1539*(1+Assumptions!$B$7+IF(F1539="Yes",Assumptions!$C$7,0))</f>
        <v>1555687.1085000001</v>
      </c>
      <c r="L1539" s="22">
        <f>H1539*(1+Assumptions!$B$8+IF(F1539="Yes",Assumptions!$C$8,0))</f>
        <v>1496422.8377</v>
      </c>
    </row>
    <row r="1540" spans="1:12" ht="15">
      <c r="A1540" s="21">
        <v>41152</v>
      </c>
      <c r="B1540" s="21">
        <v>41122</v>
      </c>
      <c r="C1540" s="17">
        <v>7</v>
      </c>
      <c r="D1540" s="17" t="s">
        <v>92</v>
      </c>
      <c r="E1540" s="18">
        <v>70713</v>
      </c>
      <c r="F1540" s="17" t="s">
        <v>91</v>
      </c>
      <c r="G1540" s="14">
        <v>584612.20000000007</v>
      </c>
      <c r="H1540" s="14">
        <v>592355.24</v>
      </c>
      <c r="I1540" s="14">
        <v>592355.24</v>
      </c>
      <c r="J1540" s="22">
        <f>H1540*(1+Assumptions!$B$6+IF(F1540="Yes",Assumptions!$C$6,0))</f>
        <v>610125.89720000001</v>
      </c>
      <c r="K1540" s="22">
        <f>H1540*(1+Assumptions!$B$7+IF(F1540="Yes",Assumptions!$C$7,0))</f>
        <v>621973.00199999998</v>
      </c>
      <c r="L1540" s="22">
        <f>H1540*(1+Assumptions!$B$8+IF(F1540="Yes",Assumptions!$C$8,0))</f>
        <v>598278.79240000003</v>
      </c>
    </row>
    <row r="1541" spans="1:12" ht="15">
      <c r="A1541" s="21">
        <v>41152</v>
      </c>
      <c r="B1541" s="21">
        <v>41122</v>
      </c>
      <c r="C1541" s="17">
        <v>8</v>
      </c>
      <c r="D1541" s="17" t="s">
        <v>90</v>
      </c>
      <c r="E1541" s="18">
        <v>155078</v>
      </c>
      <c r="F1541" s="17" t="s">
        <v>91</v>
      </c>
      <c r="G1541" s="14">
        <v>976137.73</v>
      </c>
      <c r="H1541" s="14">
        <v>891377.26</v>
      </c>
      <c r="I1541" s="14">
        <v>891377.26</v>
      </c>
      <c r="J1541" s="22">
        <f>H1541*(1+Assumptions!$B$6+IF(F1541="Yes",Assumptions!$C$6,0))</f>
        <v>918118.57780000009</v>
      </c>
      <c r="K1541" s="22">
        <f>H1541*(1+Assumptions!$B$7+IF(F1541="Yes",Assumptions!$C$7,0))</f>
        <v>935946.12300000002</v>
      </c>
      <c r="L1541" s="22">
        <f>H1541*(1+Assumptions!$B$8+IF(F1541="Yes",Assumptions!$C$8,0))</f>
        <v>900291.03260000004</v>
      </c>
    </row>
    <row r="1542" spans="1:12" ht="15">
      <c r="A1542" s="21">
        <v>41152</v>
      </c>
      <c r="B1542" s="21">
        <v>41122</v>
      </c>
      <c r="C1542" s="17">
        <v>9</v>
      </c>
      <c r="D1542" s="17" t="s">
        <v>92</v>
      </c>
      <c r="E1542" s="18">
        <v>125833</v>
      </c>
      <c r="F1542" s="17" t="s">
        <v>91</v>
      </c>
      <c r="G1542" s="14">
        <v>576835.23</v>
      </c>
      <c r="H1542" s="14">
        <v>544643.32999999996</v>
      </c>
      <c r="I1542" s="14">
        <v>544643.32999999996</v>
      </c>
      <c r="J1542" s="22">
        <f>H1542*(1+Assumptions!$B$6+IF(F1542="Yes",Assumptions!$C$6,0))</f>
        <v>560982.62989999994</v>
      </c>
      <c r="K1542" s="22">
        <f>H1542*(1+Assumptions!$B$7+IF(F1542="Yes",Assumptions!$C$7,0))</f>
        <v>571875.49650000001</v>
      </c>
      <c r="L1542" s="22">
        <f>H1542*(1+Assumptions!$B$8+IF(F1542="Yes",Assumptions!$C$8,0))</f>
        <v>550089.76329999999</v>
      </c>
    </row>
    <row r="1543" spans="1:12" ht="15">
      <c r="A1543" s="21">
        <v>41152</v>
      </c>
      <c r="B1543" s="21">
        <v>41122</v>
      </c>
      <c r="C1543" s="17">
        <v>10</v>
      </c>
      <c r="D1543" s="17" t="s">
        <v>92</v>
      </c>
      <c r="E1543" s="18">
        <v>126512</v>
      </c>
      <c r="F1543" s="17" t="s">
        <v>91</v>
      </c>
      <c r="G1543" s="14">
        <v>1650285.54</v>
      </c>
      <c r="H1543" s="14">
        <v>1759013.3599999999</v>
      </c>
      <c r="I1543" s="14">
        <v>1759013.3599999999</v>
      </c>
      <c r="J1543" s="22">
        <f>H1543*(1+Assumptions!$B$6+IF(F1543="Yes",Assumptions!$C$6,0))</f>
        <v>1811783.7607999998</v>
      </c>
      <c r="K1543" s="22">
        <f>H1543*(1+Assumptions!$B$7+IF(F1543="Yes",Assumptions!$C$7,0))</f>
        <v>1846964.0279999999</v>
      </c>
      <c r="L1543" s="22">
        <f>H1543*(1+Assumptions!$B$8+IF(F1543="Yes",Assumptions!$C$8,0))</f>
        <v>1776603.4935999999</v>
      </c>
    </row>
    <row r="1544" spans="1:12" ht="15">
      <c r="A1544" s="21">
        <v>41152</v>
      </c>
      <c r="B1544" s="21">
        <v>41122</v>
      </c>
      <c r="C1544" s="17">
        <v>11</v>
      </c>
      <c r="D1544" s="17" t="s">
        <v>90</v>
      </c>
      <c r="E1544" s="18">
        <v>207499</v>
      </c>
      <c r="F1544" s="17" t="s">
        <v>91</v>
      </c>
      <c r="G1544" s="14">
        <v>1373042.23</v>
      </c>
      <c r="H1544" s="14">
        <v>1297678.3700000001</v>
      </c>
      <c r="I1544" s="14">
        <v>1297678.3700000001</v>
      </c>
      <c r="J1544" s="22">
        <f>H1544*(1+Assumptions!$B$6+IF(F1544="Yes",Assumptions!$C$6,0))</f>
        <v>1336608.7211000002</v>
      </c>
      <c r="K1544" s="22">
        <f>H1544*(1+Assumptions!$B$7+IF(F1544="Yes",Assumptions!$C$7,0))</f>
        <v>1362562.2885000003</v>
      </c>
      <c r="L1544" s="22">
        <f>H1544*(1+Assumptions!$B$8+IF(F1544="Yes",Assumptions!$C$8,0))</f>
        <v>1310655.1537000001</v>
      </c>
    </row>
    <row r="1545" spans="1:12" ht="15">
      <c r="A1545" s="21">
        <v>41152</v>
      </c>
      <c r="B1545" s="21">
        <v>41122</v>
      </c>
      <c r="C1545" s="17">
        <v>12</v>
      </c>
      <c r="D1545" s="17" t="s">
        <v>92</v>
      </c>
      <c r="E1545" s="18">
        <v>112238</v>
      </c>
      <c r="F1545" s="17" t="s">
        <v>91</v>
      </c>
      <c r="G1545" s="14">
        <v>1061942.49</v>
      </c>
      <c r="H1545" s="14">
        <v>1052039.48</v>
      </c>
      <c r="I1545" s="14">
        <v>1052039.48</v>
      </c>
      <c r="J1545" s="22">
        <f>H1545*(1+Assumptions!$B$6+IF(F1545="Yes",Assumptions!$C$6,0))</f>
        <v>1083600.6644000001</v>
      </c>
      <c r="K1545" s="22">
        <f>H1545*(1+Assumptions!$B$7+IF(F1545="Yes",Assumptions!$C$7,0))</f>
        <v>1104641.4540000001</v>
      </c>
      <c r="L1545" s="22">
        <f>H1545*(1+Assumptions!$B$8+IF(F1545="Yes",Assumptions!$C$8,0))</f>
        <v>1062559.8747999999</v>
      </c>
    </row>
    <row r="1546" spans="1:12" ht="15">
      <c r="A1546" s="21">
        <v>41152</v>
      </c>
      <c r="B1546" s="21">
        <v>41122</v>
      </c>
      <c r="C1546" s="17">
        <v>13</v>
      </c>
      <c r="D1546" s="17" t="s">
        <v>90</v>
      </c>
      <c r="E1546" s="18">
        <v>219622</v>
      </c>
      <c r="F1546" s="17" t="s">
        <v>91</v>
      </c>
      <c r="G1546" s="14">
        <v>2073855.42</v>
      </c>
      <c r="H1546" s="14">
        <v>1953628.82</v>
      </c>
      <c r="I1546" s="14">
        <v>1953628.82</v>
      </c>
      <c r="J1546" s="22">
        <f>H1546*(1+Assumptions!$B$6+IF(F1546="Yes",Assumptions!$C$6,0))</f>
        <v>2012237.6846</v>
      </c>
      <c r="K1546" s="22">
        <f>H1546*(1+Assumptions!$B$7+IF(F1546="Yes",Assumptions!$C$7,0))</f>
        <v>2051310.2610000002</v>
      </c>
      <c r="L1546" s="22">
        <f>H1546*(1+Assumptions!$B$8+IF(F1546="Yes",Assumptions!$C$8,0))</f>
        <v>1973165.1082000001</v>
      </c>
    </row>
    <row r="1547" spans="1:12" ht="15">
      <c r="A1547" s="21">
        <v>41152</v>
      </c>
      <c r="B1547" s="21">
        <v>41122</v>
      </c>
      <c r="C1547" s="17">
        <v>14</v>
      </c>
      <c r="D1547" s="17" t="s">
        <v>90</v>
      </c>
      <c r="E1547" s="18">
        <v>200898</v>
      </c>
      <c r="F1547" s="17" t="s">
        <v>91</v>
      </c>
      <c r="G1547" s="14">
        <v>1613342.19</v>
      </c>
      <c r="H1547" s="14">
        <v>1750850.55</v>
      </c>
      <c r="I1547" s="14">
        <v>1750850.55</v>
      </c>
      <c r="J1547" s="22">
        <f>H1547*(1+Assumptions!$B$6+IF(F1547="Yes",Assumptions!$C$6,0))</f>
        <v>1803376.0665000002</v>
      </c>
      <c r="K1547" s="22">
        <f>H1547*(1+Assumptions!$B$7+IF(F1547="Yes",Assumptions!$C$7,0))</f>
        <v>1838393.0775000001</v>
      </c>
      <c r="L1547" s="22">
        <f>H1547*(1+Assumptions!$B$8+IF(F1547="Yes",Assumptions!$C$8,0))</f>
        <v>1768359.0555</v>
      </c>
    </row>
    <row r="1548" spans="1:12" ht="15">
      <c r="A1548" s="21">
        <v>41152</v>
      </c>
      <c r="B1548" s="21">
        <v>41122</v>
      </c>
      <c r="C1548" s="17">
        <v>15</v>
      </c>
      <c r="D1548" s="17" t="s">
        <v>92</v>
      </c>
      <c r="E1548" s="18">
        <v>123737</v>
      </c>
      <c r="F1548" s="17" t="s">
        <v>91</v>
      </c>
      <c r="G1548" s="14">
        <v>610185.31999999995</v>
      </c>
      <c r="H1548" s="14">
        <v>649124.84</v>
      </c>
      <c r="I1548" s="14">
        <v>649124.84</v>
      </c>
      <c r="J1548" s="22">
        <f>H1548*(1+Assumptions!$B$6+IF(F1548="Yes",Assumptions!$C$6,0))</f>
        <v>668598.58519999997</v>
      </c>
      <c r="K1548" s="22">
        <f>H1548*(1+Assumptions!$B$7+IF(F1548="Yes",Assumptions!$C$7,0))</f>
        <v>681581.08199999994</v>
      </c>
      <c r="L1548" s="22">
        <f>H1548*(1+Assumptions!$B$8+IF(F1548="Yes",Assumptions!$C$8,0))</f>
        <v>655616.08840000001</v>
      </c>
    </row>
    <row r="1549" spans="1:12" ht="15">
      <c r="A1549" s="21">
        <v>41152</v>
      </c>
      <c r="B1549" s="21">
        <v>41122</v>
      </c>
      <c r="C1549" s="17">
        <v>16</v>
      </c>
      <c r="D1549" s="17" t="s">
        <v>92</v>
      </c>
      <c r="E1549" s="18">
        <v>57197</v>
      </c>
      <c r="F1549" s="17" t="s">
        <v>91</v>
      </c>
      <c r="G1549" s="14">
        <v>550398.04</v>
      </c>
      <c r="H1549" s="14">
        <v>580467.55000000005</v>
      </c>
      <c r="I1549" s="14">
        <v>580467.55000000005</v>
      </c>
      <c r="J1549" s="22">
        <f>H1549*(1+Assumptions!$B$6+IF(F1549="Yes",Assumptions!$C$6,0))</f>
        <v>597881.57650000008</v>
      </c>
      <c r="K1549" s="22">
        <f>H1549*(1+Assumptions!$B$7+IF(F1549="Yes",Assumptions!$C$7,0))</f>
        <v>609490.92750000011</v>
      </c>
      <c r="L1549" s="22">
        <f>H1549*(1+Assumptions!$B$8+IF(F1549="Yes",Assumptions!$C$8,0))</f>
        <v>586272.22550000006</v>
      </c>
    </row>
    <row r="1550" spans="1:12" ht="15">
      <c r="A1550" s="21">
        <v>41152</v>
      </c>
      <c r="B1550" s="21">
        <v>41122</v>
      </c>
      <c r="C1550" s="17">
        <v>17</v>
      </c>
      <c r="D1550" s="17" t="s">
        <v>92</v>
      </c>
      <c r="E1550" s="18">
        <v>93188</v>
      </c>
      <c r="F1550" s="17" t="s">
        <v>91</v>
      </c>
      <c r="G1550" s="14">
        <v>864652.55</v>
      </c>
      <c r="H1550" s="14">
        <v>847380.07</v>
      </c>
      <c r="I1550" s="14">
        <v>847380.07</v>
      </c>
      <c r="J1550" s="22">
        <f>H1550*(1+Assumptions!$B$6+IF(F1550="Yes",Assumptions!$C$6,0))</f>
        <v>872801.47210000001</v>
      </c>
      <c r="K1550" s="22">
        <f>H1550*(1+Assumptions!$B$7+IF(F1550="Yes",Assumptions!$C$7,0))</f>
        <v>889749.07349999994</v>
      </c>
      <c r="L1550" s="22">
        <f>H1550*(1+Assumptions!$B$8+IF(F1550="Yes",Assumptions!$C$8,0))</f>
        <v>855853.87069999997</v>
      </c>
    </row>
    <row r="1551" spans="1:12" ht="15">
      <c r="A1551" s="21">
        <v>41152</v>
      </c>
      <c r="B1551" s="21">
        <v>41122</v>
      </c>
      <c r="C1551" s="17">
        <v>18</v>
      </c>
      <c r="D1551" s="17" t="s">
        <v>92</v>
      </c>
      <c r="E1551" s="18">
        <v>120653</v>
      </c>
      <c r="F1551" s="17" t="s">
        <v>91</v>
      </c>
      <c r="G1551" s="14">
        <v>1097136.22</v>
      </c>
      <c r="H1551" s="14">
        <v>540922.93999999994</v>
      </c>
      <c r="I1551" s="14">
        <v>540922.93999999994</v>
      </c>
      <c r="J1551" s="22">
        <f>H1551*(1+Assumptions!$B$6+IF(F1551="Yes",Assumptions!$C$6,0))</f>
        <v>557150.62819999992</v>
      </c>
      <c r="K1551" s="22">
        <f>H1551*(1+Assumptions!$B$7+IF(F1551="Yes",Assumptions!$C$7,0))</f>
        <v>567969.08699999994</v>
      </c>
      <c r="L1551" s="22">
        <f>H1551*(1+Assumptions!$B$8+IF(F1551="Yes",Assumptions!$C$8,0))</f>
        <v>546332.1693999999</v>
      </c>
    </row>
    <row r="1552" spans="1:12" ht="15">
      <c r="A1552" s="21">
        <v>41152</v>
      </c>
      <c r="B1552" s="21">
        <v>41122</v>
      </c>
      <c r="C1552" s="17">
        <v>19</v>
      </c>
      <c r="D1552" s="17" t="s">
        <v>90</v>
      </c>
      <c r="E1552" s="18">
        <v>203819</v>
      </c>
      <c r="F1552" s="17" t="s">
        <v>91</v>
      </c>
      <c r="G1552" s="14">
        <v>1542715.4</v>
      </c>
      <c r="H1552" s="14">
        <v>1609948.52</v>
      </c>
      <c r="I1552" s="14">
        <v>1609948.52</v>
      </c>
      <c r="J1552" s="22">
        <f>H1552*(1+Assumptions!$B$6+IF(F1552="Yes",Assumptions!$C$6,0))</f>
        <v>1658246.9756</v>
      </c>
      <c r="K1552" s="22">
        <f>H1552*(1+Assumptions!$B$7+IF(F1552="Yes",Assumptions!$C$7,0))</f>
        <v>1690445.946</v>
      </c>
      <c r="L1552" s="22">
        <f>H1552*(1+Assumptions!$B$8+IF(F1552="Yes",Assumptions!$C$8,0))</f>
        <v>1626048.0052</v>
      </c>
    </row>
    <row r="1553" spans="1:12" ht="15">
      <c r="A1553" s="21">
        <v>41152</v>
      </c>
      <c r="B1553" s="21">
        <v>41122</v>
      </c>
      <c r="C1553" s="17">
        <v>20</v>
      </c>
      <c r="D1553" s="17" t="s">
        <v>90</v>
      </c>
      <c r="E1553" s="18">
        <v>203742</v>
      </c>
      <c r="F1553" s="17" t="s">
        <v>91</v>
      </c>
      <c r="G1553" s="14">
        <v>2062481.56</v>
      </c>
      <c r="H1553" s="14">
        <v>2141765.98</v>
      </c>
      <c r="I1553" s="14">
        <v>2141765.98</v>
      </c>
      <c r="J1553" s="22">
        <f>H1553*(1+Assumptions!$B$6+IF(F1553="Yes",Assumptions!$C$6,0))</f>
        <v>2206018.9594000001</v>
      </c>
      <c r="K1553" s="22">
        <f>H1553*(1+Assumptions!$B$7+IF(F1553="Yes",Assumptions!$C$7,0))</f>
        <v>2248854.2790000001</v>
      </c>
      <c r="L1553" s="22">
        <f>H1553*(1+Assumptions!$B$8+IF(F1553="Yes",Assumptions!$C$8,0))</f>
        <v>2163183.6398</v>
      </c>
    </row>
    <row r="1554" spans="1:12" ht="15">
      <c r="A1554" s="21">
        <v>41152</v>
      </c>
      <c r="B1554" s="21">
        <v>41122</v>
      </c>
      <c r="C1554" s="17">
        <v>21</v>
      </c>
      <c r="D1554" s="17" t="s">
        <v>92</v>
      </c>
      <c r="E1554" s="18">
        <v>140167</v>
      </c>
      <c r="F1554" s="17" t="s">
        <v>91</v>
      </c>
      <c r="G1554" s="14">
        <v>762084.7</v>
      </c>
      <c r="H1554" s="14">
        <v>705532.91</v>
      </c>
      <c r="I1554" s="14">
        <v>705532.91</v>
      </c>
      <c r="J1554" s="22">
        <f>H1554*(1+Assumptions!$B$6+IF(F1554="Yes",Assumptions!$C$6,0))</f>
        <v>726698.89730000007</v>
      </c>
      <c r="K1554" s="22">
        <f>H1554*(1+Assumptions!$B$7+IF(F1554="Yes",Assumptions!$C$7,0))</f>
        <v>740809.55550000002</v>
      </c>
      <c r="L1554" s="22">
        <f>H1554*(1+Assumptions!$B$8+IF(F1554="Yes",Assumptions!$C$8,0))</f>
        <v>712588.23910000001</v>
      </c>
    </row>
    <row r="1555" spans="1:12" ht="15">
      <c r="A1555" s="21">
        <v>41152</v>
      </c>
      <c r="B1555" s="21">
        <v>41122</v>
      </c>
      <c r="C1555" s="17">
        <v>22</v>
      </c>
      <c r="D1555" s="17" t="s">
        <v>92</v>
      </c>
      <c r="E1555" s="18">
        <v>119557</v>
      </c>
      <c r="F1555" s="17" t="s">
        <v>91</v>
      </c>
      <c r="G1555" s="14">
        <v>1022274.42</v>
      </c>
      <c r="H1555" s="14">
        <v>912678.97</v>
      </c>
      <c r="I1555" s="14">
        <v>912678.97</v>
      </c>
      <c r="J1555" s="22">
        <f>H1555*(1+Assumptions!$B$6+IF(F1555="Yes",Assumptions!$C$6,0))</f>
        <v>940059.33909999998</v>
      </c>
      <c r="K1555" s="22">
        <f>H1555*(1+Assumptions!$B$7+IF(F1555="Yes",Assumptions!$C$7,0))</f>
        <v>958312.91850000003</v>
      </c>
      <c r="L1555" s="22">
        <f>H1555*(1+Assumptions!$B$8+IF(F1555="Yes",Assumptions!$C$8,0))</f>
        <v>921805.75969999994</v>
      </c>
    </row>
    <row r="1556" spans="1:12" ht="15">
      <c r="A1556" s="21">
        <v>41152</v>
      </c>
      <c r="B1556" s="21">
        <v>41122</v>
      </c>
      <c r="C1556" s="17">
        <v>23</v>
      </c>
      <c r="D1556" s="17" t="s">
        <v>92</v>
      </c>
      <c r="E1556" s="18">
        <v>114533</v>
      </c>
      <c r="F1556" s="17" t="s">
        <v>91</v>
      </c>
      <c r="G1556" s="14">
        <v>1577468.78</v>
      </c>
      <c r="H1556" s="14">
        <v>1463840.01</v>
      </c>
      <c r="I1556" s="14">
        <v>1463840.01</v>
      </c>
      <c r="J1556" s="22">
        <f>H1556*(1+Assumptions!$B$6+IF(F1556="Yes",Assumptions!$C$6,0))</f>
        <v>1507755.2103000002</v>
      </c>
      <c r="K1556" s="22">
        <f>H1556*(1+Assumptions!$B$7+IF(F1556="Yes",Assumptions!$C$7,0))</f>
        <v>1537032.0105000001</v>
      </c>
      <c r="L1556" s="22">
        <f>H1556*(1+Assumptions!$B$8+IF(F1556="Yes",Assumptions!$C$8,0))</f>
        <v>1478478.4101</v>
      </c>
    </row>
    <row r="1557" spans="1:12" ht="15">
      <c r="A1557" s="21">
        <v>41152</v>
      </c>
      <c r="B1557" s="21">
        <v>41122</v>
      </c>
      <c r="C1557" s="17">
        <v>24</v>
      </c>
      <c r="D1557" s="17" t="s">
        <v>90</v>
      </c>
      <c r="E1557" s="18">
        <v>203819</v>
      </c>
      <c r="F1557" s="17" t="s">
        <v>91</v>
      </c>
      <c r="G1557" s="14">
        <v>1342963.88</v>
      </c>
      <c r="H1557" s="14">
        <v>1196105.44</v>
      </c>
      <c r="I1557" s="14">
        <v>1196105.44</v>
      </c>
      <c r="J1557" s="22">
        <f>H1557*(1+Assumptions!$B$6+IF(F1557="Yes",Assumptions!$C$6,0))</f>
        <v>1231988.6032</v>
      </c>
      <c r="K1557" s="22">
        <f>H1557*(1+Assumptions!$B$7+IF(F1557="Yes",Assumptions!$C$7,0))</f>
        <v>1255910.7120000001</v>
      </c>
      <c r="L1557" s="22">
        <f>H1557*(1+Assumptions!$B$8+IF(F1557="Yes",Assumptions!$C$8,0))</f>
        <v>1208066.4944</v>
      </c>
    </row>
    <row r="1558" spans="1:12" ht="15">
      <c r="A1558" s="21">
        <v>41152</v>
      </c>
      <c r="B1558" s="21">
        <v>41122</v>
      </c>
      <c r="C1558" s="17">
        <v>25</v>
      </c>
      <c r="D1558" s="17" t="s">
        <v>92</v>
      </c>
      <c r="E1558" s="18">
        <v>128107</v>
      </c>
      <c r="F1558" s="17" t="s">
        <v>91</v>
      </c>
      <c r="G1558" s="14">
        <v>714828.73</v>
      </c>
      <c r="H1558" s="14">
        <v>699749</v>
      </c>
      <c r="I1558" s="14">
        <v>699749</v>
      </c>
      <c r="J1558" s="22">
        <f>H1558*(1+Assumptions!$B$6+IF(F1558="Yes",Assumptions!$C$6,0))</f>
        <v>720741.47</v>
      </c>
      <c r="K1558" s="22">
        <f>H1558*(1+Assumptions!$B$7+IF(F1558="Yes",Assumptions!$C$7,0))</f>
        <v>734736.45000000007</v>
      </c>
      <c r="L1558" s="22">
        <f>H1558*(1+Assumptions!$B$8+IF(F1558="Yes",Assumptions!$C$8,0))</f>
        <v>706746.49</v>
      </c>
    </row>
    <row r="1559" spans="1:12" ht="15">
      <c r="A1559" s="21">
        <v>41152</v>
      </c>
      <c r="B1559" s="21">
        <v>41122</v>
      </c>
      <c r="C1559" s="17">
        <v>26</v>
      </c>
      <c r="D1559" s="17" t="s">
        <v>90</v>
      </c>
      <c r="E1559" s="18">
        <v>152513</v>
      </c>
      <c r="F1559" s="17" t="s">
        <v>91</v>
      </c>
      <c r="G1559" s="14">
        <v>1052465.51</v>
      </c>
      <c r="H1559" s="14">
        <v>1039989.17</v>
      </c>
      <c r="I1559" s="14">
        <v>1039989.17</v>
      </c>
      <c r="J1559" s="22">
        <f>H1559*(1+Assumptions!$B$6+IF(F1559="Yes",Assumptions!$C$6,0))</f>
        <v>1071188.8451</v>
      </c>
      <c r="K1559" s="22">
        <f>H1559*(1+Assumptions!$B$7+IF(F1559="Yes",Assumptions!$C$7,0))</f>
        <v>1091988.6285000001</v>
      </c>
      <c r="L1559" s="22">
        <f>H1559*(1+Assumptions!$B$8+IF(F1559="Yes",Assumptions!$C$8,0))</f>
        <v>1050389.0617</v>
      </c>
    </row>
    <row r="1560" spans="1:12" ht="15">
      <c r="A1560" s="21">
        <v>41152</v>
      </c>
      <c r="B1560" s="21">
        <v>41122</v>
      </c>
      <c r="C1560" s="17">
        <v>27</v>
      </c>
      <c r="D1560" s="17" t="s">
        <v>90</v>
      </c>
      <c r="E1560" s="18">
        <v>204184</v>
      </c>
      <c r="F1560" s="17" t="s">
        <v>91</v>
      </c>
      <c r="G1560" s="14">
        <v>1731935.43</v>
      </c>
      <c r="H1560" s="14">
        <v>1511717.53</v>
      </c>
      <c r="I1560" s="14">
        <v>1511717.53</v>
      </c>
      <c r="J1560" s="22">
        <f>H1560*(1+Assumptions!$B$6+IF(F1560="Yes",Assumptions!$C$6,0))</f>
        <v>1557069.0559</v>
      </c>
      <c r="K1560" s="22">
        <f>H1560*(1+Assumptions!$B$7+IF(F1560="Yes",Assumptions!$C$7,0))</f>
        <v>1587303.4065</v>
      </c>
      <c r="L1560" s="22">
        <f>H1560*(1+Assumptions!$B$8+IF(F1560="Yes",Assumptions!$C$8,0))</f>
        <v>1526834.7053</v>
      </c>
    </row>
    <row r="1561" spans="1:12" ht="15">
      <c r="A1561" s="21">
        <v>41152</v>
      </c>
      <c r="B1561" s="21">
        <v>41122</v>
      </c>
      <c r="C1561" s="17">
        <v>28</v>
      </c>
      <c r="D1561" s="17" t="s">
        <v>90</v>
      </c>
      <c r="E1561" s="18">
        <v>206302</v>
      </c>
      <c r="F1561" s="17" t="s">
        <v>91</v>
      </c>
      <c r="G1561" s="14">
        <v>1227097.81</v>
      </c>
      <c r="H1561" s="14">
        <v>1468813.65</v>
      </c>
      <c r="I1561" s="14">
        <v>1468813.65</v>
      </c>
      <c r="J1561" s="22">
        <f>H1561*(1+Assumptions!$B$6+IF(F1561="Yes",Assumptions!$C$6,0))</f>
        <v>1512878.0595</v>
      </c>
      <c r="K1561" s="22">
        <f>H1561*(1+Assumptions!$B$7+IF(F1561="Yes",Assumptions!$C$7,0))</f>
        <v>1542254.3325</v>
      </c>
      <c r="L1561" s="22">
        <f>H1561*(1+Assumptions!$B$8+IF(F1561="Yes",Assumptions!$C$8,0))</f>
        <v>1483501.7864999999</v>
      </c>
    </row>
    <row r="1562" spans="1:12" ht="15">
      <c r="A1562" s="21">
        <v>41152</v>
      </c>
      <c r="B1562" s="21">
        <v>41122</v>
      </c>
      <c r="C1562" s="17">
        <v>29</v>
      </c>
      <c r="D1562" s="17" t="s">
        <v>92</v>
      </c>
      <c r="E1562" s="18">
        <v>93638</v>
      </c>
      <c r="F1562" s="17" t="s">
        <v>91</v>
      </c>
      <c r="G1562" s="14">
        <v>545457.06999999995</v>
      </c>
      <c r="H1562" s="14">
        <v>497075.91</v>
      </c>
      <c r="I1562" s="14">
        <v>497075.91</v>
      </c>
      <c r="J1562" s="22">
        <f>H1562*(1+Assumptions!$B$6+IF(F1562="Yes",Assumptions!$C$6,0))</f>
        <v>511988.18729999999</v>
      </c>
      <c r="K1562" s="22">
        <f>H1562*(1+Assumptions!$B$7+IF(F1562="Yes",Assumptions!$C$7,0))</f>
        <v>521929.70549999998</v>
      </c>
      <c r="L1562" s="22">
        <f>H1562*(1+Assumptions!$B$8+IF(F1562="Yes",Assumptions!$C$8,0))</f>
        <v>502046.6691</v>
      </c>
    </row>
    <row r="1563" spans="1:12" ht="15">
      <c r="A1563" s="21">
        <v>41152</v>
      </c>
      <c r="B1563" s="21">
        <v>41122</v>
      </c>
      <c r="C1563" s="17">
        <v>30</v>
      </c>
      <c r="D1563" s="17" t="s">
        <v>93</v>
      </c>
      <c r="E1563" s="18">
        <v>42988</v>
      </c>
      <c r="F1563" s="17" t="s">
        <v>91</v>
      </c>
      <c r="G1563" s="14">
        <v>439124</v>
      </c>
      <c r="H1563" s="14">
        <v>369514.04</v>
      </c>
      <c r="I1563" s="14">
        <v>369514.04</v>
      </c>
      <c r="J1563" s="22">
        <f>H1563*(1+Assumptions!$B$6+IF(F1563="Yes",Assumptions!$C$6,0))</f>
        <v>380599.46119999996</v>
      </c>
      <c r="K1563" s="22">
        <f>H1563*(1+Assumptions!$B$7+IF(F1563="Yes",Assumptions!$C$7,0))</f>
        <v>387989.74199999997</v>
      </c>
      <c r="L1563" s="22">
        <f>H1563*(1+Assumptions!$B$8+IF(F1563="Yes",Assumptions!$C$8,0))</f>
        <v>373209.18039999995</v>
      </c>
    </row>
    <row r="1564" spans="1:12" ht="15">
      <c r="A1564" s="21">
        <v>41152</v>
      </c>
      <c r="B1564" s="21">
        <v>41122</v>
      </c>
      <c r="C1564" s="17">
        <v>31</v>
      </c>
      <c r="D1564" s="17" t="s">
        <v>90</v>
      </c>
      <c r="E1564" s="18">
        <v>203750</v>
      </c>
      <c r="F1564" s="17" t="s">
        <v>91</v>
      </c>
      <c r="G1564" s="14">
        <v>1373651.49</v>
      </c>
      <c r="H1564" s="14">
        <v>1385763.21</v>
      </c>
      <c r="I1564" s="14">
        <v>1385763.21</v>
      </c>
      <c r="J1564" s="22">
        <f>H1564*(1+Assumptions!$B$6+IF(F1564="Yes",Assumptions!$C$6,0))</f>
        <v>1427336.1063000001</v>
      </c>
      <c r="K1564" s="22">
        <f>H1564*(1+Assumptions!$B$7+IF(F1564="Yes",Assumptions!$C$7,0))</f>
        <v>1455051.3705</v>
      </c>
      <c r="L1564" s="22">
        <f>H1564*(1+Assumptions!$B$8+IF(F1564="Yes",Assumptions!$C$8,0))</f>
        <v>1399620.8421</v>
      </c>
    </row>
    <row r="1565" spans="1:12" ht="15">
      <c r="A1565" s="21">
        <v>41152</v>
      </c>
      <c r="B1565" s="21">
        <v>41122</v>
      </c>
      <c r="C1565" s="17">
        <v>32</v>
      </c>
      <c r="D1565" s="17" t="s">
        <v>90</v>
      </c>
      <c r="E1565" s="18">
        <v>203007</v>
      </c>
      <c r="F1565" s="17" t="s">
        <v>91</v>
      </c>
      <c r="G1565" s="14">
        <v>1183979.27</v>
      </c>
      <c r="H1565" s="14">
        <v>1152109.53</v>
      </c>
      <c r="I1565" s="14">
        <v>1152109.53</v>
      </c>
      <c r="J1565" s="22">
        <f>H1565*(1+Assumptions!$B$6+IF(F1565="Yes",Assumptions!$C$6,0))</f>
        <v>1186672.8159</v>
      </c>
      <c r="K1565" s="22">
        <f>H1565*(1+Assumptions!$B$7+IF(F1565="Yes",Assumptions!$C$7,0))</f>
        <v>1209715.0065000001</v>
      </c>
      <c r="L1565" s="22">
        <f>H1565*(1+Assumptions!$B$8+IF(F1565="Yes",Assumptions!$C$8,0))</f>
        <v>1163630.6253</v>
      </c>
    </row>
    <row r="1566" spans="1:12" ht="15">
      <c r="A1566" s="21">
        <v>41152</v>
      </c>
      <c r="B1566" s="21">
        <v>41122</v>
      </c>
      <c r="C1566" s="17">
        <v>33</v>
      </c>
      <c r="D1566" s="17" t="s">
        <v>90</v>
      </c>
      <c r="E1566" s="18">
        <v>39690</v>
      </c>
      <c r="F1566" s="17" t="s">
        <v>91</v>
      </c>
      <c r="G1566" s="14">
        <v>237120.45</v>
      </c>
      <c r="H1566" s="14">
        <v>239171.49</v>
      </c>
      <c r="I1566" s="14">
        <v>239171.49</v>
      </c>
      <c r="J1566" s="22">
        <f>H1566*(1+Assumptions!$B$6+IF(F1566="Yes",Assumptions!$C$6,0))</f>
        <v>246346.6347</v>
      </c>
      <c r="K1566" s="22">
        <f>H1566*(1+Assumptions!$B$7+IF(F1566="Yes",Assumptions!$C$7,0))</f>
        <v>251130.06450000001</v>
      </c>
      <c r="L1566" s="22">
        <f>H1566*(1+Assumptions!$B$8+IF(F1566="Yes",Assumptions!$C$8,0))</f>
        <v>241563.20489999998</v>
      </c>
    </row>
    <row r="1567" spans="1:12" ht="15">
      <c r="A1567" s="21">
        <v>41152</v>
      </c>
      <c r="B1567" s="21">
        <v>41122</v>
      </c>
      <c r="C1567" s="17">
        <v>34</v>
      </c>
      <c r="D1567" s="17" t="s">
        <v>90</v>
      </c>
      <c r="E1567" s="18">
        <v>158114</v>
      </c>
      <c r="F1567" s="17" t="s">
        <v>91</v>
      </c>
      <c r="G1567" s="14">
        <v>933337.25</v>
      </c>
      <c r="H1567" s="14">
        <v>926455.64</v>
      </c>
      <c r="I1567" s="14">
        <v>926455.64</v>
      </c>
      <c r="J1567" s="22">
        <f>H1567*(1+Assumptions!$B$6+IF(F1567="Yes",Assumptions!$C$6,0))</f>
        <v>954249.30920000002</v>
      </c>
      <c r="K1567" s="22">
        <f>H1567*(1+Assumptions!$B$7+IF(F1567="Yes",Assumptions!$C$7,0))</f>
        <v>972778.42200000002</v>
      </c>
      <c r="L1567" s="22">
        <f>H1567*(1+Assumptions!$B$8+IF(F1567="Yes",Assumptions!$C$8,0))</f>
        <v>935720.19640000002</v>
      </c>
    </row>
    <row r="1568" spans="1:12" ht="15">
      <c r="A1568" s="21">
        <v>41152</v>
      </c>
      <c r="B1568" s="21">
        <v>41122</v>
      </c>
      <c r="C1568" s="17">
        <v>35</v>
      </c>
      <c r="D1568" s="17" t="s">
        <v>92</v>
      </c>
      <c r="E1568" s="18">
        <v>103681</v>
      </c>
      <c r="F1568" s="17" t="s">
        <v>91</v>
      </c>
      <c r="G1568" s="14">
        <v>931273.03</v>
      </c>
      <c r="H1568" s="14">
        <v>816874.41</v>
      </c>
      <c r="I1568" s="14">
        <v>816874.41</v>
      </c>
      <c r="J1568" s="22">
        <f>H1568*(1+Assumptions!$B$6+IF(F1568="Yes",Assumptions!$C$6,0))</f>
        <v>841380.64230000007</v>
      </c>
      <c r="K1568" s="22">
        <f>H1568*(1+Assumptions!$B$7+IF(F1568="Yes",Assumptions!$C$7,0))</f>
        <v>857718.13050000009</v>
      </c>
      <c r="L1568" s="22">
        <f>H1568*(1+Assumptions!$B$8+IF(F1568="Yes",Assumptions!$C$8,0))</f>
        <v>825043.15410000004</v>
      </c>
    </row>
    <row r="1569" spans="1:12" ht="15">
      <c r="A1569" s="21">
        <v>41152</v>
      </c>
      <c r="B1569" s="21">
        <v>41122</v>
      </c>
      <c r="C1569" s="17">
        <v>36</v>
      </c>
      <c r="D1569" s="17" t="s">
        <v>90</v>
      </c>
      <c r="E1569" s="18">
        <v>39910</v>
      </c>
      <c r="F1569" s="17" t="s">
        <v>91</v>
      </c>
      <c r="G1569" s="14">
        <v>282610.59999999998</v>
      </c>
      <c r="H1569" s="14">
        <v>350232.29</v>
      </c>
      <c r="I1569" s="14">
        <v>350232.29</v>
      </c>
      <c r="J1569" s="22">
        <f>H1569*(1+Assumptions!$B$6+IF(F1569="Yes",Assumptions!$C$6,0))</f>
        <v>360739.25870000001</v>
      </c>
      <c r="K1569" s="22">
        <f>H1569*(1+Assumptions!$B$7+IF(F1569="Yes",Assumptions!$C$7,0))</f>
        <v>367743.9045</v>
      </c>
      <c r="L1569" s="22">
        <f>H1569*(1+Assumptions!$B$8+IF(F1569="Yes",Assumptions!$C$8,0))</f>
        <v>353734.61290000001</v>
      </c>
    </row>
    <row r="1570" spans="1:12" ht="15">
      <c r="A1570" s="21">
        <v>41152</v>
      </c>
      <c r="B1570" s="21">
        <v>41122</v>
      </c>
      <c r="C1570" s="17">
        <v>37</v>
      </c>
      <c r="D1570" s="17" t="s">
        <v>93</v>
      </c>
      <c r="E1570" s="18">
        <v>39910</v>
      </c>
      <c r="F1570" s="17" t="s">
        <v>91</v>
      </c>
      <c r="G1570" s="14">
        <v>538256.4</v>
      </c>
      <c r="H1570" s="14">
        <v>530350.83000000007</v>
      </c>
      <c r="I1570" s="14">
        <v>530350.83000000007</v>
      </c>
      <c r="J1570" s="22">
        <f>H1570*(1+Assumptions!$B$6+IF(F1570="Yes",Assumptions!$C$6,0))</f>
        <v>546261.35490000003</v>
      </c>
      <c r="K1570" s="22">
        <f>H1570*(1+Assumptions!$B$7+IF(F1570="Yes",Assumptions!$C$7,0))</f>
        <v>556868.37150000012</v>
      </c>
      <c r="L1570" s="22">
        <f>H1570*(1+Assumptions!$B$8+IF(F1570="Yes",Assumptions!$C$8,0))</f>
        <v>535654.33830000006</v>
      </c>
    </row>
    <row r="1571" spans="1:12" ht="15">
      <c r="A1571" s="21">
        <v>41152</v>
      </c>
      <c r="B1571" s="21">
        <v>41122</v>
      </c>
      <c r="C1571" s="17">
        <v>38</v>
      </c>
      <c r="D1571" s="17" t="s">
        <v>93</v>
      </c>
      <c r="E1571" s="18">
        <v>39690</v>
      </c>
      <c r="F1571" s="17" t="s">
        <v>91</v>
      </c>
      <c r="G1571" s="14">
        <v>424788.01</v>
      </c>
      <c r="H1571" s="14">
        <v>416719.3</v>
      </c>
      <c r="I1571" s="14">
        <v>416719.3</v>
      </c>
      <c r="J1571" s="22">
        <f>H1571*(1+Assumptions!$B$6+IF(F1571="Yes",Assumptions!$C$6,0))</f>
        <v>429220.87900000002</v>
      </c>
      <c r="K1571" s="22">
        <f>H1571*(1+Assumptions!$B$7+IF(F1571="Yes",Assumptions!$C$7,0))</f>
        <v>437555.26500000001</v>
      </c>
      <c r="L1571" s="22">
        <f>H1571*(1+Assumptions!$B$8+IF(F1571="Yes",Assumptions!$C$8,0))</f>
        <v>420886.49300000002</v>
      </c>
    </row>
    <row r="1572" spans="1:12" ht="15">
      <c r="A1572" s="21">
        <v>41152</v>
      </c>
      <c r="B1572" s="21">
        <v>41122</v>
      </c>
      <c r="C1572" s="17">
        <v>39</v>
      </c>
      <c r="D1572" s="17" t="s">
        <v>90</v>
      </c>
      <c r="E1572" s="18">
        <v>184109</v>
      </c>
      <c r="F1572" s="17" t="s">
        <v>91</v>
      </c>
      <c r="G1572" s="14">
        <v>1710908.98</v>
      </c>
      <c r="H1572" s="14">
        <v>1465089.85</v>
      </c>
      <c r="I1572" s="14">
        <v>1465089.85</v>
      </c>
      <c r="J1572" s="22">
        <f>H1572*(1+Assumptions!$B$6+IF(F1572="Yes",Assumptions!$C$6,0))</f>
        <v>1509042.5455000002</v>
      </c>
      <c r="K1572" s="22">
        <f>H1572*(1+Assumptions!$B$7+IF(F1572="Yes",Assumptions!$C$7,0))</f>
        <v>1538344.3425000003</v>
      </c>
      <c r="L1572" s="22">
        <f>H1572*(1+Assumptions!$B$8+IF(F1572="Yes",Assumptions!$C$8,0))</f>
        <v>1479740.7485000002</v>
      </c>
    </row>
    <row r="1573" spans="1:12" ht="15">
      <c r="A1573" s="21">
        <v>41152</v>
      </c>
      <c r="B1573" s="21">
        <v>41122</v>
      </c>
      <c r="C1573" s="17">
        <v>40</v>
      </c>
      <c r="D1573" s="17" t="s">
        <v>90</v>
      </c>
      <c r="E1573" s="18">
        <v>155083</v>
      </c>
      <c r="F1573" s="17" t="s">
        <v>91</v>
      </c>
      <c r="G1573" s="14">
        <v>987264.67</v>
      </c>
      <c r="H1573" s="14">
        <v>957249.56</v>
      </c>
      <c r="I1573" s="14">
        <v>957249.56</v>
      </c>
      <c r="J1573" s="22">
        <f>H1573*(1+Assumptions!$B$6+IF(F1573="Yes",Assumptions!$C$6,0))</f>
        <v>985967.04680000013</v>
      </c>
      <c r="K1573" s="22">
        <f>H1573*(1+Assumptions!$B$7+IF(F1573="Yes",Assumptions!$C$7,0))</f>
        <v>1005112.0380000001</v>
      </c>
      <c r="L1573" s="22">
        <f>H1573*(1+Assumptions!$B$8+IF(F1573="Yes",Assumptions!$C$8,0))</f>
        <v>966822.05560000008</v>
      </c>
    </row>
    <row r="1574" spans="1:12" ht="15">
      <c r="A1574" s="21">
        <v>41152</v>
      </c>
      <c r="B1574" s="21">
        <v>41122</v>
      </c>
      <c r="C1574" s="17">
        <v>41</v>
      </c>
      <c r="D1574" s="17" t="s">
        <v>90</v>
      </c>
      <c r="E1574" s="18">
        <v>196321</v>
      </c>
      <c r="F1574" s="17" t="s">
        <v>91</v>
      </c>
      <c r="G1574" s="14">
        <v>1360517.52</v>
      </c>
      <c r="H1574" s="14">
        <v>1283849.3799999999</v>
      </c>
      <c r="I1574" s="14">
        <v>1283849.3799999999</v>
      </c>
      <c r="J1574" s="22">
        <f>H1574*(1+Assumptions!$B$6+IF(F1574="Yes",Assumptions!$C$6,0))</f>
        <v>1322364.8613999998</v>
      </c>
      <c r="K1574" s="22">
        <f>H1574*(1+Assumptions!$B$7+IF(F1574="Yes",Assumptions!$C$7,0))</f>
        <v>1348041.8489999999</v>
      </c>
      <c r="L1574" s="22">
        <f>H1574*(1+Assumptions!$B$8+IF(F1574="Yes",Assumptions!$C$8,0))</f>
        <v>1296687.8737999999</v>
      </c>
    </row>
    <row r="1575" spans="1:12" ht="15">
      <c r="A1575" s="21">
        <v>41152</v>
      </c>
      <c r="B1575" s="21">
        <v>41122</v>
      </c>
      <c r="C1575" s="17">
        <v>42</v>
      </c>
      <c r="D1575" s="17" t="s">
        <v>93</v>
      </c>
      <c r="E1575" s="18">
        <v>39690</v>
      </c>
      <c r="F1575" s="17" t="s">
        <v>91</v>
      </c>
      <c r="G1575" s="14">
        <v>504702.45</v>
      </c>
      <c r="H1575" s="14">
        <v>537124.76</v>
      </c>
      <c r="I1575" s="14">
        <v>537124.76</v>
      </c>
      <c r="J1575" s="22">
        <f>H1575*(1+Assumptions!$B$6+IF(F1575="Yes",Assumptions!$C$6,0))</f>
        <v>553238.50280000002</v>
      </c>
      <c r="K1575" s="22">
        <f>H1575*(1+Assumptions!$B$7+IF(F1575="Yes",Assumptions!$C$7,0))</f>
        <v>563980.99800000002</v>
      </c>
      <c r="L1575" s="22">
        <f>H1575*(1+Assumptions!$B$8+IF(F1575="Yes",Assumptions!$C$8,0))</f>
        <v>542496.00760000001</v>
      </c>
    </row>
    <row r="1576" spans="1:12" ht="15">
      <c r="A1576" s="21">
        <v>41152</v>
      </c>
      <c r="B1576" s="21">
        <v>41122</v>
      </c>
      <c r="C1576" s="17">
        <v>43</v>
      </c>
      <c r="D1576" s="17" t="s">
        <v>93</v>
      </c>
      <c r="E1576" s="18">
        <v>41062</v>
      </c>
      <c r="F1576" s="17" t="s">
        <v>91</v>
      </c>
      <c r="G1576" s="14">
        <v>592633.41</v>
      </c>
      <c r="H1576" s="14">
        <v>594224.9</v>
      </c>
      <c r="I1576" s="14">
        <v>594224.9</v>
      </c>
      <c r="J1576" s="22">
        <f>H1576*(1+Assumptions!$B$6+IF(F1576="Yes",Assumptions!$C$6,0))</f>
        <v>612051.647</v>
      </c>
      <c r="K1576" s="22">
        <f>H1576*(1+Assumptions!$B$7+IF(F1576="Yes",Assumptions!$C$7,0))</f>
        <v>623936.14500000002</v>
      </c>
      <c r="L1576" s="22">
        <f>H1576*(1+Assumptions!$B$8+IF(F1576="Yes",Assumptions!$C$8,0))</f>
        <v>600167.14899999998</v>
      </c>
    </row>
    <row r="1577" spans="1:12" ht="15">
      <c r="A1577" s="21">
        <v>41152</v>
      </c>
      <c r="B1577" s="21">
        <v>41122</v>
      </c>
      <c r="C1577" s="17">
        <v>44</v>
      </c>
      <c r="D1577" s="17" t="s">
        <v>93</v>
      </c>
      <c r="E1577" s="18">
        <v>39910</v>
      </c>
      <c r="F1577" s="17" t="s">
        <v>91</v>
      </c>
      <c r="G1577" s="14">
        <v>339346.64</v>
      </c>
      <c r="H1577" s="14">
        <v>309446.06</v>
      </c>
      <c r="I1577" s="14">
        <v>309446.06</v>
      </c>
      <c r="J1577" s="22">
        <f>H1577*(1+Assumptions!$B$6+IF(F1577="Yes",Assumptions!$C$6,0))</f>
        <v>318729.44180000003</v>
      </c>
      <c r="K1577" s="22">
        <f>H1577*(1+Assumptions!$B$7+IF(F1577="Yes",Assumptions!$C$7,0))</f>
        <v>324918.36300000001</v>
      </c>
      <c r="L1577" s="22">
        <f>H1577*(1+Assumptions!$B$8+IF(F1577="Yes",Assumptions!$C$8,0))</f>
        <v>312540.52059999999</v>
      </c>
    </row>
    <row r="1578" spans="1:12" ht="15">
      <c r="A1578" s="21">
        <v>41152</v>
      </c>
      <c r="B1578" s="21">
        <v>41122</v>
      </c>
      <c r="C1578" s="17">
        <v>45</v>
      </c>
      <c r="D1578" s="17" t="s">
        <v>92</v>
      </c>
      <c r="E1578" s="18">
        <v>118221</v>
      </c>
      <c r="F1578" s="17" t="s">
        <v>91</v>
      </c>
      <c r="G1578" s="14">
        <v>734297.87</v>
      </c>
      <c r="H1578" s="14">
        <v>726482.39</v>
      </c>
      <c r="I1578" s="14">
        <v>726482.39</v>
      </c>
      <c r="J1578" s="22">
        <f>H1578*(1+Assumptions!$B$6+IF(F1578="Yes",Assumptions!$C$6,0))</f>
        <v>748276.86170000001</v>
      </c>
      <c r="K1578" s="22">
        <f>H1578*(1+Assumptions!$B$7+IF(F1578="Yes",Assumptions!$C$7,0))</f>
        <v>762806.50950000004</v>
      </c>
      <c r="L1578" s="22">
        <f>H1578*(1+Assumptions!$B$8+IF(F1578="Yes",Assumptions!$C$8,0))</f>
        <v>733747.21389999997</v>
      </c>
    </row>
    <row r="1579" spans="1:12" ht="15">
      <c r="A1579" s="21">
        <v>41159</v>
      </c>
      <c r="B1579" s="21">
        <v>41153</v>
      </c>
      <c r="C1579" s="17">
        <v>1</v>
      </c>
      <c r="D1579" s="17" t="s">
        <v>90</v>
      </c>
      <c r="E1579" s="18">
        <v>151315</v>
      </c>
      <c r="F1579" s="17" t="s">
        <v>94</v>
      </c>
      <c r="G1579" s="14">
        <v>1661753.95</v>
      </c>
      <c r="H1579" s="14">
        <v>1540471.24</v>
      </c>
      <c r="I1579" s="14">
        <v>1540471.24</v>
      </c>
      <c r="J1579" s="22">
        <f>H1579*(1+Assumptions!$B$6+IF(F1579="Yes",Assumptions!$C$6,0))</f>
        <v>1586685.3772</v>
      </c>
      <c r="K1579" s="22">
        <f>H1579*(1+Assumptions!$B$7+IF(F1579="Yes",Assumptions!$C$7,0))</f>
        <v>1632899.5144</v>
      </c>
      <c r="L1579" s="22">
        <f>H1579*(1+Assumptions!$B$8+IF(F1579="Yes",Assumptions!$C$8,0))</f>
        <v>1540471.24</v>
      </c>
    </row>
    <row r="1580" spans="1:12" ht="15">
      <c r="A1580" s="21">
        <v>41159</v>
      </c>
      <c r="B1580" s="21">
        <v>41153</v>
      </c>
      <c r="C1580" s="17">
        <v>2</v>
      </c>
      <c r="D1580" s="17" t="s">
        <v>90</v>
      </c>
      <c r="E1580" s="18">
        <v>202307</v>
      </c>
      <c r="F1580" s="17" t="s">
        <v>94</v>
      </c>
      <c r="G1580" s="14">
        <v>1898777.07</v>
      </c>
      <c r="H1580" s="14">
        <v>1747951.65</v>
      </c>
      <c r="I1580" s="14">
        <v>1747951.65</v>
      </c>
      <c r="J1580" s="22">
        <f>H1580*(1+Assumptions!$B$6+IF(F1580="Yes",Assumptions!$C$6,0))</f>
        <v>1800390.1994999999</v>
      </c>
      <c r="K1580" s="22">
        <f>H1580*(1+Assumptions!$B$7+IF(F1580="Yes",Assumptions!$C$7,0))</f>
        <v>1852828.7490000001</v>
      </c>
      <c r="L1580" s="22">
        <f>H1580*(1+Assumptions!$B$8+IF(F1580="Yes",Assumptions!$C$8,0))</f>
        <v>1747951.65</v>
      </c>
    </row>
    <row r="1581" spans="1:12" ht="15">
      <c r="A1581" s="21">
        <v>41159</v>
      </c>
      <c r="B1581" s="21">
        <v>41153</v>
      </c>
      <c r="C1581" s="17">
        <v>3</v>
      </c>
      <c r="D1581" s="17" t="s">
        <v>92</v>
      </c>
      <c r="E1581" s="18">
        <v>37392</v>
      </c>
      <c r="F1581" s="17" t="s">
        <v>94</v>
      </c>
      <c r="G1581" s="14">
        <v>408172.95</v>
      </c>
      <c r="H1581" s="14">
        <v>377347.49</v>
      </c>
      <c r="I1581" s="14">
        <v>377347.49</v>
      </c>
      <c r="J1581" s="22">
        <f>H1581*(1+Assumptions!$B$6+IF(F1581="Yes",Assumptions!$C$6,0))</f>
        <v>388667.91470000002</v>
      </c>
      <c r="K1581" s="22">
        <f>H1581*(1+Assumptions!$B$7+IF(F1581="Yes",Assumptions!$C$7,0))</f>
        <v>399988.3394</v>
      </c>
      <c r="L1581" s="22">
        <f>H1581*(1+Assumptions!$B$8+IF(F1581="Yes",Assumptions!$C$8,0))</f>
        <v>377347.49</v>
      </c>
    </row>
    <row r="1582" spans="1:12" ht="15">
      <c r="A1582" s="21">
        <v>41159</v>
      </c>
      <c r="B1582" s="21">
        <v>41153</v>
      </c>
      <c r="C1582" s="17">
        <v>4</v>
      </c>
      <c r="D1582" s="17" t="s">
        <v>90</v>
      </c>
      <c r="E1582" s="18">
        <v>205863</v>
      </c>
      <c r="F1582" s="17" t="s">
        <v>94</v>
      </c>
      <c r="G1582" s="14">
        <v>2125094.25</v>
      </c>
      <c r="H1582" s="14">
        <v>2093139.01</v>
      </c>
      <c r="I1582" s="14">
        <v>2093139.01</v>
      </c>
      <c r="J1582" s="22">
        <f>H1582*(1+Assumptions!$B$6+IF(F1582="Yes",Assumptions!$C$6,0))</f>
        <v>2155933.1803000001</v>
      </c>
      <c r="K1582" s="22">
        <f>H1582*(1+Assumptions!$B$7+IF(F1582="Yes",Assumptions!$C$7,0))</f>
        <v>2218727.3506</v>
      </c>
      <c r="L1582" s="22">
        <f>H1582*(1+Assumptions!$B$8+IF(F1582="Yes",Assumptions!$C$8,0))</f>
        <v>2093139.01</v>
      </c>
    </row>
    <row r="1583" spans="1:12" ht="15">
      <c r="A1583" s="21">
        <v>41159</v>
      </c>
      <c r="B1583" s="21">
        <v>41153</v>
      </c>
      <c r="C1583" s="17">
        <v>5</v>
      </c>
      <c r="D1583" s="17" t="s">
        <v>92</v>
      </c>
      <c r="E1583" s="18">
        <v>34875</v>
      </c>
      <c r="F1583" s="17" t="s">
        <v>94</v>
      </c>
      <c r="G1583" s="14">
        <v>350588.26</v>
      </c>
      <c r="H1583" s="14">
        <v>321072.32</v>
      </c>
      <c r="I1583" s="14">
        <v>321072.32</v>
      </c>
      <c r="J1583" s="22">
        <f>H1583*(1+Assumptions!$B$6+IF(F1583="Yes",Assumptions!$C$6,0))</f>
        <v>330704.48960000003</v>
      </c>
      <c r="K1583" s="22">
        <f>H1583*(1+Assumptions!$B$7+IF(F1583="Yes",Assumptions!$C$7,0))</f>
        <v>340336.65920000005</v>
      </c>
      <c r="L1583" s="22">
        <f>H1583*(1+Assumptions!$B$8+IF(F1583="Yes",Assumptions!$C$8,0))</f>
        <v>321072.32</v>
      </c>
    </row>
    <row r="1584" spans="1:12" ht="15">
      <c r="A1584" s="21">
        <v>41159</v>
      </c>
      <c r="B1584" s="21">
        <v>41153</v>
      </c>
      <c r="C1584" s="17">
        <v>6</v>
      </c>
      <c r="D1584" s="17" t="s">
        <v>90</v>
      </c>
      <c r="E1584" s="18">
        <v>202505</v>
      </c>
      <c r="F1584" s="17" t="s">
        <v>94</v>
      </c>
      <c r="G1584" s="14">
        <v>1608077.01</v>
      </c>
      <c r="H1584" s="14">
        <v>1483574.38</v>
      </c>
      <c r="I1584" s="14">
        <v>1483574.38</v>
      </c>
      <c r="J1584" s="22">
        <f>H1584*(1+Assumptions!$B$6+IF(F1584="Yes",Assumptions!$C$6,0))</f>
        <v>1528081.6113999998</v>
      </c>
      <c r="K1584" s="22">
        <f>H1584*(1+Assumptions!$B$7+IF(F1584="Yes",Assumptions!$C$7,0))</f>
        <v>1572588.8428</v>
      </c>
      <c r="L1584" s="22">
        <f>H1584*(1+Assumptions!$B$8+IF(F1584="Yes",Assumptions!$C$8,0))</f>
        <v>1483574.38</v>
      </c>
    </row>
    <row r="1585" spans="1:12" ht="15">
      <c r="A1585" s="21">
        <v>41159</v>
      </c>
      <c r="B1585" s="21">
        <v>41153</v>
      </c>
      <c r="C1585" s="17">
        <v>7</v>
      </c>
      <c r="D1585" s="17" t="s">
        <v>92</v>
      </c>
      <c r="E1585" s="18">
        <v>70713</v>
      </c>
      <c r="F1585" s="17" t="s">
        <v>94</v>
      </c>
      <c r="G1585" s="14">
        <v>597876.54999999993</v>
      </c>
      <c r="H1585" s="14">
        <v>613135.23</v>
      </c>
      <c r="I1585" s="14">
        <v>613135.23</v>
      </c>
      <c r="J1585" s="22">
        <f>H1585*(1+Assumptions!$B$6+IF(F1585="Yes",Assumptions!$C$6,0))</f>
        <v>631529.28689999995</v>
      </c>
      <c r="K1585" s="22">
        <f>H1585*(1+Assumptions!$B$7+IF(F1585="Yes",Assumptions!$C$7,0))</f>
        <v>649923.34380000003</v>
      </c>
      <c r="L1585" s="22">
        <f>H1585*(1+Assumptions!$B$8+IF(F1585="Yes",Assumptions!$C$8,0))</f>
        <v>613135.23</v>
      </c>
    </row>
    <row r="1586" spans="1:12" ht="15">
      <c r="A1586" s="21">
        <v>41159</v>
      </c>
      <c r="B1586" s="21">
        <v>41153</v>
      </c>
      <c r="C1586" s="17">
        <v>8</v>
      </c>
      <c r="D1586" s="17" t="s">
        <v>90</v>
      </c>
      <c r="E1586" s="18">
        <v>155078</v>
      </c>
      <c r="F1586" s="17" t="s">
        <v>94</v>
      </c>
      <c r="G1586" s="14">
        <v>929885.37</v>
      </c>
      <c r="H1586" s="14">
        <v>848321.29</v>
      </c>
      <c r="I1586" s="14">
        <v>848321.29</v>
      </c>
      <c r="J1586" s="22">
        <f>H1586*(1+Assumptions!$B$6+IF(F1586="Yes",Assumptions!$C$6,0))</f>
        <v>873770.92870000005</v>
      </c>
      <c r="K1586" s="22">
        <f>H1586*(1+Assumptions!$B$7+IF(F1586="Yes",Assumptions!$C$7,0))</f>
        <v>899220.56740000006</v>
      </c>
      <c r="L1586" s="22">
        <f>H1586*(1+Assumptions!$B$8+IF(F1586="Yes",Assumptions!$C$8,0))</f>
        <v>848321.29</v>
      </c>
    </row>
    <row r="1587" spans="1:12" ht="15">
      <c r="A1587" s="21">
        <v>41159</v>
      </c>
      <c r="B1587" s="21">
        <v>41153</v>
      </c>
      <c r="C1587" s="17">
        <v>9</v>
      </c>
      <c r="D1587" s="17" t="s">
        <v>92</v>
      </c>
      <c r="E1587" s="18">
        <v>125833</v>
      </c>
      <c r="F1587" s="17" t="s">
        <v>94</v>
      </c>
      <c r="G1587" s="14">
        <v>565867.75</v>
      </c>
      <c r="H1587" s="14">
        <v>528741.19999999995</v>
      </c>
      <c r="I1587" s="14">
        <v>528741.19999999995</v>
      </c>
      <c r="J1587" s="22">
        <f>H1587*(1+Assumptions!$B$6+IF(F1587="Yes",Assumptions!$C$6,0))</f>
        <v>544603.43599999999</v>
      </c>
      <c r="K1587" s="22">
        <f>H1587*(1+Assumptions!$B$7+IF(F1587="Yes",Assumptions!$C$7,0))</f>
        <v>560465.67200000002</v>
      </c>
      <c r="L1587" s="22">
        <f>H1587*(1+Assumptions!$B$8+IF(F1587="Yes",Assumptions!$C$8,0))</f>
        <v>528741.19999999995</v>
      </c>
    </row>
    <row r="1588" spans="1:12" ht="15">
      <c r="A1588" s="21">
        <v>41159</v>
      </c>
      <c r="B1588" s="21">
        <v>41153</v>
      </c>
      <c r="C1588" s="17">
        <v>10</v>
      </c>
      <c r="D1588" s="17" t="s">
        <v>92</v>
      </c>
      <c r="E1588" s="18">
        <v>126512</v>
      </c>
      <c r="F1588" s="17" t="s">
        <v>94</v>
      </c>
      <c r="G1588" s="14">
        <v>1708283.28</v>
      </c>
      <c r="H1588" s="14">
        <v>1670573.69</v>
      </c>
      <c r="I1588" s="14">
        <v>1670573.69</v>
      </c>
      <c r="J1588" s="22">
        <f>H1588*(1+Assumptions!$B$6+IF(F1588="Yes",Assumptions!$C$6,0))</f>
        <v>1720690.9006999999</v>
      </c>
      <c r="K1588" s="22">
        <f>H1588*(1+Assumptions!$B$7+IF(F1588="Yes",Assumptions!$C$7,0))</f>
        <v>1770808.1114000001</v>
      </c>
      <c r="L1588" s="22">
        <f>H1588*(1+Assumptions!$B$8+IF(F1588="Yes",Assumptions!$C$8,0))</f>
        <v>1670573.69</v>
      </c>
    </row>
    <row r="1589" spans="1:12" ht="15">
      <c r="A1589" s="21">
        <v>41159</v>
      </c>
      <c r="B1589" s="21">
        <v>41153</v>
      </c>
      <c r="C1589" s="17">
        <v>11</v>
      </c>
      <c r="D1589" s="17" t="s">
        <v>90</v>
      </c>
      <c r="E1589" s="18">
        <v>207499</v>
      </c>
      <c r="F1589" s="17" t="s">
        <v>94</v>
      </c>
      <c r="G1589" s="14">
        <v>1304584.3999999999</v>
      </c>
      <c r="H1589" s="14">
        <v>1249003.98</v>
      </c>
      <c r="I1589" s="14">
        <v>1249003.98</v>
      </c>
      <c r="J1589" s="22">
        <f>H1589*(1+Assumptions!$B$6+IF(F1589="Yes",Assumptions!$C$6,0))</f>
        <v>1286474.0993999999</v>
      </c>
      <c r="K1589" s="22">
        <f>H1589*(1+Assumptions!$B$7+IF(F1589="Yes",Assumptions!$C$7,0))</f>
        <v>1323944.2188000001</v>
      </c>
      <c r="L1589" s="22">
        <f>H1589*(1+Assumptions!$B$8+IF(F1589="Yes",Assumptions!$C$8,0))</f>
        <v>1249003.98</v>
      </c>
    </row>
    <row r="1590" spans="1:12" ht="15">
      <c r="A1590" s="21">
        <v>41159</v>
      </c>
      <c r="B1590" s="21">
        <v>41153</v>
      </c>
      <c r="C1590" s="17">
        <v>12</v>
      </c>
      <c r="D1590" s="17" t="s">
        <v>92</v>
      </c>
      <c r="E1590" s="18">
        <v>112238</v>
      </c>
      <c r="F1590" s="17" t="s">
        <v>94</v>
      </c>
      <c r="G1590" s="14">
        <v>955135.04</v>
      </c>
      <c r="H1590" s="14">
        <v>922566.72</v>
      </c>
      <c r="I1590" s="14">
        <v>922566.72</v>
      </c>
      <c r="J1590" s="22">
        <f>H1590*(1+Assumptions!$B$6+IF(F1590="Yes",Assumptions!$C$6,0))</f>
        <v>950243.72160000005</v>
      </c>
      <c r="K1590" s="22">
        <f>H1590*(1+Assumptions!$B$7+IF(F1590="Yes",Assumptions!$C$7,0))</f>
        <v>977920.72320000001</v>
      </c>
      <c r="L1590" s="22">
        <f>H1590*(1+Assumptions!$B$8+IF(F1590="Yes",Assumptions!$C$8,0))</f>
        <v>922566.72</v>
      </c>
    </row>
    <row r="1591" spans="1:12" ht="15">
      <c r="A1591" s="21">
        <v>41159</v>
      </c>
      <c r="B1591" s="21">
        <v>41153</v>
      </c>
      <c r="C1591" s="17">
        <v>13</v>
      </c>
      <c r="D1591" s="17" t="s">
        <v>90</v>
      </c>
      <c r="E1591" s="18">
        <v>219622</v>
      </c>
      <c r="F1591" s="17" t="s">
        <v>94</v>
      </c>
      <c r="G1591" s="14">
        <v>2165796.31</v>
      </c>
      <c r="H1591" s="14">
        <v>1872921.31</v>
      </c>
      <c r="I1591" s="14">
        <v>1872921.31</v>
      </c>
      <c r="J1591" s="22">
        <f>H1591*(1+Assumptions!$B$6+IF(F1591="Yes",Assumptions!$C$6,0))</f>
        <v>1929108.9493000002</v>
      </c>
      <c r="K1591" s="22">
        <f>H1591*(1+Assumptions!$B$7+IF(F1591="Yes",Assumptions!$C$7,0))</f>
        <v>1985296.5886000001</v>
      </c>
      <c r="L1591" s="22">
        <f>H1591*(1+Assumptions!$B$8+IF(F1591="Yes",Assumptions!$C$8,0))</f>
        <v>1872921.31</v>
      </c>
    </row>
    <row r="1592" spans="1:12" ht="15">
      <c r="A1592" s="21">
        <v>41159</v>
      </c>
      <c r="B1592" s="21">
        <v>41153</v>
      </c>
      <c r="C1592" s="17">
        <v>14</v>
      </c>
      <c r="D1592" s="17" t="s">
        <v>90</v>
      </c>
      <c r="E1592" s="18">
        <v>200898</v>
      </c>
      <c r="F1592" s="17" t="s">
        <v>94</v>
      </c>
      <c r="G1592" s="14">
        <v>1904512.34</v>
      </c>
      <c r="H1592" s="14">
        <v>2202742.9</v>
      </c>
      <c r="I1592" s="14">
        <v>2202742.9</v>
      </c>
      <c r="J1592" s="22">
        <f>H1592*(1+Assumptions!$B$6+IF(F1592="Yes",Assumptions!$C$6,0))</f>
        <v>2268825.1869999999</v>
      </c>
      <c r="K1592" s="22">
        <f>H1592*(1+Assumptions!$B$7+IF(F1592="Yes",Assumptions!$C$7,0))</f>
        <v>2334907.4739999999</v>
      </c>
      <c r="L1592" s="22">
        <f>H1592*(1+Assumptions!$B$8+IF(F1592="Yes",Assumptions!$C$8,0))</f>
        <v>2202742.9</v>
      </c>
    </row>
    <row r="1593" spans="1:12" ht="15">
      <c r="A1593" s="21">
        <v>41159</v>
      </c>
      <c r="B1593" s="21">
        <v>41153</v>
      </c>
      <c r="C1593" s="17">
        <v>15</v>
      </c>
      <c r="D1593" s="17" t="s">
        <v>92</v>
      </c>
      <c r="E1593" s="18">
        <v>123737</v>
      </c>
      <c r="F1593" s="17" t="s">
        <v>94</v>
      </c>
      <c r="G1593" s="14">
        <v>587256.07000000007</v>
      </c>
      <c r="H1593" s="14">
        <v>607583.86</v>
      </c>
      <c r="I1593" s="14">
        <v>607583.86</v>
      </c>
      <c r="J1593" s="22">
        <f>H1593*(1+Assumptions!$B$6+IF(F1593="Yes",Assumptions!$C$6,0))</f>
        <v>625811.37580000004</v>
      </c>
      <c r="K1593" s="22">
        <f>H1593*(1+Assumptions!$B$7+IF(F1593="Yes",Assumptions!$C$7,0))</f>
        <v>644038.89159999997</v>
      </c>
      <c r="L1593" s="22">
        <f>H1593*(1+Assumptions!$B$8+IF(F1593="Yes",Assumptions!$C$8,0))</f>
        <v>607583.86</v>
      </c>
    </row>
    <row r="1594" spans="1:12" ht="15">
      <c r="A1594" s="21">
        <v>41159</v>
      </c>
      <c r="B1594" s="21">
        <v>41153</v>
      </c>
      <c r="C1594" s="17">
        <v>16</v>
      </c>
      <c r="D1594" s="17" t="s">
        <v>92</v>
      </c>
      <c r="E1594" s="18">
        <v>57197</v>
      </c>
      <c r="F1594" s="17" t="s">
        <v>94</v>
      </c>
      <c r="G1594" s="14">
        <v>535615.37</v>
      </c>
      <c r="H1594" s="14">
        <v>574111.99</v>
      </c>
      <c r="I1594" s="14">
        <v>574111.99</v>
      </c>
      <c r="J1594" s="22">
        <f>H1594*(1+Assumptions!$B$6+IF(F1594="Yes",Assumptions!$C$6,0))</f>
        <v>591335.34970000002</v>
      </c>
      <c r="K1594" s="22">
        <f>H1594*(1+Assumptions!$B$7+IF(F1594="Yes",Assumptions!$C$7,0))</f>
        <v>608558.70940000005</v>
      </c>
      <c r="L1594" s="22">
        <f>H1594*(1+Assumptions!$B$8+IF(F1594="Yes",Assumptions!$C$8,0))</f>
        <v>574111.99</v>
      </c>
    </row>
    <row r="1595" spans="1:12" ht="15">
      <c r="A1595" s="21">
        <v>41159</v>
      </c>
      <c r="B1595" s="21">
        <v>41153</v>
      </c>
      <c r="C1595" s="17">
        <v>17</v>
      </c>
      <c r="D1595" s="17" t="s">
        <v>92</v>
      </c>
      <c r="E1595" s="18">
        <v>93188</v>
      </c>
      <c r="F1595" s="17" t="s">
        <v>94</v>
      </c>
      <c r="G1595" s="14">
        <v>1254790.05</v>
      </c>
      <c r="H1595" s="14">
        <v>1161896.22</v>
      </c>
      <c r="I1595" s="14">
        <v>1161896.22</v>
      </c>
      <c r="J1595" s="22">
        <f>H1595*(1+Assumptions!$B$6+IF(F1595="Yes",Assumptions!$C$6,0))</f>
        <v>1196753.1066000001</v>
      </c>
      <c r="K1595" s="22">
        <f>H1595*(1+Assumptions!$B$7+IF(F1595="Yes",Assumptions!$C$7,0))</f>
        <v>1231609.9932000001</v>
      </c>
      <c r="L1595" s="22">
        <f>H1595*(1+Assumptions!$B$8+IF(F1595="Yes",Assumptions!$C$8,0))</f>
        <v>1161896.22</v>
      </c>
    </row>
    <row r="1596" spans="1:12" ht="15">
      <c r="A1596" s="21">
        <v>41159</v>
      </c>
      <c r="B1596" s="21">
        <v>41153</v>
      </c>
      <c r="C1596" s="17">
        <v>18</v>
      </c>
      <c r="D1596" s="17" t="s">
        <v>92</v>
      </c>
      <c r="E1596" s="18">
        <v>120653</v>
      </c>
      <c r="F1596" s="17" t="s">
        <v>94</v>
      </c>
      <c r="G1596" s="14">
        <v>1054432.32</v>
      </c>
      <c r="H1596" s="14">
        <v>951549.61</v>
      </c>
      <c r="I1596" s="14">
        <v>951549.61</v>
      </c>
      <c r="J1596" s="22">
        <f>H1596*(1+Assumptions!$B$6+IF(F1596="Yes",Assumptions!$C$6,0))</f>
        <v>980096.09829999995</v>
      </c>
      <c r="K1596" s="22">
        <f>H1596*(1+Assumptions!$B$7+IF(F1596="Yes",Assumptions!$C$7,0))</f>
        <v>1008642.5866</v>
      </c>
      <c r="L1596" s="22">
        <f>H1596*(1+Assumptions!$B$8+IF(F1596="Yes",Assumptions!$C$8,0))</f>
        <v>951549.61</v>
      </c>
    </row>
    <row r="1597" spans="1:12" ht="15">
      <c r="A1597" s="21">
        <v>41159</v>
      </c>
      <c r="B1597" s="21">
        <v>41153</v>
      </c>
      <c r="C1597" s="17">
        <v>19</v>
      </c>
      <c r="D1597" s="17" t="s">
        <v>90</v>
      </c>
      <c r="E1597" s="18">
        <v>203819</v>
      </c>
      <c r="F1597" s="17" t="s">
        <v>94</v>
      </c>
      <c r="G1597" s="14">
        <v>1496976.3</v>
      </c>
      <c r="H1597" s="14">
        <v>1566515.79</v>
      </c>
      <c r="I1597" s="14">
        <v>1566515.79</v>
      </c>
      <c r="J1597" s="22">
        <f>H1597*(1+Assumptions!$B$6+IF(F1597="Yes",Assumptions!$C$6,0))</f>
        <v>1613511.2637</v>
      </c>
      <c r="K1597" s="22">
        <f>H1597*(1+Assumptions!$B$7+IF(F1597="Yes",Assumptions!$C$7,0))</f>
        <v>1660506.7374000002</v>
      </c>
      <c r="L1597" s="22">
        <f>H1597*(1+Assumptions!$B$8+IF(F1597="Yes",Assumptions!$C$8,0))</f>
        <v>1566515.79</v>
      </c>
    </row>
    <row r="1598" spans="1:12" ht="15">
      <c r="A1598" s="21">
        <v>41159</v>
      </c>
      <c r="B1598" s="21">
        <v>41153</v>
      </c>
      <c r="C1598" s="17">
        <v>20</v>
      </c>
      <c r="D1598" s="17" t="s">
        <v>90</v>
      </c>
      <c r="E1598" s="18">
        <v>203742</v>
      </c>
      <c r="F1598" s="17" t="s">
        <v>94</v>
      </c>
      <c r="G1598" s="14">
        <v>2080538.03</v>
      </c>
      <c r="H1598" s="14">
        <v>2050376.65</v>
      </c>
      <c r="I1598" s="14">
        <v>2050376.65</v>
      </c>
      <c r="J1598" s="22">
        <f>H1598*(1+Assumptions!$B$6+IF(F1598="Yes",Assumptions!$C$6,0))</f>
        <v>2111887.9495000001</v>
      </c>
      <c r="K1598" s="22">
        <f>H1598*(1+Assumptions!$B$7+IF(F1598="Yes",Assumptions!$C$7,0))</f>
        <v>2173399.2489999998</v>
      </c>
      <c r="L1598" s="22">
        <f>H1598*(1+Assumptions!$B$8+IF(F1598="Yes",Assumptions!$C$8,0))</f>
        <v>2050376.65</v>
      </c>
    </row>
    <row r="1599" spans="1:12" ht="15">
      <c r="A1599" s="21">
        <v>41159</v>
      </c>
      <c r="B1599" s="21">
        <v>41153</v>
      </c>
      <c r="C1599" s="17">
        <v>21</v>
      </c>
      <c r="D1599" s="17" t="s">
        <v>92</v>
      </c>
      <c r="E1599" s="18">
        <v>140167</v>
      </c>
      <c r="F1599" s="17" t="s">
        <v>94</v>
      </c>
      <c r="G1599" s="14">
        <v>642785.29</v>
      </c>
      <c r="H1599" s="14">
        <v>653989.65</v>
      </c>
      <c r="I1599" s="14">
        <v>653989.65</v>
      </c>
      <c r="J1599" s="22">
        <f>H1599*(1+Assumptions!$B$6+IF(F1599="Yes",Assumptions!$C$6,0))</f>
        <v>673609.3395</v>
      </c>
      <c r="K1599" s="22">
        <f>H1599*(1+Assumptions!$B$7+IF(F1599="Yes",Assumptions!$C$7,0))</f>
        <v>693229.0290000001</v>
      </c>
      <c r="L1599" s="22">
        <f>H1599*(1+Assumptions!$B$8+IF(F1599="Yes",Assumptions!$C$8,0))</f>
        <v>653989.65</v>
      </c>
    </row>
    <row r="1600" spans="1:12" ht="15">
      <c r="A1600" s="21">
        <v>41159</v>
      </c>
      <c r="B1600" s="21">
        <v>41153</v>
      </c>
      <c r="C1600" s="17">
        <v>22</v>
      </c>
      <c r="D1600" s="17" t="s">
        <v>92</v>
      </c>
      <c r="E1600" s="18">
        <v>119557</v>
      </c>
      <c r="F1600" s="17" t="s">
        <v>94</v>
      </c>
      <c r="G1600" s="14">
        <v>996625.83</v>
      </c>
      <c r="H1600" s="14">
        <v>1004422.5700000001</v>
      </c>
      <c r="I1600" s="14">
        <v>1004422.5700000001</v>
      </c>
      <c r="J1600" s="22">
        <f>H1600*(1+Assumptions!$B$6+IF(F1600="Yes",Assumptions!$C$6,0))</f>
        <v>1034555.2471</v>
      </c>
      <c r="K1600" s="22">
        <f>H1600*(1+Assumptions!$B$7+IF(F1600="Yes",Assumptions!$C$7,0))</f>
        <v>1064687.9242</v>
      </c>
      <c r="L1600" s="22">
        <f>H1600*(1+Assumptions!$B$8+IF(F1600="Yes",Assumptions!$C$8,0))</f>
        <v>1004422.5700000001</v>
      </c>
    </row>
    <row r="1601" spans="1:12" ht="15">
      <c r="A1601" s="21">
        <v>41159</v>
      </c>
      <c r="B1601" s="21">
        <v>41153</v>
      </c>
      <c r="C1601" s="17">
        <v>23</v>
      </c>
      <c r="D1601" s="17" t="s">
        <v>92</v>
      </c>
      <c r="E1601" s="18">
        <v>114533</v>
      </c>
      <c r="F1601" s="17" t="s">
        <v>94</v>
      </c>
      <c r="G1601" s="14">
        <v>1427151.79</v>
      </c>
      <c r="H1601" s="14">
        <v>1422531.32</v>
      </c>
      <c r="I1601" s="14">
        <v>1422531.32</v>
      </c>
      <c r="J1601" s="22">
        <f>H1601*(1+Assumptions!$B$6+IF(F1601="Yes",Assumptions!$C$6,0))</f>
        <v>1465207.2596</v>
      </c>
      <c r="K1601" s="22">
        <f>H1601*(1+Assumptions!$B$7+IF(F1601="Yes",Assumptions!$C$7,0))</f>
        <v>1507883.1992000001</v>
      </c>
      <c r="L1601" s="22">
        <f>H1601*(1+Assumptions!$B$8+IF(F1601="Yes",Assumptions!$C$8,0))</f>
        <v>1422531.32</v>
      </c>
    </row>
    <row r="1602" spans="1:12" ht="15">
      <c r="A1602" s="21">
        <v>41159</v>
      </c>
      <c r="B1602" s="21">
        <v>41153</v>
      </c>
      <c r="C1602" s="17">
        <v>24</v>
      </c>
      <c r="D1602" s="17" t="s">
        <v>90</v>
      </c>
      <c r="E1602" s="18">
        <v>203819</v>
      </c>
      <c r="F1602" s="17" t="s">
        <v>94</v>
      </c>
      <c r="G1602" s="14">
        <v>1477134.75</v>
      </c>
      <c r="H1602" s="14">
        <v>1527443.22</v>
      </c>
      <c r="I1602" s="14">
        <v>1527443.22</v>
      </c>
      <c r="J1602" s="22">
        <f>H1602*(1+Assumptions!$B$6+IF(F1602="Yes",Assumptions!$C$6,0))</f>
        <v>1573266.5166</v>
      </c>
      <c r="K1602" s="22">
        <f>H1602*(1+Assumptions!$B$7+IF(F1602="Yes",Assumptions!$C$7,0))</f>
        <v>1619089.8132</v>
      </c>
      <c r="L1602" s="22">
        <f>H1602*(1+Assumptions!$B$8+IF(F1602="Yes",Assumptions!$C$8,0))</f>
        <v>1527443.22</v>
      </c>
    </row>
    <row r="1603" spans="1:12" ht="15">
      <c r="A1603" s="21">
        <v>41159</v>
      </c>
      <c r="B1603" s="21">
        <v>41153</v>
      </c>
      <c r="C1603" s="17">
        <v>25</v>
      </c>
      <c r="D1603" s="17" t="s">
        <v>92</v>
      </c>
      <c r="E1603" s="18">
        <v>128107</v>
      </c>
      <c r="F1603" s="17" t="s">
        <v>94</v>
      </c>
      <c r="G1603" s="14">
        <v>671460.9</v>
      </c>
      <c r="H1603" s="14">
        <v>673248.48</v>
      </c>
      <c r="I1603" s="14">
        <v>673248.48</v>
      </c>
      <c r="J1603" s="22">
        <f>H1603*(1+Assumptions!$B$6+IF(F1603="Yes",Assumptions!$C$6,0))</f>
        <v>693445.93440000003</v>
      </c>
      <c r="K1603" s="22">
        <f>H1603*(1+Assumptions!$B$7+IF(F1603="Yes",Assumptions!$C$7,0))</f>
        <v>713643.38880000007</v>
      </c>
      <c r="L1603" s="22">
        <f>H1603*(1+Assumptions!$B$8+IF(F1603="Yes",Assumptions!$C$8,0))</f>
        <v>673248.48</v>
      </c>
    </row>
    <row r="1604" spans="1:12" ht="15">
      <c r="A1604" s="21">
        <v>41159</v>
      </c>
      <c r="B1604" s="21">
        <v>41153</v>
      </c>
      <c r="C1604" s="17">
        <v>26</v>
      </c>
      <c r="D1604" s="17" t="s">
        <v>90</v>
      </c>
      <c r="E1604" s="18">
        <v>152513</v>
      </c>
      <c r="F1604" s="17" t="s">
        <v>94</v>
      </c>
      <c r="G1604" s="14">
        <v>1081398.03</v>
      </c>
      <c r="H1604" s="14">
        <v>1069670.97</v>
      </c>
      <c r="I1604" s="14">
        <v>1069670.97</v>
      </c>
      <c r="J1604" s="22">
        <f>H1604*(1+Assumptions!$B$6+IF(F1604="Yes",Assumptions!$C$6,0))</f>
        <v>1101761.0991</v>
      </c>
      <c r="K1604" s="22">
        <f>H1604*(1+Assumptions!$B$7+IF(F1604="Yes",Assumptions!$C$7,0))</f>
        <v>1133851.2282</v>
      </c>
      <c r="L1604" s="22">
        <f>H1604*(1+Assumptions!$B$8+IF(F1604="Yes",Assumptions!$C$8,0))</f>
        <v>1069670.97</v>
      </c>
    </row>
    <row r="1605" spans="1:12" ht="15">
      <c r="A1605" s="21">
        <v>41159</v>
      </c>
      <c r="B1605" s="21">
        <v>41153</v>
      </c>
      <c r="C1605" s="17">
        <v>27</v>
      </c>
      <c r="D1605" s="17" t="s">
        <v>90</v>
      </c>
      <c r="E1605" s="18">
        <v>204184</v>
      </c>
      <c r="F1605" s="17" t="s">
        <v>94</v>
      </c>
      <c r="G1605" s="14">
        <v>1840955.23</v>
      </c>
      <c r="H1605" s="14">
        <v>1911470.84</v>
      </c>
      <c r="I1605" s="14">
        <v>1911470.84</v>
      </c>
      <c r="J1605" s="22">
        <f>H1605*(1+Assumptions!$B$6+IF(F1605="Yes",Assumptions!$C$6,0))</f>
        <v>1968814.9652000002</v>
      </c>
      <c r="K1605" s="22">
        <f>H1605*(1+Assumptions!$B$7+IF(F1605="Yes",Assumptions!$C$7,0))</f>
        <v>2026159.0904000001</v>
      </c>
      <c r="L1605" s="22">
        <f>H1605*(1+Assumptions!$B$8+IF(F1605="Yes",Assumptions!$C$8,0))</f>
        <v>1911470.84</v>
      </c>
    </row>
    <row r="1606" spans="1:12" ht="15">
      <c r="A1606" s="21">
        <v>41159</v>
      </c>
      <c r="B1606" s="21">
        <v>41153</v>
      </c>
      <c r="C1606" s="17">
        <v>28</v>
      </c>
      <c r="D1606" s="17" t="s">
        <v>90</v>
      </c>
      <c r="E1606" s="18">
        <v>206302</v>
      </c>
      <c r="F1606" s="17" t="s">
        <v>94</v>
      </c>
      <c r="G1606" s="14">
        <v>1469673.88</v>
      </c>
      <c r="H1606" s="14">
        <v>1310024.57</v>
      </c>
      <c r="I1606" s="14">
        <v>1310024.57</v>
      </c>
      <c r="J1606" s="22">
        <f>H1606*(1+Assumptions!$B$6+IF(F1606="Yes",Assumptions!$C$6,0))</f>
        <v>1349325.3071000001</v>
      </c>
      <c r="K1606" s="22">
        <f>H1606*(1+Assumptions!$B$7+IF(F1606="Yes",Assumptions!$C$7,0))</f>
        <v>1388626.0442000001</v>
      </c>
      <c r="L1606" s="22">
        <f>H1606*(1+Assumptions!$B$8+IF(F1606="Yes",Assumptions!$C$8,0))</f>
        <v>1310024.57</v>
      </c>
    </row>
    <row r="1607" spans="1:12" ht="15">
      <c r="A1607" s="21">
        <v>41159</v>
      </c>
      <c r="B1607" s="21">
        <v>41153</v>
      </c>
      <c r="C1607" s="17">
        <v>29</v>
      </c>
      <c r="D1607" s="17" t="s">
        <v>92</v>
      </c>
      <c r="E1607" s="18">
        <v>93638</v>
      </c>
      <c r="F1607" s="17" t="s">
        <v>94</v>
      </c>
      <c r="G1607" s="14">
        <v>540808.85</v>
      </c>
      <c r="H1607" s="14">
        <v>505320.59</v>
      </c>
      <c r="I1607" s="14">
        <v>505320.59</v>
      </c>
      <c r="J1607" s="22">
        <f>H1607*(1+Assumptions!$B$6+IF(F1607="Yes",Assumptions!$C$6,0))</f>
        <v>520480.20770000003</v>
      </c>
      <c r="K1607" s="22">
        <f>H1607*(1+Assumptions!$B$7+IF(F1607="Yes",Assumptions!$C$7,0))</f>
        <v>535639.82540000009</v>
      </c>
      <c r="L1607" s="22">
        <f>H1607*(1+Assumptions!$B$8+IF(F1607="Yes",Assumptions!$C$8,0))</f>
        <v>505320.59</v>
      </c>
    </row>
    <row r="1608" spans="1:12" ht="15">
      <c r="A1608" s="21">
        <v>41159</v>
      </c>
      <c r="B1608" s="21">
        <v>41153</v>
      </c>
      <c r="C1608" s="17">
        <v>30</v>
      </c>
      <c r="D1608" s="17" t="s">
        <v>93</v>
      </c>
      <c r="E1608" s="18">
        <v>42988</v>
      </c>
      <c r="F1608" s="17" t="s">
        <v>94</v>
      </c>
      <c r="G1608" s="14">
        <v>433522.96</v>
      </c>
      <c r="H1608" s="14">
        <v>370568.86</v>
      </c>
      <c r="I1608" s="14">
        <v>370568.86</v>
      </c>
      <c r="J1608" s="22">
        <f>H1608*(1+Assumptions!$B$6+IF(F1608="Yes",Assumptions!$C$6,0))</f>
        <v>381685.92579999997</v>
      </c>
      <c r="K1608" s="22">
        <f>H1608*(1+Assumptions!$B$7+IF(F1608="Yes",Assumptions!$C$7,0))</f>
        <v>392802.99160000001</v>
      </c>
      <c r="L1608" s="22">
        <f>H1608*(1+Assumptions!$B$8+IF(F1608="Yes",Assumptions!$C$8,0))</f>
        <v>370568.86</v>
      </c>
    </row>
    <row r="1609" spans="1:12" ht="15">
      <c r="A1609" s="21">
        <v>41159</v>
      </c>
      <c r="B1609" s="21">
        <v>41153</v>
      </c>
      <c r="C1609" s="17">
        <v>31</v>
      </c>
      <c r="D1609" s="17" t="s">
        <v>90</v>
      </c>
      <c r="E1609" s="18">
        <v>203750</v>
      </c>
      <c r="F1609" s="17" t="s">
        <v>94</v>
      </c>
      <c r="G1609" s="14">
        <v>1358111.62</v>
      </c>
      <c r="H1609" s="14">
        <v>1376650.33</v>
      </c>
      <c r="I1609" s="14">
        <v>1376650.33</v>
      </c>
      <c r="J1609" s="22">
        <f>H1609*(1+Assumptions!$B$6+IF(F1609="Yes",Assumptions!$C$6,0))</f>
        <v>1417949.8399</v>
      </c>
      <c r="K1609" s="22">
        <f>H1609*(1+Assumptions!$B$7+IF(F1609="Yes",Assumptions!$C$7,0))</f>
        <v>1459249.3498000002</v>
      </c>
      <c r="L1609" s="22">
        <f>H1609*(1+Assumptions!$B$8+IF(F1609="Yes",Assumptions!$C$8,0))</f>
        <v>1376650.33</v>
      </c>
    </row>
    <row r="1610" spans="1:12" ht="15">
      <c r="A1610" s="21">
        <v>41159</v>
      </c>
      <c r="B1610" s="21">
        <v>41153</v>
      </c>
      <c r="C1610" s="17">
        <v>32</v>
      </c>
      <c r="D1610" s="17" t="s">
        <v>90</v>
      </c>
      <c r="E1610" s="18">
        <v>203007</v>
      </c>
      <c r="F1610" s="17" t="s">
        <v>94</v>
      </c>
      <c r="G1610" s="14">
        <v>1126685.95</v>
      </c>
      <c r="H1610" s="14">
        <v>1128237.3</v>
      </c>
      <c r="I1610" s="14">
        <v>1128237.3</v>
      </c>
      <c r="J1610" s="22">
        <f>H1610*(1+Assumptions!$B$6+IF(F1610="Yes",Assumptions!$C$6,0))</f>
        <v>1162084.419</v>
      </c>
      <c r="K1610" s="22">
        <f>H1610*(1+Assumptions!$B$7+IF(F1610="Yes",Assumptions!$C$7,0))</f>
        <v>1195931.5380000002</v>
      </c>
      <c r="L1610" s="22">
        <f>H1610*(1+Assumptions!$B$8+IF(F1610="Yes",Assumptions!$C$8,0))</f>
        <v>1128237.3</v>
      </c>
    </row>
    <row r="1611" spans="1:12" ht="15">
      <c r="A1611" s="21">
        <v>41159</v>
      </c>
      <c r="B1611" s="21">
        <v>41153</v>
      </c>
      <c r="C1611" s="17">
        <v>33</v>
      </c>
      <c r="D1611" s="17" t="s">
        <v>90</v>
      </c>
      <c r="E1611" s="18">
        <v>39690</v>
      </c>
      <c r="F1611" s="17" t="s">
        <v>94</v>
      </c>
      <c r="G1611" s="14">
        <v>286418.24</v>
      </c>
      <c r="H1611" s="14">
        <v>281717</v>
      </c>
      <c r="I1611" s="14">
        <v>281717</v>
      </c>
      <c r="J1611" s="22">
        <f>H1611*(1+Assumptions!$B$6+IF(F1611="Yes",Assumptions!$C$6,0))</f>
        <v>290168.51</v>
      </c>
      <c r="K1611" s="22">
        <f>H1611*(1+Assumptions!$B$7+IF(F1611="Yes",Assumptions!$C$7,0))</f>
        <v>298620.02</v>
      </c>
      <c r="L1611" s="22">
        <f>H1611*(1+Assumptions!$B$8+IF(F1611="Yes",Assumptions!$C$8,0))</f>
        <v>281717</v>
      </c>
    </row>
    <row r="1612" spans="1:12" ht="15">
      <c r="A1612" s="21">
        <v>41159</v>
      </c>
      <c r="B1612" s="21">
        <v>41153</v>
      </c>
      <c r="C1612" s="17">
        <v>34</v>
      </c>
      <c r="D1612" s="17" t="s">
        <v>90</v>
      </c>
      <c r="E1612" s="18">
        <v>158114</v>
      </c>
      <c r="F1612" s="17" t="s">
        <v>94</v>
      </c>
      <c r="G1612" s="14">
        <v>976415.52</v>
      </c>
      <c r="H1612" s="14">
        <v>930500.26</v>
      </c>
      <c r="I1612" s="14">
        <v>930500.26</v>
      </c>
      <c r="J1612" s="22">
        <f>H1612*(1+Assumptions!$B$6+IF(F1612="Yes",Assumptions!$C$6,0))</f>
        <v>958415.26780000003</v>
      </c>
      <c r="K1612" s="22">
        <f>H1612*(1+Assumptions!$B$7+IF(F1612="Yes",Assumptions!$C$7,0))</f>
        <v>986330.27560000005</v>
      </c>
      <c r="L1612" s="22">
        <f>H1612*(1+Assumptions!$B$8+IF(F1612="Yes",Assumptions!$C$8,0))</f>
        <v>930500.26</v>
      </c>
    </row>
    <row r="1613" spans="1:12" ht="15">
      <c r="A1613" s="21">
        <v>41159</v>
      </c>
      <c r="B1613" s="21">
        <v>41153</v>
      </c>
      <c r="C1613" s="17">
        <v>35</v>
      </c>
      <c r="D1613" s="17" t="s">
        <v>92</v>
      </c>
      <c r="E1613" s="18">
        <v>103681</v>
      </c>
      <c r="F1613" s="17" t="s">
        <v>94</v>
      </c>
      <c r="G1613" s="14">
        <v>984839.79</v>
      </c>
      <c r="H1613" s="14">
        <v>922440.58</v>
      </c>
      <c r="I1613" s="14">
        <v>922440.58</v>
      </c>
      <c r="J1613" s="22">
        <f>H1613*(1+Assumptions!$B$6+IF(F1613="Yes",Assumptions!$C$6,0))</f>
        <v>950113.79740000004</v>
      </c>
      <c r="K1613" s="22">
        <f>H1613*(1+Assumptions!$B$7+IF(F1613="Yes",Assumptions!$C$7,0))</f>
        <v>977787.0148</v>
      </c>
      <c r="L1613" s="22">
        <f>H1613*(1+Assumptions!$B$8+IF(F1613="Yes",Assumptions!$C$8,0))</f>
        <v>922440.58</v>
      </c>
    </row>
    <row r="1614" spans="1:12" ht="15">
      <c r="A1614" s="21">
        <v>41159</v>
      </c>
      <c r="B1614" s="21">
        <v>41153</v>
      </c>
      <c r="C1614" s="17">
        <v>36</v>
      </c>
      <c r="D1614" s="17" t="s">
        <v>90</v>
      </c>
      <c r="E1614" s="18">
        <v>39910</v>
      </c>
      <c r="F1614" s="17" t="s">
        <v>94</v>
      </c>
      <c r="G1614" s="14">
        <v>293586.58999999997</v>
      </c>
      <c r="H1614" s="14">
        <v>352885.93</v>
      </c>
      <c r="I1614" s="14">
        <v>352885.93</v>
      </c>
      <c r="J1614" s="22">
        <f>H1614*(1+Assumptions!$B$6+IF(F1614="Yes",Assumptions!$C$6,0))</f>
        <v>363472.50790000003</v>
      </c>
      <c r="K1614" s="22">
        <f>H1614*(1+Assumptions!$B$7+IF(F1614="Yes",Assumptions!$C$7,0))</f>
        <v>374059.0858</v>
      </c>
      <c r="L1614" s="22">
        <f>H1614*(1+Assumptions!$B$8+IF(F1614="Yes",Assumptions!$C$8,0))</f>
        <v>352885.93</v>
      </c>
    </row>
    <row r="1615" spans="1:12" ht="15">
      <c r="A1615" s="21">
        <v>41159</v>
      </c>
      <c r="B1615" s="21">
        <v>41153</v>
      </c>
      <c r="C1615" s="17">
        <v>37</v>
      </c>
      <c r="D1615" s="17" t="s">
        <v>93</v>
      </c>
      <c r="E1615" s="18">
        <v>39910</v>
      </c>
      <c r="F1615" s="17" t="s">
        <v>94</v>
      </c>
      <c r="G1615" s="14">
        <v>526622.81000000006</v>
      </c>
      <c r="H1615" s="14">
        <v>506254.15</v>
      </c>
      <c r="I1615" s="14">
        <v>506254.15</v>
      </c>
      <c r="J1615" s="22">
        <f>H1615*(1+Assumptions!$B$6+IF(F1615="Yes",Assumptions!$C$6,0))</f>
        <v>521441.77450000006</v>
      </c>
      <c r="K1615" s="22">
        <f>H1615*(1+Assumptions!$B$7+IF(F1615="Yes",Assumptions!$C$7,0))</f>
        <v>536629.39900000009</v>
      </c>
      <c r="L1615" s="22">
        <f>H1615*(1+Assumptions!$B$8+IF(F1615="Yes",Assumptions!$C$8,0))</f>
        <v>506254.15</v>
      </c>
    </row>
    <row r="1616" spans="1:12" ht="15">
      <c r="A1616" s="21">
        <v>41159</v>
      </c>
      <c r="B1616" s="21">
        <v>41153</v>
      </c>
      <c r="C1616" s="17">
        <v>38</v>
      </c>
      <c r="D1616" s="17" t="s">
        <v>93</v>
      </c>
      <c r="E1616" s="18">
        <v>39690</v>
      </c>
      <c r="F1616" s="17" t="s">
        <v>94</v>
      </c>
      <c r="G1616" s="14">
        <v>490199.56</v>
      </c>
      <c r="H1616" s="14">
        <v>397741.57</v>
      </c>
      <c r="I1616" s="14">
        <v>397741.57</v>
      </c>
      <c r="J1616" s="22">
        <f>H1616*(1+Assumptions!$B$6+IF(F1616="Yes",Assumptions!$C$6,0))</f>
        <v>409673.81710000004</v>
      </c>
      <c r="K1616" s="22">
        <f>H1616*(1+Assumptions!$B$7+IF(F1616="Yes",Assumptions!$C$7,0))</f>
        <v>421606.06420000002</v>
      </c>
      <c r="L1616" s="22">
        <f>H1616*(1+Assumptions!$B$8+IF(F1616="Yes",Assumptions!$C$8,0))</f>
        <v>397741.57</v>
      </c>
    </row>
    <row r="1617" spans="1:12" ht="15">
      <c r="A1617" s="21">
        <v>41159</v>
      </c>
      <c r="B1617" s="21">
        <v>41153</v>
      </c>
      <c r="C1617" s="17">
        <v>39</v>
      </c>
      <c r="D1617" s="17" t="s">
        <v>90</v>
      </c>
      <c r="E1617" s="18">
        <v>184109</v>
      </c>
      <c r="F1617" s="17" t="s">
        <v>94</v>
      </c>
      <c r="G1617" s="14">
        <v>1609811.75</v>
      </c>
      <c r="H1617" s="14">
        <v>1429308.8900000001</v>
      </c>
      <c r="I1617" s="14">
        <v>1429308.8900000001</v>
      </c>
      <c r="J1617" s="22">
        <f>H1617*(1+Assumptions!$B$6+IF(F1617="Yes",Assumptions!$C$6,0))</f>
        <v>1472188.1567000002</v>
      </c>
      <c r="K1617" s="22">
        <f>H1617*(1+Assumptions!$B$7+IF(F1617="Yes",Assumptions!$C$7,0))</f>
        <v>1515067.4234000002</v>
      </c>
      <c r="L1617" s="22">
        <f>H1617*(1+Assumptions!$B$8+IF(F1617="Yes",Assumptions!$C$8,0))</f>
        <v>1429308.8900000001</v>
      </c>
    </row>
    <row r="1618" spans="1:12" ht="15">
      <c r="A1618" s="21">
        <v>41159</v>
      </c>
      <c r="B1618" s="21">
        <v>41153</v>
      </c>
      <c r="C1618" s="17">
        <v>40</v>
      </c>
      <c r="D1618" s="17" t="s">
        <v>90</v>
      </c>
      <c r="E1618" s="18">
        <v>155083</v>
      </c>
      <c r="F1618" s="17" t="s">
        <v>94</v>
      </c>
      <c r="G1618" s="14">
        <v>1088248.3999999999</v>
      </c>
      <c r="H1618" s="14">
        <v>1021376.52</v>
      </c>
      <c r="I1618" s="14">
        <v>1021376.52</v>
      </c>
      <c r="J1618" s="22">
        <f>H1618*(1+Assumptions!$B$6+IF(F1618="Yes",Assumptions!$C$6,0))</f>
        <v>1052017.8156000001</v>
      </c>
      <c r="K1618" s="22">
        <f>H1618*(1+Assumptions!$B$7+IF(F1618="Yes",Assumptions!$C$7,0))</f>
        <v>1082659.1112000002</v>
      </c>
      <c r="L1618" s="22">
        <f>H1618*(1+Assumptions!$B$8+IF(F1618="Yes",Assumptions!$C$8,0))</f>
        <v>1021376.52</v>
      </c>
    </row>
    <row r="1619" spans="1:12" ht="15">
      <c r="A1619" s="21">
        <v>41159</v>
      </c>
      <c r="B1619" s="21">
        <v>41153</v>
      </c>
      <c r="C1619" s="17">
        <v>41</v>
      </c>
      <c r="D1619" s="17" t="s">
        <v>90</v>
      </c>
      <c r="E1619" s="18">
        <v>196321</v>
      </c>
      <c r="F1619" s="17" t="s">
        <v>94</v>
      </c>
      <c r="G1619" s="14">
        <v>1392320.22</v>
      </c>
      <c r="H1619" s="14">
        <v>1280953</v>
      </c>
      <c r="I1619" s="14">
        <v>1280953</v>
      </c>
      <c r="J1619" s="22">
        <f>H1619*(1+Assumptions!$B$6+IF(F1619="Yes",Assumptions!$C$6,0))</f>
        <v>1319381.5900000001</v>
      </c>
      <c r="K1619" s="22">
        <f>H1619*(1+Assumptions!$B$7+IF(F1619="Yes",Assumptions!$C$7,0))</f>
        <v>1357810.1800000002</v>
      </c>
      <c r="L1619" s="22">
        <f>H1619*(1+Assumptions!$B$8+IF(F1619="Yes",Assumptions!$C$8,0))</f>
        <v>1280953</v>
      </c>
    </row>
    <row r="1620" spans="1:12" ht="15">
      <c r="A1620" s="21">
        <v>41159</v>
      </c>
      <c r="B1620" s="21">
        <v>41153</v>
      </c>
      <c r="C1620" s="17">
        <v>42</v>
      </c>
      <c r="D1620" s="17" t="s">
        <v>93</v>
      </c>
      <c r="E1620" s="18">
        <v>39690</v>
      </c>
      <c r="F1620" s="17" t="s">
        <v>94</v>
      </c>
      <c r="G1620" s="14">
        <v>617335.28</v>
      </c>
      <c r="H1620" s="14">
        <v>608390.84</v>
      </c>
      <c r="I1620" s="14">
        <v>608390.84</v>
      </c>
      <c r="J1620" s="22">
        <f>H1620*(1+Assumptions!$B$6+IF(F1620="Yes",Assumptions!$C$6,0))</f>
        <v>626642.56519999995</v>
      </c>
      <c r="K1620" s="22">
        <f>H1620*(1+Assumptions!$B$7+IF(F1620="Yes",Assumptions!$C$7,0))</f>
        <v>644894.29039999994</v>
      </c>
      <c r="L1620" s="22">
        <f>H1620*(1+Assumptions!$B$8+IF(F1620="Yes",Assumptions!$C$8,0))</f>
        <v>608390.84</v>
      </c>
    </row>
    <row r="1621" spans="1:12" ht="15">
      <c r="A1621" s="21">
        <v>41159</v>
      </c>
      <c r="B1621" s="21">
        <v>41153</v>
      </c>
      <c r="C1621" s="17">
        <v>43</v>
      </c>
      <c r="D1621" s="17" t="s">
        <v>93</v>
      </c>
      <c r="E1621" s="18">
        <v>41062</v>
      </c>
      <c r="F1621" s="17" t="s">
        <v>94</v>
      </c>
      <c r="G1621" s="14">
        <v>663053.27</v>
      </c>
      <c r="H1621" s="14">
        <v>649128.23</v>
      </c>
      <c r="I1621" s="14">
        <v>649128.23</v>
      </c>
      <c r="J1621" s="22">
        <f>H1621*(1+Assumptions!$B$6+IF(F1621="Yes",Assumptions!$C$6,0))</f>
        <v>668602.07689999999</v>
      </c>
      <c r="K1621" s="22">
        <f>H1621*(1+Assumptions!$B$7+IF(F1621="Yes",Assumptions!$C$7,0))</f>
        <v>688075.92379999999</v>
      </c>
      <c r="L1621" s="22">
        <f>H1621*(1+Assumptions!$B$8+IF(F1621="Yes",Assumptions!$C$8,0))</f>
        <v>649128.23</v>
      </c>
    </row>
    <row r="1622" spans="1:12" ht="15">
      <c r="A1622" s="21">
        <v>41159</v>
      </c>
      <c r="B1622" s="21">
        <v>41153</v>
      </c>
      <c r="C1622" s="17">
        <v>44</v>
      </c>
      <c r="D1622" s="17" t="s">
        <v>93</v>
      </c>
      <c r="E1622" s="18">
        <v>39910</v>
      </c>
      <c r="F1622" s="17" t="s">
        <v>94</v>
      </c>
      <c r="G1622" s="14">
        <v>338632.65</v>
      </c>
      <c r="H1622" s="14">
        <v>295806.77</v>
      </c>
      <c r="I1622" s="14">
        <v>295806.77</v>
      </c>
      <c r="J1622" s="22">
        <f>H1622*(1+Assumptions!$B$6+IF(F1622="Yes",Assumptions!$C$6,0))</f>
        <v>304680.9731</v>
      </c>
      <c r="K1622" s="22">
        <f>H1622*(1+Assumptions!$B$7+IF(F1622="Yes",Assumptions!$C$7,0))</f>
        <v>313555.17620000005</v>
      </c>
      <c r="L1622" s="22">
        <f>H1622*(1+Assumptions!$B$8+IF(F1622="Yes",Assumptions!$C$8,0))</f>
        <v>295806.77</v>
      </c>
    </row>
    <row r="1623" spans="1:12" ht="15">
      <c r="A1623" s="21">
        <v>41159</v>
      </c>
      <c r="B1623" s="21">
        <v>41153</v>
      </c>
      <c r="C1623" s="17">
        <v>45</v>
      </c>
      <c r="D1623" s="17" t="s">
        <v>92</v>
      </c>
      <c r="E1623" s="18">
        <v>118221</v>
      </c>
      <c r="F1623" s="17" t="s">
        <v>94</v>
      </c>
      <c r="G1623" s="14">
        <v>766460.76</v>
      </c>
      <c r="H1623" s="14">
        <v>746129.56</v>
      </c>
      <c r="I1623" s="14">
        <v>746129.56</v>
      </c>
      <c r="J1623" s="22">
        <f>H1623*(1+Assumptions!$B$6+IF(F1623="Yes",Assumptions!$C$6,0))</f>
        <v>768513.44680000003</v>
      </c>
      <c r="K1623" s="22">
        <f>H1623*(1+Assumptions!$B$7+IF(F1623="Yes",Assumptions!$C$7,0))</f>
        <v>790897.33360000013</v>
      </c>
      <c r="L1623" s="22">
        <f>H1623*(1+Assumptions!$B$8+IF(F1623="Yes",Assumptions!$C$8,0))</f>
        <v>746129.56</v>
      </c>
    </row>
    <row r="1624" spans="1:12" ht="15">
      <c r="A1624" s="21">
        <v>41166</v>
      </c>
      <c r="B1624" s="21">
        <v>41153</v>
      </c>
      <c r="C1624" s="17">
        <v>1</v>
      </c>
      <c r="D1624" s="17" t="s">
        <v>90</v>
      </c>
      <c r="E1624" s="18">
        <v>151315</v>
      </c>
      <c r="F1624" s="17" t="s">
        <v>91</v>
      </c>
      <c r="G1624" s="14">
        <v>1517428.84</v>
      </c>
      <c r="H1624" s="14">
        <v>1514259.78</v>
      </c>
      <c r="I1624" s="14">
        <v>1514259.78</v>
      </c>
      <c r="J1624" s="22">
        <f>H1624*(1+Assumptions!$B$6+IF(F1624="Yes",Assumptions!$C$6,0))</f>
        <v>1559687.5734000001</v>
      </c>
      <c r="K1624" s="22">
        <f>H1624*(1+Assumptions!$B$7+IF(F1624="Yes",Assumptions!$C$7,0))</f>
        <v>1589972.7690000001</v>
      </c>
      <c r="L1624" s="22">
        <f>H1624*(1+Assumptions!$B$8+IF(F1624="Yes",Assumptions!$C$8,0))</f>
        <v>1529402.3778000001</v>
      </c>
    </row>
    <row r="1625" spans="1:12" ht="15">
      <c r="A1625" s="21">
        <v>41166</v>
      </c>
      <c r="B1625" s="21">
        <v>41153</v>
      </c>
      <c r="C1625" s="17">
        <v>2</v>
      </c>
      <c r="D1625" s="17" t="s">
        <v>90</v>
      </c>
      <c r="E1625" s="18">
        <v>202307</v>
      </c>
      <c r="F1625" s="17" t="s">
        <v>91</v>
      </c>
      <c r="G1625" s="14">
        <v>1814806.57</v>
      </c>
      <c r="H1625" s="14">
        <v>1691429.52</v>
      </c>
      <c r="I1625" s="14">
        <v>1691429.52</v>
      </c>
      <c r="J1625" s="22">
        <f>H1625*(1+Assumptions!$B$6+IF(F1625="Yes",Assumptions!$C$6,0))</f>
        <v>1742172.4056000002</v>
      </c>
      <c r="K1625" s="22">
        <f>H1625*(1+Assumptions!$B$7+IF(F1625="Yes",Assumptions!$C$7,0))</f>
        <v>1776000.996</v>
      </c>
      <c r="L1625" s="22">
        <f>H1625*(1+Assumptions!$B$8+IF(F1625="Yes",Assumptions!$C$8,0))</f>
        <v>1708343.8152000001</v>
      </c>
    </row>
    <row r="1626" spans="1:12" ht="15">
      <c r="A1626" s="21">
        <v>41166</v>
      </c>
      <c r="B1626" s="21">
        <v>41153</v>
      </c>
      <c r="C1626" s="17">
        <v>3</v>
      </c>
      <c r="D1626" s="17" t="s">
        <v>92</v>
      </c>
      <c r="E1626" s="18">
        <v>37392</v>
      </c>
      <c r="F1626" s="17" t="s">
        <v>91</v>
      </c>
      <c r="G1626" s="14">
        <v>407568.37</v>
      </c>
      <c r="H1626" s="14">
        <v>375580.97000000003</v>
      </c>
      <c r="I1626" s="14">
        <v>375580.97000000003</v>
      </c>
      <c r="J1626" s="22">
        <f>H1626*(1+Assumptions!$B$6+IF(F1626="Yes",Assumptions!$C$6,0))</f>
        <v>386848.39910000004</v>
      </c>
      <c r="K1626" s="22">
        <f>H1626*(1+Assumptions!$B$7+IF(F1626="Yes",Assumptions!$C$7,0))</f>
        <v>394360.01850000006</v>
      </c>
      <c r="L1626" s="22">
        <f>H1626*(1+Assumptions!$B$8+IF(F1626="Yes",Assumptions!$C$8,0))</f>
        <v>379336.77970000001</v>
      </c>
    </row>
    <row r="1627" spans="1:12" ht="15">
      <c r="A1627" s="21">
        <v>41166</v>
      </c>
      <c r="B1627" s="21">
        <v>41153</v>
      </c>
      <c r="C1627" s="17">
        <v>4</v>
      </c>
      <c r="D1627" s="17" t="s">
        <v>90</v>
      </c>
      <c r="E1627" s="18">
        <v>205863</v>
      </c>
      <c r="F1627" s="17" t="s">
        <v>91</v>
      </c>
      <c r="G1627" s="14">
        <v>2117854.56</v>
      </c>
      <c r="H1627" s="14">
        <v>2075608.33</v>
      </c>
      <c r="I1627" s="14">
        <v>2075608.33</v>
      </c>
      <c r="J1627" s="22">
        <f>H1627*(1+Assumptions!$B$6+IF(F1627="Yes",Assumptions!$C$6,0))</f>
        <v>2137876.5799000002</v>
      </c>
      <c r="K1627" s="22">
        <f>H1627*(1+Assumptions!$B$7+IF(F1627="Yes",Assumptions!$C$7,0))</f>
        <v>2179388.7465000004</v>
      </c>
      <c r="L1627" s="22">
        <f>H1627*(1+Assumptions!$B$8+IF(F1627="Yes",Assumptions!$C$8,0))</f>
        <v>2096364.4133000001</v>
      </c>
    </row>
    <row r="1628" spans="1:12" ht="15">
      <c r="A1628" s="21">
        <v>41166</v>
      </c>
      <c r="B1628" s="21">
        <v>41153</v>
      </c>
      <c r="C1628" s="17">
        <v>5</v>
      </c>
      <c r="D1628" s="17" t="s">
        <v>92</v>
      </c>
      <c r="E1628" s="18">
        <v>34875</v>
      </c>
      <c r="F1628" s="17" t="s">
        <v>91</v>
      </c>
      <c r="G1628" s="14">
        <v>299757.14999999997</v>
      </c>
      <c r="H1628" s="14">
        <v>278529.71000000002</v>
      </c>
      <c r="I1628" s="14">
        <v>278529.71000000002</v>
      </c>
      <c r="J1628" s="22">
        <f>H1628*(1+Assumptions!$B$6+IF(F1628="Yes",Assumptions!$C$6,0))</f>
        <v>286885.60130000004</v>
      </c>
      <c r="K1628" s="22">
        <f>H1628*(1+Assumptions!$B$7+IF(F1628="Yes",Assumptions!$C$7,0))</f>
        <v>292456.19550000003</v>
      </c>
      <c r="L1628" s="22">
        <f>H1628*(1+Assumptions!$B$8+IF(F1628="Yes",Assumptions!$C$8,0))</f>
        <v>281315.00710000005</v>
      </c>
    </row>
    <row r="1629" spans="1:12" ht="15">
      <c r="A1629" s="21">
        <v>41166</v>
      </c>
      <c r="B1629" s="21">
        <v>41153</v>
      </c>
      <c r="C1629" s="17">
        <v>6</v>
      </c>
      <c r="D1629" s="17" t="s">
        <v>90</v>
      </c>
      <c r="E1629" s="18">
        <v>202505</v>
      </c>
      <c r="F1629" s="17" t="s">
        <v>91</v>
      </c>
      <c r="G1629" s="14">
        <v>1375166.82</v>
      </c>
      <c r="H1629" s="14">
        <v>1351407.79</v>
      </c>
      <c r="I1629" s="14">
        <v>1351407.79</v>
      </c>
      <c r="J1629" s="22">
        <f>H1629*(1+Assumptions!$B$6+IF(F1629="Yes",Assumptions!$C$6,0))</f>
        <v>1391950.0237</v>
      </c>
      <c r="K1629" s="22">
        <f>H1629*(1+Assumptions!$B$7+IF(F1629="Yes",Assumptions!$C$7,0))</f>
        <v>1418978.1795000001</v>
      </c>
      <c r="L1629" s="22">
        <f>H1629*(1+Assumptions!$B$8+IF(F1629="Yes",Assumptions!$C$8,0))</f>
        <v>1364921.8679</v>
      </c>
    </row>
    <row r="1630" spans="1:12" ht="15">
      <c r="A1630" s="21">
        <v>41166</v>
      </c>
      <c r="B1630" s="21">
        <v>41153</v>
      </c>
      <c r="C1630" s="17">
        <v>7</v>
      </c>
      <c r="D1630" s="17" t="s">
        <v>92</v>
      </c>
      <c r="E1630" s="18">
        <v>70713</v>
      </c>
      <c r="F1630" s="17" t="s">
        <v>91</v>
      </c>
      <c r="G1630" s="14">
        <v>541120.19999999995</v>
      </c>
      <c r="H1630" s="14">
        <v>558971.37</v>
      </c>
      <c r="I1630" s="14">
        <v>558971.37</v>
      </c>
      <c r="J1630" s="22">
        <f>H1630*(1+Assumptions!$B$6+IF(F1630="Yes",Assumptions!$C$6,0))</f>
        <v>575740.5111</v>
      </c>
      <c r="K1630" s="22">
        <f>H1630*(1+Assumptions!$B$7+IF(F1630="Yes",Assumptions!$C$7,0))</f>
        <v>586919.93850000005</v>
      </c>
      <c r="L1630" s="22">
        <f>H1630*(1+Assumptions!$B$8+IF(F1630="Yes",Assumptions!$C$8,0))</f>
        <v>564561.08369999996</v>
      </c>
    </row>
    <row r="1631" spans="1:12" ht="15">
      <c r="A1631" s="21">
        <v>41166</v>
      </c>
      <c r="B1631" s="21">
        <v>41153</v>
      </c>
      <c r="C1631" s="17">
        <v>8</v>
      </c>
      <c r="D1631" s="17" t="s">
        <v>90</v>
      </c>
      <c r="E1631" s="18">
        <v>155078</v>
      </c>
      <c r="F1631" s="17" t="s">
        <v>91</v>
      </c>
      <c r="G1631" s="14">
        <v>882674.34</v>
      </c>
      <c r="H1631" s="14">
        <v>870971.82</v>
      </c>
      <c r="I1631" s="14">
        <v>870971.82</v>
      </c>
      <c r="J1631" s="22">
        <f>H1631*(1+Assumptions!$B$6+IF(F1631="Yes",Assumptions!$C$6,0))</f>
        <v>897100.97459999996</v>
      </c>
      <c r="K1631" s="22">
        <f>H1631*(1+Assumptions!$B$7+IF(F1631="Yes",Assumptions!$C$7,0))</f>
        <v>914520.41099999996</v>
      </c>
      <c r="L1631" s="22">
        <f>H1631*(1+Assumptions!$B$8+IF(F1631="Yes",Assumptions!$C$8,0))</f>
        <v>879681.53819999995</v>
      </c>
    </row>
    <row r="1632" spans="1:12" ht="15">
      <c r="A1632" s="21">
        <v>41166</v>
      </c>
      <c r="B1632" s="21">
        <v>41153</v>
      </c>
      <c r="C1632" s="17">
        <v>9</v>
      </c>
      <c r="D1632" s="17" t="s">
        <v>92</v>
      </c>
      <c r="E1632" s="18">
        <v>125833</v>
      </c>
      <c r="F1632" s="17" t="s">
        <v>91</v>
      </c>
      <c r="G1632" s="14">
        <v>523427.35</v>
      </c>
      <c r="H1632" s="14">
        <v>500266.55</v>
      </c>
      <c r="I1632" s="14">
        <v>500266.55</v>
      </c>
      <c r="J1632" s="22">
        <f>H1632*(1+Assumptions!$B$6+IF(F1632="Yes",Assumptions!$C$6,0))</f>
        <v>515274.5465</v>
      </c>
      <c r="K1632" s="22">
        <f>H1632*(1+Assumptions!$B$7+IF(F1632="Yes",Assumptions!$C$7,0))</f>
        <v>525279.87750000006</v>
      </c>
      <c r="L1632" s="22">
        <f>H1632*(1+Assumptions!$B$8+IF(F1632="Yes",Assumptions!$C$8,0))</f>
        <v>505269.21549999999</v>
      </c>
    </row>
    <row r="1633" spans="1:12" ht="15">
      <c r="A1633" s="21">
        <v>41166</v>
      </c>
      <c r="B1633" s="21">
        <v>41153</v>
      </c>
      <c r="C1633" s="17">
        <v>10</v>
      </c>
      <c r="D1633" s="17" t="s">
        <v>92</v>
      </c>
      <c r="E1633" s="18">
        <v>126512</v>
      </c>
      <c r="F1633" s="17" t="s">
        <v>91</v>
      </c>
      <c r="G1633" s="14">
        <v>1640168.99</v>
      </c>
      <c r="H1633" s="14">
        <v>1650630</v>
      </c>
      <c r="I1633" s="14">
        <v>1650630</v>
      </c>
      <c r="J1633" s="22">
        <f>H1633*(1+Assumptions!$B$6+IF(F1633="Yes",Assumptions!$C$6,0))</f>
        <v>1700148.9000000001</v>
      </c>
      <c r="K1633" s="22">
        <f>H1633*(1+Assumptions!$B$7+IF(F1633="Yes",Assumptions!$C$7,0))</f>
        <v>1733161.5</v>
      </c>
      <c r="L1633" s="22">
        <f>H1633*(1+Assumptions!$B$8+IF(F1633="Yes",Assumptions!$C$8,0))</f>
        <v>1667136.3</v>
      </c>
    </row>
    <row r="1634" spans="1:12" ht="15">
      <c r="A1634" s="21">
        <v>41166</v>
      </c>
      <c r="B1634" s="21">
        <v>41153</v>
      </c>
      <c r="C1634" s="17">
        <v>11</v>
      </c>
      <c r="D1634" s="17" t="s">
        <v>90</v>
      </c>
      <c r="E1634" s="18">
        <v>207499</v>
      </c>
      <c r="F1634" s="17" t="s">
        <v>91</v>
      </c>
      <c r="G1634" s="14">
        <v>1267674.98</v>
      </c>
      <c r="H1634" s="14">
        <v>1270816.01</v>
      </c>
      <c r="I1634" s="14">
        <v>1270816.01</v>
      </c>
      <c r="J1634" s="22">
        <f>H1634*(1+Assumptions!$B$6+IF(F1634="Yes",Assumptions!$C$6,0))</f>
        <v>1308940.4902999999</v>
      </c>
      <c r="K1634" s="22">
        <f>H1634*(1+Assumptions!$B$7+IF(F1634="Yes",Assumptions!$C$7,0))</f>
        <v>1334356.8105000001</v>
      </c>
      <c r="L1634" s="22">
        <f>H1634*(1+Assumptions!$B$8+IF(F1634="Yes",Assumptions!$C$8,0))</f>
        <v>1283524.1701</v>
      </c>
    </row>
    <row r="1635" spans="1:12" ht="15">
      <c r="A1635" s="21">
        <v>41166</v>
      </c>
      <c r="B1635" s="21">
        <v>41153</v>
      </c>
      <c r="C1635" s="17">
        <v>12</v>
      </c>
      <c r="D1635" s="17" t="s">
        <v>92</v>
      </c>
      <c r="E1635" s="18">
        <v>112238</v>
      </c>
      <c r="F1635" s="17" t="s">
        <v>91</v>
      </c>
      <c r="G1635" s="14">
        <v>885862.49</v>
      </c>
      <c r="H1635" s="14">
        <v>888809.96</v>
      </c>
      <c r="I1635" s="14">
        <v>888809.96</v>
      </c>
      <c r="J1635" s="22">
        <f>H1635*(1+Assumptions!$B$6+IF(F1635="Yes",Assumptions!$C$6,0))</f>
        <v>915474.25879999995</v>
      </c>
      <c r="K1635" s="22">
        <f>H1635*(1+Assumptions!$B$7+IF(F1635="Yes",Assumptions!$C$7,0))</f>
        <v>933250.45799999998</v>
      </c>
      <c r="L1635" s="22">
        <f>H1635*(1+Assumptions!$B$8+IF(F1635="Yes",Assumptions!$C$8,0))</f>
        <v>897698.05959999992</v>
      </c>
    </row>
    <row r="1636" spans="1:12" ht="15">
      <c r="A1636" s="21">
        <v>41166</v>
      </c>
      <c r="B1636" s="21">
        <v>41153</v>
      </c>
      <c r="C1636" s="17">
        <v>13</v>
      </c>
      <c r="D1636" s="17" t="s">
        <v>90</v>
      </c>
      <c r="E1636" s="18">
        <v>219622</v>
      </c>
      <c r="F1636" s="17" t="s">
        <v>91</v>
      </c>
      <c r="G1636" s="14">
        <v>1919916.86</v>
      </c>
      <c r="H1636" s="14">
        <v>1922485.82</v>
      </c>
      <c r="I1636" s="14">
        <v>1922485.82</v>
      </c>
      <c r="J1636" s="22">
        <f>H1636*(1+Assumptions!$B$6+IF(F1636="Yes",Assumptions!$C$6,0))</f>
        <v>1980160.3946000002</v>
      </c>
      <c r="K1636" s="22">
        <f>H1636*(1+Assumptions!$B$7+IF(F1636="Yes",Assumptions!$C$7,0))</f>
        <v>2018610.1110000003</v>
      </c>
      <c r="L1636" s="22">
        <f>H1636*(1+Assumptions!$B$8+IF(F1636="Yes",Assumptions!$C$8,0))</f>
        <v>1941710.6782000002</v>
      </c>
    </row>
    <row r="1637" spans="1:12" ht="15">
      <c r="A1637" s="21">
        <v>41166</v>
      </c>
      <c r="B1637" s="21">
        <v>41153</v>
      </c>
      <c r="C1637" s="17">
        <v>14</v>
      </c>
      <c r="D1637" s="17" t="s">
        <v>90</v>
      </c>
      <c r="E1637" s="18">
        <v>200898</v>
      </c>
      <c r="F1637" s="17" t="s">
        <v>91</v>
      </c>
      <c r="G1637" s="14">
        <v>1554794.22</v>
      </c>
      <c r="H1637" s="14">
        <v>1864637.89</v>
      </c>
      <c r="I1637" s="14">
        <v>1864637.89</v>
      </c>
      <c r="J1637" s="22">
        <f>H1637*(1+Assumptions!$B$6+IF(F1637="Yes",Assumptions!$C$6,0))</f>
        <v>1920577.0267</v>
      </c>
      <c r="K1637" s="22">
        <f>H1637*(1+Assumptions!$B$7+IF(F1637="Yes",Assumptions!$C$7,0))</f>
        <v>1957869.7845000001</v>
      </c>
      <c r="L1637" s="22">
        <f>H1637*(1+Assumptions!$B$8+IF(F1637="Yes",Assumptions!$C$8,0))</f>
        <v>1883284.2689</v>
      </c>
    </row>
    <row r="1638" spans="1:12" ht="15">
      <c r="A1638" s="21">
        <v>41166</v>
      </c>
      <c r="B1638" s="21">
        <v>41153</v>
      </c>
      <c r="C1638" s="17">
        <v>15</v>
      </c>
      <c r="D1638" s="17" t="s">
        <v>92</v>
      </c>
      <c r="E1638" s="18">
        <v>123737</v>
      </c>
      <c r="F1638" s="17" t="s">
        <v>91</v>
      </c>
      <c r="G1638" s="14">
        <v>526809.76</v>
      </c>
      <c r="H1638" s="14">
        <v>545048.96</v>
      </c>
      <c r="I1638" s="14">
        <v>545048.96</v>
      </c>
      <c r="J1638" s="22">
        <f>H1638*(1+Assumptions!$B$6+IF(F1638="Yes",Assumptions!$C$6,0))</f>
        <v>561400.42879999999</v>
      </c>
      <c r="K1638" s="22">
        <f>H1638*(1+Assumptions!$B$7+IF(F1638="Yes",Assumptions!$C$7,0))</f>
        <v>572301.40799999994</v>
      </c>
      <c r="L1638" s="22">
        <f>H1638*(1+Assumptions!$B$8+IF(F1638="Yes",Assumptions!$C$8,0))</f>
        <v>550499.44959999993</v>
      </c>
    </row>
    <row r="1639" spans="1:12" ht="15">
      <c r="A1639" s="21">
        <v>41166</v>
      </c>
      <c r="B1639" s="21">
        <v>41153</v>
      </c>
      <c r="C1639" s="17">
        <v>16</v>
      </c>
      <c r="D1639" s="17" t="s">
        <v>92</v>
      </c>
      <c r="E1639" s="18">
        <v>57197</v>
      </c>
      <c r="F1639" s="17" t="s">
        <v>91</v>
      </c>
      <c r="G1639" s="14">
        <v>525443.38</v>
      </c>
      <c r="H1639" s="14">
        <v>539030.94000000006</v>
      </c>
      <c r="I1639" s="14">
        <v>539030.94000000006</v>
      </c>
      <c r="J1639" s="22">
        <f>H1639*(1+Assumptions!$B$6+IF(F1639="Yes",Assumptions!$C$6,0))</f>
        <v>555201.86820000003</v>
      </c>
      <c r="K1639" s="22">
        <f>H1639*(1+Assumptions!$B$7+IF(F1639="Yes",Assumptions!$C$7,0))</f>
        <v>565982.48700000008</v>
      </c>
      <c r="L1639" s="22">
        <f>H1639*(1+Assumptions!$B$8+IF(F1639="Yes",Assumptions!$C$8,0))</f>
        <v>544421.24940000009</v>
      </c>
    </row>
    <row r="1640" spans="1:12" ht="15">
      <c r="A1640" s="21">
        <v>41166</v>
      </c>
      <c r="B1640" s="21">
        <v>41153</v>
      </c>
      <c r="C1640" s="17">
        <v>17</v>
      </c>
      <c r="D1640" s="17" t="s">
        <v>92</v>
      </c>
      <c r="E1640" s="18">
        <v>93188</v>
      </c>
      <c r="F1640" s="17" t="s">
        <v>91</v>
      </c>
      <c r="G1640" s="14">
        <v>1070219.24</v>
      </c>
      <c r="H1640" s="14">
        <v>1051063.57</v>
      </c>
      <c r="I1640" s="14">
        <v>1051063.57</v>
      </c>
      <c r="J1640" s="22">
        <f>H1640*(1+Assumptions!$B$6+IF(F1640="Yes",Assumptions!$C$6,0))</f>
        <v>1082595.4771</v>
      </c>
      <c r="K1640" s="22">
        <f>H1640*(1+Assumptions!$B$7+IF(F1640="Yes",Assumptions!$C$7,0))</f>
        <v>1103616.7485000002</v>
      </c>
      <c r="L1640" s="22">
        <f>H1640*(1+Assumptions!$B$8+IF(F1640="Yes",Assumptions!$C$8,0))</f>
        <v>1061574.2057</v>
      </c>
    </row>
    <row r="1641" spans="1:12" ht="15">
      <c r="A1641" s="21">
        <v>41166</v>
      </c>
      <c r="B1641" s="21">
        <v>41153</v>
      </c>
      <c r="C1641" s="17">
        <v>18</v>
      </c>
      <c r="D1641" s="17" t="s">
        <v>92</v>
      </c>
      <c r="E1641" s="18">
        <v>120653</v>
      </c>
      <c r="F1641" s="17" t="s">
        <v>91</v>
      </c>
      <c r="G1641" s="14">
        <v>946863.07</v>
      </c>
      <c r="H1641" s="14">
        <v>845603.29</v>
      </c>
      <c r="I1641" s="14">
        <v>845603.29</v>
      </c>
      <c r="J1641" s="22">
        <f>H1641*(1+Assumptions!$B$6+IF(F1641="Yes",Assumptions!$C$6,0))</f>
        <v>870971.38870000001</v>
      </c>
      <c r="K1641" s="22">
        <f>H1641*(1+Assumptions!$B$7+IF(F1641="Yes",Assumptions!$C$7,0))</f>
        <v>887883.45450000011</v>
      </c>
      <c r="L1641" s="22">
        <f>H1641*(1+Assumptions!$B$8+IF(F1641="Yes",Assumptions!$C$8,0))</f>
        <v>854059.32290000003</v>
      </c>
    </row>
    <row r="1642" spans="1:12" ht="15">
      <c r="A1642" s="21">
        <v>41166</v>
      </c>
      <c r="B1642" s="21">
        <v>41153</v>
      </c>
      <c r="C1642" s="17">
        <v>19</v>
      </c>
      <c r="D1642" s="17" t="s">
        <v>90</v>
      </c>
      <c r="E1642" s="18">
        <v>203819</v>
      </c>
      <c r="F1642" s="17" t="s">
        <v>91</v>
      </c>
      <c r="G1642" s="14">
        <v>1370632.51</v>
      </c>
      <c r="H1642" s="14">
        <v>1365633.53</v>
      </c>
      <c r="I1642" s="14">
        <v>1365633.53</v>
      </c>
      <c r="J1642" s="22">
        <f>H1642*(1+Assumptions!$B$6+IF(F1642="Yes",Assumptions!$C$6,0))</f>
        <v>1406602.5359</v>
      </c>
      <c r="K1642" s="22">
        <f>H1642*(1+Assumptions!$B$7+IF(F1642="Yes",Assumptions!$C$7,0))</f>
        <v>1433915.2065000001</v>
      </c>
      <c r="L1642" s="22">
        <f>H1642*(1+Assumptions!$B$8+IF(F1642="Yes",Assumptions!$C$8,0))</f>
        <v>1379289.8652999999</v>
      </c>
    </row>
    <row r="1643" spans="1:12" ht="15">
      <c r="A1643" s="21">
        <v>41166</v>
      </c>
      <c r="B1643" s="21">
        <v>41153</v>
      </c>
      <c r="C1643" s="17">
        <v>20</v>
      </c>
      <c r="D1643" s="17" t="s">
        <v>90</v>
      </c>
      <c r="E1643" s="18">
        <v>203742</v>
      </c>
      <c r="F1643" s="17" t="s">
        <v>91</v>
      </c>
      <c r="G1643" s="14">
        <v>2047934.93</v>
      </c>
      <c r="H1643" s="14">
        <v>1978868.19</v>
      </c>
      <c r="I1643" s="14">
        <v>1978868.19</v>
      </c>
      <c r="J1643" s="22">
        <f>H1643*(1+Assumptions!$B$6+IF(F1643="Yes",Assumptions!$C$6,0))</f>
        <v>2038234.2357000001</v>
      </c>
      <c r="K1643" s="22">
        <f>H1643*(1+Assumptions!$B$7+IF(F1643="Yes",Assumptions!$C$7,0))</f>
        <v>2077811.5995</v>
      </c>
      <c r="L1643" s="22">
        <f>H1643*(1+Assumptions!$B$8+IF(F1643="Yes",Assumptions!$C$8,0))</f>
        <v>1998656.8718999999</v>
      </c>
    </row>
    <row r="1644" spans="1:12" ht="15">
      <c r="A1644" s="21">
        <v>41166</v>
      </c>
      <c r="B1644" s="21">
        <v>41153</v>
      </c>
      <c r="C1644" s="17">
        <v>21</v>
      </c>
      <c r="D1644" s="17" t="s">
        <v>92</v>
      </c>
      <c r="E1644" s="18">
        <v>140167</v>
      </c>
      <c r="F1644" s="17" t="s">
        <v>91</v>
      </c>
      <c r="G1644" s="14">
        <v>628274.51</v>
      </c>
      <c r="H1644" s="14">
        <v>653525.84</v>
      </c>
      <c r="I1644" s="14">
        <v>653525.84</v>
      </c>
      <c r="J1644" s="22">
        <f>H1644*(1+Assumptions!$B$6+IF(F1644="Yes",Assumptions!$C$6,0))</f>
        <v>673131.6152</v>
      </c>
      <c r="K1644" s="22">
        <f>H1644*(1+Assumptions!$B$7+IF(F1644="Yes",Assumptions!$C$7,0))</f>
        <v>686202.13199999998</v>
      </c>
      <c r="L1644" s="22">
        <f>H1644*(1+Assumptions!$B$8+IF(F1644="Yes",Assumptions!$C$8,0))</f>
        <v>660061.09840000002</v>
      </c>
    </row>
    <row r="1645" spans="1:12" ht="15">
      <c r="A1645" s="21">
        <v>41166</v>
      </c>
      <c r="B1645" s="21">
        <v>41153</v>
      </c>
      <c r="C1645" s="17">
        <v>22</v>
      </c>
      <c r="D1645" s="17" t="s">
        <v>92</v>
      </c>
      <c r="E1645" s="18">
        <v>119557</v>
      </c>
      <c r="F1645" s="17" t="s">
        <v>91</v>
      </c>
      <c r="G1645" s="14">
        <v>918049.28000000003</v>
      </c>
      <c r="H1645" s="14">
        <v>937396.71</v>
      </c>
      <c r="I1645" s="14">
        <v>937396.71</v>
      </c>
      <c r="J1645" s="22">
        <f>H1645*(1+Assumptions!$B$6+IF(F1645="Yes",Assumptions!$C$6,0))</f>
        <v>965518.61129999999</v>
      </c>
      <c r="K1645" s="22">
        <f>H1645*(1+Assumptions!$B$7+IF(F1645="Yes",Assumptions!$C$7,0))</f>
        <v>984266.54550000001</v>
      </c>
      <c r="L1645" s="22">
        <f>H1645*(1+Assumptions!$B$8+IF(F1645="Yes",Assumptions!$C$8,0))</f>
        <v>946770.67709999997</v>
      </c>
    </row>
    <row r="1646" spans="1:12" ht="15">
      <c r="A1646" s="21">
        <v>41166</v>
      </c>
      <c r="B1646" s="21">
        <v>41153</v>
      </c>
      <c r="C1646" s="17">
        <v>23</v>
      </c>
      <c r="D1646" s="17" t="s">
        <v>92</v>
      </c>
      <c r="E1646" s="18">
        <v>114533</v>
      </c>
      <c r="F1646" s="17" t="s">
        <v>91</v>
      </c>
      <c r="G1646" s="14">
        <v>1279041.6399999999</v>
      </c>
      <c r="H1646" s="14">
        <v>1253329.17</v>
      </c>
      <c r="I1646" s="14">
        <v>1253329.17</v>
      </c>
      <c r="J1646" s="22">
        <f>H1646*(1+Assumptions!$B$6+IF(F1646="Yes",Assumptions!$C$6,0))</f>
        <v>1290929.0451</v>
      </c>
      <c r="K1646" s="22">
        <f>H1646*(1+Assumptions!$B$7+IF(F1646="Yes",Assumptions!$C$7,0))</f>
        <v>1315995.6284999999</v>
      </c>
      <c r="L1646" s="22">
        <f>H1646*(1+Assumptions!$B$8+IF(F1646="Yes",Assumptions!$C$8,0))</f>
        <v>1265862.4616999999</v>
      </c>
    </row>
    <row r="1647" spans="1:12" ht="15">
      <c r="A1647" s="21">
        <v>41166</v>
      </c>
      <c r="B1647" s="21">
        <v>41153</v>
      </c>
      <c r="C1647" s="17">
        <v>24</v>
      </c>
      <c r="D1647" s="17" t="s">
        <v>90</v>
      </c>
      <c r="E1647" s="18">
        <v>203819</v>
      </c>
      <c r="F1647" s="17" t="s">
        <v>91</v>
      </c>
      <c r="G1647" s="14">
        <v>1242909.5</v>
      </c>
      <c r="H1647" s="14">
        <v>1227535.97</v>
      </c>
      <c r="I1647" s="14">
        <v>1227535.97</v>
      </c>
      <c r="J1647" s="22">
        <f>H1647*(1+Assumptions!$B$6+IF(F1647="Yes",Assumptions!$C$6,0))</f>
        <v>1264362.0490999999</v>
      </c>
      <c r="K1647" s="22">
        <f>H1647*(1+Assumptions!$B$7+IF(F1647="Yes",Assumptions!$C$7,0))</f>
        <v>1288912.7685</v>
      </c>
      <c r="L1647" s="22">
        <f>H1647*(1+Assumptions!$B$8+IF(F1647="Yes",Assumptions!$C$8,0))</f>
        <v>1239811.3296999999</v>
      </c>
    </row>
    <row r="1648" spans="1:12" ht="15">
      <c r="A1648" s="21">
        <v>41166</v>
      </c>
      <c r="B1648" s="21">
        <v>41153</v>
      </c>
      <c r="C1648" s="17">
        <v>25</v>
      </c>
      <c r="D1648" s="17" t="s">
        <v>92</v>
      </c>
      <c r="E1648" s="18">
        <v>128107</v>
      </c>
      <c r="F1648" s="17" t="s">
        <v>91</v>
      </c>
      <c r="G1648" s="14">
        <v>657226.98</v>
      </c>
      <c r="H1648" s="14">
        <v>628720.46</v>
      </c>
      <c r="I1648" s="14">
        <v>628720.46</v>
      </c>
      <c r="J1648" s="22">
        <f>H1648*(1+Assumptions!$B$6+IF(F1648="Yes",Assumptions!$C$6,0))</f>
        <v>647582.07380000001</v>
      </c>
      <c r="K1648" s="22">
        <f>H1648*(1+Assumptions!$B$7+IF(F1648="Yes",Assumptions!$C$7,0))</f>
        <v>660156.48300000001</v>
      </c>
      <c r="L1648" s="22">
        <f>H1648*(1+Assumptions!$B$8+IF(F1648="Yes",Assumptions!$C$8,0))</f>
        <v>635007.66460000002</v>
      </c>
    </row>
    <row r="1649" spans="1:12" ht="15">
      <c r="A1649" s="21">
        <v>41166</v>
      </c>
      <c r="B1649" s="21">
        <v>41153</v>
      </c>
      <c r="C1649" s="17">
        <v>26</v>
      </c>
      <c r="D1649" s="17" t="s">
        <v>90</v>
      </c>
      <c r="E1649" s="18">
        <v>152513</v>
      </c>
      <c r="F1649" s="17" t="s">
        <v>91</v>
      </c>
      <c r="G1649" s="14">
        <v>986053.94</v>
      </c>
      <c r="H1649" s="14">
        <v>950203.84</v>
      </c>
      <c r="I1649" s="14">
        <v>950203.84</v>
      </c>
      <c r="J1649" s="22">
        <f>H1649*(1+Assumptions!$B$6+IF(F1649="Yes",Assumptions!$C$6,0))</f>
        <v>978709.95519999997</v>
      </c>
      <c r="K1649" s="22">
        <f>H1649*(1+Assumptions!$B$7+IF(F1649="Yes",Assumptions!$C$7,0))</f>
        <v>997714.03200000001</v>
      </c>
      <c r="L1649" s="22">
        <f>H1649*(1+Assumptions!$B$8+IF(F1649="Yes",Assumptions!$C$8,0))</f>
        <v>959705.87839999993</v>
      </c>
    </row>
    <row r="1650" spans="1:12" ht="15">
      <c r="A1650" s="21">
        <v>41166</v>
      </c>
      <c r="B1650" s="21">
        <v>41153</v>
      </c>
      <c r="C1650" s="17">
        <v>27</v>
      </c>
      <c r="D1650" s="17" t="s">
        <v>90</v>
      </c>
      <c r="E1650" s="18">
        <v>204184</v>
      </c>
      <c r="F1650" s="17" t="s">
        <v>91</v>
      </c>
      <c r="G1650" s="14">
        <v>1518139.43</v>
      </c>
      <c r="H1650" s="14">
        <v>1613773.9</v>
      </c>
      <c r="I1650" s="14">
        <v>1613773.9</v>
      </c>
      <c r="J1650" s="22">
        <f>H1650*(1+Assumptions!$B$6+IF(F1650="Yes",Assumptions!$C$6,0))</f>
        <v>1662187.1169999999</v>
      </c>
      <c r="K1650" s="22">
        <f>H1650*(1+Assumptions!$B$7+IF(F1650="Yes",Assumptions!$C$7,0))</f>
        <v>1694462.595</v>
      </c>
      <c r="L1650" s="22">
        <f>H1650*(1+Assumptions!$B$8+IF(F1650="Yes",Assumptions!$C$8,0))</f>
        <v>1629911.639</v>
      </c>
    </row>
    <row r="1651" spans="1:12" ht="15">
      <c r="A1651" s="21">
        <v>41166</v>
      </c>
      <c r="B1651" s="21">
        <v>41153</v>
      </c>
      <c r="C1651" s="17">
        <v>28</v>
      </c>
      <c r="D1651" s="17" t="s">
        <v>90</v>
      </c>
      <c r="E1651" s="18">
        <v>206302</v>
      </c>
      <c r="F1651" s="17" t="s">
        <v>91</v>
      </c>
      <c r="G1651" s="14">
        <v>1124660.6299999999</v>
      </c>
      <c r="H1651" s="14">
        <v>1158622.1299999999</v>
      </c>
      <c r="I1651" s="14">
        <v>1158622.1299999999</v>
      </c>
      <c r="J1651" s="22">
        <f>H1651*(1+Assumptions!$B$6+IF(F1651="Yes",Assumptions!$C$6,0))</f>
        <v>1193380.7938999999</v>
      </c>
      <c r="K1651" s="22">
        <f>H1651*(1+Assumptions!$B$7+IF(F1651="Yes",Assumptions!$C$7,0))</f>
        <v>1216553.2364999999</v>
      </c>
      <c r="L1651" s="22">
        <f>H1651*(1+Assumptions!$B$8+IF(F1651="Yes",Assumptions!$C$8,0))</f>
        <v>1170208.3513</v>
      </c>
    </row>
    <row r="1652" spans="1:12" ht="15">
      <c r="A1652" s="21">
        <v>41166</v>
      </c>
      <c r="B1652" s="21">
        <v>41153</v>
      </c>
      <c r="C1652" s="17">
        <v>29</v>
      </c>
      <c r="D1652" s="17" t="s">
        <v>92</v>
      </c>
      <c r="E1652" s="18">
        <v>93638</v>
      </c>
      <c r="F1652" s="17" t="s">
        <v>91</v>
      </c>
      <c r="G1652" s="14">
        <v>475121.3</v>
      </c>
      <c r="H1652" s="14">
        <v>473609.8</v>
      </c>
      <c r="I1652" s="14">
        <v>473609.8</v>
      </c>
      <c r="J1652" s="22">
        <f>H1652*(1+Assumptions!$B$6+IF(F1652="Yes",Assumptions!$C$6,0))</f>
        <v>487818.09399999998</v>
      </c>
      <c r="K1652" s="22">
        <f>H1652*(1+Assumptions!$B$7+IF(F1652="Yes",Assumptions!$C$7,0))</f>
        <v>497290.29000000004</v>
      </c>
      <c r="L1652" s="22">
        <f>H1652*(1+Assumptions!$B$8+IF(F1652="Yes",Assumptions!$C$8,0))</f>
        <v>478345.89799999999</v>
      </c>
    </row>
    <row r="1653" spans="1:12" ht="15">
      <c r="A1653" s="21">
        <v>41166</v>
      </c>
      <c r="B1653" s="21">
        <v>41153</v>
      </c>
      <c r="C1653" s="17">
        <v>30</v>
      </c>
      <c r="D1653" s="17" t="s">
        <v>93</v>
      </c>
      <c r="E1653" s="18">
        <v>42988</v>
      </c>
      <c r="F1653" s="17" t="s">
        <v>91</v>
      </c>
      <c r="G1653" s="14">
        <v>437725.49</v>
      </c>
      <c r="H1653" s="14">
        <v>382661.72000000003</v>
      </c>
      <c r="I1653" s="14">
        <v>382661.72000000003</v>
      </c>
      <c r="J1653" s="22">
        <f>H1653*(1+Assumptions!$B$6+IF(F1653="Yes",Assumptions!$C$6,0))</f>
        <v>394141.57160000002</v>
      </c>
      <c r="K1653" s="22">
        <f>H1653*(1+Assumptions!$B$7+IF(F1653="Yes",Assumptions!$C$7,0))</f>
        <v>401794.80600000004</v>
      </c>
      <c r="L1653" s="22">
        <f>H1653*(1+Assumptions!$B$8+IF(F1653="Yes",Assumptions!$C$8,0))</f>
        <v>386488.33720000001</v>
      </c>
    </row>
    <row r="1654" spans="1:12" ht="15">
      <c r="A1654" s="21">
        <v>41166</v>
      </c>
      <c r="B1654" s="21">
        <v>41153</v>
      </c>
      <c r="C1654" s="17">
        <v>31</v>
      </c>
      <c r="D1654" s="17" t="s">
        <v>90</v>
      </c>
      <c r="E1654" s="18">
        <v>203750</v>
      </c>
      <c r="F1654" s="17" t="s">
        <v>91</v>
      </c>
      <c r="G1654" s="14">
        <v>1327705.44</v>
      </c>
      <c r="H1654" s="14">
        <v>1363459.86</v>
      </c>
      <c r="I1654" s="14">
        <v>1363459.86</v>
      </c>
      <c r="J1654" s="22">
        <f>H1654*(1+Assumptions!$B$6+IF(F1654="Yes",Assumptions!$C$6,0))</f>
        <v>1404363.6558000001</v>
      </c>
      <c r="K1654" s="22">
        <f>H1654*(1+Assumptions!$B$7+IF(F1654="Yes",Assumptions!$C$7,0))</f>
        <v>1431632.8530000001</v>
      </c>
      <c r="L1654" s="22">
        <f>H1654*(1+Assumptions!$B$8+IF(F1654="Yes",Assumptions!$C$8,0))</f>
        <v>1377094.4586</v>
      </c>
    </row>
    <row r="1655" spans="1:12" ht="15">
      <c r="A1655" s="21">
        <v>41166</v>
      </c>
      <c r="B1655" s="21">
        <v>41153</v>
      </c>
      <c r="C1655" s="17">
        <v>32</v>
      </c>
      <c r="D1655" s="17" t="s">
        <v>90</v>
      </c>
      <c r="E1655" s="18">
        <v>203007</v>
      </c>
      <c r="F1655" s="17" t="s">
        <v>91</v>
      </c>
      <c r="G1655" s="14">
        <v>1156335.6000000001</v>
      </c>
      <c r="H1655" s="14">
        <v>1142486.25</v>
      </c>
      <c r="I1655" s="14">
        <v>1142486.25</v>
      </c>
      <c r="J1655" s="22">
        <f>H1655*(1+Assumptions!$B$6+IF(F1655="Yes",Assumptions!$C$6,0))</f>
        <v>1176760.8375000001</v>
      </c>
      <c r="K1655" s="22">
        <f>H1655*(1+Assumptions!$B$7+IF(F1655="Yes",Assumptions!$C$7,0))</f>
        <v>1199610.5625</v>
      </c>
      <c r="L1655" s="22">
        <f>H1655*(1+Assumptions!$B$8+IF(F1655="Yes",Assumptions!$C$8,0))</f>
        <v>1153911.1125</v>
      </c>
    </row>
    <row r="1656" spans="1:12" ht="15">
      <c r="A1656" s="21">
        <v>41166</v>
      </c>
      <c r="B1656" s="21">
        <v>41153</v>
      </c>
      <c r="C1656" s="17">
        <v>33</v>
      </c>
      <c r="D1656" s="17" t="s">
        <v>90</v>
      </c>
      <c r="E1656" s="18">
        <v>39690</v>
      </c>
      <c r="F1656" s="17" t="s">
        <v>91</v>
      </c>
      <c r="G1656" s="14">
        <v>277359.3</v>
      </c>
      <c r="H1656" s="14">
        <v>262263.59999999998</v>
      </c>
      <c r="I1656" s="14">
        <v>262263.59999999998</v>
      </c>
      <c r="J1656" s="22">
        <f>H1656*(1+Assumptions!$B$6+IF(F1656="Yes",Assumptions!$C$6,0))</f>
        <v>270131.50799999997</v>
      </c>
      <c r="K1656" s="22">
        <f>H1656*(1+Assumptions!$B$7+IF(F1656="Yes",Assumptions!$C$7,0))</f>
        <v>275376.77999999997</v>
      </c>
      <c r="L1656" s="22">
        <f>H1656*(1+Assumptions!$B$8+IF(F1656="Yes",Assumptions!$C$8,0))</f>
        <v>264886.23599999998</v>
      </c>
    </row>
    <row r="1657" spans="1:12" ht="15">
      <c r="A1657" s="21">
        <v>41166</v>
      </c>
      <c r="B1657" s="21">
        <v>41153</v>
      </c>
      <c r="C1657" s="17">
        <v>34</v>
      </c>
      <c r="D1657" s="17" t="s">
        <v>90</v>
      </c>
      <c r="E1657" s="18">
        <v>158114</v>
      </c>
      <c r="F1657" s="17" t="s">
        <v>91</v>
      </c>
      <c r="G1657" s="14">
        <v>955211.67</v>
      </c>
      <c r="H1657" s="14">
        <v>927235.37</v>
      </c>
      <c r="I1657" s="14">
        <v>927235.37</v>
      </c>
      <c r="J1657" s="22">
        <f>H1657*(1+Assumptions!$B$6+IF(F1657="Yes",Assumptions!$C$6,0))</f>
        <v>955052.43110000005</v>
      </c>
      <c r="K1657" s="22">
        <f>H1657*(1+Assumptions!$B$7+IF(F1657="Yes",Assumptions!$C$7,0))</f>
        <v>973597.1385</v>
      </c>
      <c r="L1657" s="22">
        <f>H1657*(1+Assumptions!$B$8+IF(F1657="Yes",Assumptions!$C$8,0))</f>
        <v>936507.72369999997</v>
      </c>
    </row>
    <row r="1658" spans="1:12" ht="15">
      <c r="A1658" s="21">
        <v>41166</v>
      </c>
      <c r="B1658" s="21">
        <v>41153</v>
      </c>
      <c r="C1658" s="17">
        <v>35</v>
      </c>
      <c r="D1658" s="17" t="s">
        <v>92</v>
      </c>
      <c r="E1658" s="18">
        <v>103681</v>
      </c>
      <c r="F1658" s="17" t="s">
        <v>91</v>
      </c>
      <c r="G1658" s="14">
        <v>821565.66999999993</v>
      </c>
      <c r="H1658" s="14">
        <v>738668.27</v>
      </c>
      <c r="I1658" s="14">
        <v>738668.27</v>
      </c>
      <c r="J1658" s="22">
        <f>H1658*(1+Assumptions!$B$6+IF(F1658="Yes",Assumptions!$C$6,0))</f>
        <v>760828.31810000003</v>
      </c>
      <c r="K1658" s="22">
        <f>H1658*(1+Assumptions!$B$7+IF(F1658="Yes",Assumptions!$C$7,0))</f>
        <v>775601.68350000004</v>
      </c>
      <c r="L1658" s="22">
        <f>H1658*(1+Assumptions!$B$8+IF(F1658="Yes",Assumptions!$C$8,0))</f>
        <v>746054.95270000002</v>
      </c>
    </row>
    <row r="1659" spans="1:12" ht="15">
      <c r="A1659" s="21">
        <v>41166</v>
      </c>
      <c r="B1659" s="21">
        <v>41153</v>
      </c>
      <c r="C1659" s="17">
        <v>36</v>
      </c>
      <c r="D1659" s="17" t="s">
        <v>90</v>
      </c>
      <c r="E1659" s="18">
        <v>39910</v>
      </c>
      <c r="F1659" s="17" t="s">
        <v>91</v>
      </c>
      <c r="G1659" s="14">
        <v>301483.22000000003</v>
      </c>
      <c r="H1659" s="14">
        <v>343006.64</v>
      </c>
      <c r="I1659" s="14">
        <v>343006.64</v>
      </c>
      <c r="J1659" s="22">
        <f>H1659*(1+Assumptions!$B$6+IF(F1659="Yes",Assumptions!$C$6,0))</f>
        <v>353296.83920000005</v>
      </c>
      <c r="K1659" s="22">
        <f>H1659*(1+Assumptions!$B$7+IF(F1659="Yes",Assumptions!$C$7,0))</f>
        <v>360156.97200000001</v>
      </c>
      <c r="L1659" s="22">
        <f>H1659*(1+Assumptions!$B$8+IF(F1659="Yes",Assumptions!$C$8,0))</f>
        <v>346436.70640000002</v>
      </c>
    </row>
    <row r="1660" spans="1:12" ht="15">
      <c r="A1660" s="21">
        <v>41166</v>
      </c>
      <c r="B1660" s="21">
        <v>41153</v>
      </c>
      <c r="C1660" s="17">
        <v>37</v>
      </c>
      <c r="D1660" s="17" t="s">
        <v>93</v>
      </c>
      <c r="E1660" s="18">
        <v>39910</v>
      </c>
      <c r="F1660" s="17" t="s">
        <v>91</v>
      </c>
      <c r="G1660" s="14">
        <v>514449.17000000004</v>
      </c>
      <c r="H1660" s="14">
        <v>513000.56</v>
      </c>
      <c r="I1660" s="14">
        <v>513000.56</v>
      </c>
      <c r="J1660" s="22">
        <f>H1660*(1+Assumptions!$B$6+IF(F1660="Yes",Assumptions!$C$6,0))</f>
        <v>528390.57680000004</v>
      </c>
      <c r="K1660" s="22">
        <f>H1660*(1+Assumptions!$B$7+IF(F1660="Yes",Assumptions!$C$7,0))</f>
        <v>538650.58799999999</v>
      </c>
      <c r="L1660" s="22">
        <f>H1660*(1+Assumptions!$B$8+IF(F1660="Yes",Assumptions!$C$8,0))</f>
        <v>518130.56560000003</v>
      </c>
    </row>
    <row r="1661" spans="1:12" ht="15">
      <c r="A1661" s="21">
        <v>41166</v>
      </c>
      <c r="B1661" s="21">
        <v>41153</v>
      </c>
      <c r="C1661" s="17">
        <v>38</v>
      </c>
      <c r="D1661" s="17" t="s">
        <v>93</v>
      </c>
      <c r="E1661" s="18">
        <v>39690</v>
      </c>
      <c r="F1661" s="17" t="s">
        <v>91</v>
      </c>
      <c r="G1661" s="14">
        <v>430933.06</v>
      </c>
      <c r="H1661" s="14">
        <v>408183.91000000003</v>
      </c>
      <c r="I1661" s="14">
        <v>408183.91000000003</v>
      </c>
      <c r="J1661" s="22">
        <f>H1661*(1+Assumptions!$B$6+IF(F1661="Yes",Assumptions!$C$6,0))</f>
        <v>420429.42730000004</v>
      </c>
      <c r="K1661" s="22">
        <f>H1661*(1+Assumptions!$B$7+IF(F1661="Yes",Assumptions!$C$7,0))</f>
        <v>428593.10550000006</v>
      </c>
      <c r="L1661" s="22">
        <f>H1661*(1+Assumptions!$B$8+IF(F1661="Yes",Assumptions!$C$8,0))</f>
        <v>412265.74910000002</v>
      </c>
    </row>
    <row r="1662" spans="1:12" ht="15">
      <c r="A1662" s="21">
        <v>41166</v>
      </c>
      <c r="B1662" s="21">
        <v>41153</v>
      </c>
      <c r="C1662" s="17">
        <v>39</v>
      </c>
      <c r="D1662" s="17" t="s">
        <v>90</v>
      </c>
      <c r="E1662" s="18">
        <v>184109</v>
      </c>
      <c r="F1662" s="17" t="s">
        <v>91</v>
      </c>
      <c r="G1662" s="14">
        <v>1447614</v>
      </c>
      <c r="H1662" s="14">
        <v>1372489.16</v>
      </c>
      <c r="I1662" s="14">
        <v>1372489.16</v>
      </c>
      <c r="J1662" s="22">
        <f>H1662*(1+Assumptions!$B$6+IF(F1662="Yes",Assumptions!$C$6,0))</f>
        <v>1413663.8347999998</v>
      </c>
      <c r="K1662" s="22">
        <f>H1662*(1+Assumptions!$B$7+IF(F1662="Yes",Assumptions!$C$7,0))</f>
        <v>1441113.618</v>
      </c>
      <c r="L1662" s="22">
        <f>H1662*(1+Assumptions!$B$8+IF(F1662="Yes",Assumptions!$C$8,0))</f>
        <v>1386214.0515999999</v>
      </c>
    </row>
    <row r="1663" spans="1:12" ht="15">
      <c r="A1663" s="21">
        <v>41166</v>
      </c>
      <c r="B1663" s="21">
        <v>41153</v>
      </c>
      <c r="C1663" s="17">
        <v>40</v>
      </c>
      <c r="D1663" s="17" t="s">
        <v>90</v>
      </c>
      <c r="E1663" s="18">
        <v>155083</v>
      </c>
      <c r="F1663" s="17" t="s">
        <v>91</v>
      </c>
      <c r="G1663" s="14">
        <v>901709.76</v>
      </c>
      <c r="H1663" s="14">
        <v>890613.91</v>
      </c>
      <c r="I1663" s="14">
        <v>890613.91</v>
      </c>
      <c r="J1663" s="22">
        <f>H1663*(1+Assumptions!$B$6+IF(F1663="Yes",Assumptions!$C$6,0))</f>
        <v>917332.3273</v>
      </c>
      <c r="K1663" s="22">
        <f>H1663*(1+Assumptions!$B$7+IF(F1663="Yes",Assumptions!$C$7,0))</f>
        <v>935144.60550000006</v>
      </c>
      <c r="L1663" s="22">
        <f>H1663*(1+Assumptions!$B$8+IF(F1663="Yes",Assumptions!$C$8,0))</f>
        <v>899520.04910000006</v>
      </c>
    </row>
    <row r="1664" spans="1:12" ht="15">
      <c r="A1664" s="21">
        <v>41166</v>
      </c>
      <c r="B1664" s="21">
        <v>41153</v>
      </c>
      <c r="C1664" s="17">
        <v>41</v>
      </c>
      <c r="D1664" s="17" t="s">
        <v>90</v>
      </c>
      <c r="E1664" s="18">
        <v>196321</v>
      </c>
      <c r="F1664" s="17" t="s">
        <v>91</v>
      </c>
      <c r="G1664" s="14">
        <v>1306644.1499999999</v>
      </c>
      <c r="H1664" s="14">
        <v>1197019.3899999999</v>
      </c>
      <c r="I1664" s="14">
        <v>1197019.3899999999</v>
      </c>
      <c r="J1664" s="22">
        <f>H1664*(1+Assumptions!$B$6+IF(F1664="Yes",Assumptions!$C$6,0))</f>
        <v>1232929.9716999999</v>
      </c>
      <c r="K1664" s="22">
        <f>H1664*(1+Assumptions!$B$7+IF(F1664="Yes",Assumptions!$C$7,0))</f>
        <v>1256870.3595</v>
      </c>
      <c r="L1664" s="22">
        <f>H1664*(1+Assumptions!$B$8+IF(F1664="Yes",Assumptions!$C$8,0))</f>
        <v>1208989.5839</v>
      </c>
    </row>
    <row r="1665" spans="1:12" ht="15">
      <c r="A1665" s="21">
        <v>41166</v>
      </c>
      <c r="B1665" s="21">
        <v>41153</v>
      </c>
      <c r="C1665" s="17">
        <v>42</v>
      </c>
      <c r="D1665" s="17" t="s">
        <v>93</v>
      </c>
      <c r="E1665" s="18">
        <v>39690</v>
      </c>
      <c r="F1665" s="17" t="s">
        <v>91</v>
      </c>
      <c r="G1665" s="14">
        <v>586467.98</v>
      </c>
      <c r="H1665" s="14">
        <v>576810.23</v>
      </c>
      <c r="I1665" s="14">
        <v>576810.23</v>
      </c>
      <c r="J1665" s="22">
        <f>H1665*(1+Assumptions!$B$6+IF(F1665="Yes",Assumptions!$C$6,0))</f>
        <v>594114.53689999995</v>
      </c>
      <c r="K1665" s="22">
        <f>H1665*(1+Assumptions!$B$7+IF(F1665="Yes",Assumptions!$C$7,0))</f>
        <v>605650.7415</v>
      </c>
      <c r="L1665" s="22">
        <f>H1665*(1+Assumptions!$B$8+IF(F1665="Yes",Assumptions!$C$8,0))</f>
        <v>582578.33230000001</v>
      </c>
    </row>
    <row r="1666" spans="1:12" ht="15">
      <c r="A1666" s="21">
        <v>41166</v>
      </c>
      <c r="B1666" s="21">
        <v>41153</v>
      </c>
      <c r="C1666" s="17">
        <v>43</v>
      </c>
      <c r="D1666" s="17" t="s">
        <v>93</v>
      </c>
      <c r="E1666" s="18">
        <v>41062</v>
      </c>
      <c r="F1666" s="17" t="s">
        <v>91</v>
      </c>
      <c r="G1666" s="14">
        <v>624748.82999999996</v>
      </c>
      <c r="H1666" s="14">
        <v>618862.17999999993</v>
      </c>
      <c r="I1666" s="14">
        <v>618862.17999999993</v>
      </c>
      <c r="J1666" s="22">
        <f>H1666*(1+Assumptions!$B$6+IF(F1666="Yes",Assumptions!$C$6,0))</f>
        <v>637428.04539999994</v>
      </c>
      <c r="K1666" s="22">
        <f>H1666*(1+Assumptions!$B$7+IF(F1666="Yes",Assumptions!$C$7,0))</f>
        <v>649805.28899999999</v>
      </c>
      <c r="L1666" s="22">
        <f>H1666*(1+Assumptions!$B$8+IF(F1666="Yes",Assumptions!$C$8,0))</f>
        <v>625050.8017999999</v>
      </c>
    </row>
    <row r="1667" spans="1:12" ht="15">
      <c r="A1667" s="21">
        <v>41166</v>
      </c>
      <c r="B1667" s="21">
        <v>41153</v>
      </c>
      <c r="C1667" s="17">
        <v>44</v>
      </c>
      <c r="D1667" s="17" t="s">
        <v>93</v>
      </c>
      <c r="E1667" s="18">
        <v>39910</v>
      </c>
      <c r="F1667" s="17" t="s">
        <v>91</v>
      </c>
      <c r="G1667" s="14">
        <v>347489.95999999996</v>
      </c>
      <c r="H1667" s="14">
        <v>303890.90000000002</v>
      </c>
      <c r="I1667" s="14">
        <v>303890.90000000002</v>
      </c>
      <c r="J1667" s="22">
        <f>H1667*(1+Assumptions!$B$6+IF(F1667="Yes",Assumptions!$C$6,0))</f>
        <v>313007.62700000004</v>
      </c>
      <c r="K1667" s="22">
        <f>H1667*(1+Assumptions!$B$7+IF(F1667="Yes",Assumptions!$C$7,0))</f>
        <v>319085.44500000007</v>
      </c>
      <c r="L1667" s="22">
        <f>H1667*(1+Assumptions!$B$8+IF(F1667="Yes",Assumptions!$C$8,0))</f>
        <v>306929.80900000001</v>
      </c>
    </row>
    <row r="1668" spans="1:12" ht="15">
      <c r="A1668" s="21">
        <v>41166</v>
      </c>
      <c r="B1668" s="21">
        <v>41153</v>
      </c>
      <c r="C1668" s="17">
        <v>45</v>
      </c>
      <c r="D1668" s="17" t="s">
        <v>92</v>
      </c>
      <c r="E1668" s="18">
        <v>118221</v>
      </c>
      <c r="F1668" s="17" t="s">
        <v>91</v>
      </c>
      <c r="G1668" s="14">
        <v>702235.33</v>
      </c>
      <c r="H1668" s="14">
        <v>711357.59</v>
      </c>
      <c r="I1668" s="14">
        <v>711357.59</v>
      </c>
      <c r="J1668" s="22">
        <f>H1668*(1+Assumptions!$B$6+IF(F1668="Yes",Assumptions!$C$6,0))</f>
        <v>732698.31770000001</v>
      </c>
      <c r="K1668" s="22">
        <f>H1668*(1+Assumptions!$B$7+IF(F1668="Yes",Assumptions!$C$7,0))</f>
        <v>746925.46950000001</v>
      </c>
      <c r="L1668" s="22">
        <f>H1668*(1+Assumptions!$B$8+IF(F1668="Yes",Assumptions!$C$8,0))</f>
        <v>718471.16590000002</v>
      </c>
    </row>
    <row r="1669" spans="1:12" ht="15">
      <c r="A1669" s="21">
        <v>41173</v>
      </c>
      <c r="B1669" s="21">
        <v>41153</v>
      </c>
      <c r="C1669" s="17">
        <v>1</v>
      </c>
      <c r="D1669" s="17" t="s">
        <v>90</v>
      </c>
      <c r="E1669" s="18">
        <v>151315</v>
      </c>
      <c r="F1669" s="17" t="s">
        <v>91</v>
      </c>
      <c r="G1669" s="14">
        <v>1506126.06</v>
      </c>
      <c r="H1669" s="14">
        <v>1379925.35</v>
      </c>
      <c r="I1669" s="14">
        <v>1379925.35</v>
      </c>
      <c r="J1669" s="22">
        <f>H1669*(1+Assumptions!$B$6+IF(F1669="Yes",Assumptions!$C$6,0))</f>
        <v>1421323.1105000002</v>
      </c>
      <c r="K1669" s="22">
        <f>H1669*(1+Assumptions!$B$7+IF(F1669="Yes",Assumptions!$C$7,0))</f>
        <v>1448921.6175000002</v>
      </c>
      <c r="L1669" s="22">
        <f>H1669*(1+Assumptions!$B$8+IF(F1669="Yes",Assumptions!$C$8,0))</f>
        <v>1393724.6035000002</v>
      </c>
    </row>
    <row r="1670" spans="1:12" ht="15">
      <c r="A1670" s="21">
        <v>41173</v>
      </c>
      <c r="B1670" s="21">
        <v>41153</v>
      </c>
      <c r="C1670" s="17">
        <v>2</v>
      </c>
      <c r="D1670" s="17" t="s">
        <v>90</v>
      </c>
      <c r="E1670" s="18">
        <v>202307</v>
      </c>
      <c r="F1670" s="17" t="s">
        <v>91</v>
      </c>
      <c r="G1670" s="14">
        <v>1829415.67</v>
      </c>
      <c r="H1670" s="14">
        <v>1669289.78</v>
      </c>
      <c r="I1670" s="14">
        <v>1669289.78</v>
      </c>
      <c r="J1670" s="22">
        <f>H1670*(1+Assumptions!$B$6+IF(F1670="Yes",Assumptions!$C$6,0))</f>
        <v>1719368.4734</v>
      </c>
      <c r="K1670" s="22">
        <f>H1670*(1+Assumptions!$B$7+IF(F1670="Yes",Assumptions!$C$7,0))</f>
        <v>1752754.2690000001</v>
      </c>
      <c r="L1670" s="22">
        <f>H1670*(1+Assumptions!$B$8+IF(F1670="Yes",Assumptions!$C$8,0))</f>
        <v>1685982.6777999999</v>
      </c>
    </row>
    <row r="1671" spans="1:12" ht="15">
      <c r="A1671" s="21">
        <v>41173</v>
      </c>
      <c r="B1671" s="21">
        <v>41153</v>
      </c>
      <c r="C1671" s="17">
        <v>3</v>
      </c>
      <c r="D1671" s="17" t="s">
        <v>92</v>
      </c>
      <c r="E1671" s="18">
        <v>37392</v>
      </c>
      <c r="F1671" s="17" t="s">
        <v>91</v>
      </c>
      <c r="G1671" s="14">
        <v>414362.45</v>
      </c>
      <c r="H1671" s="14">
        <v>365227.12</v>
      </c>
      <c r="I1671" s="14">
        <v>365227.12</v>
      </c>
      <c r="J1671" s="22">
        <f>H1671*(1+Assumptions!$B$6+IF(F1671="Yes",Assumptions!$C$6,0))</f>
        <v>376183.93359999999</v>
      </c>
      <c r="K1671" s="22">
        <f>H1671*(1+Assumptions!$B$7+IF(F1671="Yes",Assumptions!$C$7,0))</f>
        <v>383488.47600000002</v>
      </c>
      <c r="L1671" s="22">
        <f>H1671*(1+Assumptions!$B$8+IF(F1671="Yes",Assumptions!$C$8,0))</f>
        <v>368879.39120000001</v>
      </c>
    </row>
    <row r="1672" spans="1:12" ht="15">
      <c r="A1672" s="21">
        <v>41173</v>
      </c>
      <c r="B1672" s="21">
        <v>41153</v>
      </c>
      <c r="C1672" s="17">
        <v>4</v>
      </c>
      <c r="D1672" s="17" t="s">
        <v>90</v>
      </c>
      <c r="E1672" s="18">
        <v>205863</v>
      </c>
      <c r="F1672" s="17" t="s">
        <v>91</v>
      </c>
      <c r="G1672" s="14">
        <v>2119428.06</v>
      </c>
      <c r="H1672" s="14">
        <v>2031406.41</v>
      </c>
      <c r="I1672" s="14">
        <v>2031406.41</v>
      </c>
      <c r="J1672" s="22">
        <f>H1672*(1+Assumptions!$B$6+IF(F1672="Yes",Assumptions!$C$6,0))</f>
        <v>2092348.6022999999</v>
      </c>
      <c r="K1672" s="22">
        <f>H1672*(1+Assumptions!$B$7+IF(F1672="Yes",Assumptions!$C$7,0))</f>
        <v>2132976.7305000001</v>
      </c>
      <c r="L1672" s="22">
        <f>H1672*(1+Assumptions!$B$8+IF(F1672="Yes",Assumptions!$C$8,0))</f>
        <v>2051720.4741</v>
      </c>
    </row>
    <row r="1673" spans="1:12" ht="15">
      <c r="A1673" s="21">
        <v>41173</v>
      </c>
      <c r="B1673" s="21">
        <v>41153</v>
      </c>
      <c r="C1673" s="17">
        <v>5</v>
      </c>
      <c r="D1673" s="17" t="s">
        <v>92</v>
      </c>
      <c r="E1673" s="18">
        <v>34875</v>
      </c>
      <c r="F1673" s="17" t="s">
        <v>91</v>
      </c>
      <c r="G1673" s="14">
        <v>307296.76</v>
      </c>
      <c r="H1673" s="14">
        <v>290987.62</v>
      </c>
      <c r="I1673" s="14">
        <v>290987.62</v>
      </c>
      <c r="J1673" s="22">
        <f>H1673*(1+Assumptions!$B$6+IF(F1673="Yes",Assumptions!$C$6,0))</f>
        <v>299717.24859999999</v>
      </c>
      <c r="K1673" s="22">
        <f>H1673*(1+Assumptions!$B$7+IF(F1673="Yes",Assumptions!$C$7,0))</f>
        <v>305537.00099999999</v>
      </c>
      <c r="L1673" s="22">
        <f>H1673*(1+Assumptions!$B$8+IF(F1673="Yes",Assumptions!$C$8,0))</f>
        <v>293897.49619999999</v>
      </c>
    </row>
    <row r="1674" spans="1:12" ht="15">
      <c r="A1674" s="21">
        <v>41173</v>
      </c>
      <c r="B1674" s="21">
        <v>41153</v>
      </c>
      <c r="C1674" s="17">
        <v>6</v>
      </c>
      <c r="D1674" s="17" t="s">
        <v>90</v>
      </c>
      <c r="E1674" s="18">
        <v>202505</v>
      </c>
      <c r="F1674" s="17" t="s">
        <v>91</v>
      </c>
      <c r="G1674" s="14">
        <v>1425214.65</v>
      </c>
      <c r="H1674" s="14">
        <v>1336044.75</v>
      </c>
      <c r="I1674" s="14">
        <v>1336044.75</v>
      </c>
      <c r="J1674" s="22">
        <f>H1674*(1+Assumptions!$B$6+IF(F1674="Yes",Assumptions!$C$6,0))</f>
        <v>1376126.0925</v>
      </c>
      <c r="K1674" s="22">
        <f>H1674*(1+Assumptions!$B$7+IF(F1674="Yes",Assumptions!$C$7,0))</f>
        <v>1402846.9875</v>
      </c>
      <c r="L1674" s="22">
        <f>H1674*(1+Assumptions!$B$8+IF(F1674="Yes",Assumptions!$C$8,0))</f>
        <v>1349405.1975</v>
      </c>
    </row>
    <row r="1675" spans="1:12" ht="15">
      <c r="A1675" s="21">
        <v>41173</v>
      </c>
      <c r="B1675" s="21">
        <v>41153</v>
      </c>
      <c r="C1675" s="17">
        <v>7</v>
      </c>
      <c r="D1675" s="17" t="s">
        <v>92</v>
      </c>
      <c r="E1675" s="18">
        <v>70713</v>
      </c>
      <c r="F1675" s="17" t="s">
        <v>91</v>
      </c>
      <c r="G1675" s="14">
        <v>530373.77</v>
      </c>
      <c r="H1675" s="14">
        <v>536138.84</v>
      </c>
      <c r="I1675" s="14">
        <v>536138.84</v>
      </c>
      <c r="J1675" s="22">
        <f>H1675*(1+Assumptions!$B$6+IF(F1675="Yes",Assumptions!$C$6,0))</f>
        <v>552223.00520000001</v>
      </c>
      <c r="K1675" s="22">
        <f>H1675*(1+Assumptions!$B$7+IF(F1675="Yes",Assumptions!$C$7,0))</f>
        <v>562945.78200000001</v>
      </c>
      <c r="L1675" s="22">
        <f>H1675*(1+Assumptions!$B$8+IF(F1675="Yes",Assumptions!$C$8,0))</f>
        <v>541500.22840000002</v>
      </c>
    </row>
    <row r="1676" spans="1:12" ht="15">
      <c r="A1676" s="21">
        <v>41173</v>
      </c>
      <c r="B1676" s="21">
        <v>41153</v>
      </c>
      <c r="C1676" s="17">
        <v>8</v>
      </c>
      <c r="D1676" s="17" t="s">
        <v>90</v>
      </c>
      <c r="E1676" s="18">
        <v>155078</v>
      </c>
      <c r="F1676" s="17" t="s">
        <v>91</v>
      </c>
      <c r="G1676" s="14">
        <v>857796.45</v>
      </c>
      <c r="H1676" s="14">
        <v>806444.29</v>
      </c>
      <c r="I1676" s="14">
        <v>806444.29</v>
      </c>
      <c r="J1676" s="22">
        <f>H1676*(1+Assumptions!$B$6+IF(F1676="Yes",Assumptions!$C$6,0))</f>
        <v>830637.61870000011</v>
      </c>
      <c r="K1676" s="22">
        <f>H1676*(1+Assumptions!$B$7+IF(F1676="Yes",Assumptions!$C$7,0))</f>
        <v>846766.50450000004</v>
      </c>
      <c r="L1676" s="22">
        <f>H1676*(1+Assumptions!$B$8+IF(F1676="Yes",Assumptions!$C$8,0))</f>
        <v>814508.73290000006</v>
      </c>
    </row>
    <row r="1677" spans="1:12" ht="15">
      <c r="A1677" s="21">
        <v>41173</v>
      </c>
      <c r="B1677" s="21">
        <v>41153</v>
      </c>
      <c r="C1677" s="17">
        <v>9</v>
      </c>
      <c r="D1677" s="17" t="s">
        <v>92</v>
      </c>
      <c r="E1677" s="18">
        <v>125833</v>
      </c>
      <c r="F1677" s="17" t="s">
        <v>91</v>
      </c>
      <c r="G1677" s="14">
        <v>533755</v>
      </c>
      <c r="H1677" s="14">
        <v>506545.78</v>
      </c>
      <c r="I1677" s="14">
        <v>506545.78</v>
      </c>
      <c r="J1677" s="22">
        <f>H1677*(1+Assumptions!$B$6+IF(F1677="Yes",Assumptions!$C$6,0))</f>
        <v>521742.15340000007</v>
      </c>
      <c r="K1677" s="22">
        <f>H1677*(1+Assumptions!$B$7+IF(F1677="Yes",Assumptions!$C$7,0))</f>
        <v>531873.06900000002</v>
      </c>
      <c r="L1677" s="22">
        <f>H1677*(1+Assumptions!$B$8+IF(F1677="Yes",Assumptions!$C$8,0))</f>
        <v>511611.23780000006</v>
      </c>
    </row>
    <row r="1678" spans="1:12" ht="15">
      <c r="A1678" s="21">
        <v>41173</v>
      </c>
      <c r="B1678" s="21">
        <v>41153</v>
      </c>
      <c r="C1678" s="17">
        <v>10</v>
      </c>
      <c r="D1678" s="17" t="s">
        <v>92</v>
      </c>
      <c r="E1678" s="18">
        <v>126512</v>
      </c>
      <c r="F1678" s="17" t="s">
        <v>91</v>
      </c>
      <c r="G1678" s="14">
        <v>1671792.08</v>
      </c>
      <c r="H1678" s="14">
        <v>1685890.59</v>
      </c>
      <c r="I1678" s="14">
        <v>1685890.59</v>
      </c>
      <c r="J1678" s="22">
        <f>H1678*(1+Assumptions!$B$6+IF(F1678="Yes",Assumptions!$C$6,0))</f>
        <v>1736467.3077000002</v>
      </c>
      <c r="K1678" s="22">
        <f>H1678*(1+Assumptions!$B$7+IF(F1678="Yes",Assumptions!$C$7,0))</f>
        <v>1770185.1195000003</v>
      </c>
      <c r="L1678" s="22">
        <f>H1678*(1+Assumptions!$B$8+IF(F1678="Yes",Assumptions!$C$8,0))</f>
        <v>1702749.4959000002</v>
      </c>
    </row>
    <row r="1679" spans="1:12" ht="15">
      <c r="A1679" s="21">
        <v>41173</v>
      </c>
      <c r="B1679" s="21">
        <v>41153</v>
      </c>
      <c r="C1679" s="17">
        <v>11</v>
      </c>
      <c r="D1679" s="17" t="s">
        <v>90</v>
      </c>
      <c r="E1679" s="18">
        <v>207499</v>
      </c>
      <c r="F1679" s="17" t="s">
        <v>91</v>
      </c>
      <c r="G1679" s="14">
        <v>1326132.94</v>
      </c>
      <c r="H1679" s="14">
        <v>1235775.1499999999</v>
      </c>
      <c r="I1679" s="14">
        <v>1235775.1499999999</v>
      </c>
      <c r="J1679" s="22">
        <f>H1679*(1+Assumptions!$B$6+IF(F1679="Yes",Assumptions!$C$6,0))</f>
        <v>1272848.4044999999</v>
      </c>
      <c r="K1679" s="22">
        <f>H1679*(1+Assumptions!$B$7+IF(F1679="Yes",Assumptions!$C$7,0))</f>
        <v>1297563.9075</v>
      </c>
      <c r="L1679" s="22">
        <f>H1679*(1+Assumptions!$B$8+IF(F1679="Yes",Assumptions!$C$8,0))</f>
        <v>1248132.9014999999</v>
      </c>
    </row>
    <row r="1680" spans="1:12" ht="15">
      <c r="A1680" s="21">
        <v>41173</v>
      </c>
      <c r="B1680" s="21">
        <v>41153</v>
      </c>
      <c r="C1680" s="17">
        <v>12</v>
      </c>
      <c r="D1680" s="17" t="s">
        <v>92</v>
      </c>
      <c r="E1680" s="18">
        <v>112238</v>
      </c>
      <c r="F1680" s="17" t="s">
        <v>91</v>
      </c>
      <c r="G1680" s="14">
        <v>922734.37</v>
      </c>
      <c r="H1680" s="14">
        <v>871692.74</v>
      </c>
      <c r="I1680" s="14">
        <v>871692.74</v>
      </c>
      <c r="J1680" s="22">
        <f>H1680*(1+Assumptions!$B$6+IF(F1680="Yes",Assumptions!$C$6,0))</f>
        <v>897843.52220000001</v>
      </c>
      <c r="K1680" s="22">
        <f>H1680*(1+Assumptions!$B$7+IF(F1680="Yes",Assumptions!$C$7,0))</f>
        <v>915277.37699999998</v>
      </c>
      <c r="L1680" s="22">
        <f>H1680*(1+Assumptions!$B$8+IF(F1680="Yes",Assumptions!$C$8,0))</f>
        <v>880409.66740000003</v>
      </c>
    </row>
    <row r="1681" spans="1:12" ht="15">
      <c r="A1681" s="21">
        <v>41173</v>
      </c>
      <c r="B1681" s="21">
        <v>41153</v>
      </c>
      <c r="C1681" s="17">
        <v>13</v>
      </c>
      <c r="D1681" s="17" t="s">
        <v>90</v>
      </c>
      <c r="E1681" s="18">
        <v>219622</v>
      </c>
      <c r="F1681" s="17" t="s">
        <v>91</v>
      </c>
      <c r="G1681" s="14">
        <v>1938319.83</v>
      </c>
      <c r="H1681" s="14">
        <v>1847445.2</v>
      </c>
      <c r="I1681" s="14">
        <v>1847445.2</v>
      </c>
      <c r="J1681" s="22">
        <f>H1681*(1+Assumptions!$B$6+IF(F1681="Yes",Assumptions!$C$6,0))</f>
        <v>1902868.5560000001</v>
      </c>
      <c r="K1681" s="22">
        <f>H1681*(1+Assumptions!$B$7+IF(F1681="Yes",Assumptions!$C$7,0))</f>
        <v>1939817.46</v>
      </c>
      <c r="L1681" s="22">
        <f>H1681*(1+Assumptions!$B$8+IF(F1681="Yes",Assumptions!$C$8,0))</f>
        <v>1865919.652</v>
      </c>
    </row>
    <row r="1682" spans="1:12" ht="15">
      <c r="A1682" s="21">
        <v>41173</v>
      </c>
      <c r="B1682" s="21">
        <v>41153</v>
      </c>
      <c r="C1682" s="17">
        <v>14</v>
      </c>
      <c r="D1682" s="17" t="s">
        <v>90</v>
      </c>
      <c r="E1682" s="18">
        <v>200898</v>
      </c>
      <c r="F1682" s="17" t="s">
        <v>91</v>
      </c>
      <c r="G1682" s="14">
        <v>1565349.3</v>
      </c>
      <c r="H1682" s="14">
        <v>1871956.72</v>
      </c>
      <c r="I1682" s="14">
        <v>1871956.72</v>
      </c>
      <c r="J1682" s="22">
        <f>H1682*(1+Assumptions!$B$6+IF(F1682="Yes",Assumptions!$C$6,0))</f>
        <v>1928115.4216</v>
      </c>
      <c r="K1682" s="22">
        <f>H1682*(1+Assumptions!$B$7+IF(F1682="Yes",Assumptions!$C$7,0))</f>
        <v>1965554.5560000001</v>
      </c>
      <c r="L1682" s="22">
        <f>H1682*(1+Assumptions!$B$8+IF(F1682="Yes",Assumptions!$C$8,0))</f>
        <v>1890676.2871999999</v>
      </c>
    </row>
    <row r="1683" spans="1:12" ht="15">
      <c r="A1683" s="21">
        <v>41173</v>
      </c>
      <c r="B1683" s="21">
        <v>41153</v>
      </c>
      <c r="C1683" s="17">
        <v>15</v>
      </c>
      <c r="D1683" s="17" t="s">
        <v>92</v>
      </c>
      <c r="E1683" s="18">
        <v>123737</v>
      </c>
      <c r="F1683" s="17" t="s">
        <v>91</v>
      </c>
      <c r="G1683" s="14">
        <v>533161.64</v>
      </c>
      <c r="H1683" s="14">
        <v>545482.12</v>
      </c>
      <c r="I1683" s="14">
        <v>545482.12</v>
      </c>
      <c r="J1683" s="22">
        <f>H1683*(1+Assumptions!$B$6+IF(F1683="Yes",Assumptions!$C$6,0))</f>
        <v>561846.58360000001</v>
      </c>
      <c r="K1683" s="22">
        <f>H1683*(1+Assumptions!$B$7+IF(F1683="Yes",Assumptions!$C$7,0))</f>
        <v>572756.22600000002</v>
      </c>
      <c r="L1683" s="22">
        <f>H1683*(1+Assumptions!$B$8+IF(F1683="Yes",Assumptions!$C$8,0))</f>
        <v>550936.9412</v>
      </c>
    </row>
    <row r="1684" spans="1:12" ht="15">
      <c r="A1684" s="21">
        <v>41173</v>
      </c>
      <c r="B1684" s="21">
        <v>41153</v>
      </c>
      <c r="C1684" s="17">
        <v>16</v>
      </c>
      <c r="D1684" s="17" t="s">
        <v>92</v>
      </c>
      <c r="E1684" s="18">
        <v>57197</v>
      </c>
      <c r="F1684" s="17" t="s">
        <v>91</v>
      </c>
      <c r="G1684" s="14">
        <v>508257.63</v>
      </c>
      <c r="H1684" s="14">
        <v>504746.82</v>
      </c>
      <c r="I1684" s="14">
        <v>504746.82</v>
      </c>
      <c r="J1684" s="22">
        <f>H1684*(1+Assumptions!$B$6+IF(F1684="Yes",Assumptions!$C$6,0))</f>
        <v>519889.22460000002</v>
      </c>
      <c r="K1684" s="22">
        <f>H1684*(1+Assumptions!$B$7+IF(F1684="Yes",Assumptions!$C$7,0))</f>
        <v>529984.16100000008</v>
      </c>
      <c r="L1684" s="22">
        <f>H1684*(1+Assumptions!$B$8+IF(F1684="Yes",Assumptions!$C$8,0))</f>
        <v>509794.28820000001</v>
      </c>
    </row>
    <row r="1685" spans="1:12" ht="15">
      <c r="A1685" s="21">
        <v>41173</v>
      </c>
      <c r="B1685" s="21">
        <v>41153</v>
      </c>
      <c r="C1685" s="17">
        <v>17</v>
      </c>
      <c r="D1685" s="17" t="s">
        <v>92</v>
      </c>
      <c r="E1685" s="18">
        <v>93188</v>
      </c>
      <c r="F1685" s="17" t="s">
        <v>91</v>
      </c>
      <c r="G1685" s="14">
        <v>937407.17</v>
      </c>
      <c r="H1685" s="14">
        <v>894772.37</v>
      </c>
      <c r="I1685" s="14">
        <v>894772.37</v>
      </c>
      <c r="J1685" s="22">
        <f>H1685*(1+Assumptions!$B$6+IF(F1685="Yes",Assumptions!$C$6,0))</f>
        <v>921615.54110000003</v>
      </c>
      <c r="K1685" s="22">
        <f>H1685*(1+Assumptions!$B$7+IF(F1685="Yes",Assumptions!$C$7,0))</f>
        <v>939510.98849999998</v>
      </c>
      <c r="L1685" s="22">
        <f>H1685*(1+Assumptions!$B$8+IF(F1685="Yes",Assumptions!$C$8,0))</f>
        <v>903720.09369999997</v>
      </c>
    </row>
    <row r="1686" spans="1:12" ht="15">
      <c r="A1686" s="21">
        <v>41173</v>
      </c>
      <c r="B1686" s="21">
        <v>41153</v>
      </c>
      <c r="C1686" s="17">
        <v>18</v>
      </c>
      <c r="D1686" s="17" t="s">
        <v>92</v>
      </c>
      <c r="E1686" s="18">
        <v>120653</v>
      </c>
      <c r="F1686" s="17" t="s">
        <v>91</v>
      </c>
      <c r="G1686" s="14">
        <v>963236.9</v>
      </c>
      <c r="H1686" s="14">
        <v>853029.5</v>
      </c>
      <c r="I1686" s="14">
        <v>853029.5</v>
      </c>
      <c r="J1686" s="22">
        <f>H1686*(1+Assumptions!$B$6+IF(F1686="Yes",Assumptions!$C$6,0))</f>
        <v>878620.38500000001</v>
      </c>
      <c r="K1686" s="22">
        <f>H1686*(1+Assumptions!$B$7+IF(F1686="Yes",Assumptions!$C$7,0))</f>
        <v>895680.97500000009</v>
      </c>
      <c r="L1686" s="22">
        <f>H1686*(1+Assumptions!$B$8+IF(F1686="Yes",Assumptions!$C$8,0))</f>
        <v>861559.79500000004</v>
      </c>
    </row>
    <row r="1687" spans="1:12" ht="15">
      <c r="A1687" s="21">
        <v>41173</v>
      </c>
      <c r="B1687" s="21">
        <v>41153</v>
      </c>
      <c r="C1687" s="17">
        <v>19</v>
      </c>
      <c r="D1687" s="17" t="s">
        <v>90</v>
      </c>
      <c r="E1687" s="18">
        <v>203819</v>
      </c>
      <c r="F1687" s="17" t="s">
        <v>91</v>
      </c>
      <c r="G1687" s="14">
        <v>1338521.55</v>
      </c>
      <c r="H1687" s="14">
        <v>1299390.76</v>
      </c>
      <c r="I1687" s="14">
        <v>1299390.76</v>
      </c>
      <c r="J1687" s="22">
        <f>H1687*(1+Assumptions!$B$6+IF(F1687="Yes",Assumptions!$C$6,0))</f>
        <v>1338372.4828000001</v>
      </c>
      <c r="K1687" s="22">
        <f>H1687*(1+Assumptions!$B$7+IF(F1687="Yes",Assumptions!$C$7,0))</f>
        <v>1364360.298</v>
      </c>
      <c r="L1687" s="22">
        <f>H1687*(1+Assumptions!$B$8+IF(F1687="Yes",Assumptions!$C$8,0))</f>
        <v>1312384.6676</v>
      </c>
    </row>
    <row r="1688" spans="1:12" ht="15">
      <c r="A1688" s="21">
        <v>41173</v>
      </c>
      <c r="B1688" s="21">
        <v>41153</v>
      </c>
      <c r="C1688" s="17">
        <v>20</v>
      </c>
      <c r="D1688" s="17" t="s">
        <v>90</v>
      </c>
      <c r="E1688" s="18">
        <v>203742</v>
      </c>
      <c r="F1688" s="17" t="s">
        <v>91</v>
      </c>
      <c r="G1688" s="14">
        <v>2028555.36</v>
      </c>
      <c r="H1688" s="14">
        <v>1888039.73</v>
      </c>
      <c r="I1688" s="14">
        <v>1888039.73</v>
      </c>
      <c r="J1688" s="22">
        <f>H1688*(1+Assumptions!$B$6+IF(F1688="Yes",Assumptions!$C$6,0))</f>
        <v>1944680.9219</v>
      </c>
      <c r="K1688" s="22">
        <f>H1688*(1+Assumptions!$B$7+IF(F1688="Yes",Assumptions!$C$7,0))</f>
        <v>1982441.7165000001</v>
      </c>
      <c r="L1688" s="22">
        <f>H1688*(1+Assumptions!$B$8+IF(F1688="Yes",Assumptions!$C$8,0))</f>
        <v>1906920.1273000001</v>
      </c>
    </row>
    <row r="1689" spans="1:12" ht="15">
      <c r="A1689" s="21">
        <v>41173</v>
      </c>
      <c r="B1689" s="21">
        <v>41153</v>
      </c>
      <c r="C1689" s="17">
        <v>21</v>
      </c>
      <c r="D1689" s="17" t="s">
        <v>92</v>
      </c>
      <c r="E1689" s="18">
        <v>140167</v>
      </c>
      <c r="F1689" s="17" t="s">
        <v>91</v>
      </c>
      <c r="G1689" s="14">
        <v>667151.46</v>
      </c>
      <c r="H1689" s="14">
        <v>681907.41</v>
      </c>
      <c r="I1689" s="14">
        <v>681907.41</v>
      </c>
      <c r="J1689" s="22">
        <f>H1689*(1+Assumptions!$B$6+IF(F1689="Yes",Assumptions!$C$6,0))</f>
        <v>702364.63230000006</v>
      </c>
      <c r="K1689" s="22">
        <f>H1689*(1+Assumptions!$B$7+IF(F1689="Yes",Assumptions!$C$7,0))</f>
        <v>716002.78050000011</v>
      </c>
      <c r="L1689" s="22">
        <f>H1689*(1+Assumptions!$B$8+IF(F1689="Yes",Assumptions!$C$8,0))</f>
        <v>688726.4841</v>
      </c>
    </row>
    <row r="1690" spans="1:12" ht="15">
      <c r="A1690" s="21">
        <v>41173</v>
      </c>
      <c r="B1690" s="21">
        <v>41153</v>
      </c>
      <c r="C1690" s="17">
        <v>22</v>
      </c>
      <c r="D1690" s="17" t="s">
        <v>92</v>
      </c>
      <c r="E1690" s="18">
        <v>119557</v>
      </c>
      <c r="F1690" s="17" t="s">
        <v>91</v>
      </c>
      <c r="G1690" s="14">
        <v>921597.15</v>
      </c>
      <c r="H1690" s="14">
        <v>899834.75</v>
      </c>
      <c r="I1690" s="14">
        <v>899834.75</v>
      </c>
      <c r="J1690" s="22">
        <f>H1690*(1+Assumptions!$B$6+IF(F1690="Yes",Assumptions!$C$6,0))</f>
        <v>926829.79249999998</v>
      </c>
      <c r="K1690" s="22">
        <f>H1690*(1+Assumptions!$B$7+IF(F1690="Yes",Assumptions!$C$7,0))</f>
        <v>944826.48750000005</v>
      </c>
      <c r="L1690" s="22">
        <f>H1690*(1+Assumptions!$B$8+IF(F1690="Yes",Assumptions!$C$8,0))</f>
        <v>908833.09750000003</v>
      </c>
    </row>
    <row r="1691" spans="1:12" ht="15">
      <c r="A1691" s="21">
        <v>41173</v>
      </c>
      <c r="B1691" s="21">
        <v>41153</v>
      </c>
      <c r="C1691" s="17">
        <v>23</v>
      </c>
      <c r="D1691" s="17" t="s">
        <v>92</v>
      </c>
      <c r="E1691" s="18">
        <v>114533</v>
      </c>
      <c r="F1691" s="17" t="s">
        <v>91</v>
      </c>
      <c r="G1691" s="14">
        <v>1338627.55</v>
      </c>
      <c r="H1691" s="14">
        <v>1289016.94</v>
      </c>
      <c r="I1691" s="14">
        <v>1289016.94</v>
      </c>
      <c r="J1691" s="22">
        <f>H1691*(1+Assumptions!$B$6+IF(F1691="Yes",Assumptions!$C$6,0))</f>
        <v>1327687.4482</v>
      </c>
      <c r="K1691" s="22">
        <f>H1691*(1+Assumptions!$B$7+IF(F1691="Yes",Assumptions!$C$7,0))</f>
        <v>1353467.787</v>
      </c>
      <c r="L1691" s="22">
        <f>H1691*(1+Assumptions!$B$8+IF(F1691="Yes",Assumptions!$C$8,0))</f>
        <v>1301907.1094</v>
      </c>
    </row>
    <row r="1692" spans="1:12" ht="15">
      <c r="A1692" s="21">
        <v>41173</v>
      </c>
      <c r="B1692" s="21">
        <v>41153</v>
      </c>
      <c r="C1692" s="17">
        <v>24</v>
      </c>
      <c r="D1692" s="17" t="s">
        <v>90</v>
      </c>
      <c r="E1692" s="18">
        <v>203819</v>
      </c>
      <c r="F1692" s="17" t="s">
        <v>91</v>
      </c>
      <c r="G1692" s="14">
        <v>1261158.47</v>
      </c>
      <c r="H1692" s="14">
        <v>1232364.52</v>
      </c>
      <c r="I1692" s="14">
        <v>1232364.52</v>
      </c>
      <c r="J1692" s="22">
        <f>H1692*(1+Assumptions!$B$6+IF(F1692="Yes",Assumptions!$C$6,0))</f>
        <v>1269335.4556</v>
      </c>
      <c r="K1692" s="22">
        <f>H1692*(1+Assumptions!$B$7+IF(F1692="Yes",Assumptions!$C$7,0))</f>
        <v>1293982.746</v>
      </c>
      <c r="L1692" s="22">
        <f>H1692*(1+Assumptions!$B$8+IF(F1692="Yes",Assumptions!$C$8,0))</f>
        <v>1244688.1651999999</v>
      </c>
    </row>
    <row r="1693" spans="1:12" ht="15">
      <c r="A1693" s="21">
        <v>41173</v>
      </c>
      <c r="B1693" s="21">
        <v>41153</v>
      </c>
      <c r="C1693" s="17">
        <v>25</v>
      </c>
      <c r="D1693" s="17" t="s">
        <v>92</v>
      </c>
      <c r="E1693" s="18">
        <v>128107</v>
      </c>
      <c r="F1693" s="17" t="s">
        <v>91</v>
      </c>
      <c r="G1693" s="14">
        <v>664745.19999999995</v>
      </c>
      <c r="H1693" s="14">
        <v>620885.93000000005</v>
      </c>
      <c r="I1693" s="14">
        <v>620885.93000000005</v>
      </c>
      <c r="J1693" s="22">
        <f>H1693*(1+Assumptions!$B$6+IF(F1693="Yes",Assumptions!$C$6,0))</f>
        <v>639512.50790000008</v>
      </c>
      <c r="K1693" s="22">
        <f>H1693*(1+Assumptions!$B$7+IF(F1693="Yes",Assumptions!$C$7,0))</f>
        <v>651930.22650000011</v>
      </c>
      <c r="L1693" s="22">
        <f>H1693*(1+Assumptions!$B$8+IF(F1693="Yes",Assumptions!$C$8,0))</f>
        <v>627094.78930000006</v>
      </c>
    </row>
    <row r="1694" spans="1:12" ht="15">
      <c r="A1694" s="21">
        <v>41173</v>
      </c>
      <c r="B1694" s="21">
        <v>41153</v>
      </c>
      <c r="C1694" s="17">
        <v>26</v>
      </c>
      <c r="D1694" s="17" t="s">
        <v>90</v>
      </c>
      <c r="E1694" s="18">
        <v>152513</v>
      </c>
      <c r="F1694" s="17" t="s">
        <v>91</v>
      </c>
      <c r="G1694" s="14">
        <v>961084.08</v>
      </c>
      <c r="H1694" s="14">
        <v>922817.6</v>
      </c>
      <c r="I1694" s="14">
        <v>922817.6</v>
      </c>
      <c r="J1694" s="22">
        <f>H1694*(1+Assumptions!$B$6+IF(F1694="Yes",Assumptions!$C$6,0))</f>
        <v>950502.12800000003</v>
      </c>
      <c r="K1694" s="22">
        <f>H1694*(1+Assumptions!$B$7+IF(F1694="Yes",Assumptions!$C$7,0))</f>
        <v>968958.48</v>
      </c>
      <c r="L1694" s="22">
        <f>H1694*(1+Assumptions!$B$8+IF(F1694="Yes",Assumptions!$C$8,0))</f>
        <v>932045.77599999995</v>
      </c>
    </row>
    <row r="1695" spans="1:12" ht="15">
      <c r="A1695" s="21">
        <v>41173</v>
      </c>
      <c r="B1695" s="21">
        <v>41153</v>
      </c>
      <c r="C1695" s="17">
        <v>27</v>
      </c>
      <c r="D1695" s="17" t="s">
        <v>90</v>
      </c>
      <c r="E1695" s="18">
        <v>204184</v>
      </c>
      <c r="F1695" s="17" t="s">
        <v>91</v>
      </c>
      <c r="G1695" s="14">
        <v>1557485.75</v>
      </c>
      <c r="H1695" s="14">
        <v>1606153.68</v>
      </c>
      <c r="I1695" s="14">
        <v>1606153.68</v>
      </c>
      <c r="J1695" s="22">
        <f>H1695*(1+Assumptions!$B$6+IF(F1695="Yes",Assumptions!$C$6,0))</f>
        <v>1654338.2904000001</v>
      </c>
      <c r="K1695" s="22">
        <f>H1695*(1+Assumptions!$B$7+IF(F1695="Yes",Assumptions!$C$7,0))</f>
        <v>1686461.3640000001</v>
      </c>
      <c r="L1695" s="22">
        <f>H1695*(1+Assumptions!$B$8+IF(F1695="Yes",Assumptions!$C$8,0))</f>
        <v>1622215.2168000001</v>
      </c>
    </row>
    <row r="1696" spans="1:12" ht="15">
      <c r="A1696" s="21">
        <v>41173</v>
      </c>
      <c r="B1696" s="21">
        <v>41153</v>
      </c>
      <c r="C1696" s="17">
        <v>28</v>
      </c>
      <c r="D1696" s="17" t="s">
        <v>90</v>
      </c>
      <c r="E1696" s="18">
        <v>206302</v>
      </c>
      <c r="F1696" s="17" t="s">
        <v>91</v>
      </c>
      <c r="G1696" s="14">
        <v>1135340.1200000001</v>
      </c>
      <c r="H1696" s="14">
        <v>1109073.32</v>
      </c>
      <c r="I1696" s="14">
        <v>1109073.32</v>
      </c>
      <c r="J1696" s="22">
        <f>H1696*(1+Assumptions!$B$6+IF(F1696="Yes",Assumptions!$C$6,0))</f>
        <v>1142345.5196</v>
      </c>
      <c r="K1696" s="22">
        <f>H1696*(1+Assumptions!$B$7+IF(F1696="Yes",Assumptions!$C$7,0))</f>
        <v>1164526.986</v>
      </c>
      <c r="L1696" s="22">
        <f>H1696*(1+Assumptions!$B$8+IF(F1696="Yes",Assumptions!$C$8,0))</f>
        <v>1120164.0532</v>
      </c>
    </row>
    <row r="1697" spans="1:12" ht="15">
      <c r="A1697" s="21">
        <v>41173</v>
      </c>
      <c r="B1697" s="21">
        <v>41153</v>
      </c>
      <c r="C1697" s="17">
        <v>29</v>
      </c>
      <c r="D1697" s="17" t="s">
        <v>92</v>
      </c>
      <c r="E1697" s="18">
        <v>93638</v>
      </c>
      <c r="F1697" s="17" t="s">
        <v>91</v>
      </c>
      <c r="G1697" s="14">
        <v>488898.19</v>
      </c>
      <c r="H1697" s="14">
        <v>474172.68</v>
      </c>
      <c r="I1697" s="14">
        <v>474172.68</v>
      </c>
      <c r="J1697" s="22">
        <f>H1697*(1+Assumptions!$B$6+IF(F1697="Yes",Assumptions!$C$6,0))</f>
        <v>488397.86040000001</v>
      </c>
      <c r="K1697" s="22">
        <f>H1697*(1+Assumptions!$B$7+IF(F1697="Yes",Assumptions!$C$7,0))</f>
        <v>497881.31400000001</v>
      </c>
      <c r="L1697" s="22">
        <f>H1697*(1+Assumptions!$B$8+IF(F1697="Yes",Assumptions!$C$8,0))</f>
        <v>478914.4068</v>
      </c>
    </row>
    <row r="1698" spans="1:12" ht="15">
      <c r="A1698" s="21">
        <v>41173</v>
      </c>
      <c r="B1698" s="21">
        <v>41153</v>
      </c>
      <c r="C1698" s="17">
        <v>30</v>
      </c>
      <c r="D1698" s="17" t="s">
        <v>93</v>
      </c>
      <c r="E1698" s="18">
        <v>42988</v>
      </c>
      <c r="F1698" s="17" t="s">
        <v>91</v>
      </c>
      <c r="G1698" s="14">
        <v>443827.52</v>
      </c>
      <c r="H1698" s="14">
        <v>391678.91000000003</v>
      </c>
      <c r="I1698" s="14">
        <v>391678.91000000003</v>
      </c>
      <c r="J1698" s="22">
        <f>H1698*(1+Assumptions!$B$6+IF(F1698="Yes",Assumptions!$C$6,0))</f>
        <v>403429.27730000002</v>
      </c>
      <c r="K1698" s="22">
        <f>H1698*(1+Assumptions!$B$7+IF(F1698="Yes",Assumptions!$C$7,0))</f>
        <v>411262.85550000006</v>
      </c>
      <c r="L1698" s="22">
        <f>H1698*(1+Assumptions!$B$8+IF(F1698="Yes",Assumptions!$C$8,0))</f>
        <v>395595.69910000003</v>
      </c>
    </row>
    <row r="1699" spans="1:12" ht="15">
      <c r="A1699" s="21">
        <v>41173</v>
      </c>
      <c r="B1699" s="21">
        <v>41153</v>
      </c>
      <c r="C1699" s="17">
        <v>31</v>
      </c>
      <c r="D1699" s="17" t="s">
        <v>90</v>
      </c>
      <c r="E1699" s="18">
        <v>203750</v>
      </c>
      <c r="F1699" s="17" t="s">
        <v>91</v>
      </c>
      <c r="G1699" s="14">
        <v>1373064.87</v>
      </c>
      <c r="H1699" s="14">
        <v>1347607.74</v>
      </c>
      <c r="I1699" s="14">
        <v>1347607.74</v>
      </c>
      <c r="J1699" s="22">
        <f>H1699*(1+Assumptions!$B$6+IF(F1699="Yes",Assumptions!$C$6,0))</f>
        <v>1388035.9722</v>
      </c>
      <c r="K1699" s="22">
        <f>H1699*(1+Assumptions!$B$7+IF(F1699="Yes",Assumptions!$C$7,0))</f>
        <v>1414988.1270000001</v>
      </c>
      <c r="L1699" s="22">
        <f>H1699*(1+Assumptions!$B$8+IF(F1699="Yes",Assumptions!$C$8,0))</f>
        <v>1361083.8174000001</v>
      </c>
    </row>
    <row r="1700" spans="1:12" ht="15">
      <c r="A1700" s="21">
        <v>41173</v>
      </c>
      <c r="B1700" s="21">
        <v>41153</v>
      </c>
      <c r="C1700" s="17">
        <v>32</v>
      </c>
      <c r="D1700" s="17" t="s">
        <v>90</v>
      </c>
      <c r="E1700" s="18">
        <v>203007</v>
      </c>
      <c r="F1700" s="17" t="s">
        <v>91</v>
      </c>
      <c r="G1700" s="14">
        <v>1159119.6000000001</v>
      </c>
      <c r="H1700" s="14">
        <v>1116140.29</v>
      </c>
      <c r="I1700" s="14">
        <v>1116140.29</v>
      </c>
      <c r="J1700" s="22">
        <f>H1700*(1+Assumptions!$B$6+IF(F1700="Yes",Assumptions!$C$6,0))</f>
        <v>1149624.4987000001</v>
      </c>
      <c r="K1700" s="22">
        <f>H1700*(1+Assumptions!$B$7+IF(F1700="Yes",Assumptions!$C$7,0))</f>
        <v>1171947.3045000001</v>
      </c>
      <c r="L1700" s="22">
        <f>H1700*(1+Assumptions!$B$8+IF(F1700="Yes",Assumptions!$C$8,0))</f>
        <v>1127301.6929000001</v>
      </c>
    </row>
    <row r="1701" spans="1:12" ht="15">
      <c r="A1701" s="21">
        <v>41173</v>
      </c>
      <c r="B1701" s="21">
        <v>41153</v>
      </c>
      <c r="C1701" s="17">
        <v>33</v>
      </c>
      <c r="D1701" s="17" t="s">
        <v>90</v>
      </c>
      <c r="E1701" s="18">
        <v>39690</v>
      </c>
      <c r="F1701" s="17" t="s">
        <v>91</v>
      </c>
      <c r="G1701" s="14">
        <v>252534.71</v>
      </c>
      <c r="H1701" s="14">
        <v>234735.99</v>
      </c>
      <c r="I1701" s="14">
        <v>234735.99</v>
      </c>
      <c r="J1701" s="22">
        <f>H1701*(1+Assumptions!$B$6+IF(F1701="Yes",Assumptions!$C$6,0))</f>
        <v>241778.06969999999</v>
      </c>
      <c r="K1701" s="22">
        <f>H1701*(1+Assumptions!$B$7+IF(F1701="Yes",Assumptions!$C$7,0))</f>
        <v>246472.78950000001</v>
      </c>
      <c r="L1701" s="22">
        <f>H1701*(1+Assumptions!$B$8+IF(F1701="Yes",Assumptions!$C$8,0))</f>
        <v>237083.3499</v>
      </c>
    </row>
    <row r="1702" spans="1:12" ht="15">
      <c r="A1702" s="21">
        <v>41173</v>
      </c>
      <c r="B1702" s="21">
        <v>41153</v>
      </c>
      <c r="C1702" s="17">
        <v>34</v>
      </c>
      <c r="D1702" s="17" t="s">
        <v>90</v>
      </c>
      <c r="E1702" s="18">
        <v>158114</v>
      </c>
      <c r="F1702" s="17" t="s">
        <v>91</v>
      </c>
      <c r="G1702" s="14">
        <v>943047.78</v>
      </c>
      <c r="H1702" s="14">
        <v>903160.31999999995</v>
      </c>
      <c r="I1702" s="14">
        <v>903160.31999999995</v>
      </c>
      <c r="J1702" s="22">
        <f>H1702*(1+Assumptions!$B$6+IF(F1702="Yes",Assumptions!$C$6,0))</f>
        <v>930255.12959999999</v>
      </c>
      <c r="K1702" s="22">
        <f>H1702*(1+Assumptions!$B$7+IF(F1702="Yes",Assumptions!$C$7,0))</f>
        <v>948318.33600000001</v>
      </c>
      <c r="L1702" s="22">
        <f>H1702*(1+Assumptions!$B$8+IF(F1702="Yes",Assumptions!$C$8,0))</f>
        <v>912191.92319999996</v>
      </c>
    </row>
    <row r="1703" spans="1:12" ht="15">
      <c r="A1703" s="21">
        <v>41173</v>
      </c>
      <c r="B1703" s="21">
        <v>41153</v>
      </c>
      <c r="C1703" s="17">
        <v>35</v>
      </c>
      <c r="D1703" s="17" t="s">
        <v>92</v>
      </c>
      <c r="E1703" s="18">
        <v>103681</v>
      </c>
      <c r="F1703" s="17" t="s">
        <v>91</v>
      </c>
      <c r="G1703" s="14">
        <v>772294.03</v>
      </c>
      <c r="H1703" s="14">
        <v>705808.17</v>
      </c>
      <c r="I1703" s="14">
        <v>705808.17</v>
      </c>
      <c r="J1703" s="22">
        <f>H1703*(1+Assumptions!$B$6+IF(F1703="Yes",Assumptions!$C$6,0))</f>
        <v>726982.4151000001</v>
      </c>
      <c r="K1703" s="22">
        <f>H1703*(1+Assumptions!$B$7+IF(F1703="Yes",Assumptions!$C$7,0))</f>
        <v>741098.57850000006</v>
      </c>
      <c r="L1703" s="22">
        <f>H1703*(1+Assumptions!$B$8+IF(F1703="Yes",Assumptions!$C$8,0))</f>
        <v>712866.25170000002</v>
      </c>
    </row>
    <row r="1704" spans="1:12" ht="15">
      <c r="A1704" s="21">
        <v>41173</v>
      </c>
      <c r="B1704" s="21">
        <v>41153</v>
      </c>
      <c r="C1704" s="17">
        <v>36</v>
      </c>
      <c r="D1704" s="17" t="s">
        <v>90</v>
      </c>
      <c r="E1704" s="18">
        <v>39910</v>
      </c>
      <c r="F1704" s="17" t="s">
        <v>91</v>
      </c>
      <c r="G1704" s="14">
        <v>293329.83999999997</v>
      </c>
      <c r="H1704" s="14">
        <v>322307.97000000003</v>
      </c>
      <c r="I1704" s="14">
        <v>322307.97000000003</v>
      </c>
      <c r="J1704" s="22">
        <f>H1704*(1+Assumptions!$B$6+IF(F1704="Yes",Assumptions!$C$6,0))</f>
        <v>331977.20910000004</v>
      </c>
      <c r="K1704" s="22">
        <f>H1704*(1+Assumptions!$B$7+IF(F1704="Yes",Assumptions!$C$7,0))</f>
        <v>338423.36850000004</v>
      </c>
      <c r="L1704" s="22">
        <f>H1704*(1+Assumptions!$B$8+IF(F1704="Yes",Assumptions!$C$8,0))</f>
        <v>325531.04970000003</v>
      </c>
    </row>
    <row r="1705" spans="1:12" ht="15">
      <c r="A1705" s="21">
        <v>41173</v>
      </c>
      <c r="B1705" s="21">
        <v>41153</v>
      </c>
      <c r="C1705" s="17">
        <v>37</v>
      </c>
      <c r="D1705" s="17" t="s">
        <v>93</v>
      </c>
      <c r="E1705" s="18">
        <v>39910</v>
      </c>
      <c r="F1705" s="17" t="s">
        <v>91</v>
      </c>
      <c r="G1705" s="14">
        <v>521127.32</v>
      </c>
      <c r="H1705" s="14">
        <v>516259.97</v>
      </c>
      <c r="I1705" s="14">
        <v>516259.97</v>
      </c>
      <c r="J1705" s="22">
        <f>H1705*(1+Assumptions!$B$6+IF(F1705="Yes",Assumptions!$C$6,0))</f>
        <v>531747.76910000003</v>
      </c>
      <c r="K1705" s="22">
        <f>H1705*(1+Assumptions!$B$7+IF(F1705="Yes",Assumptions!$C$7,0))</f>
        <v>542072.96849999996</v>
      </c>
      <c r="L1705" s="22">
        <f>H1705*(1+Assumptions!$B$8+IF(F1705="Yes",Assumptions!$C$8,0))</f>
        <v>521422.56969999999</v>
      </c>
    </row>
    <row r="1706" spans="1:12" ht="15">
      <c r="A1706" s="21">
        <v>41173</v>
      </c>
      <c r="B1706" s="21">
        <v>41153</v>
      </c>
      <c r="C1706" s="17">
        <v>38</v>
      </c>
      <c r="D1706" s="17" t="s">
        <v>93</v>
      </c>
      <c r="E1706" s="18">
        <v>39690</v>
      </c>
      <c r="F1706" s="17" t="s">
        <v>91</v>
      </c>
      <c r="G1706" s="14">
        <v>409400.49</v>
      </c>
      <c r="H1706" s="14">
        <v>394662.78</v>
      </c>
      <c r="I1706" s="14">
        <v>394662.78</v>
      </c>
      <c r="J1706" s="22">
        <f>H1706*(1+Assumptions!$B$6+IF(F1706="Yes",Assumptions!$C$6,0))</f>
        <v>406502.66340000002</v>
      </c>
      <c r="K1706" s="22">
        <f>H1706*(1+Assumptions!$B$7+IF(F1706="Yes",Assumptions!$C$7,0))</f>
        <v>414395.91900000005</v>
      </c>
      <c r="L1706" s="22">
        <f>H1706*(1+Assumptions!$B$8+IF(F1706="Yes",Assumptions!$C$8,0))</f>
        <v>398609.40780000004</v>
      </c>
    </row>
    <row r="1707" spans="1:12" ht="15">
      <c r="A1707" s="21">
        <v>41173</v>
      </c>
      <c r="B1707" s="21">
        <v>41153</v>
      </c>
      <c r="C1707" s="17">
        <v>39</v>
      </c>
      <c r="D1707" s="17" t="s">
        <v>90</v>
      </c>
      <c r="E1707" s="18">
        <v>184109</v>
      </c>
      <c r="F1707" s="17" t="s">
        <v>91</v>
      </c>
      <c r="G1707" s="14">
        <v>1555653.51</v>
      </c>
      <c r="H1707" s="14">
        <v>1338619.08</v>
      </c>
      <c r="I1707" s="14">
        <v>1338619.08</v>
      </c>
      <c r="J1707" s="22">
        <f>H1707*(1+Assumptions!$B$6+IF(F1707="Yes",Assumptions!$C$6,0))</f>
        <v>1378777.6524</v>
      </c>
      <c r="K1707" s="22">
        <f>H1707*(1+Assumptions!$B$7+IF(F1707="Yes",Assumptions!$C$7,0))</f>
        <v>1405550.0340000002</v>
      </c>
      <c r="L1707" s="22">
        <f>H1707*(1+Assumptions!$B$8+IF(F1707="Yes",Assumptions!$C$8,0))</f>
        <v>1352005.2708000001</v>
      </c>
    </row>
    <row r="1708" spans="1:12" ht="15">
      <c r="A1708" s="21">
        <v>41173</v>
      </c>
      <c r="B1708" s="21">
        <v>41153</v>
      </c>
      <c r="C1708" s="17">
        <v>40</v>
      </c>
      <c r="D1708" s="17" t="s">
        <v>90</v>
      </c>
      <c r="E1708" s="18">
        <v>155083</v>
      </c>
      <c r="F1708" s="17" t="s">
        <v>91</v>
      </c>
      <c r="G1708" s="14">
        <v>899747.4</v>
      </c>
      <c r="H1708" s="14">
        <v>875685.07000000007</v>
      </c>
      <c r="I1708" s="14">
        <v>875685.07000000007</v>
      </c>
      <c r="J1708" s="22">
        <f>H1708*(1+Assumptions!$B$6+IF(F1708="Yes",Assumptions!$C$6,0))</f>
        <v>901955.62210000004</v>
      </c>
      <c r="K1708" s="22">
        <f>H1708*(1+Assumptions!$B$7+IF(F1708="Yes",Assumptions!$C$7,0))</f>
        <v>919469.32350000006</v>
      </c>
      <c r="L1708" s="22">
        <f>H1708*(1+Assumptions!$B$8+IF(F1708="Yes",Assumptions!$C$8,0))</f>
        <v>884441.92070000002</v>
      </c>
    </row>
    <row r="1709" spans="1:12" ht="15">
      <c r="A1709" s="21">
        <v>41173</v>
      </c>
      <c r="B1709" s="21">
        <v>41153</v>
      </c>
      <c r="C1709" s="17">
        <v>41</v>
      </c>
      <c r="D1709" s="17" t="s">
        <v>90</v>
      </c>
      <c r="E1709" s="18">
        <v>196321</v>
      </c>
      <c r="F1709" s="17" t="s">
        <v>91</v>
      </c>
      <c r="G1709" s="14">
        <v>1276597.3400000001</v>
      </c>
      <c r="H1709" s="14">
        <v>1173058.29</v>
      </c>
      <c r="I1709" s="14">
        <v>1173058.29</v>
      </c>
      <c r="J1709" s="22">
        <f>H1709*(1+Assumptions!$B$6+IF(F1709="Yes",Assumptions!$C$6,0))</f>
        <v>1208250.0387000002</v>
      </c>
      <c r="K1709" s="22">
        <f>H1709*(1+Assumptions!$B$7+IF(F1709="Yes",Assumptions!$C$7,0))</f>
        <v>1231711.2045</v>
      </c>
      <c r="L1709" s="22">
        <f>H1709*(1+Assumptions!$B$8+IF(F1709="Yes",Assumptions!$C$8,0))</f>
        <v>1184788.8729000001</v>
      </c>
    </row>
    <row r="1710" spans="1:12" ht="15">
      <c r="A1710" s="21">
        <v>41173</v>
      </c>
      <c r="B1710" s="21">
        <v>41153</v>
      </c>
      <c r="C1710" s="17">
        <v>42</v>
      </c>
      <c r="D1710" s="17" t="s">
        <v>93</v>
      </c>
      <c r="E1710" s="18">
        <v>39690</v>
      </c>
      <c r="F1710" s="17" t="s">
        <v>91</v>
      </c>
      <c r="G1710" s="14">
        <v>526969.63</v>
      </c>
      <c r="H1710" s="14">
        <v>528486.44999999995</v>
      </c>
      <c r="I1710" s="14">
        <v>528486.44999999995</v>
      </c>
      <c r="J1710" s="22">
        <f>H1710*(1+Assumptions!$B$6+IF(F1710="Yes",Assumptions!$C$6,0))</f>
        <v>544341.04349999991</v>
      </c>
      <c r="K1710" s="22">
        <f>H1710*(1+Assumptions!$B$7+IF(F1710="Yes",Assumptions!$C$7,0))</f>
        <v>554910.77249999996</v>
      </c>
      <c r="L1710" s="22">
        <f>H1710*(1+Assumptions!$B$8+IF(F1710="Yes",Assumptions!$C$8,0))</f>
        <v>533771.31449999998</v>
      </c>
    </row>
    <row r="1711" spans="1:12" ht="15">
      <c r="A1711" s="21">
        <v>41173</v>
      </c>
      <c r="B1711" s="21">
        <v>41153</v>
      </c>
      <c r="C1711" s="17">
        <v>43</v>
      </c>
      <c r="D1711" s="17" t="s">
        <v>93</v>
      </c>
      <c r="E1711" s="18">
        <v>41062</v>
      </c>
      <c r="F1711" s="17" t="s">
        <v>91</v>
      </c>
      <c r="G1711" s="14">
        <v>601657.52</v>
      </c>
      <c r="H1711" s="14">
        <v>586088.17999999993</v>
      </c>
      <c r="I1711" s="14">
        <v>586088.17999999993</v>
      </c>
      <c r="J1711" s="22">
        <f>H1711*(1+Assumptions!$B$6+IF(F1711="Yes",Assumptions!$C$6,0))</f>
        <v>603670.82539999997</v>
      </c>
      <c r="K1711" s="22">
        <f>H1711*(1+Assumptions!$B$7+IF(F1711="Yes",Assumptions!$C$7,0))</f>
        <v>615392.58899999992</v>
      </c>
      <c r="L1711" s="22">
        <f>H1711*(1+Assumptions!$B$8+IF(F1711="Yes",Assumptions!$C$8,0))</f>
        <v>591949.06179999991</v>
      </c>
    </row>
    <row r="1712" spans="1:12" ht="15">
      <c r="A1712" s="21">
        <v>41173</v>
      </c>
      <c r="B1712" s="21">
        <v>41153</v>
      </c>
      <c r="C1712" s="17">
        <v>44</v>
      </c>
      <c r="D1712" s="17" t="s">
        <v>93</v>
      </c>
      <c r="E1712" s="18">
        <v>39910</v>
      </c>
      <c r="F1712" s="17" t="s">
        <v>91</v>
      </c>
      <c r="G1712" s="14">
        <v>335826.79</v>
      </c>
      <c r="H1712" s="14">
        <v>307399.13</v>
      </c>
      <c r="I1712" s="14">
        <v>307399.13</v>
      </c>
      <c r="J1712" s="22">
        <f>H1712*(1+Assumptions!$B$6+IF(F1712="Yes",Assumptions!$C$6,0))</f>
        <v>316621.10389999999</v>
      </c>
      <c r="K1712" s="22">
        <f>H1712*(1+Assumptions!$B$7+IF(F1712="Yes",Assumptions!$C$7,0))</f>
        <v>322769.08650000003</v>
      </c>
      <c r="L1712" s="22">
        <f>H1712*(1+Assumptions!$B$8+IF(F1712="Yes",Assumptions!$C$8,0))</f>
        <v>310473.1213</v>
      </c>
    </row>
    <row r="1713" spans="1:12" ht="15">
      <c r="A1713" s="21">
        <v>41173</v>
      </c>
      <c r="B1713" s="21">
        <v>41153</v>
      </c>
      <c r="C1713" s="17">
        <v>45</v>
      </c>
      <c r="D1713" s="17" t="s">
        <v>92</v>
      </c>
      <c r="E1713" s="18">
        <v>118221</v>
      </c>
      <c r="F1713" s="17" t="s">
        <v>91</v>
      </c>
      <c r="G1713" s="14">
        <v>723086.2</v>
      </c>
      <c r="H1713" s="14">
        <v>714073.42</v>
      </c>
      <c r="I1713" s="14">
        <v>714073.42</v>
      </c>
      <c r="J1713" s="22">
        <f>H1713*(1+Assumptions!$B$6+IF(F1713="Yes",Assumptions!$C$6,0))</f>
        <v>735495.62260000012</v>
      </c>
      <c r="K1713" s="22">
        <f>H1713*(1+Assumptions!$B$7+IF(F1713="Yes",Assumptions!$C$7,0))</f>
        <v>749777.09100000013</v>
      </c>
      <c r="L1713" s="22">
        <f>H1713*(1+Assumptions!$B$8+IF(F1713="Yes",Assumptions!$C$8,0))</f>
        <v>721214.15420000011</v>
      </c>
    </row>
    <row r="1714" spans="1:12" ht="15">
      <c r="A1714" s="21">
        <v>41180</v>
      </c>
      <c r="B1714" s="21">
        <v>41153</v>
      </c>
      <c r="C1714" s="17">
        <v>1</v>
      </c>
      <c r="D1714" s="17" t="s">
        <v>90</v>
      </c>
      <c r="E1714" s="18">
        <v>151315</v>
      </c>
      <c r="F1714" s="17" t="s">
        <v>91</v>
      </c>
      <c r="G1714" s="14">
        <v>1436835.26</v>
      </c>
      <c r="H1714" s="14">
        <v>1394561.83</v>
      </c>
      <c r="I1714" s="14">
        <v>1394561.83</v>
      </c>
      <c r="J1714" s="22">
        <f>H1714*(1+Assumptions!$B$6+IF(F1714="Yes",Assumptions!$C$6,0))</f>
        <v>1436398.6849000002</v>
      </c>
      <c r="K1714" s="22">
        <f>H1714*(1+Assumptions!$B$7+IF(F1714="Yes",Assumptions!$C$7,0))</f>
        <v>1464289.9215000002</v>
      </c>
      <c r="L1714" s="22">
        <f>H1714*(1+Assumptions!$B$8+IF(F1714="Yes",Assumptions!$C$8,0))</f>
        <v>1408507.4483</v>
      </c>
    </row>
    <row r="1715" spans="1:12" ht="15">
      <c r="A1715" s="21">
        <v>41180</v>
      </c>
      <c r="B1715" s="21">
        <v>41153</v>
      </c>
      <c r="C1715" s="17">
        <v>2</v>
      </c>
      <c r="D1715" s="17" t="s">
        <v>90</v>
      </c>
      <c r="E1715" s="18">
        <v>202307</v>
      </c>
      <c r="F1715" s="17" t="s">
        <v>91</v>
      </c>
      <c r="G1715" s="14">
        <v>1746449.6199999999</v>
      </c>
      <c r="H1715" s="14">
        <v>1650394.44</v>
      </c>
      <c r="I1715" s="14">
        <v>1650394.44</v>
      </c>
      <c r="J1715" s="22">
        <f>H1715*(1+Assumptions!$B$6+IF(F1715="Yes",Assumptions!$C$6,0))</f>
        <v>1699906.2731999999</v>
      </c>
      <c r="K1715" s="22">
        <f>H1715*(1+Assumptions!$B$7+IF(F1715="Yes",Assumptions!$C$7,0))</f>
        <v>1732914.162</v>
      </c>
      <c r="L1715" s="22">
        <f>H1715*(1+Assumptions!$B$8+IF(F1715="Yes",Assumptions!$C$8,0))</f>
        <v>1666898.3843999999</v>
      </c>
    </row>
    <row r="1716" spans="1:12" ht="15">
      <c r="A1716" s="21">
        <v>41180</v>
      </c>
      <c r="B1716" s="21">
        <v>41153</v>
      </c>
      <c r="C1716" s="17">
        <v>3</v>
      </c>
      <c r="D1716" s="17" t="s">
        <v>92</v>
      </c>
      <c r="E1716" s="18">
        <v>37392</v>
      </c>
      <c r="F1716" s="17" t="s">
        <v>91</v>
      </c>
      <c r="G1716" s="14">
        <v>389792.29</v>
      </c>
      <c r="H1716" s="14">
        <v>368477.93</v>
      </c>
      <c r="I1716" s="14">
        <v>368477.93</v>
      </c>
      <c r="J1716" s="22">
        <f>H1716*(1+Assumptions!$B$6+IF(F1716="Yes",Assumptions!$C$6,0))</f>
        <v>379532.26789999998</v>
      </c>
      <c r="K1716" s="22">
        <f>H1716*(1+Assumptions!$B$7+IF(F1716="Yes",Assumptions!$C$7,0))</f>
        <v>386901.82650000002</v>
      </c>
      <c r="L1716" s="22">
        <f>H1716*(1+Assumptions!$B$8+IF(F1716="Yes",Assumptions!$C$8,0))</f>
        <v>372162.70929999999</v>
      </c>
    </row>
    <row r="1717" spans="1:12" ht="15">
      <c r="A1717" s="21">
        <v>41180</v>
      </c>
      <c r="B1717" s="21">
        <v>41153</v>
      </c>
      <c r="C1717" s="17">
        <v>4</v>
      </c>
      <c r="D1717" s="17" t="s">
        <v>90</v>
      </c>
      <c r="E1717" s="18">
        <v>205863</v>
      </c>
      <c r="F1717" s="17" t="s">
        <v>91</v>
      </c>
      <c r="G1717" s="14">
        <v>2027620.23</v>
      </c>
      <c r="H1717" s="14">
        <v>1929431.6300000001</v>
      </c>
      <c r="I1717" s="14">
        <v>1929431.6300000001</v>
      </c>
      <c r="J1717" s="22">
        <f>H1717*(1+Assumptions!$B$6+IF(F1717="Yes",Assumptions!$C$6,0))</f>
        <v>1987314.5789000001</v>
      </c>
      <c r="K1717" s="22">
        <f>H1717*(1+Assumptions!$B$7+IF(F1717="Yes",Assumptions!$C$7,0))</f>
        <v>2025903.2115000002</v>
      </c>
      <c r="L1717" s="22">
        <f>H1717*(1+Assumptions!$B$8+IF(F1717="Yes",Assumptions!$C$8,0))</f>
        <v>1948725.9463000002</v>
      </c>
    </row>
    <row r="1718" spans="1:12" ht="15">
      <c r="A1718" s="21">
        <v>41180</v>
      </c>
      <c r="B1718" s="21">
        <v>41153</v>
      </c>
      <c r="C1718" s="17">
        <v>5</v>
      </c>
      <c r="D1718" s="17" t="s">
        <v>92</v>
      </c>
      <c r="E1718" s="18">
        <v>34875</v>
      </c>
      <c r="F1718" s="17" t="s">
        <v>91</v>
      </c>
      <c r="G1718" s="14">
        <v>310112.76</v>
      </c>
      <c r="H1718" s="14">
        <v>291213.40999999997</v>
      </c>
      <c r="I1718" s="14">
        <v>291213.40999999997</v>
      </c>
      <c r="J1718" s="22">
        <f>H1718*(1+Assumptions!$B$6+IF(F1718="Yes",Assumptions!$C$6,0))</f>
        <v>299949.81229999999</v>
      </c>
      <c r="K1718" s="22">
        <f>H1718*(1+Assumptions!$B$7+IF(F1718="Yes",Assumptions!$C$7,0))</f>
        <v>305774.08049999998</v>
      </c>
      <c r="L1718" s="22">
        <f>H1718*(1+Assumptions!$B$8+IF(F1718="Yes",Assumptions!$C$8,0))</f>
        <v>294125.5441</v>
      </c>
    </row>
    <row r="1719" spans="1:12" ht="15">
      <c r="A1719" s="21">
        <v>41180</v>
      </c>
      <c r="B1719" s="21">
        <v>41153</v>
      </c>
      <c r="C1719" s="17">
        <v>6</v>
      </c>
      <c r="D1719" s="17" t="s">
        <v>90</v>
      </c>
      <c r="E1719" s="18">
        <v>202505</v>
      </c>
      <c r="F1719" s="17" t="s">
        <v>91</v>
      </c>
      <c r="G1719" s="14">
        <v>1369073.46</v>
      </c>
      <c r="H1719" s="14">
        <v>1307551.92</v>
      </c>
      <c r="I1719" s="14">
        <v>1307551.92</v>
      </c>
      <c r="J1719" s="22">
        <f>H1719*(1+Assumptions!$B$6+IF(F1719="Yes",Assumptions!$C$6,0))</f>
        <v>1346778.4775999999</v>
      </c>
      <c r="K1719" s="22">
        <f>H1719*(1+Assumptions!$B$7+IF(F1719="Yes",Assumptions!$C$7,0))</f>
        <v>1372929.5160000001</v>
      </c>
      <c r="L1719" s="22">
        <f>H1719*(1+Assumptions!$B$8+IF(F1719="Yes",Assumptions!$C$8,0))</f>
        <v>1320627.4391999999</v>
      </c>
    </row>
    <row r="1720" spans="1:12" ht="15">
      <c r="A1720" s="21">
        <v>41180</v>
      </c>
      <c r="B1720" s="21">
        <v>41153</v>
      </c>
      <c r="C1720" s="17">
        <v>7</v>
      </c>
      <c r="D1720" s="17" t="s">
        <v>92</v>
      </c>
      <c r="E1720" s="18">
        <v>70713</v>
      </c>
      <c r="F1720" s="17" t="s">
        <v>91</v>
      </c>
      <c r="G1720" s="14">
        <v>525930.76</v>
      </c>
      <c r="H1720" s="14">
        <v>488040.26</v>
      </c>
      <c r="I1720" s="14">
        <v>488040.26</v>
      </c>
      <c r="J1720" s="22">
        <f>H1720*(1+Assumptions!$B$6+IF(F1720="Yes",Assumptions!$C$6,0))</f>
        <v>502681.46780000004</v>
      </c>
      <c r="K1720" s="22">
        <f>H1720*(1+Assumptions!$B$7+IF(F1720="Yes",Assumptions!$C$7,0))</f>
        <v>512442.27300000004</v>
      </c>
      <c r="L1720" s="22">
        <f>H1720*(1+Assumptions!$B$8+IF(F1720="Yes",Assumptions!$C$8,0))</f>
        <v>492920.66260000004</v>
      </c>
    </row>
    <row r="1721" spans="1:12" ht="15">
      <c r="A1721" s="21">
        <v>41180</v>
      </c>
      <c r="B1721" s="21">
        <v>41153</v>
      </c>
      <c r="C1721" s="17">
        <v>8</v>
      </c>
      <c r="D1721" s="17" t="s">
        <v>90</v>
      </c>
      <c r="E1721" s="18">
        <v>155078</v>
      </c>
      <c r="F1721" s="17" t="s">
        <v>91</v>
      </c>
      <c r="G1721" s="14">
        <v>884724.41</v>
      </c>
      <c r="H1721" s="14">
        <v>809049.37</v>
      </c>
      <c r="I1721" s="14">
        <v>809049.37</v>
      </c>
      <c r="J1721" s="22">
        <f>H1721*(1+Assumptions!$B$6+IF(F1721="Yes",Assumptions!$C$6,0))</f>
        <v>833320.85109999997</v>
      </c>
      <c r="K1721" s="22">
        <f>H1721*(1+Assumptions!$B$7+IF(F1721="Yes",Assumptions!$C$7,0))</f>
        <v>849501.83850000007</v>
      </c>
      <c r="L1721" s="22">
        <f>H1721*(1+Assumptions!$B$8+IF(F1721="Yes",Assumptions!$C$8,0))</f>
        <v>817139.86369999999</v>
      </c>
    </row>
    <row r="1722" spans="1:12" ht="15">
      <c r="A1722" s="21">
        <v>41180</v>
      </c>
      <c r="B1722" s="21">
        <v>41153</v>
      </c>
      <c r="C1722" s="17">
        <v>9</v>
      </c>
      <c r="D1722" s="17" t="s">
        <v>92</v>
      </c>
      <c r="E1722" s="18">
        <v>125833</v>
      </c>
      <c r="F1722" s="17" t="s">
        <v>91</v>
      </c>
      <c r="G1722" s="14">
        <v>516332.14</v>
      </c>
      <c r="H1722" s="14">
        <v>508490.9</v>
      </c>
      <c r="I1722" s="14">
        <v>508490.9</v>
      </c>
      <c r="J1722" s="22">
        <f>H1722*(1+Assumptions!$B$6+IF(F1722="Yes",Assumptions!$C$6,0))</f>
        <v>523745.62700000004</v>
      </c>
      <c r="K1722" s="22">
        <f>H1722*(1+Assumptions!$B$7+IF(F1722="Yes",Assumptions!$C$7,0))</f>
        <v>533915.44500000007</v>
      </c>
      <c r="L1722" s="22">
        <f>H1722*(1+Assumptions!$B$8+IF(F1722="Yes",Assumptions!$C$8,0))</f>
        <v>513575.80900000001</v>
      </c>
    </row>
    <row r="1723" spans="1:12" ht="15">
      <c r="A1723" s="21">
        <v>41180</v>
      </c>
      <c r="B1723" s="21">
        <v>41153</v>
      </c>
      <c r="C1723" s="17">
        <v>10</v>
      </c>
      <c r="D1723" s="17" t="s">
        <v>92</v>
      </c>
      <c r="E1723" s="18">
        <v>126512</v>
      </c>
      <c r="F1723" s="17" t="s">
        <v>91</v>
      </c>
      <c r="G1723" s="14">
        <v>1694960.41</v>
      </c>
      <c r="H1723" s="14">
        <v>1627585.43</v>
      </c>
      <c r="I1723" s="14">
        <v>1627585.43</v>
      </c>
      <c r="J1723" s="22">
        <f>H1723*(1+Assumptions!$B$6+IF(F1723="Yes",Assumptions!$C$6,0))</f>
        <v>1676412.9929</v>
      </c>
      <c r="K1723" s="22">
        <f>H1723*(1+Assumptions!$B$7+IF(F1723="Yes",Assumptions!$C$7,0))</f>
        <v>1708964.7015</v>
      </c>
      <c r="L1723" s="22">
        <f>H1723*(1+Assumptions!$B$8+IF(F1723="Yes",Assumptions!$C$8,0))</f>
        <v>1643861.2842999999</v>
      </c>
    </row>
    <row r="1724" spans="1:12" ht="15">
      <c r="A1724" s="21">
        <v>41180</v>
      </c>
      <c r="B1724" s="21">
        <v>41153</v>
      </c>
      <c r="C1724" s="17">
        <v>11</v>
      </c>
      <c r="D1724" s="17" t="s">
        <v>90</v>
      </c>
      <c r="E1724" s="18">
        <v>207499</v>
      </c>
      <c r="F1724" s="17" t="s">
        <v>91</v>
      </c>
      <c r="G1724" s="14">
        <v>1227345.72</v>
      </c>
      <c r="H1724" s="14">
        <v>1190509.8600000001</v>
      </c>
      <c r="I1724" s="14">
        <v>1190509.8600000001</v>
      </c>
      <c r="J1724" s="22">
        <f>H1724*(1+Assumptions!$B$6+IF(F1724="Yes",Assumptions!$C$6,0))</f>
        <v>1226225.1558000001</v>
      </c>
      <c r="K1724" s="22">
        <f>H1724*(1+Assumptions!$B$7+IF(F1724="Yes",Assumptions!$C$7,0))</f>
        <v>1250035.3530000001</v>
      </c>
      <c r="L1724" s="22">
        <f>H1724*(1+Assumptions!$B$8+IF(F1724="Yes",Assumptions!$C$8,0))</f>
        <v>1202414.9586</v>
      </c>
    </row>
    <row r="1725" spans="1:12" ht="15">
      <c r="A1725" s="21">
        <v>41180</v>
      </c>
      <c r="B1725" s="21">
        <v>41153</v>
      </c>
      <c r="C1725" s="17">
        <v>12</v>
      </c>
      <c r="D1725" s="17" t="s">
        <v>92</v>
      </c>
      <c r="E1725" s="18">
        <v>112238</v>
      </c>
      <c r="F1725" s="17" t="s">
        <v>91</v>
      </c>
      <c r="G1725" s="14">
        <v>880415.67</v>
      </c>
      <c r="H1725" s="14">
        <v>866329.63</v>
      </c>
      <c r="I1725" s="14">
        <v>866329.63</v>
      </c>
      <c r="J1725" s="22">
        <f>H1725*(1+Assumptions!$B$6+IF(F1725="Yes",Assumptions!$C$6,0))</f>
        <v>892319.51890000002</v>
      </c>
      <c r="K1725" s="22">
        <f>H1725*(1+Assumptions!$B$7+IF(F1725="Yes",Assumptions!$C$7,0))</f>
        <v>909646.1115</v>
      </c>
      <c r="L1725" s="22">
        <f>H1725*(1+Assumptions!$B$8+IF(F1725="Yes",Assumptions!$C$8,0))</f>
        <v>874992.92630000005</v>
      </c>
    </row>
    <row r="1726" spans="1:12" ht="15">
      <c r="A1726" s="21">
        <v>41180</v>
      </c>
      <c r="B1726" s="21">
        <v>41153</v>
      </c>
      <c r="C1726" s="17">
        <v>13</v>
      </c>
      <c r="D1726" s="17" t="s">
        <v>90</v>
      </c>
      <c r="E1726" s="18">
        <v>219622</v>
      </c>
      <c r="F1726" s="17" t="s">
        <v>91</v>
      </c>
      <c r="G1726" s="14">
        <v>1927646.2</v>
      </c>
      <c r="H1726" s="14">
        <v>1835662.69</v>
      </c>
      <c r="I1726" s="14">
        <v>1835662.69</v>
      </c>
      <c r="J1726" s="22">
        <f>H1726*(1+Assumptions!$B$6+IF(F1726="Yes",Assumptions!$C$6,0))</f>
        <v>1890732.5707</v>
      </c>
      <c r="K1726" s="22">
        <f>H1726*(1+Assumptions!$B$7+IF(F1726="Yes",Assumptions!$C$7,0))</f>
        <v>1927445.8245000001</v>
      </c>
      <c r="L1726" s="22">
        <f>H1726*(1+Assumptions!$B$8+IF(F1726="Yes",Assumptions!$C$8,0))</f>
        <v>1854019.3169</v>
      </c>
    </row>
    <row r="1727" spans="1:12" ht="15">
      <c r="A1727" s="21">
        <v>41180</v>
      </c>
      <c r="B1727" s="21">
        <v>41153</v>
      </c>
      <c r="C1727" s="17">
        <v>14</v>
      </c>
      <c r="D1727" s="17" t="s">
        <v>90</v>
      </c>
      <c r="E1727" s="18">
        <v>200898</v>
      </c>
      <c r="F1727" s="17" t="s">
        <v>91</v>
      </c>
      <c r="G1727" s="14">
        <v>1522512.2</v>
      </c>
      <c r="H1727" s="14">
        <v>1809901.49</v>
      </c>
      <c r="I1727" s="14">
        <v>1809901.49</v>
      </c>
      <c r="J1727" s="22">
        <f>H1727*(1+Assumptions!$B$6+IF(F1727="Yes",Assumptions!$C$6,0))</f>
        <v>1864198.5347</v>
      </c>
      <c r="K1727" s="22">
        <f>H1727*(1+Assumptions!$B$7+IF(F1727="Yes",Assumptions!$C$7,0))</f>
        <v>1900396.5645000001</v>
      </c>
      <c r="L1727" s="22">
        <f>H1727*(1+Assumptions!$B$8+IF(F1727="Yes",Assumptions!$C$8,0))</f>
        <v>1828000.5049000001</v>
      </c>
    </row>
    <row r="1728" spans="1:12" ht="15">
      <c r="A1728" s="21">
        <v>41180</v>
      </c>
      <c r="B1728" s="21">
        <v>41153</v>
      </c>
      <c r="C1728" s="17">
        <v>15</v>
      </c>
      <c r="D1728" s="17" t="s">
        <v>92</v>
      </c>
      <c r="E1728" s="18">
        <v>123737</v>
      </c>
      <c r="F1728" s="17" t="s">
        <v>91</v>
      </c>
      <c r="G1728" s="14">
        <v>553901.97</v>
      </c>
      <c r="H1728" s="14">
        <v>521317.17</v>
      </c>
      <c r="I1728" s="14">
        <v>521317.17</v>
      </c>
      <c r="J1728" s="22">
        <f>H1728*(1+Assumptions!$B$6+IF(F1728="Yes",Assumptions!$C$6,0))</f>
        <v>536956.6851</v>
      </c>
      <c r="K1728" s="22">
        <f>H1728*(1+Assumptions!$B$7+IF(F1728="Yes",Assumptions!$C$7,0))</f>
        <v>547383.02850000001</v>
      </c>
      <c r="L1728" s="22">
        <f>H1728*(1+Assumptions!$B$8+IF(F1728="Yes",Assumptions!$C$8,0))</f>
        <v>526530.34169999999</v>
      </c>
    </row>
    <row r="1729" spans="1:12" ht="15">
      <c r="A1729" s="21">
        <v>41180</v>
      </c>
      <c r="B1729" s="21">
        <v>41153</v>
      </c>
      <c r="C1729" s="17">
        <v>16</v>
      </c>
      <c r="D1729" s="17" t="s">
        <v>92</v>
      </c>
      <c r="E1729" s="18">
        <v>57197</v>
      </c>
      <c r="F1729" s="17" t="s">
        <v>91</v>
      </c>
      <c r="G1729" s="14">
        <v>465281.97</v>
      </c>
      <c r="H1729" s="14">
        <v>449610.69</v>
      </c>
      <c r="I1729" s="14">
        <v>449610.69</v>
      </c>
      <c r="J1729" s="22">
        <f>H1729*(1+Assumptions!$B$6+IF(F1729="Yes",Assumptions!$C$6,0))</f>
        <v>463099.01070000004</v>
      </c>
      <c r="K1729" s="22">
        <f>H1729*(1+Assumptions!$B$7+IF(F1729="Yes",Assumptions!$C$7,0))</f>
        <v>472091.22450000001</v>
      </c>
      <c r="L1729" s="22">
        <f>H1729*(1+Assumptions!$B$8+IF(F1729="Yes",Assumptions!$C$8,0))</f>
        <v>454106.79690000002</v>
      </c>
    </row>
    <row r="1730" spans="1:12" ht="15">
      <c r="A1730" s="21">
        <v>41180</v>
      </c>
      <c r="B1730" s="21">
        <v>41153</v>
      </c>
      <c r="C1730" s="17">
        <v>17</v>
      </c>
      <c r="D1730" s="17" t="s">
        <v>92</v>
      </c>
      <c r="E1730" s="18">
        <v>93188</v>
      </c>
      <c r="F1730" s="17" t="s">
        <v>91</v>
      </c>
      <c r="G1730" s="14">
        <v>971799.70000000007</v>
      </c>
      <c r="H1730" s="14">
        <v>868191.05</v>
      </c>
      <c r="I1730" s="14">
        <v>868191.05</v>
      </c>
      <c r="J1730" s="22">
        <f>H1730*(1+Assumptions!$B$6+IF(F1730="Yes",Assumptions!$C$6,0))</f>
        <v>894236.78150000004</v>
      </c>
      <c r="K1730" s="22">
        <f>H1730*(1+Assumptions!$B$7+IF(F1730="Yes",Assumptions!$C$7,0))</f>
        <v>911600.60250000004</v>
      </c>
      <c r="L1730" s="22">
        <f>H1730*(1+Assumptions!$B$8+IF(F1730="Yes",Assumptions!$C$8,0))</f>
        <v>876872.96050000004</v>
      </c>
    </row>
    <row r="1731" spans="1:12" ht="15">
      <c r="A1731" s="21">
        <v>41180</v>
      </c>
      <c r="B1731" s="21">
        <v>41153</v>
      </c>
      <c r="C1731" s="17">
        <v>18</v>
      </c>
      <c r="D1731" s="17" t="s">
        <v>92</v>
      </c>
      <c r="E1731" s="18">
        <v>120653</v>
      </c>
      <c r="F1731" s="17" t="s">
        <v>91</v>
      </c>
      <c r="G1731" s="14">
        <v>988213.17999999993</v>
      </c>
      <c r="H1731" s="14">
        <v>847348.08</v>
      </c>
      <c r="I1731" s="14">
        <v>847348.08</v>
      </c>
      <c r="J1731" s="22">
        <f>H1731*(1+Assumptions!$B$6+IF(F1731="Yes",Assumptions!$C$6,0))</f>
        <v>872768.52240000002</v>
      </c>
      <c r="K1731" s="22">
        <f>H1731*(1+Assumptions!$B$7+IF(F1731="Yes",Assumptions!$C$7,0))</f>
        <v>889715.48399999994</v>
      </c>
      <c r="L1731" s="22">
        <f>H1731*(1+Assumptions!$B$8+IF(F1731="Yes",Assumptions!$C$8,0))</f>
        <v>855821.56079999998</v>
      </c>
    </row>
    <row r="1732" spans="1:12" ht="15">
      <c r="A1732" s="21">
        <v>41180</v>
      </c>
      <c r="B1732" s="21">
        <v>41153</v>
      </c>
      <c r="C1732" s="17">
        <v>19</v>
      </c>
      <c r="D1732" s="17" t="s">
        <v>90</v>
      </c>
      <c r="E1732" s="18">
        <v>203819</v>
      </c>
      <c r="F1732" s="17" t="s">
        <v>91</v>
      </c>
      <c r="G1732" s="14">
        <v>1338287.1000000001</v>
      </c>
      <c r="H1732" s="14">
        <v>1330609.28</v>
      </c>
      <c r="I1732" s="14">
        <v>1330609.28</v>
      </c>
      <c r="J1732" s="22">
        <f>H1732*(1+Assumptions!$B$6+IF(F1732="Yes",Assumptions!$C$6,0))</f>
        <v>1370527.5584</v>
      </c>
      <c r="K1732" s="22">
        <f>H1732*(1+Assumptions!$B$7+IF(F1732="Yes",Assumptions!$C$7,0))</f>
        <v>1397139.7440000002</v>
      </c>
      <c r="L1732" s="22">
        <f>H1732*(1+Assumptions!$B$8+IF(F1732="Yes",Assumptions!$C$8,0))</f>
        <v>1343915.3728</v>
      </c>
    </row>
    <row r="1733" spans="1:12" ht="15">
      <c r="A1733" s="21">
        <v>41180</v>
      </c>
      <c r="B1733" s="21">
        <v>41153</v>
      </c>
      <c r="C1733" s="17">
        <v>20</v>
      </c>
      <c r="D1733" s="17" t="s">
        <v>90</v>
      </c>
      <c r="E1733" s="18">
        <v>203742</v>
      </c>
      <c r="F1733" s="17" t="s">
        <v>91</v>
      </c>
      <c r="G1733" s="14">
        <v>2008368.46</v>
      </c>
      <c r="H1733" s="14">
        <v>1945808.26</v>
      </c>
      <c r="I1733" s="14">
        <v>1945808.26</v>
      </c>
      <c r="J1733" s="22">
        <f>H1733*(1+Assumptions!$B$6+IF(F1733="Yes",Assumptions!$C$6,0))</f>
        <v>2004182.5078</v>
      </c>
      <c r="K1733" s="22">
        <f>H1733*(1+Assumptions!$B$7+IF(F1733="Yes",Assumptions!$C$7,0))</f>
        <v>2043098.6730000002</v>
      </c>
      <c r="L1733" s="22">
        <f>H1733*(1+Assumptions!$B$8+IF(F1733="Yes",Assumptions!$C$8,0))</f>
        <v>1965266.3426000001</v>
      </c>
    </row>
    <row r="1734" spans="1:12" ht="15">
      <c r="A1734" s="21">
        <v>41180</v>
      </c>
      <c r="B1734" s="21">
        <v>41153</v>
      </c>
      <c r="C1734" s="17">
        <v>21</v>
      </c>
      <c r="D1734" s="17" t="s">
        <v>92</v>
      </c>
      <c r="E1734" s="18">
        <v>140167</v>
      </c>
      <c r="F1734" s="17" t="s">
        <v>91</v>
      </c>
      <c r="G1734" s="14">
        <v>647097.65</v>
      </c>
      <c r="H1734" s="14">
        <v>651285.48</v>
      </c>
      <c r="I1734" s="14">
        <v>651285.48</v>
      </c>
      <c r="J1734" s="22">
        <f>H1734*(1+Assumptions!$B$6+IF(F1734="Yes",Assumptions!$C$6,0))</f>
        <v>670824.04440000001</v>
      </c>
      <c r="K1734" s="22">
        <f>H1734*(1+Assumptions!$B$7+IF(F1734="Yes",Assumptions!$C$7,0))</f>
        <v>683849.75399999996</v>
      </c>
      <c r="L1734" s="22">
        <f>H1734*(1+Assumptions!$B$8+IF(F1734="Yes",Assumptions!$C$8,0))</f>
        <v>657798.33479999995</v>
      </c>
    </row>
    <row r="1735" spans="1:12" ht="15">
      <c r="A1735" s="21">
        <v>41180</v>
      </c>
      <c r="B1735" s="21">
        <v>41153</v>
      </c>
      <c r="C1735" s="17">
        <v>22</v>
      </c>
      <c r="D1735" s="17" t="s">
        <v>92</v>
      </c>
      <c r="E1735" s="18">
        <v>119557</v>
      </c>
      <c r="F1735" s="17" t="s">
        <v>91</v>
      </c>
      <c r="G1735" s="14">
        <v>976450.57</v>
      </c>
      <c r="H1735" s="14">
        <v>953304.2</v>
      </c>
      <c r="I1735" s="14">
        <v>953304.2</v>
      </c>
      <c r="J1735" s="22">
        <f>H1735*(1+Assumptions!$B$6+IF(F1735="Yes",Assumptions!$C$6,0))</f>
        <v>981903.326</v>
      </c>
      <c r="K1735" s="22">
        <f>H1735*(1+Assumptions!$B$7+IF(F1735="Yes",Assumptions!$C$7,0))</f>
        <v>1000969.41</v>
      </c>
      <c r="L1735" s="22">
        <f>H1735*(1+Assumptions!$B$8+IF(F1735="Yes",Assumptions!$C$8,0))</f>
        <v>962837.24199999997</v>
      </c>
    </row>
    <row r="1736" spans="1:12" ht="15">
      <c r="A1736" s="21">
        <v>41180</v>
      </c>
      <c r="B1736" s="21">
        <v>41153</v>
      </c>
      <c r="C1736" s="17">
        <v>23</v>
      </c>
      <c r="D1736" s="17" t="s">
        <v>92</v>
      </c>
      <c r="E1736" s="18">
        <v>114533</v>
      </c>
      <c r="F1736" s="17" t="s">
        <v>91</v>
      </c>
      <c r="G1736" s="14">
        <v>1319035.06</v>
      </c>
      <c r="H1736" s="14">
        <v>1275712.04</v>
      </c>
      <c r="I1736" s="14">
        <v>1275712.04</v>
      </c>
      <c r="J1736" s="22">
        <f>H1736*(1+Assumptions!$B$6+IF(F1736="Yes",Assumptions!$C$6,0))</f>
        <v>1313983.4012</v>
      </c>
      <c r="K1736" s="22">
        <f>H1736*(1+Assumptions!$B$7+IF(F1736="Yes",Assumptions!$C$7,0))</f>
        <v>1339497.642</v>
      </c>
      <c r="L1736" s="22">
        <f>H1736*(1+Assumptions!$B$8+IF(F1736="Yes",Assumptions!$C$8,0))</f>
        <v>1288469.1603999999</v>
      </c>
    </row>
    <row r="1737" spans="1:12" ht="15">
      <c r="A1737" s="21">
        <v>41180</v>
      </c>
      <c r="B1737" s="21">
        <v>41153</v>
      </c>
      <c r="C1737" s="17">
        <v>24</v>
      </c>
      <c r="D1737" s="17" t="s">
        <v>90</v>
      </c>
      <c r="E1737" s="18">
        <v>203819</v>
      </c>
      <c r="F1737" s="17" t="s">
        <v>91</v>
      </c>
      <c r="G1737" s="14">
        <v>1259278.3599999999</v>
      </c>
      <c r="H1737" s="14">
        <v>1246242.6100000001</v>
      </c>
      <c r="I1737" s="14">
        <v>1246242.6100000001</v>
      </c>
      <c r="J1737" s="22">
        <f>H1737*(1+Assumptions!$B$6+IF(F1737="Yes",Assumptions!$C$6,0))</f>
        <v>1283629.8883000002</v>
      </c>
      <c r="K1737" s="22">
        <f>H1737*(1+Assumptions!$B$7+IF(F1737="Yes",Assumptions!$C$7,0))</f>
        <v>1308554.7405000001</v>
      </c>
      <c r="L1737" s="22">
        <f>H1737*(1+Assumptions!$B$8+IF(F1737="Yes",Assumptions!$C$8,0))</f>
        <v>1258705.0361000001</v>
      </c>
    </row>
    <row r="1738" spans="1:12" ht="15">
      <c r="A1738" s="21">
        <v>41180</v>
      </c>
      <c r="B1738" s="21">
        <v>41153</v>
      </c>
      <c r="C1738" s="17">
        <v>25</v>
      </c>
      <c r="D1738" s="17" t="s">
        <v>92</v>
      </c>
      <c r="E1738" s="18">
        <v>128107</v>
      </c>
      <c r="F1738" s="17" t="s">
        <v>91</v>
      </c>
      <c r="G1738" s="14">
        <v>683300.84</v>
      </c>
      <c r="H1738" s="14">
        <v>639160.24</v>
      </c>
      <c r="I1738" s="14">
        <v>639160.24</v>
      </c>
      <c r="J1738" s="22">
        <f>H1738*(1+Assumptions!$B$6+IF(F1738="Yes",Assumptions!$C$6,0))</f>
        <v>658335.04720000003</v>
      </c>
      <c r="K1738" s="22">
        <f>H1738*(1+Assumptions!$B$7+IF(F1738="Yes",Assumptions!$C$7,0))</f>
        <v>671118.25199999998</v>
      </c>
      <c r="L1738" s="22">
        <f>H1738*(1+Assumptions!$B$8+IF(F1738="Yes",Assumptions!$C$8,0))</f>
        <v>645551.84239999996</v>
      </c>
    </row>
    <row r="1739" spans="1:12" ht="15">
      <c r="A1739" s="21">
        <v>41180</v>
      </c>
      <c r="B1739" s="21">
        <v>41153</v>
      </c>
      <c r="C1739" s="17">
        <v>26</v>
      </c>
      <c r="D1739" s="17" t="s">
        <v>90</v>
      </c>
      <c r="E1739" s="18">
        <v>152513</v>
      </c>
      <c r="F1739" s="17" t="s">
        <v>91</v>
      </c>
      <c r="G1739" s="14">
        <v>964726.37</v>
      </c>
      <c r="H1739" s="14">
        <v>958462.62</v>
      </c>
      <c r="I1739" s="14">
        <v>958462.62</v>
      </c>
      <c r="J1739" s="22">
        <f>H1739*(1+Assumptions!$B$6+IF(F1739="Yes",Assumptions!$C$6,0))</f>
        <v>987216.49860000005</v>
      </c>
      <c r="K1739" s="22">
        <f>H1739*(1+Assumptions!$B$7+IF(F1739="Yes",Assumptions!$C$7,0))</f>
        <v>1006385.751</v>
      </c>
      <c r="L1739" s="22">
        <f>H1739*(1+Assumptions!$B$8+IF(F1739="Yes",Assumptions!$C$8,0))</f>
        <v>968047.24620000005</v>
      </c>
    </row>
    <row r="1740" spans="1:12" ht="15">
      <c r="A1740" s="21">
        <v>41180</v>
      </c>
      <c r="B1740" s="21">
        <v>41153</v>
      </c>
      <c r="C1740" s="17">
        <v>27</v>
      </c>
      <c r="D1740" s="17" t="s">
        <v>90</v>
      </c>
      <c r="E1740" s="18">
        <v>204184</v>
      </c>
      <c r="F1740" s="17" t="s">
        <v>91</v>
      </c>
      <c r="G1740" s="14">
        <v>1540687.6300000001</v>
      </c>
      <c r="H1740" s="14">
        <v>1599549.18</v>
      </c>
      <c r="I1740" s="14">
        <v>1599549.18</v>
      </c>
      <c r="J1740" s="22">
        <f>H1740*(1+Assumptions!$B$6+IF(F1740="Yes",Assumptions!$C$6,0))</f>
        <v>1647535.6554</v>
      </c>
      <c r="K1740" s="22">
        <f>H1740*(1+Assumptions!$B$7+IF(F1740="Yes",Assumptions!$C$7,0))</f>
        <v>1679526.639</v>
      </c>
      <c r="L1740" s="22">
        <f>H1740*(1+Assumptions!$B$8+IF(F1740="Yes",Assumptions!$C$8,0))</f>
        <v>1615544.6717999999</v>
      </c>
    </row>
    <row r="1741" spans="1:12" ht="15">
      <c r="A1741" s="21">
        <v>41180</v>
      </c>
      <c r="B1741" s="21">
        <v>41153</v>
      </c>
      <c r="C1741" s="17">
        <v>28</v>
      </c>
      <c r="D1741" s="17" t="s">
        <v>90</v>
      </c>
      <c r="E1741" s="18">
        <v>206302</v>
      </c>
      <c r="F1741" s="17" t="s">
        <v>91</v>
      </c>
      <c r="G1741" s="14">
        <v>1129508.6100000001</v>
      </c>
      <c r="H1741" s="14">
        <v>1120707.8500000001</v>
      </c>
      <c r="I1741" s="14">
        <v>1120707.8500000001</v>
      </c>
      <c r="J1741" s="22">
        <f>H1741*(1+Assumptions!$B$6+IF(F1741="Yes",Assumptions!$C$6,0))</f>
        <v>1154329.0855</v>
      </c>
      <c r="K1741" s="22">
        <f>H1741*(1+Assumptions!$B$7+IF(F1741="Yes",Assumptions!$C$7,0))</f>
        <v>1176743.2425000002</v>
      </c>
      <c r="L1741" s="22">
        <f>H1741*(1+Assumptions!$B$8+IF(F1741="Yes",Assumptions!$C$8,0))</f>
        <v>1131914.9285000002</v>
      </c>
    </row>
    <row r="1742" spans="1:12" ht="15">
      <c r="A1742" s="21">
        <v>41180</v>
      </c>
      <c r="B1742" s="21">
        <v>41153</v>
      </c>
      <c r="C1742" s="17">
        <v>29</v>
      </c>
      <c r="D1742" s="17" t="s">
        <v>92</v>
      </c>
      <c r="E1742" s="18">
        <v>93638</v>
      </c>
      <c r="F1742" s="17" t="s">
        <v>91</v>
      </c>
      <c r="G1742" s="14">
        <v>489660.97000000003</v>
      </c>
      <c r="H1742" s="14">
        <v>446423.98</v>
      </c>
      <c r="I1742" s="14">
        <v>446423.98</v>
      </c>
      <c r="J1742" s="22">
        <f>H1742*(1+Assumptions!$B$6+IF(F1742="Yes",Assumptions!$C$6,0))</f>
        <v>459816.69939999998</v>
      </c>
      <c r="K1742" s="22">
        <f>H1742*(1+Assumptions!$B$7+IF(F1742="Yes",Assumptions!$C$7,0))</f>
        <v>468745.179</v>
      </c>
      <c r="L1742" s="22">
        <f>H1742*(1+Assumptions!$B$8+IF(F1742="Yes",Assumptions!$C$8,0))</f>
        <v>450888.21979999996</v>
      </c>
    </row>
    <row r="1743" spans="1:12" ht="15">
      <c r="A1743" s="21">
        <v>41180</v>
      </c>
      <c r="B1743" s="21">
        <v>41153</v>
      </c>
      <c r="C1743" s="17">
        <v>30</v>
      </c>
      <c r="D1743" s="17" t="s">
        <v>93</v>
      </c>
      <c r="E1743" s="18">
        <v>42988</v>
      </c>
      <c r="F1743" s="17" t="s">
        <v>91</v>
      </c>
      <c r="G1743" s="14">
        <v>425255.54</v>
      </c>
      <c r="H1743" s="14">
        <v>386935.66</v>
      </c>
      <c r="I1743" s="14">
        <v>386935.66</v>
      </c>
      <c r="J1743" s="22">
        <f>H1743*(1+Assumptions!$B$6+IF(F1743="Yes",Assumptions!$C$6,0))</f>
        <v>398543.72979999997</v>
      </c>
      <c r="K1743" s="22">
        <f>H1743*(1+Assumptions!$B$7+IF(F1743="Yes",Assumptions!$C$7,0))</f>
        <v>406282.44299999997</v>
      </c>
      <c r="L1743" s="22">
        <f>H1743*(1+Assumptions!$B$8+IF(F1743="Yes",Assumptions!$C$8,0))</f>
        <v>390805.01659999997</v>
      </c>
    </row>
    <row r="1744" spans="1:12" ht="15">
      <c r="A1744" s="21">
        <v>41180</v>
      </c>
      <c r="B1744" s="21">
        <v>41153</v>
      </c>
      <c r="C1744" s="17">
        <v>31</v>
      </c>
      <c r="D1744" s="17" t="s">
        <v>90</v>
      </c>
      <c r="E1744" s="18">
        <v>203750</v>
      </c>
      <c r="F1744" s="17" t="s">
        <v>91</v>
      </c>
      <c r="G1744" s="14">
        <v>1279080.58</v>
      </c>
      <c r="H1744" s="14">
        <v>1285541.6599999999</v>
      </c>
      <c r="I1744" s="14">
        <v>1285541.6599999999</v>
      </c>
      <c r="J1744" s="22">
        <f>H1744*(1+Assumptions!$B$6+IF(F1744="Yes",Assumptions!$C$6,0))</f>
        <v>1324107.9098</v>
      </c>
      <c r="K1744" s="22">
        <f>H1744*(1+Assumptions!$B$7+IF(F1744="Yes",Assumptions!$C$7,0))</f>
        <v>1349818.743</v>
      </c>
      <c r="L1744" s="22">
        <f>H1744*(1+Assumptions!$B$8+IF(F1744="Yes",Assumptions!$C$8,0))</f>
        <v>1298397.0766</v>
      </c>
    </row>
    <row r="1745" spans="1:12" ht="15">
      <c r="A1745" s="21">
        <v>41180</v>
      </c>
      <c r="B1745" s="21">
        <v>41153</v>
      </c>
      <c r="C1745" s="17">
        <v>32</v>
      </c>
      <c r="D1745" s="17" t="s">
        <v>90</v>
      </c>
      <c r="E1745" s="18">
        <v>203007</v>
      </c>
      <c r="F1745" s="17" t="s">
        <v>91</v>
      </c>
      <c r="G1745" s="14">
        <v>1157087.27</v>
      </c>
      <c r="H1745" s="14">
        <v>1088943.98</v>
      </c>
      <c r="I1745" s="14">
        <v>1088943.98</v>
      </c>
      <c r="J1745" s="22">
        <f>H1745*(1+Assumptions!$B$6+IF(F1745="Yes",Assumptions!$C$6,0))</f>
        <v>1121612.2993999999</v>
      </c>
      <c r="K1745" s="22">
        <f>H1745*(1+Assumptions!$B$7+IF(F1745="Yes",Assumptions!$C$7,0))</f>
        <v>1143391.179</v>
      </c>
      <c r="L1745" s="22">
        <f>H1745*(1+Assumptions!$B$8+IF(F1745="Yes",Assumptions!$C$8,0))</f>
        <v>1099833.4198</v>
      </c>
    </row>
    <row r="1746" spans="1:12" ht="15">
      <c r="A1746" s="21">
        <v>41180</v>
      </c>
      <c r="B1746" s="21">
        <v>41153</v>
      </c>
      <c r="C1746" s="17">
        <v>33</v>
      </c>
      <c r="D1746" s="17" t="s">
        <v>90</v>
      </c>
      <c r="E1746" s="18">
        <v>39690</v>
      </c>
      <c r="F1746" s="17" t="s">
        <v>91</v>
      </c>
      <c r="G1746" s="14">
        <v>242368.83000000002</v>
      </c>
      <c r="H1746" s="14">
        <v>229703.77000000002</v>
      </c>
      <c r="I1746" s="14">
        <v>229703.77000000002</v>
      </c>
      <c r="J1746" s="22">
        <f>H1746*(1+Assumptions!$B$6+IF(F1746="Yes",Assumptions!$C$6,0))</f>
        <v>236594.88310000004</v>
      </c>
      <c r="K1746" s="22">
        <f>H1746*(1+Assumptions!$B$7+IF(F1746="Yes",Assumptions!$C$7,0))</f>
        <v>241188.95850000004</v>
      </c>
      <c r="L1746" s="22">
        <f>H1746*(1+Assumptions!$B$8+IF(F1746="Yes",Assumptions!$C$8,0))</f>
        <v>232000.80770000003</v>
      </c>
    </row>
    <row r="1747" spans="1:12" ht="15">
      <c r="A1747" s="21">
        <v>41180</v>
      </c>
      <c r="B1747" s="21">
        <v>41153</v>
      </c>
      <c r="C1747" s="17">
        <v>34</v>
      </c>
      <c r="D1747" s="17" t="s">
        <v>90</v>
      </c>
      <c r="E1747" s="18">
        <v>158114</v>
      </c>
      <c r="F1747" s="17" t="s">
        <v>91</v>
      </c>
      <c r="G1747" s="14">
        <v>928797.31</v>
      </c>
      <c r="H1747" s="14">
        <v>871835.88</v>
      </c>
      <c r="I1747" s="14">
        <v>871835.88</v>
      </c>
      <c r="J1747" s="22">
        <f>H1747*(1+Assumptions!$B$6+IF(F1747="Yes",Assumptions!$C$6,0))</f>
        <v>897990.95640000002</v>
      </c>
      <c r="K1747" s="22">
        <f>H1747*(1+Assumptions!$B$7+IF(F1747="Yes",Assumptions!$C$7,0))</f>
        <v>915427.674</v>
      </c>
      <c r="L1747" s="22">
        <f>H1747*(1+Assumptions!$B$8+IF(F1747="Yes",Assumptions!$C$8,0))</f>
        <v>880554.23880000005</v>
      </c>
    </row>
    <row r="1748" spans="1:12" ht="15">
      <c r="A1748" s="21">
        <v>41180</v>
      </c>
      <c r="B1748" s="21">
        <v>41153</v>
      </c>
      <c r="C1748" s="17">
        <v>35</v>
      </c>
      <c r="D1748" s="17" t="s">
        <v>92</v>
      </c>
      <c r="E1748" s="18">
        <v>103681</v>
      </c>
      <c r="F1748" s="17" t="s">
        <v>91</v>
      </c>
      <c r="G1748" s="14">
        <v>814084.95</v>
      </c>
      <c r="H1748" s="14">
        <v>749665.99</v>
      </c>
      <c r="I1748" s="14">
        <v>749665.99</v>
      </c>
      <c r="J1748" s="22">
        <f>H1748*(1+Assumptions!$B$6+IF(F1748="Yes",Assumptions!$C$6,0))</f>
        <v>772155.96970000002</v>
      </c>
      <c r="K1748" s="22">
        <f>H1748*(1+Assumptions!$B$7+IF(F1748="Yes",Assumptions!$C$7,0))</f>
        <v>787149.28950000007</v>
      </c>
      <c r="L1748" s="22">
        <f>H1748*(1+Assumptions!$B$8+IF(F1748="Yes",Assumptions!$C$8,0))</f>
        <v>757162.64989999996</v>
      </c>
    </row>
    <row r="1749" spans="1:12" ht="15">
      <c r="A1749" s="21">
        <v>41180</v>
      </c>
      <c r="B1749" s="21">
        <v>41153</v>
      </c>
      <c r="C1749" s="17">
        <v>36</v>
      </c>
      <c r="D1749" s="17" t="s">
        <v>90</v>
      </c>
      <c r="E1749" s="18">
        <v>39910</v>
      </c>
      <c r="F1749" s="17" t="s">
        <v>91</v>
      </c>
      <c r="G1749" s="14">
        <v>270407.26</v>
      </c>
      <c r="H1749" s="14">
        <v>314843.15999999997</v>
      </c>
      <c r="I1749" s="14">
        <v>314843.15999999997</v>
      </c>
      <c r="J1749" s="22">
        <f>H1749*(1+Assumptions!$B$6+IF(F1749="Yes",Assumptions!$C$6,0))</f>
        <v>324288.45480000001</v>
      </c>
      <c r="K1749" s="22">
        <f>H1749*(1+Assumptions!$B$7+IF(F1749="Yes",Assumptions!$C$7,0))</f>
        <v>330585.31799999997</v>
      </c>
      <c r="L1749" s="22">
        <f>H1749*(1+Assumptions!$B$8+IF(F1749="Yes",Assumptions!$C$8,0))</f>
        <v>317991.59159999999</v>
      </c>
    </row>
    <row r="1750" spans="1:12" ht="15">
      <c r="A1750" s="21">
        <v>41180</v>
      </c>
      <c r="B1750" s="21">
        <v>41153</v>
      </c>
      <c r="C1750" s="17">
        <v>37</v>
      </c>
      <c r="D1750" s="17" t="s">
        <v>93</v>
      </c>
      <c r="E1750" s="18">
        <v>39910</v>
      </c>
      <c r="F1750" s="17" t="s">
        <v>91</v>
      </c>
      <c r="G1750" s="14">
        <v>527808.94999999995</v>
      </c>
      <c r="H1750" s="14">
        <v>516396.13</v>
      </c>
      <c r="I1750" s="14">
        <v>516396.13</v>
      </c>
      <c r="J1750" s="22">
        <f>H1750*(1+Assumptions!$B$6+IF(F1750="Yes",Assumptions!$C$6,0))</f>
        <v>531888.01390000002</v>
      </c>
      <c r="K1750" s="22">
        <f>H1750*(1+Assumptions!$B$7+IF(F1750="Yes",Assumptions!$C$7,0))</f>
        <v>542215.93650000007</v>
      </c>
      <c r="L1750" s="22">
        <f>H1750*(1+Assumptions!$B$8+IF(F1750="Yes",Assumptions!$C$8,0))</f>
        <v>521560.09130000003</v>
      </c>
    </row>
    <row r="1751" spans="1:12" ht="15">
      <c r="A1751" s="21">
        <v>41180</v>
      </c>
      <c r="B1751" s="21">
        <v>41153</v>
      </c>
      <c r="C1751" s="17">
        <v>38</v>
      </c>
      <c r="D1751" s="17" t="s">
        <v>93</v>
      </c>
      <c r="E1751" s="18">
        <v>39690</v>
      </c>
      <c r="F1751" s="17" t="s">
        <v>91</v>
      </c>
      <c r="G1751" s="14">
        <v>398376.52999999997</v>
      </c>
      <c r="H1751" s="14">
        <v>366756.2</v>
      </c>
      <c r="I1751" s="14">
        <v>366756.2</v>
      </c>
      <c r="J1751" s="22">
        <f>H1751*(1+Assumptions!$B$6+IF(F1751="Yes",Assumptions!$C$6,0))</f>
        <v>377758.886</v>
      </c>
      <c r="K1751" s="22">
        <f>H1751*(1+Assumptions!$B$7+IF(F1751="Yes",Assumptions!$C$7,0))</f>
        <v>385094.01</v>
      </c>
      <c r="L1751" s="22">
        <f>H1751*(1+Assumptions!$B$8+IF(F1751="Yes",Assumptions!$C$8,0))</f>
        <v>370423.76199999999</v>
      </c>
    </row>
    <row r="1752" spans="1:12" ht="15">
      <c r="A1752" s="21">
        <v>41180</v>
      </c>
      <c r="B1752" s="21">
        <v>41153</v>
      </c>
      <c r="C1752" s="17">
        <v>39</v>
      </c>
      <c r="D1752" s="17" t="s">
        <v>90</v>
      </c>
      <c r="E1752" s="18">
        <v>184109</v>
      </c>
      <c r="F1752" s="17" t="s">
        <v>91</v>
      </c>
      <c r="G1752" s="14">
        <v>1495607.07</v>
      </c>
      <c r="H1752" s="14">
        <v>1311741.42</v>
      </c>
      <c r="I1752" s="14">
        <v>1311741.42</v>
      </c>
      <c r="J1752" s="22">
        <f>H1752*(1+Assumptions!$B$6+IF(F1752="Yes",Assumptions!$C$6,0))</f>
        <v>1351093.6625999999</v>
      </c>
      <c r="K1752" s="22">
        <f>H1752*(1+Assumptions!$B$7+IF(F1752="Yes",Assumptions!$C$7,0))</f>
        <v>1377328.4909999999</v>
      </c>
      <c r="L1752" s="22">
        <f>H1752*(1+Assumptions!$B$8+IF(F1752="Yes",Assumptions!$C$8,0))</f>
        <v>1324858.8341999999</v>
      </c>
    </row>
    <row r="1753" spans="1:12" ht="15">
      <c r="A1753" s="21">
        <v>41180</v>
      </c>
      <c r="B1753" s="21">
        <v>41153</v>
      </c>
      <c r="C1753" s="17">
        <v>40</v>
      </c>
      <c r="D1753" s="17" t="s">
        <v>90</v>
      </c>
      <c r="E1753" s="18">
        <v>155083</v>
      </c>
      <c r="F1753" s="17" t="s">
        <v>91</v>
      </c>
      <c r="G1753" s="14">
        <v>919595.44</v>
      </c>
      <c r="H1753" s="14">
        <v>912857.1</v>
      </c>
      <c r="I1753" s="14">
        <v>912857.1</v>
      </c>
      <c r="J1753" s="22">
        <f>H1753*(1+Assumptions!$B$6+IF(F1753="Yes",Assumptions!$C$6,0))</f>
        <v>940242.81299999997</v>
      </c>
      <c r="K1753" s="22">
        <f>H1753*(1+Assumptions!$B$7+IF(F1753="Yes",Assumptions!$C$7,0))</f>
        <v>958499.95499999996</v>
      </c>
      <c r="L1753" s="22">
        <f>H1753*(1+Assumptions!$B$8+IF(F1753="Yes",Assumptions!$C$8,0))</f>
        <v>921985.67099999997</v>
      </c>
    </row>
    <row r="1754" spans="1:12" ht="15">
      <c r="A1754" s="21">
        <v>41180</v>
      </c>
      <c r="B1754" s="21">
        <v>41153</v>
      </c>
      <c r="C1754" s="17">
        <v>41</v>
      </c>
      <c r="D1754" s="17" t="s">
        <v>90</v>
      </c>
      <c r="E1754" s="18">
        <v>196321</v>
      </c>
      <c r="F1754" s="17" t="s">
        <v>91</v>
      </c>
      <c r="G1754" s="14">
        <v>1307907.0999999999</v>
      </c>
      <c r="H1754" s="14">
        <v>1160615.1100000001</v>
      </c>
      <c r="I1754" s="14">
        <v>1160615.1100000001</v>
      </c>
      <c r="J1754" s="22">
        <f>H1754*(1+Assumptions!$B$6+IF(F1754="Yes",Assumptions!$C$6,0))</f>
        <v>1195433.5633</v>
      </c>
      <c r="K1754" s="22">
        <f>H1754*(1+Assumptions!$B$7+IF(F1754="Yes",Assumptions!$C$7,0))</f>
        <v>1218645.8655000001</v>
      </c>
      <c r="L1754" s="22">
        <f>H1754*(1+Assumptions!$B$8+IF(F1754="Yes",Assumptions!$C$8,0))</f>
        <v>1172221.2611</v>
      </c>
    </row>
    <row r="1755" spans="1:12" ht="15">
      <c r="A1755" s="21">
        <v>41180</v>
      </c>
      <c r="B1755" s="21">
        <v>41153</v>
      </c>
      <c r="C1755" s="17">
        <v>42</v>
      </c>
      <c r="D1755" s="17" t="s">
        <v>93</v>
      </c>
      <c r="E1755" s="18">
        <v>39690</v>
      </c>
      <c r="F1755" s="17" t="s">
        <v>91</v>
      </c>
      <c r="G1755" s="14">
        <v>505945.1</v>
      </c>
      <c r="H1755" s="14">
        <v>510364.29</v>
      </c>
      <c r="I1755" s="14">
        <v>510364.29</v>
      </c>
      <c r="J1755" s="22">
        <f>H1755*(1+Assumptions!$B$6+IF(F1755="Yes",Assumptions!$C$6,0))</f>
        <v>525675.21869999997</v>
      </c>
      <c r="K1755" s="22">
        <f>H1755*(1+Assumptions!$B$7+IF(F1755="Yes",Assumptions!$C$7,0))</f>
        <v>535882.50450000004</v>
      </c>
      <c r="L1755" s="22">
        <f>H1755*(1+Assumptions!$B$8+IF(F1755="Yes",Assumptions!$C$8,0))</f>
        <v>515467.93289999996</v>
      </c>
    </row>
    <row r="1756" spans="1:12" ht="15">
      <c r="A1756" s="21">
        <v>41180</v>
      </c>
      <c r="B1756" s="21">
        <v>41153</v>
      </c>
      <c r="C1756" s="17">
        <v>43</v>
      </c>
      <c r="D1756" s="17" t="s">
        <v>93</v>
      </c>
      <c r="E1756" s="18">
        <v>41062</v>
      </c>
      <c r="F1756" s="17" t="s">
        <v>91</v>
      </c>
      <c r="G1756" s="14">
        <v>577454.79</v>
      </c>
      <c r="H1756" s="14">
        <v>555176.25</v>
      </c>
      <c r="I1756" s="14">
        <v>555176.25</v>
      </c>
      <c r="J1756" s="22">
        <f>H1756*(1+Assumptions!$B$6+IF(F1756="Yes",Assumptions!$C$6,0))</f>
        <v>571831.53749999998</v>
      </c>
      <c r="K1756" s="22">
        <f>H1756*(1+Assumptions!$B$7+IF(F1756="Yes",Assumptions!$C$7,0))</f>
        <v>582935.0625</v>
      </c>
      <c r="L1756" s="22">
        <f>H1756*(1+Assumptions!$B$8+IF(F1756="Yes",Assumptions!$C$8,0))</f>
        <v>560728.01249999995</v>
      </c>
    </row>
    <row r="1757" spans="1:12" ht="15">
      <c r="A1757" s="21">
        <v>41180</v>
      </c>
      <c r="B1757" s="21">
        <v>41153</v>
      </c>
      <c r="C1757" s="17">
        <v>44</v>
      </c>
      <c r="D1757" s="17" t="s">
        <v>93</v>
      </c>
      <c r="E1757" s="18">
        <v>39910</v>
      </c>
      <c r="F1757" s="17" t="s">
        <v>91</v>
      </c>
      <c r="G1757" s="14">
        <v>355139.94</v>
      </c>
      <c r="H1757" s="14">
        <v>299733.75</v>
      </c>
      <c r="I1757" s="14">
        <v>299733.75</v>
      </c>
      <c r="J1757" s="22">
        <f>H1757*(1+Assumptions!$B$6+IF(F1757="Yes",Assumptions!$C$6,0))</f>
        <v>308725.76250000001</v>
      </c>
      <c r="K1757" s="22">
        <f>H1757*(1+Assumptions!$B$7+IF(F1757="Yes",Assumptions!$C$7,0))</f>
        <v>314720.4375</v>
      </c>
      <c r="L1757" s="22">
        <f>H1757*(1+Assumptions!$B$8+IF(F1757="Yes",Assumptions!$C$8,0))</f>
        <v>302731.08750000002</v>
      </c>
    </row>
    <row r="1758" spans="1:12" ht="15">
      <c r="A1758" s="21">
        <v>41180</v>
      </c>
      <c r="B1758" s="21">
        <v>41153</v>
      </c>
      <c r="C1758" s="17">
        <v>45</v>
      </c>
      <c r="D1758" s="17" t="s">
        <v>92</v>
      </c>
      <c r="E1758" s="18">
        <v>118221</v>
      </c>
      <c r="F1758" s="17" t="s">
        <v>91</v>
      </c>
      <c r="G1758" s="14">
        <v>713173.95</v>
      </c>
      <c r="H1758" s="14">
        <v>698914.91</v>
      </c>
      <c r="I1758" s="14">
        <v>698914.91</v>
      </c>
      <c r="J1758" s="22">
        <f>H1758*(1+Assumptions!$B$6+IF(F1758="Yes",Assumptions!$C$6,0))</f>
        <v>719882.35730000003</v>
      </c>
      <c r="K1758" s="22">
        <f>H1758*(1+Assumptions!$B$7+IF(F1758="Yes",Assumptions!$C$7,0))</f>
        <v>733860.65550000011</v>
      </c>
      <c r="L1758" s="22">
        <f>H1758*(1+Assumptions!$B$8+IF(F1758="Yes",Assumptions!$C$8,0))</f>
        <v>705904.05910000007</v>
      </c>
    </row>
    <row r="1759" spans="1:12" ht="15">
      <c r="A1759" s="21">
        <v>41187</v>
      </c>
      <c r="B1759" s="21">
        <v>41183</v>
      </c>
      <c r="C1759" s="17">
        <v>1</v>
      </c>
      <c r="D1759" s="17" t="s">
        <v>90</v>
      </c>
      <c r="E1759" s="18">
        <v>151315</v>
      </c>
      <c r="F1759" s="17" t="s">
        <v>91</v>
      </c>
      <c r="G1759" s="14">
        <v>1670150.97</v>
      </c>
      <c r="H1759" s="14">
        <v>1630977.98</v>
      </c>
      <c r="I1759" s="14">
        <v>1630977.98</v>
      </c>
      <c r="J1759" s="22">
        <f>H1759*(1+Assumptions!$B$6+IF(F1759="Yes",Assumptions!$C$6,0))</f>
        <v>1679907.3193999999</v>
      </c>
      <c r="K1759" s="22">
        <f>H1759*(1+Assumptions!$B$7+IF(F1759="Yes",Assumptions!$C$7,0))</f>
        <v>1712526.879</v>
      </c>
      <c r="L1759" s="22">
        <f>H1759*(1+Assumptions!$B$8+IF(F1759="Yes",Assumptions!$C$8,0))</f>
        <v>1647287.7597999999</v>
      </c>
    </row>
    <row r="1760" spans="1:12" ht="15">
      <c r="A1760" s="21">
        <v>41187</v>
      </c>
      <c r="B1760" s="21">
        <v>41183</v>
      </c>
      <c r="C1760" s="17">
        <v>2</v>
      </c>
      <c r="D1760" s="17" t="s">
        <v>90</v>
      </c>
      <c r="E1760" s="18">
        <v>202307</v>
      </c>
      <c r="F1760" s="17" t="s">
        <v>91</v>
      </c>
      <c r="G1760" s="14">
        <v>1997726.04</v>
      </c>
      <c r="H1760" s="14">
        <v>1837553.43</v>
      </c>
      <c r="I1760" s="14">
        <v>1837553.43</v>
      </c>
      <c r="J1760" s="22">
        <f>H1760*(1+Assumptions!$B$6+IF(F1760="Yes",Assumptions!$C$6,0))</f>
        <v>1892680.0329</v>
      </c>
      <c r="K1760" s="22">
        <f>H1760*(1+Assumptions!$B$7+IF(F1760="Yes",Assumptions!$C$7,0))</f>
        <v>1929431.1015000001</v>
      </c>
      <c r="L1760" s="22">
        <f>H1760*(1+Assumptions!$B$8+IF(F1760="Yes",Assumptions!$C$8,0))</f>
        <v>1855928.9642999999</v>
      </c>
    </row>
    <row r="1761" spans="1:12" ht="15">
      <c r="A1761" s="21">
        <v>41187</v>
      </c>
      <c r="B1761" s="21">
        <v>41183</v>
      </c>
      <c r="C1761" s="17">
        <v>3</v>
      </c>
      <c r="D1761" s="17" t="s">
        <v>92</v>
      </c>
      <c r="E1761" s="18">
        <v>37392</v>
      </c>
      <c r="F1761" s="17" t="s">
        <v>91</v>
      </c>
      <c r="G1761" s="14">
        <v>443542.8</v>
      </c>
      <c r="H1761" s="14">
        <v>403340.9</v>
      </c>
      <c r="I1761" s="14">
        <v>403340.9</v>
      </c>
      <c r="J1761" s="22">
        <f>H1761*(1+Assumptions!$B$6+IF(F1761="Yes",Assumptions!$C$6,0))</f>
        <v>415441.12700000004</v>
      </c>
      <c r="K1761" s="22">
        <f>H1761*(1+Assumptions!$B$7+IF(F1761="Yes",Assumptions!$C$7,0))</f>
        <v>423507.94500000007</v>
      </c>
      <c r="L1761" s="22">
        <f>H1761*(1+Assumptions!$B$8+IF(F1761="Yes",Assumptions!$C$8,0))</f>
        <v>407374.30900000001</v>
      </c>
    </row>
    <row r="1762" spans="1:12" ht="15">
      <c r="A1762" s="21">
        <v>41187</v>
      </c>
      <c r="B1762" s="21">
        <v>41183</v>
      </c>
      <c r="C1762" s="17">
        <v>4</v>
      </c>
      <c r="D1762" s="17" t="s">
        <v>90</v>
      </c>
      <c r="E1762" s="18">
        <v>205863</v>
      </c>
      <c r="F1762" s="17" t="s">
        <v>91</v>
      </c>
      <c r="G1762" s="14">
        <v>2209345.4300000002</v>
      </c>
      <c r="H1762" s="14">
        <v>2166737.65</v>
      </c>
      <c r="I1762" s="14">
        <v>2166737.65</v>
      </c>
      <c r="J1762" s="22">
        <f>H1762*(1+Assumptions!$B$6+IF(F1762="Yes",Assumptions!$C$6,0))</f>
        <v>2231739.7795000002</v>
      </c>
      <c r="K1762" s="22">
        <f>H1762*(1+Assumptions!$B$7+IF(F1762="Yes",Assumptions!$C$7,0))</f>
        <v>2275074.5325000002</v>
      </c>
      <c r="L1762" s="22">
        <f>H1762*(1+Assumptions!$B$8+IF(F1762="Yes",Assumptions!$C$8,0))</f>
        <v>2188405.0265000002</v>
      </c>
    </row>
    <row r="1763" spans="1:12" ht="15">
      <c r="A1763" s="21">
        <v>41187</v>
      </c>
      <c r="B1763" s="21">
        <v>41183</v>
      </c>
      <c r="C1763" s="17">
        <v>5</v>
      </c>
      <c r="D1763" s="17" t="s">
        <v>92</v>
      </c>
      <c r="E1763" s="18">
        <v>34875</v>
      </c>
      <c r="F1763" s="17" t="s">
        <v>91</v>
      </c>
      <c r="G1763" s="14">
        <v>343048.29</v>
      </c>
      <c r="H1763" s="14">
        <v>307779.19</v>
      </c>
      <c r="I1763" s="14">
        <v>307779.19</v>
      </c>
      <c r="J1763" s="22">
        <f>H1763*(1+Assumptions!$B$6+IF(F1763="Yes",Assumptions!$C$6,0))</f>
        <v>317012.56570000004</v>
      </c>
      <c r="K1763" s="22">
        <f>H1763*(1+Assumptions!$B$7+IF(F1763="Yes",Assumptions!$C$7,0))</f>
        <v>323168.1495</v>
      </c>
      <c r="L1763" s="22">
        <f>H1763*(1+Assumptions!$B$8+IF(F1763="Yes",Assumptions!$C$8,0))</f>
        <v>310856.98190000001</v>
      </c>
    </row>
    <row r="1764" spans="1:12" ht="15">
      <c r="A1764" s="21">
        <v>41187</v>
      </c>
      <c r="B1764" s="21">
        <v>41183</v>
      </c>
      <c r="C1764" s="17">
        <v>6</v>
      </c>
      <c r="D1764" s="17" t="s">
        <v>90</v>
      </c>
      <c r="E1764" s="18">
        <v>202505</v>
      </c>
      <c r="F1764" s="17" t="s">
        <v>91</v>
      </c>
      <c r="G1764" s="14">
        <v>1517737.71</v>
      </c>
      <c r="H1764" s="14">
        <v>1482027.23</v>
      </c>
      <c r="I1764" s="14">
        <v>1482027.23</v>
      </c>
      <c r="J1764" s="22">
        <f>H1764*(1+Assumptions!$B$6+IF(F1764="Yes",Assumptions!$C$6,0))</f>
        <v>1526488.0469</v>
      </c>
      <c r="K1764" s="22">
        <f>H1764*(1+Assumptions!$B$7+IF(F1764="Yes",Assumptions!$C$7,0))</f>
        <v>1556128.5915000001</v>
      </c>
      <c r="L1764" s="22">
        <f>H1764*(1+Assumptions!$B$8+IF(F1764="Yes",Assumptions!$C$8,0))</f>
        <v>1496847.5023000001</v>
      </c>
    </row>
    <row r="1765" spans="1:12" ht="15">
      <c r="A1765" s="21">
        <v>41187</v>
      </c>
      <c r="B1765" s="21">
        <v>41183</v>
      </c>
      <c r="C1765" s="17">
        <v>7</v>
      </c>
      <c r="D1765" s="17" t="s">
        <v>92</v>
      </c>
      <c r="E1765" s="18">
        <v>70713</v>
      </c>
      <c r="F1765" s="17" t="s">
        <v>91</v>
      </c>
      <c r="G1765" s="14">
        <v>504770.56</v>
      </c>
      <c r="H1765" s="14">
        <v>525842.48</v>
      </c>
      <c r="I1765" s="14">
        <v>525842.48</v>
      </c>
      <c r="J1765" s="22">
        <f>H1765*(1+Assumptions!$B$6+IF(F1765="Yes",Assumptions!$C$6,0))</f>
        <v>541617.75439999998</v>
      </c>
      <c r="K1765" s="22">
        <f>H1765*(1+Assumptions!$B$7+IF(F1765="Yes",Assumptions!$C$7,0))</f>
        <v>552134.60400000005</v>
      </c>
      <c r="L1765" s="22">
        <f>H1765*(1+Assumptions!$B$8+IF(F1765="Yes",Assumptions!$C$8,0))</f>
        <v>531100.90480000002</v>
      </c>
    </row>
    <row r="1766" spans="1:12" ht="15">
      <c r="A1766" s="21">
        <v>41187</v>
      </c>
      <c r="B1766" s="21">
        <v>41183</v>
      </c>
      <c r="C1766" s="17">
        <v>8</v>
      </c>
      <c r="D1766" s="17" t="s">
        <v>90</v>
      </c>
      <c r="E1766" s="18">
        <v>155078</v>
      </c>
      <c r="F1766" s="17" t="s">
        <v>91</v>
      </c>
      <c r="G1766" s="14">
        <v>975966.02</v>
      </c>
      <c r="H1766" s="14">
        <v>929976.55</v>
      </c>
      <c r="I1766" s="14">
        <v>929976.55</v>
      </c>
      <c r="J1766" s="22">
        <f>H1766*(1+Assumptions!$B$6+IF(F1766="Yes",Assumptions!$C$6,0))</f>
        <v>957875.8465000001</v>
      </c>
      <c r="K1766" s="22">
        <f>H1766*(1+Assumptions!$B$7+IF(F1766="Yes",Assumptions!$C$7,0))</f>
        <v>976475.37750000006</v>
      </c>
      <c r="L1766" s="22">
        <f>H1766*(1+Assumptions!$B$8+IF(F1766="Yes",Assumptions!$C$8,0))</f>
        <v>939276.31550000003</v>
      </c>
    </row>
    <row r="1767" spans="1:12" ht="15">
      <c r="A1767" s="21">
        <v>41187</v>
      </c>
      <c r="B1767" s="21">
        <v>41183</v>
      </c>
      <c r="C1767" s="17">
        <v>9</v>
      </c>
      <c r="D1767" s="17" t="s">
        <v>92</v>
      </c>
      <c r="E1767" s="18">
        <v>125833</v>
      </c>
      <c r="F1767" s="17" t="s">
        <v>91</v>
      </c>
      <c r="G1767" s="14">
        <v>606755.30000000005</v>
      </c>
      <c r="H1767" s="14">
        <v>553829.51</v>
      </c>
      <c r="I1767" s="14">
        <v>553829.51</v>
      </c>
      <c r="J1767" s="22">
        <f>H1767*(1+Assumptions!$B$6+IF(F1767="Yes",Assumptions!$C$6,0))</f>
        <v>570444.39529999997</v>
      </c>
      <c r="K1767" s="22">
        <f>H1767*(1+Assumptions!$B$7+IF(F1767="Yes",Assumptions!$C$7,0))</f>
        <v>581520.98550000007</v>
      </c>
      <c r="L1767" s="22">
        <f>H1767*(1+Assumptions!$B$8+IF(F1767="Yes",Assumptions!$C$8,0))</f>
        <v>559367.8051</v>
      </c>
    </row>
    <row r="1768" spans="1:12" ht="15">
      <c r="A1768" s="21">
        <v>41187</v>
      </c>
      <c r="B1768" s="21">
        <v>41183</v>
      </c>
      <c r="C1768" s="17">
        <v>10</v>
      </c>
      <c r="D1768" s="17" t="s">
        <v>92</v>
      </c>
      <c r="E1768" s="18">
        <v>126512</v>
      </c>
      <c r="F1768" s="17" t="s">
        <v>91</v>
      </c>
      <c r="G1768" s="14">
        <v>1758916.38</v>
      </c>
      <c r="H1768" s="14">
        <v>1788227.6</v>
      </c>
      <c r="I1768" s="14">
        <v>1788227.6</v>
      </c>
      <c r="J1768" s="22">
        <f>H1768*(1+Assumptions!$B$6+IF(F1768="Yes",Assumptions!$C$6,0))</f>
        <v>1841874.4280000001</v>
      </c>
      <c r="K1768" s="22">
        <f>H1768*(1+Assumptions!$B$7+IF(F1768="Yes",Assumptions!$C$7,0))</f>
        <v>1877638.9800000002</v>
      </c>
      <c r="L1768" s="22">
        <f>H1768*(1+Assumptions!$B$8+IF(F1768="Yes",Assumptions!$C$8,0))</f>
        <v>1806109.8760000002</v>
      </c>
    </row>
    <row r="1769" spans="1:12" ht="15">
      <c r="A1769" s="21">
        <v>41187</v>
      </c>
      <c r="B1769" s="21">
        <v>41183</v>
      </c>
      <c r="C1769" s="17">
        <v>11</v>
      </c>
      <c r="D1769" s="17" t="s">
        <v>90</v>
      </c>
      <c r="E1769" s="18">
        <v>207499</v>
      </c>
      <c r="F1769" s="17" t="s">
        <v>91</v>
      </c>
      <c r="G1769" s="14">
        <v>1422094.26</v>
      </c>
      <c r="H1769" s="14">
        <v>1346241.06</v>
      </c>
      <c r="I1769" s="14">
        <v>1346241.06</v>
      </c>
      <c r="J1769" s="22">
        <f>H1769*(1+Assumptions!$B$6+IF(F1769="Yes",Assumptions!$C$6,0))</f>
        <v>1386628.2918</v>
      </c>
      <c r="K1769" s="22">
        <f>H1769*(1+Assumptions!$B$7+IF(F1769="Yes",Assumptions!$C$7,0))</f>
        <v>1413553.1130000001</v>
      </c>
      <c r="L1769" s="22">
        <f>H1769*(1+Assumptions!$B$8+IF(F1769="Yes",Assumptions!$C$8,0))</f>
        <v>1359703.4706000001</v>
      </c>
    </row>
    <row r="1770" spans="1:12" ht="15">
      <c r="A1770" s="21">
        <v>41187</v>
      </c>
      <c r="B1770" s="21">
        <v>41183</v>
      </c>
      <c r="C1770" s="17">
        <v>12</v>
      </c>
      <c r="D1770" s="17" t="s">
        <v>92</v>
      </c>
      <c r="E1770" s="18">
        <v>112238</v>
      </c>
      <c r="F1770" s="17" t="s">
        <v>91</v>
      </c>
      <c r="G1770" s="14">
        <v>979825.91999999993</v>
      </c>
      <c r="H1770" s="14">
        <v>951165.16</v>
      </c>
      <c r="I1770" s="14">
        <v>951165.16</v>
      </c>
      <c r="J1770" s="22">
        <f>H1770*(1+Assumptions!$B$6+IF(F1770="Yes",Assumptions!$C$6,0))</f>
        <v>979700.1148000001</v>
      </c>
      <c r="K1770" s="22">
        <f>H1770*(1+Assumptions!$B$7+IF(F1770="Yes",Assumptions!$C$7,0))</f>
        <v>998723.41800000006</v>
      </c>
      <c r="L1770" s="22">
        <f>H1770*(1+Assumptions!$B$8+IF(F1770="Yes",Assumptions!$C$8,0))</f>
        <v>960676.81160000002</v>
      </c>
    </row>
    <row r="1771" spans="1:12" ht="15">
      <c r="A1771" s="21">
        <v>41187</v>
      </c>
      <c r="B1771" s="21">
        <v>41183</v>
      </c>
      <c r="C1771" s="17">
        <v>13</v>
      </c>
      <c r="D1771" s="17" t="s">
        <v>90</v>
      </c>
      <c r="E1771" s="18">
        <v>219622</v>
      </c>
      <c r="F1771" s="17" t="s">
        <v>91</v>
      </c>
      <c r="G1771" s="14">
        <v>2040788.74</v>
      </c>
      <c r="H1771" s="14">
        <v>2067208.68</v>
      </c>
      <c r="I1771" s="14">
        <v>2067208.68</v>
      </c>
      <c r="J1771" s="22">
        <f>H1771*(1+Assumptions!$B$6+IF(F1771="Yes",Assumptions!$C$6,0))</f>
        <v>2129224.9404000002</v>
      </c>
      <c r="K1771" s="22">
        <f>H1771*(1+Assumptions!$B$7+IF(F1771="Yes",Assumptions!$C$7,0))</f>
        <v>2170569.1140000001</v>
      </c>
      <c r="L1771" s="22">
        <f>H1771*(1+Assumptions!$B$8+IF(F1771="Yes",Assumptions!$C$8,0))</f>
        <v>2087880.7667999999</v>
      </c>
    </row>
    <row r="1772" spans="1:12" ht="15">
      <c r="A1772" s="21">
        <v>41187</v>
      </c>
      <c r="B1772" s="21">
        <v>41183</v>
      </c>
      <c r="C1772" s="17">
        <v>14</v>
      </c>
      <c r="D1772" s="17" t="s">
        <v>90</v>
      </c>
      <c r="E1772" s="18">
        <v>200898</v>
      </c>
      <c r="F1772" s="17" t="s">
        <v>91</v>
      </c>
      <c r="G1772" s="14">
        <v>1686842.16</v>
      </c>
      <c r="H1772" s="14">
        <v>2078796.76</v>
      </c>
      <c r="I1772" s="14">
        <v>2078796.76</v>
      </c>
      <c r="J1772" s="22">
        <f>H1772*(1+Assumptions!$B$6+IF(F1772="Yes",Assumptions!$C$6,0))</f>
        <v>2141160.6628</v>
      </c>
      <c r="K1772" s="22">
        <f>H1772*(1+Assumptions!$B$7+IF(F1772="Yes",Assumptions!$C$7,0))</f>
        <v>2182736.5980000002</v>
      </c>
      <c r="L1772" s="22">
        <f>H1772*(1+Assumptions!$B$8+IF(F1772="Yes",Assumptions!$C$8,0))</f>
        <v>2099584.7275999999</v>
      </c>
    </row>
    <row r="1773" spans="1:12" ht="15">
      <c r="A1773" s="21">
        <v>41187</v>
      </c>
      <c r="B1773" s="21">
        <v>41183</v>
      </c>
      <c r="C1773" s="17">
        <v>15</v>
      </c>
      <c r="D1773" s="17" t="s">
        <v>92</v>
      </c>
      <c r="E1773" s="18">
        <v>123737</v>
      </c>
      <c r="F1773" s="17" t="s">
        <v>91</v>
      </c>
      <c r="G1773" s="14">
        <v>573498.64</v>
      </c>
      <c r="H1773" s="14">
        <v>579068.88</v>
      </c>
      <c r="I1773" s="14">
        <v>579068.88</v>
      </c>
      <c r="J1773" s="22">
        <f>H1773*(1+Assumptions!$B$6+IF(F1773="Yes",Assumptions!$C$6,0))</f>
        <v>596440.94640000002</v>
      </c>
      <c r="K1773" s="22">
        <f>H1773*(1+Assumptions!$B$7+IF(F1773="Yes",Assumptions!$C$7,0))</f>
        <v>608022.32400000002</v>
      </c>
      <c r="L1773" s="22">
        <f>H1773*(1+Assumptions!$B$8+IF(F1773="Yes",Assumptions!$C$8,0))</f>
        <v>584859.56880000001</v>
      </c>
    </row>
    <row r="1774" spans="1:12" ht="15">
      <c r="A1774" s="21">
        <v>41187</v>
      </c>
      <c r="B1774" s="21">
        <v>41183</v>
      </c>
      <c r="C1774" s="17">
        <v>16</v>
      </c>
      <c r="D1774" s="17" t="s">
        <v>92</v>
      </c>
      <c r="E1774" s="18">
        <v>57197</v>
      </c>
      <c r="F1774" s="17" t="s">
        <v>91</v>
      </c>
      <c r="G1774" s="14">
        <v>469282.04</v>
      </c>
      <c r="H1774" s="14">
        <v>482845.43</v>
      </c>
      <c r="I1774" s="14">
        <v>482845.43</v>
      </c>
      <c r="J1774" s="22">
        <f>H1774*(1+Assumptions!$B$6+IF(F1774="Yes",Assumptions!$C$6,0))</f>
        <v>497330.7929</v>
      </c>
      <c r="K1774" s="22">
        <f>H1774*(1+Assumptions!$B$7+IF(F1774="Yes",Assumptions!$C$7,0))</f>
        <v>506987.70150000002</v>
      </c>
      <c r="L1774" s="22">
        <f>H1774*(1+Assumptions!$B$8+IF(F1774="Yes",Assumptions!$C$8,0))</f>
        <v>487673.88429999998</v>
      </c>
    </row>
    <row r="1775" spans="1:12" ht="15">
      <c r="A1775" s="21">
        <v>41187</v>
      </c>
      <c r="B1775" s="21">
        <v>41183</v>
      </c>
      <c r="C1775" s="17">
        <v>17</v>
      </c>
      <c r="D1775" s="17" t="s">
        <v>92</v>
      </c>
      <c r="E1775" s="18">
        <v>93188</v>
      </c>
      <c r="F1775" s="17" t="s">
        <v>91</v>
      </c>
      <c r="G1775" s="14">
        <v>951693.98</v>
      </c>
      <c r="H1775" s="14">
        <v>918006.9</v>
      </c>
      <c r="I1775" s="14">
        <v>918006.9</v>
      </c>
      <c r="J1775" s="22">
        <f>H1775*(1+Assumptions!$B$6+IF(F1775="Yes",Assumptions!$C$6,0))</f>
        <v>945547.10700000008</v>
      </c>
      <c r="K1775" s="22">
        <f>H1775*(1+Assumptions!$B$7+IF(F1775="Yes",Assumptions!$C$7,0))</f>
        <v>963907.24500000011</v>
      </c>
      <c r="L1775" s="22">
        <f>H1775*(1+Assumptions!$B$8+IF(F1775="Yes",Assumptions!$C$8,0))</f>
        <v>927186.96900000004</v>
      </c>
    </row>
    <row r="1776" spans="1:12" ht="15">
      <c r="A1776" s="21">
        <v>41187</v>
      </c>
      <c r="B1776" s="21">
        <v>41183</v>
      </c>
      <c r="C1776" s="17">
        <v>18</v>
      </c>
      <c r="D1776" s="17" t="s">
        <v>92</v>
      </c>
      <c r="E1776" s="18">
        <v>120653</v>
      </c>
      <c r="F1776" s="17" t="s">
        <v>91</v>
      </c>
      <c r="G1776" s="14">
        <v>1092204.79</v>
      </c>
      <c r="H1776" s="14">
        <v>1019573.34</v>
      </c>
      <c r="I1776" s="14">
        <v>1019573.34</v>
      </c>
      <c r="J1776" s="22">
        <f>H1776*(1+Assumptions!$B$6+IF(F1776="Yes",Assumptions!$C$6,0))</f>
        <v>1050160.5401999999</v>
      </c>
      <c r="K1776" s="22">
        <f>H1776*(1+Assumptions!$B$7+IF(F1776="Yes",Assumptions!$C$7,0))</f>
        <v>1070552.007</v>
      </c>
      <c r="L1776" s="22">
        <f>H1776*(1+Assumptions!$B$8+IF(F1776="Yes",Assumptions!$C$8,0))</f>
        <v>1029769.0734</v>
      </c>
    </row>
    <row r="1777" spans="1:12" ht="15">
      <c r="A1777" s="21">
        <v>41187</v>
      </c>
      <c r="B1777" s="21">
        <v>41183</v>
      </c>
      <c r="C1777" s="17">
        <v>19</v>
      </c>
      <c r="D1777" s="17" t="s">
        <v>90</v>
      </c>
      <c r="E1777" s="18">
        <v>203819</v>
      </c>
      <c r="F1777" s="17" t="s">
        <v>91</v>
      </c>
      <c r="G1777" s="14">
        <v>1406684.69</v>
      </c>
      <c r="H1777" s="14">
        <v>1461680.71</v>
      </c>
      <c r="I1777" s="14">
        <v>1461680.71</v>
      </c>
      <c r="J1777" s="22">
        <f>H1777*(1+Assumptions!$B$6+IF(F1777="Yes",Assumptions!$C$6,0))</f>
        <v>1505531.1313</v>
      </c>
      <c r="K1777" s="22">
        <f>H1777*(1+Assumptions!$B$7+IF(F1777="Yes",Assumptions!$C$7,0))</f>
        <v>1534764.7455</v>
      </c>
      <c r="L1777" s="22">
        <f>H1777*(1+Assumptions!$B$8+IF(F1777="Yes",Assumptions!$C$8,0))</f>
        <v>1476297.5171000001</v>
      </c>
    </row>
    <row r="1778" spans="1:12" ht="15">
      <c r="A1778" s="21">
        <v>41187</v>
      </c>
      <c r="B1778" s="21">
        <v>41183</v>
      </c>
      <c r="C1778" s="17">
        <v>20</v>
      </c>
      <c r="D1778" s="17" t="s">
        <v>90</v>
      </c>
      <c r="E1778" s="18">
        <v>203742</v>
      </c>
      <c r="F1778" s="17" t="s">
        <v>91</v>
      </c>
      <c r="G1778" s="14">
        <v>2245733</v>
      </c>
      <c r="H1778" s="14">
        <v>2135860.79</v>
      </c>
      <c r="I1778" s="14">
        <v>2135860.79</v>
      </c>
      <c r="J1778" s="22">
        <f>H1778*(1+Assumptions!$B$6+IF(F1778="Yes",Assumptions!$C$6,0))</f>
        <v>2199936.6137000001</v>
      </c>
      <c r="K1778" s="22">
        <f>H1778*(1+Assumptions!$B$7+IF(F1778="Yes",Assumptions!$C$7,0))</f>
        <v>2242653.8295</v>
      </c>
      <c r="L1778" s="22">
        <f>H1778*(1+Assumptions!$B$8+IF(F1778="Yes",Assumptions!$C$8,0))</f>
        <v>2157219.3979000002</v>
      </c>
    </row>
    <row r="1779" spans="1:12" ht="15">
      <c r="A1779" s="21">
        <v>41187</v>
      </c>
      <c r="B1779" s="21">
        <v>41183</v>
      </c>
      <c r="C1779" s="17">
        <v>21</v>
      </c>
      <c r="D1779" s="17" t="s">
        <v>92</v>
      </c>
      <c r="E1779" s="18">
        <v>140167</v>
      </c>
      <c r="F1779" s="17" t="s">
        <v>91</v>
      </c>
      <c r="G1779" s="14">
        <v>651768.91</v>
      </c>
      <c r="H1779" s="14">
        <v>663452.46</v>
      </c>
      <c r="I1779" s="14">
        <v>663452.46</v>
      </c>
      <c r="J1779" s="22">
        <f>H1779*(1+Assumptions!$B$6+IF(F1779="Yes",Assumptions!$C$6,0))</f>
        <v>683356.03379999998</v>
      </c>
      <c r="K1779" s="22">
        <f>H1779*(1+Assumptions!$B$7+IF(F1779="Yes",Assumptions!$C$7,0))</f>
        <v>696625.08299999998</v>
      </c>
      <c r="L1779" s="22">
        <f>H1779*(1+Assumptions!$B$8+IF(F1779="Yes",Assumptions!$C$8,0))</f>
        <v>670086.98459999997</v>
      </c>
    </row>
    <row r="1780" spans="1:12" ht="15">
      <c r="A1780" s="21">
        <v>41187</v>
      </c>
      <c r="B1780" s="21">
        <v>41183</v>
      </c>
      <c r="C1780" s="17">
        <v>22</v>
      </c>
      <c r="D1780" s="17" t="s">
        <v>92</v>
      </c>
      <c r="E1780" s="18">
        <v>119557</v>
      </c>
      <c r="F1780" s="17" t="s">
        <v>91</v>
      </c>
      <c r="G1780" s="14">
        <v>1009772.88</v>
      </c>
      <c r="H1780" s="14">
        <v>993402.77</v>
      </c>
      <c r="I1780" s="14">
        <v>993402.77</v>
      </c>
      <c r="J1780" s="22">
        <f>H1780*(1+Assumptions!$B$6+IF(F1780="Yes",Assumptions!$C$6,0))</f>
        <v>1023204.8531000001</v>
      </c>
      <c r="K1780" s="22">
        <f>H1780*(1+Assumptions!$B$7+IF(F1780="Yes",Assumptions!$C$7,0))</f>
        <v>1043072.9085</v>
      </c>
      <c r="L1780" s="22">
        <f>H1780*(1+Assumptions!$B$8+IF(F1780="Yes",Assumptions!$C$8,0))</f>
        <v>1003336.7977</v>
      </c>
    </row>
    <row r="1781" spans="1:12" ht="15">
      <c r="A1781" s="21">
        <v>41187</v>
      </c>
      <c r="B1781" s="21">
        <v>41183</v>
      </c>
      <c r="C1781" s="17">
        <v>23</v>
      </c>
      <c r="D1781" s="17" t="s">
        <v>92</v>
      </c>
      <c r="E1781" s="18">
        <v>114533</v>
      </c>
      <c r="F1781" s="17" t="s">
        <v>91</v>
      </c>
      <c r="G1781" s="14">
        <v>1464616.59</v>
      </c>
      <c r="H1781" s="14">
        <v>1463478.05</v>
      </c>
      <c r="I1781" s="14">
        <v>1463478.05</v>
      </c>
      <c r="J1781" s="22">
        <f>H1781*(1+Assumptions!$B$6+IF(F1781="Yes",Assumptions!$C$6,0))</f>
        <v>1507382.3915000001</v>
      </c>
      <c r="K1781" s="22">
        <f>H1781*(1+Assumptions!$B$7+IF(F1781="Yes",Assumptions!$C$7,0))</f>
        <v>1536651.9525000001</v>
      </c>
      <c r="L1781" s="22">
        <f>H1781*(1+Assumptions!$B$8+IF(F1781="Yes",Assumptions!$C$8,0))</f>
        <v>1478112.8305000002</v>
      </c>
    </row>
    <row r="1782" spans="1:12" ht="15">
      <c r="A1782" s="21">
        <v>41187</v>
      </c>
      <c r="B1782" s="21">
        <v>41183</v>
      </c>
      <c r="C1782" s="17">
        <v>24</v>
      </c>
      <c r="D1782" s="17" t="s">
        <v>90</v>
      </c>
      <c r="E1782" s="18">
        <v>203819</v>
      </c>
      <c r="F1782" s="17" t="s">
        <v>91</v>
      </c>
      <c r="G1782" s="14">
        <v>1416140.54</v>
      </c>
      <c r="H1782" s="14">
        <v>1405914.39</v>
      </c>
      <c r="I1782" s="14">
        <v>1405914.39</v>
      </c>
      <c r="J1782" s="22">
        <f>H1782*(1+Assumptions!$B$6+IF(F1782="Yes",Assumptions!$C$6,0))</f>
        <v>1448091.8217</v>
      </c>
      <c r="K1782" s="22">
        <f>H1782*(1+Assumptions!$B$7+IF(F1782="Yes",Assumptions!$C$7,0))</f>
        <v>1476210.1095</v>
      </c>
      <c r="L1782" s="22">
        <f>H1782*(1+Assumptions!$B$8+IF(F1782="Yes",Assumptions!$C$8,0))</f>
        <v>1419973.5338999999</v>
      </c>
    </row>
    <row r="1783" spans="1:12" ht="15">
      <c r="A1783" s="21">
        <v>41187</v>
      </c>
      <c r="B1783" s="21">
        <v>41183</v>
      </c>
      <c r="C1783" s="17">
        <v>25</v>
      </c>
      <c r="D1783" s="17" t="s">
        <v>92</v>
      </c>
      <c r="E1783" s="18">
        <v>128107</v>
      </c>
      <c r="F1783" s="17" t="s">
        <v>91</v>
      </c>
      <c r="G1783" s="14">
        <v>699536.73</v>
      </c>
      <c r="H1783" s="14">
        <v>671268.95</v>
      </c>
      <c r="I1783" s="14">
        <v>671268.95</v>
      </c>
      <c r="J1783" s="22">
        <f>H1783*(1+Assumptions!$B$6+IF(F1783="Yes",Assumptions!$C$6,0))</f>
        <v>691407.01850000001</v>
      </c>
      <c r="K1783" s="22">
        <f>H1783*(1+Assumptions!$B$7+IF(F1783="Yes",Assumptions!$C$7,0))</f>
        <v>704832.39749999996</v>
      </c>
      <c r="L1783" s="22">
        <f>H1783*(1+Assumptions!$B$8+IF(F1783="Yes",Assumptions!$C$8,0))</f>
        <v>677981.63949999993</v>
      </c>
    </row>
    <row r="1784" spans="1:12" ht="15">
      <c r="A1784" s="21">
        <v>41187</v>
      </c>
      <c r="B1784" s="21">
        <v>41183</v>
      </c>
      <c r="C1784" s="17">
        <v>26</v>
      </c>
      <c r="D1784" s="17" t="s">
        <v>90</v>
      </c>
      <c r="E1784" s="18">
        <v>152513</v>
      </c>
      <c r="F1784" s="17" t="s">
        <v>91</v>
      </c>
      <c r="G1784" s="14">
        <v>1095114.26</v>
      </c>
      <c r="H1784" s="14">
        <v>1129458.02</v>
      </c>
      <c r="I1784" s="14">
        <v>1129458.02</v>
      </c>
      <c r="J1784" s="22">
        <f>H1784*(1+Assumptions!$B$6+IF(F1784="Yes",Assumptions!$C$6,0))</f>
        <v>1163341.7606000002</v>
      </c>
      <c r="K1784" s="22">
        <f>H1784*(1+Assumptions!$B$7+IF(F1784="Yes",Assumptions!$C$7,0))</f>
        <v>1185930.9210000001</v>
      </c>
      <c r="L1784" s="22">
        <f>H1784*(1+Assumptions!$B$8+IF(F1784="Yes",Assumptions!$C$8,0))</f>
        <v>1140752.6002</v>
      </c>
    </row>
    <row r="1785" spans="1:12" ht="15">
      <c r="A1785" s="21">
        <v>41187</v>
      </c>
      <c r="B1785" s="21">
        <v>41183</v>
      </c>
      <c r="C1785" s="17">
        <v>27</v>
      </c>
      <c r="D1785" s="17" t="s">
        <v>90</v>
      </c>
      <c r="E1785" s="18">
        <v>204184</v>
      </c>
      <c r="F1785" s="17" t="s">
        <v>91</v>
      </c>
      <c r="G1785" s="14">
        <v>1591421.3800000001</v>
      </c>
      <c r="H1785" s="14">
        <v>1672349.27</v>
      </c>
      <c r="I1785" s="14">
        <v>1672349.27</v>
      </c>
      <c r="J1785" s="22">
        <f>H1785*(1+Assumptions!$B$6+IF(F1785="Yes",Assumptions!$C$6,0))</f>
        <v>1722519.7481</v>
      </c>
      <c r="K1785" s="22">
        <f>H1785*(1+Assumptions!$B$7+IF(F1785="Yes",Assumptions!$C$7,0))</f>
        <v>1755966.7335000001</v>
      </c>
      <c r="L1785" s="22">
        <f>H1785*(1+Assumptions!$B$8+IF(F1785="Yes",Assumptions!$C$8,0))</f>
        <v>1689072.7627000001</v>
      </c>
    </row>
    <row r="1786" spans="1:12" ht="15">
      <c r="A1786" s="21">
        <v>41187</v>
      </c>
      <c r="B1786" s="21">
        <v>41183</v>
      </c>
      <c r="C1786" s="17">
        <v>28</v>
      </c>
      <c r="D1786" s="17" t="s">
        <v>90</v>
      </c>
      <c r="E1786" s="18">
        <v>206302</v>
      </c>
      <c r="F1786" s="17" t="s">
        <v>91</v>
      </c>
      <c r="G1786" s="14">
        <v>1462936.15</v>
      </c>
      <c r="H1786" s="14">
        <v>1557302.61</v>
      </c>
      <c r="I1786" s="14">
        <v>1557302.61</v>
      </c>
      <c r="J1786" s="22">
        <f>H1786*(1+Assumptions!$B$6+IF(F1786="Yes",Assumptions!$C$6,0))</f>
        <v>1604021.6883</v>
      </c>
      <c r="K1786" s="22">
        <f>H1786*(1+Assumptions!$B$7+IF(F1786="Yes",Assumptions!$C$7,0))</f>
        <v>1635167.7405000001</v>
      </c>
      <c r="L1786" s="22">
        <f>H1786*(1+Assumptions!$B$8+IF(F1786="Yes",Assumptions!$C$8,0))</f>
        <v>1572875.6361</v>
      </c>
    </row>
    <row r="1787" spans="1:12" ht="15">
      <c r="A1787" s="21">
        <v>41187</v>
      </c>
      <c r="B1787" s="21">
        <v>41183</v>
      </c>
      <c r="C1787" s="17">
        <v>29</v>
      </c>
      <c r="D1787" s="17" t="s">
        <v>92</v>
      </c>
      <c r="E1787" s="18">
        <v>93638</v>
      </c>
      <c r="F1787" s="17" t="s">
        <v>91</v>
      </c>
      <c r="G1787" s="14">
        <v>520481.38</v>
      </c>
      <c r="H1787" s="14">
        <v>513144.72</v>
      </c>
      <c r="I1787" s="14">
        <v>513144.72</v>
      </c>
      <c r="J1787" s="22">
        <f>H1787*(1+Assumptions!$B$6+IF(F1787="Yes",Assumptions!$C$6,0))</f>
        <v>528539.06160000002</v>
      </c>
      <c r="K1787" s="22">
        <f>H1787*(1+Assumptions!$B$7+IF(F1787="Yes",Assumptions!$C$7,0))</f>
        <v>538801.95600000001</v>
      </c>
      <c r="L1787" s="22">
        <f>H1787*(1+Assumptions!$B$8+IF(F1787="Yes",Assumptions!$C$8,0))</f>
        <v>518276.16719999997</v>
      </c>
    </row>
    <row r="1788" spans="1:12" ht="15">
      <c r="A1788" s="21">
        <v>41187</v>
      </c>
      <c r="B1788" s="21">
        <v>41183</v>
      </c>
      <c r="C1788" s="17">
        <v>30</v>
      </c>
      <c r="D1788" s="17" t="s">
        <v>93</v>
      </c>
      <c r="E1788" s="18">
        <v>42988</v>
      </c>
      <c r="F1788" s="17" t="s">
        <v>91</v>
      </c>
      <c r="G1788" s="14">
        <v>446682.45</v>
      </c>
      <c r="H1788" s="14">
        <v>417528.26</v>
      </c>
      <c r="I1788" s="14">
        <v>417528.26</v>
      </c>
      <c r="J1788" s="22">
        <f>H1788*(1+Assumptions!$B$6+IF(F1788="Yes",Assumptions!$C$6,0))</f>
        <v>430054.1078</v>
      </c>
      <c r="K1788" s="22">
        <f>H1788*(1+Assumptions!$B$7+IF(F1788="Yes",Assumptions!$C$7,0))</f>
        <v>438404.67300000001</v>
      </c>
      <c r="L1788" s="22">
        <f>H1788*(1+Assumptions!$B$8+IF(F1788="Yes",Assumptions!$C$8,0))</f>
        <v>421703.54259999999</v>
      </c>
    </row>
    <row r="1789" spans="1:12" ht="15">
      <c r="A1789" s="21">
        <v>41187</v>
      </c>
      <c r="B1789" s="21">
        <v>41183</v>
      </c>
      <c r="C1789" s="17">
        <v>31</v>
      </c>
      <c r="D1789" s="17" t="s">
        <v>90</v>
      </c>
      <c r="E1789" s="18">
        <v>203750</v>
      </c>
      <c r="F1789" s="17" t="s">
        <v>91</v>
      </c>
      <c r="G1789" s="14">
        <v>1363365.05</v>
      </c>
      <c r="H1789" s="14">
        <v>1427383.24</v>
      </c>
      <c r="I1789" s="14">
        <v>1427383.24</v>
      </c>
      <c r="J1789" s="22">
        <f>H1789*(1+Assumptions!$B$6+IF(F1789="Yes",Assumptions!$C$6,0))</f>
        <v>1470204.7372000001</v>
      </c>
      <c r="K1789" s="22">
        <f>H1789*(1+Assumptions!$B$7+IF(F1789="Yes",Assumptions!$C$7,0))</f>
        <v>1498752.402</v>
      </c>
      <c r="L1789" s="22">
        <f>H1789*(1+Assumptions!$B$8+IF(F1789="Yes",Assumptions!$C$8,0))</f>
        <v>1441657.0723999999</v>
      </c>
    </row>
    <row r="1790" spans="1:12" ht="15">
      <c r="A1790" s="21">
        <v>41187</v>
      </c>
      <c r="B1790" s="21">
        <v>41183</v>
      </c>
      <c r="C1790" s="17">
        <v>32</v>
      </c>
      <c r="D1790" s="17" t="s">
        <v>90</v>
      </c>
      <c r="E1790" s="18">
        <v>203007</v>
      </c>
      <c r="F1790" s="17" t="s">
        <v>91</v>
      </c>
      <c r="G1790" s="14">
        <v>1202272.47</v>
      </c>
      <c r="H1790" s="14">
        <v>1149435.02</v>
      </c>
      <c r="I1790" s="14">
        <v>1149435.02</v>
      </c>
      <c r="J1790" s="22">
        <f>H1790*(1+Assumptions!$B$6+IF(F1790="Yes",Assumptions!$C$6,0))</f>
        <v>1183918.0706</v>
      </c>
      <c r="K1790" s="22">
        <f>H1790*(1+Assumptions!$B$7+IF(F1790="Yes",Assumptions!$C$7,0))</f>
        <v>1206906.7710000002</v>
      </c>
      <c r="L1790" s="22">
        <f>H1790*(1+Assumptions!$B$8+IF(F1790="Yes",Assumptions!$C$8,0))</f>
        <v>1160929.3702</v>
      </c>
    </row>
    <row r="1791" spans="1:12" ht="15">
      <c r="A1791" s="21">
        <v>41187</v>
      </c>
      <c r="B1791" s="21">
        <v>41183</v>
      </c>
      <c r="C1791" s="17">
        <v>33</v>
      </c>
      <c r="D1791" s="17" t="s">
        <v>90</v>
      </c>
      <c r="E1791" s="18">
        <v>39690</v>
      </c>
      <c r="F1791" s="17" t="s">
        <v>91</v>
      </c>
      <c r="G1791" s="14">
        <v>265166.89</v>
      </c>
      <c r="H1791" s="14">
        <v>262125.6</v>
      </c>
      <c r="I1791" s="14">
        <v>262125.6</v>
      </c>
      <c r="J1791" s="22">
        <f>H1791*(1+Assumptions!$B$6+IF(F1791="Yes",Assumptions!$C$6,0))</f>
        <v>269989.36800000002</v>
      </c>
      <c r="K1791" s="22">
        <f>H1791*(1+Assumptions!$B$7+IF(F1791="Yes",Assumptions!$C$7,0))</f>
        <v>275231.88</v>
      </c>
      <c r="L1791" s="22">
        <f>H1791*(1+Assumptions!$B$8+IF(F1791="Yes",Assumptions!$C$8,0))</f>
        <v>264746.85600000003</v>
      </c>
    </row>
    <row r="1792" spans="1:12" ht="15">
      <c r="A1792" s="21">
        <v>41187</v>
      </c>
      <c r="B1792" s="21">
        <v>41183</v>
      </c>
      <c r="C1792" s="17">
        <v>34</v>
      </c>
      <c r="D1792" s="17" t="s">
        <v>90</v>
      </c>
      <c r="E1792" s="18">
        <v>158114</v>
      </c>
      <c r="F1792" s="17" t="s">
        <v>91</v>
      </c>
      <c r="G1792" s="14">
        <v>968630.24</v>
      </c>
      <c r="H1792" s="14">
        <v>954057.48</v>
      </c>
      <c r="I1792" s="14">
        <v>954057.48</v>
      </c>
      <c r="J1792" s="22">
        <f>H1792*(1+Assumptions!$B$6+IF(F1792="Yes",Assumptions!$C$6,0))</f>
        <v>982679.20440000005</v>
      </c>
      <c r="K1792" s="22">
        <f>H1792*(1+Assumptions!$B$7+IF(F1792="Yes",Assumptions!$C$7,0))</f>
        <v>1001760.3540000001</v>
      </c>
      <c r="L1792" s="22">
        <f>H1792*(1+Assumptions!$B$8+IF(F1792="Yes",Assumptions!$C$8,0))</f>
        <v>963598.05480000004</v>
      </c>
    </row>
    <row r="1793" spans="1:12" ht="15">
      <c r="A1793" s="21">
        <v>41187</v>
      </c>
      <c r="B1793" s="21">
        <v>41183</v>
      </c>
      <c r="C1793" s="17">
        <v>35</v>
      </c>
      <c r="D1793" s="17" t="s">
        <v>92</v>
      </c>
      <c r="E1793" s="18">
        <v>103681</v>
      </c>
      <c r="F1793" s="17" t="s">
        <v>91</v>
      </c>
      <c r="G1793" s="14">
        <v>866353.4</v>
      </c>
      <c r="H1793" s="14">
        <v>791642.53</v>
      </c>
      <c r="I1793" s="14">
        <v>791642.53</v>
      </c>
      <c r="J1793" s="22">
        <f>H1793*(1+Assumptions!$B$6+IF(F1793="Yes",Assumptions!$C$6,0))</f>
        <v>815391.80590000004</v>
      </c>
      <c r="K1793" s="22">
        <f>H1793*(1+Assumptions!$B$7+IF(F1793="Yes",Assumptions!$C$7,0))</f>
        <v>831224.65650000004</v>
      </c>
      <c r="L1793" s="22">
        <f>H1793*(1+Assumptions!$B$8+IF(F1793="Yes",Assumptions!$C$8,0))</f>
        <v>799558.95530000003</v>
      </c>
    </row>
    <row r="1794" spans="1:12" ht="15">
      <c r="A1794" s="21">
        <v>41187</v>
      </c>
      <c r="B1794" s="21">
        <v>41183</v>
      </c>
      <c r="C1794" s="17">
        <v>36</v>
      </c>
      <c r="D1794" s="17" t="s">
        <v>90</v>
      </c>
      <c r="E1794" s="18">
        <v>39910</v>
      </c>
      <c r="F1794" s="17" t="s">
        <v>91</v>
      </c>
      <c r="G1794" s="14">
        <v>276926.34000000003</v>
      </c>
      <c r="H1794" s="14">
        <v>346104.4</v>
      </c>
      <c r="I1794" s="14">
        <v>346104.4</v>
      </c>
      <c r="J1794" s="22">
        <f>H1794*(1+Assumptions!$B$6+IF(F1794="Yes",Assumptions!$C$6,0))</f>
        <v>356487.53200000001</v>
      </c>
      <c r="K1794" s="22">
        <f>H1794*(1+Assumptions!$B$7+IF(F1794="Yes",Assumptions!$C$7,0))</f>
        <v>363409.62000000005</v>
      </c>
      <c r="L1794" s="22">
        <f>H1794*(1+Assumptions!$B$8+IF(F1794="Yes",Assumptions!$C$8,0))</f>
        <v>349565.44400000002</v>
      </c>
    </row>
    <row r="1795" spans="1:12" ht="15">
      <c r="A1795" s="21">
        <v>41187</v>
      </c>
      <c r="B1795" s="21">
        <v>41183</v>
      </c>
      <c r="C1795" s="17">
        <v>37</v>
      </c>
      <c r="D1795" s="17" t="s">
        <v>93</v>
      </c>
      <c r="E1795" s="18">
        <v>39910</v>
      </c>
      <c r="F1795" s="17" t="s">
        <v>91</v>
      </c>
      <c r="G1795" s="14">
        <v>545326.21</v>
      </c>
      <c r="H1795" s="14">
        <v>522816.85</v>
      </c>
      <c r="I1795" s="14">
        <v>522816.85</v>
      </c>
      <c r="J1795" s="22">
        <f>H1795*(1+Assumptions!$B$6+IF(F1795="Yes",Assumptions!$C$6,0))</f>
        <v>538501.35549999995</v>
      </c>
      <c r="K1795" s="22">
        <f>H1795*(1+Assumptions!$B$7+IF(F1795="Yes",Assumptions!$C$7,0))</f>
        <v>548957.6925</v>
      </c>
      <c r="L1795" s="22">
        <f>H1795*(1+Assumptions!$B$8+IF(F1795="Yes",Assumptions!$C$8,0))</f>
        <v>528045.01850000001</v>
      </c>
    </row>
    <row r="1796" spans="1:12" ht="15">
      <c r="A1796" s="21">
        <v>41187</v>
      </c>
      <c r="B1796" s="21">
        <v>41183</v>
      </c>
      <c r="C1796" s="17">
        <v>38</v>
      </c>
      <c r="D1796" s="17" t="s">
        <v>93</v>
      </c>
      <c r="E1796" s="18">
        <v>39690</v>
      </c>
      <c r="F1796" s="17" t="s">
        <v>91</v>
      </c>
      <c r="G1796" s="14">
        <v>458388.47</v>
      </c>
      <c r="H1796" s="14">
        <v>449375.54</v>
      </c>
      <c r="I1796" s="14">
        <v>449375.54</v>
      </c>
      <c r="J1796" s="22">
        <f>H1796*(1+Assumptions!$B$6+IF(F1796="Yes",Assumptions!$C$6,0))</f>
        <v>462856.80619999999</v>
      </c>
      <c r="K1796" s="22">
        <f>H1796*(1+Assumptions!$B$7+IF(F1796="Yes",Assumptions!$C$7,0))</f>
        <v>471844.31699999998</v>
      </c>
      <c r="L1796" s="22">
        <f>H1796*(1+Assumptions!$B$8+IF(F1796="Yes",Assumptions!$C$8,0))</f>
        <v>453869.2954</v>
      </c>
    </row>
    <row r="1797" spans="1:12" ht="15">
      <c r="A1797" s="21">
        <v>41187</v>
      </c>
      <c r="B1797" s="21">
        <v>41183</v>
      </c>
      <c r="C1797" s="17">
        <v>39</v>
      </c>
      <c r="D1797" s="17" t="s">
        <v>90</v>
      </c>
      <c r="E1797" s="18">
        <v>184109</v>
      </c>
      <c r="F1797" s="17" t="s">
        <v>91</v>
      </c>
      <c r="G1797" s="14">
        <v>1573493.67</v>
      </c>
      <c r="H1797" s="14">
        <v>1443887.36</v>
      </c>
      <c r="I1797" s="14">
        <v>1443887.36</v>
      </c>
      <c r="J1797" s="22">
        <f>H1797*(1+Assumptions!$B$6+IF(F1797="Yes",Assumptions!$C$6,0))</f>
        <v>1487203.9808000003</v>
      </c>
      <c r="K1797" s="22">
        <f>H1797*(1+Assumptions!$B$7+IF(F1797="Yes",Assumptions!$C$7,0))</f>
        <v>1516081.7280000001</v>
      </c>
      <c r="L1797" s="22">
        <f>H1797*(1+Assumptions!$B$8+IF(F1797="Yes",Assumptions!$C$8,0))</f>
        <v>1458326.2336000002</v>
      </c>
    </row>
    <row r="1798" spans="1:12" ht="15">
      <c r="A1798" s="21">
        <v>41187</v>
      </c>
      <c r="B1798" s="21">
        <v>41183</v>
      </c>
      <c r="C1798" s="17">
        <v>40</v>
      </c>
      <c r="D1798" s="17" t="s">
        <v>90</v>
      </c>
      <c r="E1798" s="18">
        <v>155083</v>
      </c>
      <c r="F1798" s="17" t="s">
        <v>91</v>
      </c>
      <c r="G1798" s="14">
        <v>1067967</v>
      </c>
      <c r="H1798" s="14">
        <v>1070378.01</v>
      </c>
      <c r="I1798" s="14">
        <v>1070378.01</v>
      </c>
      <c r="J1798" s="22">
        <f>H1798*(1+Assumptions!$B$6+IF(F1798="Yes",Assumptions!$C$6,0))</f>
        <v>1102489.3503</v>
      </c>
      <c r="K1798" s="22">
        <f>H1798*(1+Assumptions!$B$7+IF(F1798="Yes",Assumptions!$C$7,0))</f>
        <v>1123896.9105</v>
      </c>
      <c r="L1798" s="22">
        <f>H1798*(1+Assumptions!$B$8+IF(F1798="Yes",Assumptions!$C$8,0))</f>
        <v>1081081.7901000001</v>
      </c>
    </row>
    <row r="1799" spans="1:12" ht="15">
      <c r="A1799" s="21">
        <v>41187</v>
      </c>
      <c r="B1799" s="21">
        <v>41183</v>
      </c>
      <c r="C1799" s="17">
        <v>41</v>
      </c>
      <c r="D1799" s="17" t="s">
        <v>90</v>
      </c>
      <c r="E1799" s="18">
        <v>196321</v>
      </c>
      <c r="F1799" s="17" t="s">
        <v>91</v>
      </c>
      <c r="G1799" s="14">
        <v>1399148.46</v>
      </c>
      <c r="H1799" s="14">
        <v>1277852.77</v>
      </c>
      <c r="I1799" s="14">
        <v>1277852.77</v>
      </c>
      <c r="J1799" s="22">
        <f>H1799*(1+Assumptions!$B$6+IF(F1799="Yes",Assumptions!$C$6,0))</f>
        <v>1316188.3530999999</v>
      </c>
      <c r="K1799" s="22">
        <f>H1799*(1+Assumptions!$B$7+IF(F1799="Yes",Assumptions!$C$7,0))</f>
        <v>1341745.4085000001</v>
      </c>
      <c r="L1799" s="22">
        <f>H1799*(1+Assumptions!$B$8+IF(F1799="Yes",Assumptions!$C$8,0))</f>
        <v>1290631.2977</v>
      </c>
    </row>
    <row r="1800" spans="1:12" ht="15">
      <c r="A1800" s="21">
        <v>41187</v>
      </c>
      <c r="B1800" s="21">
        <v>41183</v>
      </c>
      <c r="C1800" s="17">
        <v>42</v>
      </c>
      <c r="D1800" s="17" t="s">
        <v>93</v>
      </c>
      <c r="E1800" s="18">
        <v>39690</v>
      </c>
      <c r="F1800" s="17" t="s">
        <v>91</v>
      </c>
      <c r="G1800" s="14">
        <v>593118.77</v>
      </c>
      <c r="H1800" s="14">
        <v>649111.23</v>
      </c>
      <c r="I1800" s="14">
        <v>649111.23</v>
      </c>
      <c r="J1800" s="22">
        <f>H1800*(1+Assumptions!$B$6+IF(F1800="Yes",Assumptions!$C$6,0))</f>
        <v>668584.56689999998</v>
      </c>
      <c r="K1800" s="22">
        <f>H1800*(1+Assumptions!$B$7+IF(F1800="Yes",Assumptions!$C$7,0))</f>
        <v>681566.79150000005</v>
      </c>
      <c r="L1800" s="22">
        <f>H1800*(1+Assumptions!$B$8+IF(F1800="Yes",Assumptions!$C$8,0))</f>
        <v>655602.34230000002</v>
      </c>
    </row>
    <row r="1801" spans="1:12" ht="15">
      <c r="A1801" s="21">
        <v>41187</v>
      </c>
      <c r="B1801" s="21">
        <v>41183</v>
      </c>
      <c r="C1801" s="17">
        <v>43</v>
      </c>
      <c r="D1801" s="17" t="s">
        <v>93</v>
      </c>
      <c r="E1801" s="18">
        <v>41062</v>
      </c>
      <c r="F1801" s="17" t="s">
        <v>91</v>
      </c>
      <c r="G1801" s="14">
        <v>642488.63</v>
      </c>
      <c r="H1801" s="14">
        <v>642825.69000000006</v>
      </c>
      <c r="I1801" s="14">
        <v>642825.69000000006</v>
      </c>
      <c r="J1801" s="22">
        <f>H1801*(1+Assumptions!$B$6+IF(F1801="Yes",Assumptions!$C$6,0))</f>
        <v>662110.46070000005</v>
      </c>
      <c r="K1801" s="22">
        <f>H1801*(1+Assumptions!$B$7+IF(F1801="Yes",Assumptions!$C$7,0))</f>
        <v>674966.97450000013</v>
      </c>
      <c r="L1801" s="22">
        <f>H1801*(1+Assumptions!$B$8+IF(F1801="Yes",Assumptions!$C$8,0))</f>
        <v>649253.9469000001</v>
      </c>
    </row>
    <row r="1802" spans="1:12" ht="15">
      <c r="A1802" s="21">
        <v>41187</v>
      </c>
      <c r="B1802" s="21">
        <v>41183</v>
      </c>
      <c r="C1802" s="17">
        <v>44</v>
      </c>
      <c r="D1802" s="17" t="s">
        <v>93</v>
      </c>
      <c r="E1802" s="18">
        <v>39910</v>
      </c>
      <c r="F1802" s="17" t="s">
        <v>91</v>
      </c>
      <c r="G1802" s="14">
        <v>337224.60000000003</v>
      </c>
      <c r="H1802" s="14">
        <v>312568.40000000002</v>
      </c>
      <c r="I1802" s="14">
        <v>312568.40000000002</v>
      </c>
      <c r="J1802" s="22">
        <f>H1802*(1+Assumptions!$B$6+IF(F1802="Yes",Assumptions!$C$6,0))</f>
        <v>321945.45200000005</v>
      </c>
      <c r="K1802" s="22">
        <f>H1802*(1+Assumptions!$B$7+IF(F1802="Yes",Assumptions!$C$7,0))</f>
        <v>328196.82000000007</v>
      </c>
      <c r="L1802" s="22">
        <f>H1802*(1+Assumptions!$B$8+IF(F1802="Yes",Assumptions!$C$8,0))</f>
        <v>315694.08400000003</v>
      </c>
    </row>
    <row r="1803" spans="1:12" ht="15">
      <c r="A1803" s="21">
        <v>41187</v>
      </c>
      <c r="B1803" s="21">
        <v>41183</v>
      </c>
      <c r="C1803" s="17">
        <v>45</v>
      </c>
      <c r="D1803" s="17" t="s">
        <v>92</v>
      </c>
      <c r="E1803" s="18">
        <v>118221</v>
      </c>
      <c r="F1803" s="17" t="s">
        <v>91</v>
      </c>
      <c r="G1803" s="14">
        <v>733444.6</v>
      </c>
      <c r="H1803" s="14">
        <v>753372.8</v>
      </c>
      <c r="I1803" s="14">
        <v>753372.8</v>
      </c>
      <c r="J1803" s="22">
        <f>H1803*(1+Assumptions!$B$6+IF(F1803="Yes",Assumptions!$C$6,0))</f>
        <v>775973.98400000005</v>
      </c>
      <c r="K1803" s="22">
        <f>H1803*(1+Assumptions!$B$7+IF(F1803="Yes",Assumptions!$C$7,0))</f>
        <v>791041.44000000006</v>
      </c>
      <c r="L1803" s="22">
        <f>H1803*(1+Assumptions!$B$8+IF(F1803="Yes",Assumptions!$C$8,0))</f>
        <v>760906.52800000005</v>
      </c>
    </row>
    <row r="1804" spans="1:12" ht="15">
      <c r="A1804" s="21">
        <v>41194</v>
      </c>
      <c r="B1804" s="21">
        <v>41183</v>
      </c>
      <c r="C1804" s="17">
        <v>1</v>
      </c>
      <c r="D1804" s="17" t="s">
        <v>90</v>
      </c>
      <c r="E1804" s="18">
        <v>151315</v>
      </c>
      <c r="F1804" s="17" t="s">
        <v>91</v>
      </c>
      <c r="G1804" s="14">
        <v>1572982.34</v>
      </c>
      <c r="H1804" s="14">
        <v>1494023.93</v>
      </c>
      <c r="I1804" s="14">
        <v>1494023.93</v>
      </c>
      <c r="J1804" s="22">
        <f>H1804*(1+Assumptions!$B$6+IF(F1804="Yes",Assumptions!$C$6,0))</f>
        <v>1538844.6479</v>
      </c>
      <c r="K1804" s="22">
        <f>H1804*(1+Assumptions!$B$7+IF(F1804="Yes",Assumptions!$C$7,0))</f>
        <v>1568725.1265</v>
      </c>
      <c r="L1804" s="22">
        <f>H1804*(1+Assumptions!$B$8+IF(F1804="Yes",Assumptions!$C$8,0))</f>
        <v>1508964.1693</v>
      </c>
    </row>
    <row r="1805" spans="1:12" ht="15">
      <c r="A1805" s="21">
        <v>41194</v>
      </c>
      <c r="B1805" s="21">
        <v>41183</v>
      </c>
      <c r="C1805" s="17">
        <v>2</v>
      </c>
      <c r="D1805" s="17" t="s">
        <v>90</v>
      </c>
      <c r="E1805" s="18">
        <v>202307</v>
      </c>
      <c r="F1805" s="17" t="s">
        <v>91</v>
      </c>
      <c r="G1805" s="14">
        <v>1900684.66</v>
      </c>
      <c r="H1805" s="14">
        <v>1743882.19</v>
      </c>
      <c r="I1805" s="14">
        <v>1743882.19</v>
      </c>
      <c r="J1805" s="22">
        <f>H1805*(1+Assumptions!$B$6+IF(F1805="Yes",Assumptions!$C$6,0))</f>
        <v>1796198.6557</v>
      </c>
      <c r="K1805" s="22">
        <f>H1805*(1+Assumptions!$B$7+IF(F1805="Yes",Assumptions!$C$7,0))</f>
        <v>1831076.2995</v>
      </c>
      <c r="L1805" s="22">
        <f>H1805*(1+Assumptions!$B$8+IF(F1805="Yes",Assumptions!$C$8,0))</f>
        <v>1761321.0119</v>
      </c>
    </row>
    <row r="1806" spans="1:12" ht="15">
      <c r="A1806" s="21">
        <v>41194</v>
      </c>
      <c r="B1806" s="21">
        <v>41183</v>
      </c>
      <c r="C1806" s="17">
        <v>3</v>
      </c>
      <c r="D1806" s="17" t="s">
        <v>92</v>
      </c>
      <c r="E1806" s="18">
        <v>37392</v>
      </c>
      <c r="F1806" s="17" t="s">
        <v>91</v>
      </c>
      <c r="G1806" s="14">
        <v>410718.64</v>
      </c>
      <c r="H1806" s="14">
        <v>368251.07</v>
      </c>
      <c r="I1806" s="14">
        <v>368251.07</v>
      </c>
      <c r="J1806" s="22">
        <f>H1806*(1+Assumptions!$B$6+IF(F1806="Yes",Assumptions!$C$6,0))</f>
        <v>379298.60210000002</v>
      </c>
      <c r="K1806" s="22">
        <f>H1806*(1+Assumptions!$B$7+IF(F1806="Yes",Assumptions!$C$7,0))</f>
        <v>386663.62350000005</v>
      </c>
      <c r="L1806" s="22">
        <f>H1806*(1+Assumptions!$B$8+IF(F1806="Yes",Assumptions!$C$8,0))</f>
        <v>371933.58069999999</v>
      </c>
    </row>
    <row r="1807" spans="1:12" ht="15">
      <c r="A1807" s="21">
        <v>41194</v>
      </c>
      <c r="B1807" s="21">
        <v>41183</v>
      </c>
      <c r="C1807" s="17">
        <v>4</v>
      </c>
      <c r="D1807" s="17" t="s">
        <v>90</v>
      </c>
      <c r="E1807" s="18">
        <v>205863</v>
      </c>
      <c r="F1807" s="17" t="s">
        <v>91</v>
      </c>
      <c r="G1807" s="14">
        <v>2132766.0699999998</v>
      </c>
      <c r="H1807" s="14">
        <v>2074528.91</v>
      </c>
      <c r="I1807" s="14">
        <v>2074528.91</v>
      </c>
      <c r="J1807" s="22">
        <f>H1807*(1+Assumptions!$B$6+IF(F1807="Yes",Assumptions!$C$6,0))</f>
        <v>2136764.7773000002</v>
      </c>
      <c r="K1807" s="22">
        <f>H1807*(1+Assumptions!$B$7+IF(F1807="Yes",Assumptions!$C$7,0))</f>
        <v>2178255.3555000001</v>
      </c>
      <c r="L1807" s="22">
        <f>H1807*(1+Assumptions!$B$8+IF(F1807="Yes",Assumptions!$C$8,0))</f>
        <v>2095274.1990999999</v>
      </c>
    </row>
    <row r="1808" spans="1:12" ht="15">
      <c r="A1808" s="21">
        <v>41194</v>
      </c>
      <c r="B1808" s="21">
        <v>41183</v>
      </c>
      <c r="C1808" s="17">
        <v>5</v>
      </c>
      <c r="D1808" s="17" t="s">
        <v>92</v>
      </c>
      <c r="E1808" s="18">
        <v>34875</v>
      </c>
      <c r="F1808" s="17" t="s">
        <v>91</v>
      </c>
      <c r="G1808" s="14">
        <v>325312.53000000003</v>
      </c>
      <c r="H1808" s="14">
        <v>286090.15999999997</v>
      </c>
      <c r="I1808" s="14">
        <v>286090.15999999997</v>
      </c>
      <c r="J1808" s="22">
        <f>H1808*(1+Assumptions!$B$6+IF(F1808="Yes",Assumptions!$C$6,0))</f>
        <v>294672.86479999998</v>
      </c>
      <c r="K1808" s="22">
        <f>H1808*(1+Assumptions!$B$7+IF(F1808="Yes",Assumptions!$C$7,0))</f>
        <v>300394.66800000001</v>
      </c>
      <c r="L1808" s="22">
        <f>H1808*(1+Assumptions!$B$8+IF(F1808="Yes",Assumptions!$C$8,0))</f>
        <v>288951.06159999996</v>
      </c>
    </row>
    <row r="1809" spans="1:12" ht="15">
      <c r="A1809" s="21">
        <v>41194</v>
      </c>
      <c r="B1809" s="21">
        <v>41183</v>
      </c>
      <c r="C1809" s="17">
        <v>6</v>
      </c>
      <c r="D1809" s="17" t="s">
        <v>90</v>
      </c>
      <c r="E1809" s="18">
        <v>202505</v>
      </c>
      <c r="F1809" s="17" t="s">
        <v>91</v>
      </c>
      <c r="G1809" s="14">
        <v>1459331.84</v>
      </c>
      <c r="H1809" s="14">
        <v>1386520.99</v>
      </c>
      <c r="I1809" s="14">
        <v>1386520.99</v>
      </c>
      <c r="J1809" s="22">
        <f>H1809*(1+Assumptions!$B$6+IF(F1809="Yes",Assumptions!$C$6,0))</f>
        <v>1428116.6196999999</v>
      </c>
      <c r="K1809" s="22">
        <f>H1809*(1+Assumptions!$B$7+IF(F1809="Yes",Assumptions!$C$7,0))</f>
        <v>1455847.0395</v>
      </c>
      <c r="L1809" s="22">
        <f>H1809*(1+Assumptions!$B$8+IF(F1809="Yes",Assumptions!$C$8,0))</f>
        <v>1400386.1998999999</v>
      </c>
    </row>
    <row r="1810" spans="1:12" ht="15">
      <c r="A1810" s="21">
        <v>41194</v>
      </c>
      <c r="B1810" s="21">
        <v>41183</v>
      </c>
      <c r="C1810" s="17">
        <v>7</v>
      </c>
      <c r="D1810" s="17" t="s">
        <v>92</v>
      </c>
      <c r="E1810" s="18">
        <v>70713</v>
      </c>
      <c r="F1810" s="17" t="s">
        <v>91</v>
      </c>
      <c r="G1810" s="14">
        <v>497738.93</v>
      </c>
      <c r="H1810" s="14">
        <v>501888.52</v>
      </c>
      <c r="I1810" s="14">
        <v>501888.52</v>
      </c>
      <c r="J1810" s="22">
        <f>H1810*(1+Assumptions!$B$6+IF(F1810="Yes",Assumptions!$C$6,0))</f>
        <v>516945.17560000002</v>
      </c>
      <c r="K1810" s="22">
        <f>H1810*(1+Assumptions!$B$7+IF(F1810="Yes",Assumptions!$C$7,0))</f>
        <v>526982.946</v>
      </c>
      <c r="L1810" s="22">
        <f>H1810*(1+Assumptions!$B$8+IF(F1810="Yes",Assumptions!$C$8,0))</f>
        <v>506907.40520000004</v>
      </c>
    </row>
    <row r="1811" spans="1:12" ht="15">
      <c r="A1811" s="21">
        <v>41194</v>
      </c>
      <c r="B1811" s="21">
        <v>41183</v>
      </c>
      <c r="C1811" s="17">
        <v>8</v>
      </c>
      <c r="D1811" s="17" t="s">
        <v>90</v>
      </c>
      <c r="E1811" s="18">
        <v>155078</v>
      </c>
      <c r="F1811" s="17" t="s">
        <v>91</v>
      </c>
      <c r="G1811" s="14">
        <v>926561.97</v>
      </c>
      <c r="H1811" s="14">
        <v>863141.5</v>
      </c>
      <c r="I1811" s="14">
        <v>863141.5</v>
      </c>
      <c r="J1811" s="22">
        <f>H1811*(1+Assumptions!$B$6+IF(F1811="Yes",Assumptions!$C$6,0))</f>
        <v>889035.745</v>
      </c>
      <c r="K1811" s="22">
        <f>H1811*(1+Assumptions!$B$7+IF(F1811="Yes",Assumptions!$C$7,0))</f>
        <v>906298.57500000007</v>
      </c>
      <c r="L1811" s="22">
        <f>H1811*(1+Assumptions!$B$8+IF(F1811="Yes",Assumptions!$C$8,0))</f>
        <v>871772.91500000004</v>
      </c>
    </row>
    <row r="1812" spans="1:12" ht="15">
      <c r="A1812" s="21">
        <v>41194</v>
      </c>
      <c r="B1812" s="21">
        <v>41183</v>
      </c>
      <c r="C1812" s="17">
        <v>9</v>
      </c>
      <c r="D1812" s="17" t="s">
        <v>92</v>
      </c>
      <c r="E1812" s="18">
        <v>125833</v>
      </c>
      <c r="F1812" s="17" t="s">
        <v>91</v>
      </c>
      <c r="G1812" s="14">
        <v>558458.66</v>
      </c>
      <c r="H1812" s="14">
        <v>529485.24</v>
      </c>
      <c r="I1812" s="14">
        <v>529485.24</v>
      </c>
      <c r="J1812" s="22">
        <f>H1812*(1+Assumptions!$B$6+IF(F1812="Yes",Assumptions!$C$6,0))</f>
        <v>545369.79720000003</v>
      </c>
      <c r="K1812" s="22">
        <f>H1812*(1+Assumptions!$B$7+IF(F1812="Yes",Assumptions!$C$7,0))</f>
        <v>555959.50199999998</v>
      </c>
      <c r="L1812" s="22">
        <f>H1812*(1+Assumptions!$B$8+IF(F1812="Yes",Assumptions!$C$8,0))</f>
        <v>534780.09239999996</v>
      </c>
    </row>
    <row r="1813" spans="1:12" ht="15">
      <c r="A1813" s="21">
        <v>41194</v>
      </c>
      <c r="B1813" s="21">
        <v>41183</v>
      </c>
      <c r="C1813" s="17">
        <v>10</v>
      </c>
      <c r="D1813" s="17" t="s">
        <v>92</v>
      </c>
      <c r="E1813" s="18">
        <v>126512</v>
      </c>
      <c r="F1813" s="17" t="s">
        <v>91</v>
      </c>
      <c r="G1813" s="14">
        <v>1713878.64</v>
      </c>
      <c r="H1813" s="14">
        <v>1704753.02</v>
      </c>
      <c r="I1813" s="14">
        <v>1704753.02</v>
      </c>
      <c r="J1813" s="22">
        <f>H1813*(1+Assumptions!$B$6+IF(F1813="Yes",Assumptions!$C$6,0))</f>
        <v>1755895.6106</v>
      </c>
      <c r="K1813" s="22">
        <f>H1813*(1+Assumptions!$B$7+IF(F1813="Yes",Assumptions!$C$7,0))</f>
        <v>1789990.6710000001</v>
      </c>
      <c r="L1813" s="22">
        <f>H1813*(1+Assumptions!$B$8+IF(F1813="Yes",Assumptions!$C$8,0))</f>
        <v>1721800.5501999999</v>
      </c>
    </row>
    <row r="1814" spans="1:12" ht="15">
      <c r="A1814" s="21">
        <v>41194</v>
      </c>
      <c r="B1814" s="21">
        <v>41183</v>
      </c>
      <c r="C1814" s="17">
        <v>11</v>
      </c>
      <c r="D1814" s="17" t="s">
        <v>90</v>
      </c>
      <c r="E1814" s="18">
        <v>207499</v>
      </c>
      <c r="F1814" s="17" t="s">
        <v>91</v>
      </c>
      <c r="G1814" s="14">
        <v>1311895.0900000001</v>
      </c>
      <c r="H1814" s="14">
        <v>1286295.32</v>
      </c>
      <c r="I1814" s="14">
        <v>1286295.32</v>
      </c>
      <c r="J1814" s="22">
        <f>H1814*(1+Assumptions!$B$6+IF(F1814="Yes",Assumptions!$C$6,0))</f>
        <v>1324884.1796000001</v>
      </c>
      <c r="K1814" s="22">
        <f>H1814*(1+Assumptions!$B$7+IF(F1814="Yes",Assumptions!$C$7,0))</f>
        <v>1350610.0860000001</v>
      </c>
      <c r="L1814" s="22">
        <f>H1814*(1+Assumptions!$B$8+IF(F1814="Yes",Assumptions!$C$8,0))</f>
        <v>1299158.2732000002</v>
      </c>
    </row>
    <row r="1815" spans="1:12" ht="15">
      <c r="A1815" s="21">
        <v>41194</v>
      </c>
      <c r="B1815" s="21">
        <v>41183</v>
      </c>
      <c r="C1815" s="17">
        <v>12</v>
      </c>
      <c r="D1815" s="17" t="s">
        <v>92</v>
      </c>
      <c r="E1815" s="18">
        <v>112238</v>
      </c>
      <c r="F1815" s="17" t="s">
        <v>91</v>
      </c>
      <c r="G1815" s="14">
        <v>934922.44</v>
      </c>
      <c r="H1815" s="14">
        <v>927576.07</v>
      </c>
      <c r="I1815" s="14">
        <v>927576.07</v>
      </c>
      <c r="J1815" s="22">
        <f>H1815*(1+Assumptions!$B$6+IF(F1815="Yes",Assumptions!$C$6,0))</f>
        <v>955403.35210000002</v>
      </c>
      <c r="K1815" s="22">
        <f>H1815*(1+Assumptions!$B$7+IF(F1815="Yes",Assumptions!$C$7,0))</f>
        <v>973954.87349999999</v>
      </c>
      <c r="L1815" s="22">
        <f>H1815*(1+Assumptions!$B$8+IF(F1815="Yes",Assumptions!$C$8,0))</f>
        <v>936851.83069999993</v>
      </c>
    </row>
    <row r="1816" spans="1:12" ht="15">
      <c r="A1816" s="21">
        <v>41194</v>
      </c>
      <c r="B1816" s="21">
        <v>41183</v>
      </c>
      <c r="C1816" s="17">
        <v>13</v>
      </c>
      <c r="D1816" s="17" t="s">
        <v>90</v>
      </c>
      <c r="E1816" s="18">
        <v>219622</v>
      </c>
      <c r="F1816" s="17" t="s">
        <v>91</v>
      </c>
      <c r="G1816" s="14">
        <v>1998863.47</v>
      </c>
      <c r="H1816" s="14">
        <v>1929659.07</v>
      </c>
      <c r="I1816" s="14">
        <v>1929659.07</v>
      </c>
      <c r="J1816" s="22">
        <f>H1816*(1+Assumptions!$B$6+IF(F1816="Yes",Assumptions!$C$6,0))</f>
        <v>1987548.8421</v>
      </c>
      <c r="K1816" s="22">
        <f>H1816*(1+Assumptions!$B$7+IF(F1816="Yes",Assumptions!$C$7,0))</f>
        <v>2026142.0235000001</v>
      </c>
      <c r="L1816" s="22">
        <f>H1816*(1+Assumptions!$B$8+IF(F1816="Yes",Assumptions!$C$8,0))</f>
        <v>1948955.6607000001</v>
      </c>
    </row>
    <row r="1817" spans="1:12" ht="15">
      <c r="A1817" s="21">
        <v>41194</v>
      </c>
      <c r="B1817" s="21">
        <v>41183</v>
      </c>
      <c r="C1817" s="17">
        <v>14</v>
      </c>
      <c r="D1817" s="17" t="s">
        <v>90</v>
      </c>
      <c r="E1817" s="18">
        <v>200898</v>
      </c>
      <c r="F1817" s="17" t="s">
        <v>91</v>
      </c>
      <c r="G1817" s="14">
        <v>1639479.23</v>
      </c>
      <c r="H1817" s="14">
        <v>1890870.75</v>
      </c>
      <c r="I1817" s="14">
        <v>1890870.75</v>
      </c>
      <c r="J1817" s="22">
        <f>H1817*(1+Assumptions!$B$6+IF(F1817="Yes",Assumptions!$C$6,0))</f>
        <v>1947596.8725000001</v>
      </c>
      <c r="K1817" s="22">
        <f>H1817*(1+Assumptions!$B$7+IF(F1817="Yes",Assumptions!$C$7,0))</f>
        <v>1985414.2875000001</v>
      </c>
      <c r="L1817" s="22">
        <f>H1817*(1+Assumptions!$B$8+IF(F1817="Yes",Assumptions!$C$8,0))</f>
        <v>1909779.4575</v>
      </c>
    </row>
    <row r="1818" spans="1:12" ht="15">
      <c r="A1818" s="21">
        <v>41194</v>
      </c>
      <c r="B1818" s="21">
        <v>41183</v>
      </c>
      <c r="C1818" s="17">
        <v>15</v>
      </c>
      <c r="D1818" s="17" t="s">
        <v>92</v>
      </c>
      <c r="E1818" s="18">
        <v>123737</v>
      </c>
      <c r="F1818" s="17" t="s">
        <v>91</v>
      </c>
      <c r="G1818" s="14">
        <v>551762.53</v>
      </c>
      <c r="H1818" s="14">
        <v>537300.93999999994</v>
      </c>
      <c r="I1818" s="14">
        <v>537300.93999999994</v>
      </c>
      <c r="J1818" s="22">
        <f>H1818*(1+Assumptions!$B$6+IF(F1818="Yes",Assumptions!$C$6,0))</f>
        <v>553419.9682</v>
      </c>
      <c r="K1818" s="22">
        <f>H1818*(1+Assumptions!$B$7+IF(F1818="Yes",Assumptions!$C$7,0))</f>
        <v>564165.98699999996</v>
      </c>
      <c r="L1818" s="22">
        <f>H1818*(1+Assumptions!$B$8+IF(F1818="Yes",Assumptions!$C$8,0))</f>
        <v>542673.94939999992</v>
      </c>
    </row>
    <row r="1819" spans="1:12" ht="15">
      <c r="A1819" s="21">
        <v>41194</v>
      </c>
      <c r="B1819" s="21">
        <v>41183</v>
      </c>
      <c r="C1819" s="17">
        <v>16</v>
      </c>
      <c r="D1819" s="17" t="s">
        <v>92</v>
      </c>
      <c r="E1819" s="18">
        <v>57197</v>
      </c>
      <c r="F1819" s="17" t="s">
        <v>91</v>
      </c>
      <c r="G1819" s="14">
        <v>488604.19</v>
      </c>
      <c r="H1819" s="14">
        <v>498166.92</v>
      </c>
      <c r="I1819" s="14">
        <v>498166.92</v>
      </c>
      <c r="J1819" s="22">
        <f>H1819*(1+Assumptions!$B$6+IF(F1819="Yes",Assumptions!$C$6,0))</f>
        <v>513111.9276</v>
      </c>
      <c r="K1819" s="22">
        <f>H1819*(1+Assumptions!$B$7+IF(F1819="Yes",Assumptions!$C$7,0))</f>
        <v>523075.266</v>
      </c>
      <c r="L1819" s="22">
        <f>H1819*(1+Assumptions!$B$8+IF(F1819="Yes",Assumptions!$C$8,0))</f>
        <v>503148.58919999999</v>
      </c>
    </row>
    <row r="1820" spans="1:12" ht="15">
      <c r="A1820" s="21">
        <v>41194</v>
      </c>
      <c r="B1820" s="21">
        <v>41183</v>
      </c>
      <c r="C1820" s="17">
        <v>17</v>
      </c>
      <c r="D1820" s="17" t="s">
        <v>92</v>
      </c>
      <c r="E1820" s="18">
        <v>93188</v>
      </c>
      <c r="F1820" s="17" t="s">
        <v>91</v>
      </c>
      <c r="G1820" s="14">
        <v>918921.70000000007</v>
      </c>
      <c r="H1820" s="14">
        <v>883933.87</v>
      </c>
      <c r="I1820" s="14">
        <v>883933.87</v>
      </c>
      <c r="J1820" s="22">
        <f>H1820*(1+Assumptions!$B$6+IF(F1820="Yes",Assumptions!$C$6,0))</f>
        <v>910451.8861</v>
      </c>
      <c r="K1820" s="22">
        <f>H1820*(1+Assumptions!$B$7+IF(F1820="Yes",Assumptions!$C$7,0))</f>
        <v>928130.56350000005</v>
      </c>
      <c r="L1820" s="22">
        <f>H1820*(1+Assumptions!$B$8+IF(F1820="Yes",Assumptions!$C$8,0))</f>
        <v>892773.20869999996</v>
      </c>
    </row>
    <row r="1821" spans="1:12" ht="15">
      <c r="A1821" s="21">
        <v>41194</v>
      </c>
      <c r="B1821" s="21">
        <v>41183</v>
      </c>
      <c r="C1821" s="17">
        <v>18</v>
      </c>
      <c r="D1821" s="17" t="s">
        <v>92</v>
      </c>
      <c r="E1821" s="18">
        <v>120653</v>
      </c>
      <c r="F1821" s="17" t="s">
        <v>91</v>
      </c>
      <c r="G1821" s="14">
        <v>1074079.95</v>
      </c>
      <c r="H1821" s="14">
        <v>953533.95000000007</v>
      </c>
      <c r="I1821" s="14">
        <v>953533.95000000007</v>
      </c>
      <c r="J1821" s="22">
        <f>H1821*(1+Assumptions!$B$6+IF(F1821="Yes",Assumptions!$C$6,0))</f>
        <v>982139.96850000008</v>
      </c>
      <c r="K1821" s="22">
        <f>H1821*(1+Assumptions!$B$7+IF(F1821="Yes",Assumptions!$C$7,0))</f>
        <v>1001210.6475000001</v>
      </c>
      <c r="L1821" s="22">
        <f>H1821*(1+Assumptions!$B$8+IF(F1821="Yes",Assumptions!$C$8,0))</f>
        <v>963069.28950000007</v>
      </c>
    </row>
    <row r="1822" spans="1:12" ht="15">
      <c r="A1822" s="21">
        <v>41194</v>
      </c>
      <c r="B1822" s="21">
        <v>41183</v>
      </c>
      <c r="C1822" s="17">
        <v>19</v>
      </c>
      <c r="D1822" s="17" t="s">
        <v>90</v>
      </c>
      <c r="E1822" s="18">
        <v>203819</v>
      </c>
      <c r="F1822" s="17" t="s">
        <v>91</v>
      </c>
      <c r="G1822" s="14">
        <v>1352714.6</v>
      </c>
      <c r="H1822" s="14">
        <v>1318860.97</v>
      </c>
      <c r="I1822" s="14">
        <v>1318860.97</v>
      </c>
      <c r="J1822" s="22">
        <f>H1822*(1+Assumptions!$B$6+IF(F1822="Yes",Assumptions!$C$6,0))</f>
        <v>1358426.7990999999</v>
      </c>
      <c r="K1822" s="22">
        <f>H1822*(1+Assumptions!$B$7+IF(F1822="Yes",Assumptions!$C$7,0))</f>
        <v>1384804.0185</v>
      </c>
      <c r="L1822" s="22">
        <f>H1822*(1+Assumptions!$B$8+IF(F1822="Yes",Assumptions!$C$8,0))</f>
        <v>1332049.5796999999</v>
      </c>
    </row>
    <row r="1823" spans="1:12" ht="15">
      <c r="A1823" s="21">
        <v>41194</v>
      </c>
      <c r="B1823" s="21">
        <v>41183</v>
      </c>
      <c r="C1823" s="17">
        <v>20</v>
      </c>
      <c r="D1823" s="17" t="s">
        <v>90</v>
      </c>
      <c r="E1823" s="18">
        <v>203742</v>
      </c>
      <c r="F1823" s="17" t="s">
        <v>91</v>
      </c>
      <c r="G1823" s="14">
        <v>2162712.35</v>
      </c>
      <c r="H1823" s="14">
        <v>2010095.71</v>
      </c>
      <c r="I1823" s="14">
        <v>2010095.71</v>
      </c>
      <c r="J1823" s="22">
        <f>H1823*(1+Assumptions!$B$6+IF(F1823="Yes",Assumptions!$C$6,0))</f>
        <v>2070398.5813</v>
      </c>
      <c r="K1823" s="22">
        <f>H1823*(1+Assumptions!$B$7+IF(F1823="Yes",Assumptions!$C$7,0))</f>
        <v>2110600.4955000002</v>
      </c>
      <c r="L1823" s="22">
        <f>H1823*(1+Assumptions!$B$8+IF(F1823="Yes",Assumptions!$C$8,0))</f>
        <v>2030196.6671</v>
      </c>
    </row>
    <row r="1824" spans="1:12" ht="15">
      <c r="A1824" s="21">
        <v>41194</v>
      </c>
      <c r="B1824" s="21">
        <v>41183</v>
      </c>
      <c r="C1824" s="17">
        <v>21</v>
      </c>
      <c r="D1824" s="17" t="s">
        <v>92</v>
      </c>
      <c r="E1824" s="18">
        <v>140167</v>
      </c>
      <c r="F1824" s="17" t="s">
        <v>91</v>
      </c>
      <c r="G1824" s="14">
        <v>652919.6</v>
      </c>
      <c r="H1824" s="14">
        <v>671243.1</v>
      </c>
      <c r="I1824" s="14">
        <v>671243.1</v>
      </c>
      <c r="J1824" s="22">
        <f>H1824*(1+Assumptions!$B$6+IF(F1824="Yes",Assumptions!$C$6,0))</f>
        <v>691380.39300000004</v>
      </c>
      <c r="K1824" s="22">
        <f>H1824*(1+Assumptions!$B$7+IF(F1824="Yes",Assumptions!$C$7,0))</f>
        <v>704805.255</v>
      </c>
      <c r="L1824" s="22">
        <f>H1824*(1+Assumptions!$B$8+IF(F1824="Yes",Assumptions!$C$8,0))</f>
        <v>677955.53099999996</v>
      </c>
    </row>
    <row r="1825" spans="1:12" ht="15">
      <c r="A1825" s="21">
        <v>41194</v>
      </c>
      <c r="B1825" s="21">
        <v>41183</v>
      </c>
      <c r="C1825" s="17">
        <v>22</v>
      </c>
      <c r="D1825" s="17" t="s">
        <v>92</v>
      </c>
      <c r="E1825" s="18">
        <v>119557</v>
      </c>
      <c r="F1825" s="17" t="s">
        <v>91</v>
      </c>
      <c r="G1825" s="14">
        <v>1004087.93</v>
      </c>
      <c r="H1825" s="14">
        <v>944301.41</v>
      </c>
      <c r="I1825" s="14">
        <v>944301.41</v>
      </c>
      <c r="J1825" s="22">
        <f>H1825*(1+Assumptions!$B$6+IF(F1825="Yes",Assumptions!$C$6,0))</f>
        <v>972630.4523</v>
      </c>
      <c r="K1825" s="22">
        <f>H1825*(1+Assumptions!$B$7+IF(F1825="Yes",Assumptions!$C$7,0))</f>
        <v>991516.48050000006</v>
      </c>
      <c r="L1825" s="22">
        <f>H1825*(1+Assumptions!$B$8+IF(F1825="Yes",Assumptions!$C$8,0))</f>
        <v>953744.42410000006</v>
      </c>
    </row>
    <row r="1826" spans="1:12" ht="15">
      <c r="A1826" s="21">
        <v>41194</v>
      </c>
      <c r="B1826" s="21">
        <v>41183</v>
      </c>
      <c r="C1826" s="17">
        <v>23</v>
      </c>
      <c r="D1826" s="17" t="s">
        <v>92</v>
      </c>
      <c r="E1826" s="18">
        <v>114533</v>
      </c>
      <c r="F1826" s="17" t="s">
        <v>91</v>
      </c>
      <c r="G1826" s="14">
        <v>1412925.25</v>
      </c>
      <c r="H1826" s="14">
        <v>1257768.3699999999</v>
      </c>
      <c r="I1826" s="14">
        <v>1257768.3699999999</v>
      </c>
      <c r="J1826" s="22">
        <f>H1826*(1+Assumptions!$B$6+IF(F1826="Yes",Assumptions!$C$6,0))</f>
        <v>1295501.4210999999</v>
      </c>
      <c r="K1826" s="22">
        <f>H1826*(1+Assumptions!$B$7+IF(F1826="Yes",Assumptions!$C$7,0))</f>
        <v>1320656.7885</v>
      </c>
      <c r="L1826" s="22">
        <f>H1826*(1+Assumptions!$B$8+IF(F1826="Yes",Assumptions!$C$8,0))</f>
        <v>1270346.0536999998</v>
      </c>
    </row>
    <row r="1827" spans="1:12" ht="15">
      <c r="A1827" s="21">
        <v>41194</v>
      </c>
      <c r="B1827" s="21">
        <v>41183</v>
      </c>
      <c r="C1827" s="17">
        <v>24</v>
      </c>
      <c r="D1827" s="17" t="s">
        <v>90</v>
      </c>
      <c r="E1827" s="18">
        <v>203819</v>
      </c>
      <c r="F1827" s="17" t="s">
        <v>91</v>
      </c>
      <c r="G1827" s="14">
        <v>1416060.29</v>
      </c>
      <c r="H1827" s="14">
        <v>1333315.03</v>
      </c>
      <c r="I1827" s="14">
        <v>1333315.03</v>
      </c>
      <c r="J1827" s="22">
        <f>H1827*(1+Assumptions!$B$6+IF(F1827="Yes",Assumptions!$C$6,0))</f>
        <v>1373314.4809000001</v>
      </c>
      <c r="K1827" s="22">
        <f>H1827*(1+Assumptions!$B$7+IF(F1827="Yes",Assumptions!$C$7,0))</f>
        <v>1399980.7815</v>
      </c>
      <c r="L1827" s="22">
        <f>H1827*(1+Assumptions!$B$8+IF(F1827="Yes",Assumptions!$C$8,0))</f>
        <v>1346648.1803000001</v>
      </c>
    </row>
    <row r="1828" spans="1:12" ht="15">
      <c r="A1828" s="21">
        <v>41194</v>
      </c>
      <c r="B1828" s="21">
        <v>41183</v>
      </c>
      <c r="C1828" s="17">
        <v>25</v>
      </c>
      <c r="D1828" s="17" t="s">
        <v>92</v>
      </c>
      <c r="E1828" s="18">
        <v>128107</v>
      </c>
      <c r="F1828" s="17" t="s">
        <v>91</v>
      </c>
      <c r="G1828" s="14">
        <v>696902.41</v>
      </c>
      <c r="H1828" s="14">
        <v>646915.47</v>
      </c>
      <c r="I1828" s="14">
        <v>646915.47</v>
      </c>
      <c r="J1828" s="22">
        <f>H1828*(1+Assumptions!$B$6+IF(F1828="Yes",Assumptions!$C$6,0))</f>
        <v>666322.93409999995</v>
      </c>
      <c r="K1828" s="22">
        <f>H1828*(1+Assumptions!$B$7+IF(F1828="Yes",Assumptions!$C$7,0))</f>
        <v>679261.24349999998</v>
      </c>
      <c r="L1828" s="22">
        <f>H1828*(1+Assumptions!$B$8+IF(F1828="Yes",Assumptions!$C$8,0))</f>
        <v>653384.62469999993</v>
      </c>
    </row>
    <row r="1829" spans="1:12" ht="15">
      <c r="A1829" s="21">
        <v>41194</v>
      </c>
      <c r="B1829" s="21">
        <v>41183</v>
      </c>
      <c r="C1829" s="17">
        <v>26</v>
      </c>
      <c r="D1829" s="17" t="s">
        <v>90</v>
      </c>
      <c r="E1829" s="18">
        <v>152513</v>
      </c>
      <c r="F1829" s="17" t="s">
        <v>91</v>
      </c>
      <c r="G1829" s="14">
        <v>1044569.69</v>
      </c>
      <c r="H1829" s="14">
        <v>987403.74</v>
      </c>
      <c r="I1829" s="14">
        <v>987403.74</v>
      </c>
      <c r="J1829" s="22">
        <f>H1829*(1+Assumptions!$B$6+IF(F1829="Yes",Assumptions!$C$6,0))</f>
        <v>1017025.8522</v>
      </c>
      <c r="K1829" s="22">
        <f>H1829*(1+Assumptions!$B$7+IF(F1829="Yes",Assumptions!$C$7,0))</f>
        <v>1036773.927</v>
      </c>
      <c r="L1829" s="22">
        <f>H1829*(1+Assumptions!$B$8+IF(F1829="Yes",Assumptions!$C$8,0))</f>
        <v>997277.77740000002</v>
      </c>
    </row>
    <row r="1830" spans="1:12" ht="15">
      <c r="A1830" s="21">
        <v>41194</v>
      </c>
      <c r="B1830" s="21">
        <v>41183</v>
      </c>
      <c r="C1830" s="17">
        <v>27</v>
      </c>
      <c r="D1830" s="17" t="s">
        <v>90</v>
      </c>
      <c r="E1830" s="18">
        <v>204184</v>
      </c>
      <c r="F1830" s="17" t="s">
        <v>91</v>
      </c>
      <c r="G1830" s="14">
        <v>1659561.29</v>
      </c>
      <c r="H1830" s="14">
        <v>1682652.51</v>
      </c>
      <c r="I1830" s="14">
        <v>1682652.51</v>
      </c>
      <c r="J1830" s="22">
        <f>H1830*(1+Assumptions!$B$6+IF(F1830="Yes",Assumptions!$C$6,0))</f>
        <v>1733132.0853000002</v>
      </c>
      <c r="K1830" s="22">
        <f>H1830*(1+Assumptions!$B$7+IF(F1830="Yes",Assumptions!$C$7,0))</f>
        <v>1766785.1355000001</v>
      </c>
      <c r="L1830" s="22">
        <f>H1830*(1+Assumptions!$B$8+IF(F1830="Yes",Assumptions!$C$8,0))</f>
        <v>1699479.0351</v>
      </c>
    </row>
    <row r="1831" spans="1:12" ht="15">
      <c r="A1831" s="21">
        <v>41194</v>
      </c>
      <c r="B1831" s="21">
        <v>41183</v>
      </c>
      <c r="C1831" s="17">
        <v>28</v>
      </c>
      <c r="D1831" s="17" t="s">
        <v>90</v>
      </c>
      <c r="E1831" s="18">
        <v>206302</v>
      </c>
      <c r="F1831" s="17" t="s">
        <v>91</v>
      </c>
      <c r="G1831" s="14">
        <v>1205451.5900000001</v>
      </c>
      <c r="H1831" s="14">
        <v>1220984.94</v>
      </c>
      <c r="I1831" s="14">
        <v>1220984.94</v>
      </c>
      <c r="J1831" s="22">
        <f>H1831*(1+Assumptions!$B$6+IF(F1831="Yes",Assumptions!$C$6,0))</f>
        <v>1257614.4882</v>
      </c>
      <c r="K1831" s="22">
        <f>H1831*(1+Assumptions!$B$7+IF(F1831="Yes",Assumptions!$C$7,0))</f>
        <v>1282034.1869999999</v>
      </c>
      <c r="L1831" s="22">
        <f>H1831*(1+Assumptions!$B$8+IF(F1831="Yes",Assumptions!$C$8,0))</f>
        <v>1233194.7893999999</v>
      </c>
    </row>
    <row r="1832" spans="1:12" ht="15">
      <c r="A1832" s="21">
        <v>41194</v>
      </c>
      <c r="B1832" s="21">
        <v>41183</v>
      </c>
      <c r="C1832" s="17">
        <v>29</v>
      </c>
      <c r="D1832" s="17" t="s">
        <v>92</v>
      </c>
      <c r="E1832" s="18">
        <v>93638</v>
      </c>
      <c r="F1832" s="17" t="s">
        <v>91</v>
      </c>
      <c r="G1832" s="14">
        <v>513730</v>
      </c>
      <c r="H1832" s="14">
        <v>474834.9</v>
      </c>
      <c r="I1832" s="14">
        <v>474834.9</v>
      </c>
      <c r="J1832" s="22">
        <f>H1832*(1+Assumptions!$B$6+IF(F1832="Yes",Assumptions!$C$6,0))</f>
        <v>489079.94700000004</v>
      </c>
      <c r="K1832" s="22">
        <f>H1832*(1+Assumptions!$B$7+IF(F1832="Yes",Assumptions!$C$7,0))</f>
        <v>498576.64500000002</v>
      </c>
      <c r="L1832" s="22">
        <f>H1832*(1+Assumptions!$B$8+IF(F1832="Yes",Assumptions!$C$8,0))</f>
        <v>479583.24900000001</v>
      </c>
    </row>
    <row r="1833" spans="1:12" ht="15">
      <c r="A1833" s="21">
        <v>41194</v>
      </c>
      <c r="B1833" s="21">
        <v>41183</v>
      </c>
      <c r="C1833" s="17">
        <v>30</v>
      </c>
      <c r="D1833" s="17" t="s">
        <v>93</v>
      </c>
      <c r="E1833" s="18">
        <v>42988</v>
      </c>
      <c r="F1833" s="17" t="s">
        <v>91</v>
      </c>
      <c r="G1833" s="14">
        <v>434462.97000000003</v>
      </c>
      <c r="H1833" s="14">
        <v>410711.99</v>
      </c>
      <c r="I1833" s="14">
        <v>410711.99</v>
      </c>
      <c r="J1833" s="22">
        <f>H1833*(1+Assumptions!$B$6+IF(F1833="Yes",Assumptions!$C$6,0))</f>
        <v>423033.34970000002</v>
      </c>
      <c r="K1833" s="22">
        <f>H1833*(1+Assumptions!$B$7+IF(F1833="Yes",Assumptions!$C$7,0))</f>
        <v>431247.5895</v>
      </c>
      <c r="L1833" s="22">
        <f>H1833*(1+Assumptions!$B$8+IF(F1833="Yes",Assumptions!$C$8,0))</f>
        <v>414819.10989999998</v>
      </c>
    </row>
    <row r="1834" spans="1:12" ht="15">
      <c r="A1834" s="21">
        <v>41194</v>
      </c>
      <c r="B1834" s="21">
        <v>41183</v>
      </c>
      <c r="C1834" s="17">
        <v>31</v>
      </c>
      <c r="D1834" s="17" t="s">
        <v>90</v>
      </c>
      <c r="E1834" s="18">
        <v>203750</v>
      </c>
      <c r="F1834" s="17" t="s">
        <v>91</v>
      </c>
      <c r="G1834" s="14">
        <v>1401113.42</v>
      </c>
      <c r="H1834" s="14">
        <v>1378340.18</v>
      </c>
      <c r="I1834" s="14">
        <v>1378340.18</v>
      </c>
      <c r="J1834" s="22">
        <f>H1834*(1+Assumptions!$B$6+IF(F1834="Yes",Assumptions!$C$6,0))</f>
        <v>1419690.3854</v>
      </c>
      <c r="K1834" s="22">
        <f>H1834*(1+Assumptions!$B$7+IF(F1834="Yes",Assumptions!$C$7,0))</f>
        <v>1447257.189</v>
      </c>
      <c r="L1834" s="22">
        <f>H1834*(1+Assumptions!$B$8+IF(F1834="Yes",Assumptions!$C$8,0))</f>
        <v>1392123.5818</v>
      </c>
    </row>
    <row r="1835" spans="1:12" ht="15">
      <c r="A1835" s="21">
        <v>41194</v>
      </c>
      <c r="B1835" s="21">
        <v>41183</v>
      </c>
      <c r="C1835" s="17">
        <v>32</v>
      </c>
      <c r="D1835" s="17" t="s">
        <v>90</v>
      </c>
      <c r="E1835" s="18">
        <v>203007</v>
      </c>
      <c r="F1835" s="17" t="s">
        <v>91</v>
      </c>
      <c r="G1835" s="14">
        <v>1176609.3700000001</v>
      </c>
      <c r="H1835" s="14">
        <v>1175221.26</v>
      </c>
      <c r="I1835" s="14">
        <v>1175221.26</v>
      </c>
      <c r="J1835" s="22">
        <f>H1835*(1+Assumptions!$B$6+IF(F1835="Yes",Assumptions!$C$6,0))</f>
        <v>1210477.8978000002</v>
      </c>
      <c r="K1835" s="22">
        <f>H1835*(1+Assumptions!$B$7+IF(F1835="Yes",Assumptions!$C$7,0))</f>
        <v>1233982.3230000001</v>
      </c>
      <c r="L1835" s="22">
        <f>H1835*(1+Assumptions!$B$8+IF(F1835="Yes",Assumptions!$C$8,0))</f>
        <v>1186973.4726</v>
      </c>
    </row>
    <row r="1836" spans="1:12" ht="15">
      <c r="A1836" s="21">
        <v>41194</v>
      </c>
      <c r="B1836" s="21">
        <v>41183</v>
      </c>
      <c r="C1836" s="17">
        <v>33</v>
      </c>
      <c r="D1836" s="17" t="s">
        <v>90</v>
      </c>
      <c r="E1836" s="18">
        <v>39690</v>
      </c>
      <c r="F1836" s="17" t="s">
        <v>91</v>
      </c>
      <c r="G1836" s="14">
        <v>291354.92</v>
      </c>
      <c r="H1836" s="14">
        <v>272449.86</v>
      </c>
      <c r="I1836" s="14">
        <v>272449.86</v>
      </c>
      <c r="J1836" s="22">
        <f>H1836*(1+Assumptions!$B$6+IF(F1836="Yes",Assumptions!$C$6,0))</f>
        <v>280623.35580000002</v>
      </c>
      <c r="K1836" s="22">
        <f>H1836*(1+Assumptions!$B$7+IF(F1836="Yes",Assumptions!$C$7,0))</f>
        <v>286072.353</v>
      </c>
      <c r="L1836" s="22">
        <f>H1836*(1+Assumptions!$B$8+IF(F1836="Yes",Assumptions!$C$8,0))</f>
        <v>275174.35859999998</v>
      </c>
    </row>
    <row r="1837" spans="1:12" ht="15">
      <c r="A1837" s="21">
        <v>41194</v>
      </c>
      <c r="B1837" s="21">
        <v>41183</v>
      </c>
      <c r="C1837" s="17">
        <v>34</v>
      </c>
      <c r="D1837" s="17" t="s">
        <v>90</v>
      </c>
      <c r="E1837" s="18">
        <v>158114</v>
      </c>
      <c r="F1837" s="17" t="s">
        <v>91</v>
      </c>
      <c r="G1837" s="14">
        <v>948583.39</v>
      </c>
      <c r="H1837" s="14">
        <v>911779.79</v>
      </c>
      <c r="I1837" s="14">
        <v>911779.79</v>
      </c>
      <c r="J1837" s="22">
        <f>H1837*(1+Assumptions!$B$6+IF(F1837="Yes",Assumptions!$C$6,0))</f>
        <v>939133.18370000005</v>
      </c>
      <c r="K1837" s="22">
        <f>H1837*(1+Assumptions!$B$7+IF(F1837="Yes",Assumptions!$C$7,0))</f>
        <v>957368.77950000006</v>
      </c>
      <c r="L1837" s="22">
        <f>H1837*(1+Assumptions!$B$8+IF(F1837="Yes",Assumptions!$C$8,0))</f>
        <v>920897.58790000004</v>
      </c>
    </row>
    <row r="1838" spans="1:12" ht="15">
      <c r="A1838" s="21">
        <v>41194</v>
      </c>
      <c r="B1838" s="21">
        <v>41183</v>
      </c>
      <c r="C1838" s="17">
        <v>35</v>
      </c>
      <c r="D1838" s="17" t="s">
        <v>92</v>
      </c>
      <c r="E1838" s="18">
        <v>103681</v>
      </c>
      <c r="F1838" s="17" t="s">
        <v>91</v>
      </c>
      <c r="G1838" s="14">
        <v>873656.58</v>
      </c>
      <c r="H1838" s="14">
        <v>772856.25</v>
      </c>
      <c r="I1838" s="14">
        <v>772856.25</v>
      </c>
      <c r="J1838" s="22">
        <f>H1838*(1+Assumptions!$B$6+IF(F1838="Yes",Assumptions!$C$6,0))</f>
        <v>796041.9375</v>
      </c>
      <c r="K1838" s="22">
        <f>H1838*(1+Assumptions!$B$7+IF(F1838="Yes",Assumptions!$C$7,0))</f>
        <v>811499.0625</v>
      </c>
      <c r="L1838" s="22">
        <f>H1838*(1+Assumptions!$B$8+IF(F1838="Yes",Assumptions!$C$8,0))</f>
        <v>780584.8125</v>
      </c>
    </row>
    <row r="1839" spans="1:12" ht="15">
      <c r="A1839" s="21">
        <v>41194</v>
      </c>
      <c r="B1839" s="21">
        <v>41183</v>
      </c>
      <c r="C1839" s="17">
        <v>36</v>
      </c>
      <c r="D1839" s="17" t="s">
        <v>90</v>
      </c>
      <c r="E1839" s="18">
        <v>39910</v>
      </c>
      <c r="F1839" s="17" t="s">
        <v>91</v>
      </c>
      <c r="G1839" s="14">
        <v>300112.8</v>
      </c>
      <c r="H1839" s="14">
        <v>341973.56</v>
      </c>
      <c r="I1839" s="14">
        <v>341973.56</v>
      </c>
      <c r="J1839" s="22">
        <f>H1839*(1+Assumptions!$B$6+IF(F1839="Yes",Assumptions!$C$6,0))</f>
        <v>352232.76679999998</v>
      </c>
      <c r="K1839" s="22">
        <f>H1839*(1+Assumptions!$B$7+IF(F1839="Yes",Assumptions!$C$7,0))</f>
        <v>359072.23800000001</v>
      </c>
      <c r="L1839" s="22">
        <f>H1839*(1+Assumptions!$B$8+IF(F1839="Yes",Assumptions!$C$8,0))</f>
        <v>345393.29560000001</v>
      </c>
    </row>
    <row r="1840" spans="1:12" ht="15">
      <c r="A1840" s="21">
        <v>41194</v>
      </c>
      <c r="B1840" s="21">
        <v>41183</v>
      </c>
      <c r="C1840" s="17">
        <v>37</v>
      </c>
      <c r="D1840" s="17" t="s">
        <v>93</v>
      </c>
      <c r="E1840" s="18">
        <v>39910</v>
      </c>
      <c r="F1840" s="17" t="s">
        <v>91</v>
      </c>
      <c r="G1840" s="14">
        <v>521661.8</v>
      </c>
      <c r="H1840" s="14">
        <v>513594.13</v>
      </c>
      <c r="I1840" s="14">
        <v>513594.13</v>
      </c>
      <c r="J1840" s="22">
        <f>H1840*(1+Assumptions!$B$6+IF(F1840="Yes",Assumptions!$C$6,0))</f>
        <v>529001.95389999996</v>
      </c>
      <c r="K1840" s="22">
        <f>H1840*(1+Assumptions!$B$7+IF(F1840="Yes",Assumptions!$C$7,0))</f>
        <v>539273.83649999998</v>
      </c>
      <c r="L1840" s="22">
        <f>H1840*(1+Assumptions!$B$8+IF(F1840="Yes",Assumptions!$C$8,0))</f>
        <v>518730.07130000001</v>
      </c>
    </row>
    <row r="1841" spans="1:12" ht="15">
      <c r="A1841" s="21">
        <v>41194</v>
      </c>
      <c r="B1841" s="21">
        <v>41183</v>
      </c>
      <c r="C1841" s="17">
        <v>38</v>
      </c>
      <c r="D1841" s="17" t="s">
        <v>93</v>
      </c>
      <c r="E1841" s="18">
        <v>39690</v>
      </c>
      <c r="F1841" s="17" t="s">
        <v>91</v>
      </c>
      <c r="G1841" s="14">
        <v>437186.74</v>
      </c>
      <c r="H1841" s="14">
        <v>400430.78</v>
      </c>
      <c r="I1841" s="14">
        <v>400430.78</v>
      </c>
      <c r="J1841" s="22">
        <f>H1841*(1+Assumptions!$B$6+IF(F1841="Yes",Assumptions!$C$6,0))</f>
        <v>412443.70340000006</v>
      </c>
      <c r="K1841" s="22">
        <f>H1841*(1+Assumptions!$B$7+IF(F1841="Yes",Assumptions!$C$7,0))</f>
        <v>420452.31900000008</v>
      </c>
      <c r="L1841" s="22">
        <f>H1841*(1+Assumptions!$B$8+IF(F1841="Yes",Assumptions!$C$8,0))</f>
        <v>404435.08780000004</v>
      </c>
    </row>
    <row r="1842" spans="1:12" ht="15">
      <c r="A1842" s="21">
        <v>41194</v>
      </c>
      <c r="B1842" s="21">
        <v>41183</v>
      </c>
      <c r="C1842" s="17">
        <v>39</v>
      </c>
      <c r="D1842" s="17" t="s">
        <v>90</v>
      </c>
      <c r="E1842" s="18">
        <v>184109</v>
      </c>
      <c r="F1842" s="17" t="s">
        <v>91</v>
      </c>
      <c r="G1842" s="14">
        <v>1494321.45</v>
      </c>
      <c r="H1842" s="14">
        <v>1384721.84</v>
      </c>
      <c r="I1842" s="14">
        <v>1384721.84</v>
      </c>
      <c r="J1842" s="22">
        <f>H1842*(1+Assumptions!$B$6+IF(F1842="Yes",Assumptions!$C$6,0))</f>
        <v>1426263.4952000002</v>
      </c>
      <c r="K1842" s="22">
        <f>H1842*(1+Assumptions!$B$7+IF(F1842="Yes",Assumptions!$C$7,0))</f>
        <v>1453957.9320000003</v>
      </c>
      <c r="L1842" s="22">
        <f>H1842*(1+Assumptions!$B$8+IF(F1842="Yes",Assumptions!$C$8,0))</f>
        <v>1398569.0584000002</v>
      </c>
    </row>
    <row r="1843" spans="1:12" ht="15">
      <c r="A1843" s="21">
        <v>41194</v>
      </c>
      <c r="B1843" s="21">
        <v>41183</v>
      </c>
      <c r="C1843" s="17">
        <v>40</v>
      </c>
      <c r="D1843" s="17" t="s">
        <v>90</v>
      </c>
      <c r="E1843" s="18">
        <v>155083</v>
      </c>
      <c r="F1843" s="17" t="s">
        <v>91</v>
      </c>
      <c r="G1843" s="14">
        <v>982463.26</v>
      </c>
      <c r="H1843" s="14">
        <v>936739.71</v>
      </c>
      <c r="I1843" s="14">
        <v>936739.71</v>
      </c>
      <c r="J1843" s="22">
        <f>H1843*(1+Assumptions!$B$6+IF(F1843="Yes",Assumptions!$C$6,0))</f>
        <v>964841.90130000003</v>
      </c>
      <c r="K1843" s="22">
        <f>H1843*(1+Assumptions!$B$7+IF(F1843="Yes",Assumptions!$C$7,0))</f>
        <v>983576.69550000003</v>
      </c>
      <c r="L1843" s="22">
        <f>H1843*(1+Assumptions!$B$8+IF(F1843="Yes",Assumptions!$C$8,0))</f>
        <v>946107.10710000002</v>
      </c>
    </row>
    <row r="1844" spans="1:12" ht="15">
      <c r="A1844" s="21">
        <v>41194</v>
      </c>
      <c r="B1844" s="21">
        <v>41183</v>
      </c>
      <c r="C1844" s="17">
        <v>41</v>
      </c>
      <c r="D1844" s="17" t="s">
        <v>90</v>
      </c>
      <c r="E1844" s="18">
        <v>196321</v>
      </c>
      <c r="F1844" s="17" t="s">
        <v>91</v>
      </c>
      <c r="G1844" s="14">
        <v>1409240.27</v>
      </c>
      <c r="H1844" s="14">
        <v>1247064.22</v>
      </c>
      <c r="I1844" s="14">
        <v>1247064.22</v>
      </c>
      <c r="J1844" s="22">
        <f>H1844*(1+Assumptions!$B$6+IF(F1844="Yes",Assumptions!$C$6,0))</f>
        <v>1284476.1466000001</v>
      </c>
      <c r="K1844" s="22">
        <f>H1844*(1+Assumptions!$B$7+IF(F1844="Yes",Assumptions!$C$7,0))</f>
        <v>1309417.4310000001</v>
      </c>
      <c r="L1844" s="22">
        <f>H1844*(1+Assumptions!$B$8+IF(F1844="Yes",Assumptions!$C$8,0))</f>
        <v>1259534.8622000001</v>
      </c>
    </row>
    <row r="1845" spans="1:12" ht="15">
      <c r="A1845" s="21">
        <v>41194</v>
      </c>
      <c r="B1845" s="21">
        <v>41183</v>
      </c>
      <c r="C1845" s="17">
        <v>42</v>
      </c>
      <c r="D1845" s="17" t="s">
        <v>93</v>
      </c>
      <c r="E1845" s="18">
        <v>39690</v>
      </c>
      <c r="F1845" s="17" t="s">
        <v>91</v>
      </c>
      <c r="G1845" s="14">
        <v>612358.13</v>
      </c>
      <c r="H1845" s="14">
        <v>613531.11</v>
      </c>
      <c r="I1845" s="14">
        <v>613531.11</v>
      </c>
      <c r="J1845" s="22">
        <f>H1845*(1+Assumptions!$B$6+IF(F1845="Yes",Assumptions!$C$6,0))</f>
        <v>631937.04330000002</v>
      </c>
      <c r="K1845" s="22">
        <f>H1845*(1+Assumptions!$B$7+IF(F1845="Yes",Assumptions!$C$7,0))</f>
        <v>644207.6655</v>
      </c>
      <c r="L1845" s="22">
        <f>H1845*(1+Assumptions!$B$8+IF(F1845="Yes",Assumptions!$C$8,0))</f>
        <v>619666.42110000004</v>
      </c>
    </row>
    <row r="1846" spans="1:12" ht="15">
      <c r="A1846" s="21">
        <v>41194</v>
      </c>
      <c r="B1846" s="21">
        <v>41183</v>
      </c>
      <c r="C1846" s="17">
        <v>43</v>
      </c>
      <c r="D1846" s="17" t="s">
        <v>93</v>
      </c>
      <c r="E1846" s="18">
        <v>41062</v>
      </c>
      <c r="F1846" s="17" t="s">
        <v>91</v>
      </c>
      <c r="G1846" s="14">
        <v>619326.42999999993</v>
      </c>
      <c r="H1846" s="14">
        <v>590984.23</v>
      </c>
      <c r="I1846" s="14">
        <v>590984.23</v>
      </c>
      <c r="J1846" s="22">
        <f>H1846*(1+Assumptions!$B$6+IF(F1846="Yes",Assumptions!$C$6,0))</f>
        <v>608713.75690000004</v>
      </c>
      <c r="K1846" s="22">
        <f>H1846*(1+Assumptions!$B$7+IF(F1846="Yes",Assumptions!$C$7,0))</f>
        <v>620533.44149999996</v>
      </c>
      <c r="L1846" s="22">
        <f>H1846*(1+Assumptions!$B$8+IF(F1846="Yes",Assumptions!$C$8,0))</f>
        <v>596894.0723</v>
      </c>
    </row>
    <row r="1847" spans="1:12" ht="15">
      <c r="A1847" s="21">
        <v>41194</v>
      </c>
      <c r="B1847" s="21">
        <v>41183</v>
      </c>
      <c r="C1847" s="17">
        <v>44</v>
      </c>
      <c r="D1847" s="17" t="s">
        <v>93</v>
      </c>
      <c r="E1847" s="18">
        <v>39910</v>
      </c>
      <c r="F1847" s="17" t="s">
        <v>91</v>
      </c>
      <c r="G1847" s="14">
        <v>337175.41000000003</v>
      </c>
      <c r="H1847" s="14">
        <v>292992.28000000003</v>
      </c>
      <c r="I1847" s="14">
        <v>292992.28000000003</v>
      </c>
      <c r="J1847" s="22">
        <f>H1847*(1+Assumptions!$B$6+IF(F1847="Yes",Assumptions!$C$6,0))</f>
        <v>301782.04840000003</v>
      </c>
      <c r="K1847" s="22">
        <f>H1847*(1+Assumptions!$B$7+IF(F1847="Yes",Assumptions!$C$7,0))</f>
        <v>307641.89400000003</v>
      </c>
      <c r="L1847" s="22">
        <f>H1847*(1+Assumptions!$B$8+IF(F1847="Yes",Assumptions!$C$8,0))</f>
        <v>295922.20280000003</v>
      </c>
    </row>
    <row r="1848" spans="1:12" ht="15">
      <c r="A1848" s="21">
        <v>41194</v>
      </c>
      <c r="B1848" s="21">
        <v>41183</v>
      </c>
      <c r="C1848" s="17">
        <v>45</v>
      </c>
      <c r="D1848" s="17" t="s">
        <v>92</v>
      </c>
      <c r="E1848" s="18">
        <v>118221</v>
      </c>
      <c r="F1848" s="17" t="s">
        <v>91</v>
      </c>
      <c r="G1848" s="14">
        <v>734464.36</v>
      </c>
      <c r="H1848" s="14">
        <v>720870.55</v>
      </c>
      <c r="I1848" s="14">
        <v>720870.55</v>
      </c>
      <c r="J1848" s="22">
        <f>H1848*(1+Assumptions!$B$6+IF(F1848="Yes",Assumptions!$C$6,0))</f>
        <v>742496.66650000005</v>
      </c>
      <c r="K1848" s="22">
        <f>H1848*(1+Assumptions!$B$7+IF(F1848="Yes",Assumptions!$C$7,0))</f>
        <v>756914.07750000013</v>
      </c>
      <c r="L1848" s="22">
        <f>H1848*(1+Assumptions!$B$8+IF(F1848="Yes",Assumptions!$C$8,0))</f>
        <v>728079.25550000009</v>
      </c>
    </row>
    <row r="1849" spans="1:12" ht="15">
      <c r="A1849" s="21">
        <v>41201</v>
      </c>
      <c r="B1849" s="21">
        <v>41183</v>
      </c>
      <c r="C1849" s="17">
        <v>1</v>
      </c>
      <c r="D1849" s="17" t="s">
        <v>90</v>
      </c>
      <c r="E1849" s="18">
        <v>151315</v>
      </c>
      <c r="F1849" s="17" t="s">
        <v>91</v>
      </c>
      <c r="G1849" s="14">
        <v>1508068.77</v>
      </c>
      <c r="H1849" s="14">
        <v>1502550.81</v>
      </c>
      <c r="I1849" s="14">
        <v>1502550.81</v>
      </c>
      <c r="J1849" s="22">
        <f>H1849*(1+Assumptions!$B$6+IF(F1849="Yes",Assumptions!$C$6,0))</f>
        <v>1547627.3343</v>
      </c>
      <c r="K1849" s="22">
        <f>H1849*(1+Assumptions!$B$7+IF(F1849="Yes",Assumptions!$C$7,0))</f>
        <v>1577678.3505000002</v>
      </c>
      <c r="L1849" s="22">
        <f>H1849*(1+Assumptions!$B$8+IF(F1849="Yes",Assumptions!$C$8,0))</f>
        <v>1517576.3181</v>
      </c>
    </row>
    <row r="1850" spans="1:12" ht="15">
      <c r="A1850" s="21">
        <v>41201</v>
      </c>
      <c r="B1850" s="21">
        <v>41183</v>
      </c>
      <c r="C1850" s="17">
        <v>2</v>
      </c>
      <c r="D1850" s="17" t="s">
        <v>90</v>
      </c>
      <c r="E1850" s="18">
        <v>202307</v>
      </c>
      <c r="F1850" s="17" t="s">
        <v>91</v>
      </c>
      <c r="G1850" s="14">
        <v>1847990.41</v>
      </c>
      <c r="H1850" s="14">
        <v>1834680.25</v>
      </c>
      <c r="I1850" s="14">
        <v>1834680.25</v>
      </c>
      <c r="J1850" s="22">
        <f>H1850*(1+Assumptions!$B$6+IF(F1850="Yes",Assumptions!$C$6,0))</f>
        <v>1889720.6575</v>
      </c>
      <c r="K1850" s="22">
        <f>H1850*(1+Assumptions!$B$7+IF(F1850="Yes",Assumptions!$C$7,0))</f>
        <v>1926414.2625000002</v>
      </c>
      <c r="L1850" s="22">
        <f>H1850*(1+Assumptions!$B$8+IF(F1850="Yes",Assumptions!$C$8,0))</f>
        <v>1853027.0525</v>
      </c>
    </row>
    <row r="1851" spans="1:12" ht="15">
      <c r="A1851" s="21">
        <v>41201</v>
      </c>
      <c r="B1851" s="21">
        <v>41183</v>
      </c>
      <c r="C1851" s="17">
        <v>3</v>
      </c>
      <c r="D1851" s="17" t="s">
        <v>92</v>
      </c>
      <c r="E1851" s="18">
        <v>37392</v>
      </c>
      <c r="F1851" s="17" t="s">
        <v>91</v>
      </c>
      <c r="G1851" s="14">
        <v>424498.29</v>
      </c>
      <c r="H1851" s="14">
        <v>394926.31</v>
      </c>
      <c r="I1851" s="14">
        <v>394926.31</v>
      </c>
      <c r="J1851" s="22">
        <f>H1851*(1+Assumptions!$B$6+IF(F1851="Yes",Assumptions!$C$6,0))</f>
        <v>406774.0993</v>
      </c>
      <c r="K1851" s="22">
        <f>H1851*(1+Assumptions!$B$7+IF(F1851="Yes",Assumptions!$C$7,0))</f>
        <v>414672.62550000002</v>
      </c>
      <c r="L1851" s="22">
        <f>H1851*(1+Assumptions!$B$8+IF(F1851="Yes",Assumptions!$C$8,0))</f>
        <v>398875.57309999998</v>
      </c>
    </row>
    <row r="1852" spans="1:12" ht="15">
      <c r="A1852" s="21">
        <v>41201</v>
      </c>
      <c r="B1852" s="21">
        <v>41183</v>
      </c>
      <c r="C1852" s="17">
        <v>4</v>
      </c>
      <c r="D1852" s="17" t="s">
        <v>90</v>
      </c>
      <c r="E1852" s="18">
        <v>205863</v>
      </c>
      <c r="F1852" s="17" t="s">
        <v>91</v>
      </c>
      <c r="G1852" s="14">
        <v>2097266.85</v>
      </c>
      <c r="H1852" s="14">
        <v>2207730.16</v>
      </c>
      <c r="I1852" s="14">
        <v>2207730.16</v>
      </c>
      <c r="J1852" s="22">
        <f>H1852*(1+Assumptions!$B$6+IF(F1852="Yes",Assumptions!$C$6,0))</f>
        <v>2273962.0648000003</v>
      </c>
      <c r="K1852" s="22">
        <f>H1852*(1+Assumptions!$B$7+IF(F1852="Yes",Assumptions!$C$7,0))</f>
        <v>2318116.6680000001</v>
      </c>
      <c r="L1852" s="22">
        <f>H1852*(1+Assumptions!$B$8+IF(F1852="Yes",Assumptions!$C$8,0))</f>
        <v>2229807.4616</v>
      </c>
    </row>
    <row r="1853" spans="1:12" ht="15">
      <c r="A1853" s="21">
        <v>41201</v>
      </c>
      <c r="B1853" s="21">
        <v>41183</v>
      </c>
      <c r="C1853" s="17">
        <v>5</v>
      </c>
      <c r="D1853" s="17" t="s">
        <v>92</v>
      </c>
      <c r="E1853" s="18">
        <v>34875</v>
      </c>
      <c r="F1853" s="17" t="s">
        <v>91</v>
      </c>
      <c r="G1853" s="14">
        <v>313333.73</v>
      </c>
      <c r="H1853" s="14">
        <v>305881.44</v>
      </c>
      <c r="I1853" s="14">
        <v>305881.44</v>
      </c>
      <c r="J1853" s="22">
        <f>H1853*(1+Assumptions!$B$6+IF(F1853="Yes",Assumptions!$C$6,0))</f>
        <v>315057.88319999998</v>
      </c>
      <c r="K1853" s="22">
        <f>H1853*(1+Assumptions!$B$7+IF(F1853="Yes",Assumptions!$C$7,0))</f>
        <v>321175.51199999999</v>
      </c>
      <c r="L1853" s="22">
        <f>H1853*(1+Assumptions!$B$8+IF(F1853="Yes",Assumptions!$C$8,0))</f>
        <v>308940.25439999998</v>
      </c>
    </row>
    <row r="1854" spans="1:12" ht="15">
      <c r="A1854" s="21">
        <v>41201</v>
      </c>
      <c r="B1854" s="21">
        <v>41183</v>
      </c>
      <c r="C1854" s="17">
        <v>6</v>
      </c>
      <c r="D1854" s="17" t="s">
        <v>90</v>
      </c>
      <c r="E1854" s="18">
        <v>202505</v>
      </c>
      <c r="F1854" s="17" t="s">
        <v>91</v>
      </c>
      <c r="G1854" s="14">
        <v>1436883.99</v>
      </c>
      <c r="H1854" s="14">
        <v>1417898.43</v>
      </c>
      <c r="I1854" s="14">
        <v>1417898.43</v>
      </c>
      <c r="J1854" s="22">
        <f>H1854*(1+Assumptions!$B$6+IF(F1854="Yes",Assumptions!$C$6,0))</f>
        <v>1460435.3829000001</v>
      </c>
      <c r="K1854" s="22">
        <f>H1854*(1+Assumptions!$B$7+IF(F1854="Yes",Assumptions!$C$7,0))</f>
        <v>1488793.3515000001</v>
      </c>
      <c r="L1854" s="22">
        <f>H1854*(1+Assumptions!$B$8+IF(F1854="Yes",Assumptions!$C$8,0))</f>
        <v>1432077.4143000001</v>
      </c>
    </row>
    <row r="1855" spans="1:12" ht="15">
      <c r="A1855" s="21">
        <v>41201</v>
      </c>
      <c r="B1855" s="21">
        <v>41183</v>
      </c>
      <c r="C1855" s="17">
        <v>7</v>
      </c>
      <c r="D1855" s="17" t="s">
        <v>92</v>
      </c>
      <c r="E1855" s="18">
        <v>70713</v>
      </c>
      <c r="F1855" s="17" t="s">
        <v>91</v>
      </c>
      <c r="G1855" s="14">
        <v>515966.85</v>
      </c>
      <c r="H1855" s="14">
        <v>558691.42999999993</v>
      </c>
      <c r="I1855" s="14">
        <v>558691.42999999993</v>
      </c>
      <c r="J1855" s="22">
        <f>H1855*(1+Assumptions!$B$6+IF(F1855="Yes",Assumptions!$C$6,0))</f>
        <v>575452.17290000001</v>
      </c>
      <c r="K1855" s="22">
        <f>H1855*(1+Assumptions!$B$7+IF(F1855="Yes",Assumptions!$C$7,0))</f>
        <v>586626.00150000001</v>
      </c>
      <c r="L1855" s="22">
        <f>H1855*(1+Assumptions!$B$8+IF(F1855="Yes",Assumptions!$C$8,0))</f>
        <v>564278.3443</v>
      </c>
    </row>
    <row r="1856" spans="1:12" ht="15">
      <c r="A1856" s="21">
        <v>41201</v>
      </c>
      <c r="B1856" s="21">
        <v>41183</v>
      </c>
      <c r="C1856" s="17">
        <v>8</v>
      </c>
      <c r="D1856" s="17" t="s">
        <v>90</v>
      </c>
      <c r="E1856" s="18">
        <v>155078</v>
      </c>
      <c r="F1856" s="17" t="s">
        <v>91</v>
      </c>
      <c r="G1856" s="14">
        <v>899249.72</v>
      </c>
      <c r="H1856" s="14">
        <v>905974.49</v>
      </c>
      <c r="I1856" s="14">
        <v>905974.49</v>
      </c>
      <c r="J1856" s="22">
        <f>H1856*(1+Assumptions!$B$6+IF(F1856="Yes",Assumptions!$C$6,0))</f>
        <v>933153.72470000002</v>
      </c>
      <c r="K1856" s="22">
        <f>H1856*(1+Assumptions!$B$7+IF(F1856="Yes",Assumptions!$C$7,0))</f>
        <v>951273.2145</v>
      </c>
      <c r="L1856" s="22">
        <f>H1856*(1+Assumptions!$B$8+IF(F1856="Yes",Assumptions!$C$8,0))</f>
        <v>915034.23490000004</v>
      </c>
    </row>
    <row r="1857" spans="1:12" ht="15">
      <c r="A1857" s="21">
        <v>41201</v>
      </c>
      <c r="B1857" s="21">
        <v>41183</v>
      </c>
      <c r="C1857" s="17">
        <v>9</v>
      </c>
      <c r="D1857" s="17" t="s">
        <v>92</v>
      </c>
      <c r="E1857" s="18">
        <v>125833</v>
      </c>
      <c r="F1857" s="17" t="s">
        <v>91</v>
      </c>
      <c r="G1857" s="14">
        <v>542009.46</v>
      </c>
      <c r="H1857" s="14">
        <v>557023.32999999996</v>
      </c>
      <c r="I1857" s="14">
        <v>557023.32999999996</v>
      </c>
      <c r="J1857" s="22">
        <f>H1857*(1+Assumptions!$B$6+IF(F1857="Yes",Assumptions!$C$6,0))</f>
        <v>573734.02989999996</v>
      </c>
      <c r="K1857" s="22">
        <f>H1857*(1+Assumptions!$B$7+IF(F1857="Yes",Assumptions!$C$7,0))</f>
        <v>584874.49650000001</v>
      </c>
      <c r="L1857" s="22">
        <f>H1857*(1+Assumptions!$B$8+IF(F1857="Yes",Assumptions!$C$8,0))</f>
        <v>562593.56329999992</v>
      </c>
    </row>
    <row r="1858" spans="1:12" ht="15">
      <c r="A1858" s="21">
        <v>41201</v>
      </c>
      <c r="B1858" s="21">
        <v>41183</v>
      </c>
      <c r="C1858" s="17">
        <v>10</v>
      </c>
      <c r="D1858" s="17" t="s">
        <v>92</v>
      </c>
      <c r="E1858" s="18">
        <v>126512</v>
      </c>
      <c r="F1858" s="17" t="s">
        <v>91</v>
      </c>
      <c r="G1858" s="14">
        <v>1734720.82</v>
      </c>
      <c r="H1858" s="14">
        <v>1745880.56</v>
      </c>
      <c r="I1858" s="14">
        <v>1745880.56</v>
      </c>
      <c r="J1858" s="22">
        <f>H1858*(1+Assumptions!$B$6+IF(F1858="Yes",Assumptions!$C$6,0))</f>
        <v>1798256.9768000001</v>
      </c>
      <c r="K1858" s="22">
        <f>H1858*(1+Assumptions!$B$7+IF(F1858="Yes",Assumptions!$C$7,0))</f>
        <v>1833174.5880000002</v>
      </c>
      <c r="L1858" s="22">
        <f>H1858*(1+Assumptions!$B$8+IF(F1858="Yes",Assumptions!$C$8,0))</f>
        <v>1763339.3656000001</v>
      </c>
    </row>
    <row r="1859" spans="1:12" ht="15">
      <c r="A1859" s="21">
        <v>41201</v>
      </c>
      <c r="B1859" s="21">
        <v>41183</v>
      </c>
      <c r="C1859" s="17">
        <v>11</v>
      </c>
      <c r="D1859" s="17" t="s">
        <v>90</v>
      </c>
      <c r="E1859" s="18">
        <v>207499</v>
      </c>
      <c r="F1859" s="17" t="s">
        <v>91</v>
      </c>
      <c r="G1859" s="14">
        <v>1232073.18</v>
      </c>
      <c r="H1859" s="14">
        <v>1325066.06</v>
      </c>
      <c r="I1859" s="14">
        <v>1325066.06</v>
      </c>
      <c r="J1859" s="22">
        <f>H1859*(1+Assumptions!$B$6+IF(F1859="Yes",Assumptions!$C$6,0))</f>
        <v>1364818.0418</v>
      </c>
      <c r="K1859" s="22">
        <f>H1859*(1+Assumptions!$B$7+IF(F1859="Yes",Assumptions!$C$7,0))</f>
        <v>1391319.3630000001</v>
      </c>
      <c r="L1859" s="22">
        <f>H1859*(1+Assumptions!$B$8+IF(F1859="Yes",Assumptions!$C$8,0))</f>
        <v>1338316.7206000001</v>
      </c>
    </row>
    <row r="1860" spans="1:12" ht="15">
      <c r="A1860" s="21">
        <v>41201</v>
      </c>
      <c r="B1860" s="21">
        <v>41183</v>
      </c>
      <c r="C1860" s="17">
        <v>12</v>
      </c>
      <c r="D1860" s="17" t="s">
        <v>92</v>
      </c>
      <c r="E1860" s="18">
        <v>112238</v>
      </c>
      <c r="F1860" s="17" t="s">
        <v>91</v>
      </c>
      <c r="G1860" s="14">
        <v>960945.42999999993</v>
      </c>
      <c r="H1860" s="14">
        <v>938568.67</v>
      </c>
      <c r="I1860" s="14">
        <v>938568.67</v>
      </c>
      <c r="J1860" s="22">
        <f>H1860*(1+Assumptions!$B$6+IF(F1860="Yes",Assumptions!$C$6,0))</f>
        <v>966725.73010000004</v>
      </c>
      <c r="K1860" s="22">
        <f>H1860*(1+Assumptions!$B$7+IF(F1860="Yes",Assumptions!$C$7,0))</f>
        <v>985497.10350000008</v>
      </c>
      <c r="L1860" s="22">
        <f>H1860*(1+Assumptions!$B$8+IF(F1860="Yes",Assumptions!$C$8,0))</f>
        <v>947954.3567</v>
      </c>
    </row>
    <row r="1861" spans="1:12" ht="15">
      <c r="A1861" s="21">
        <v>41201</v>
      </c>
      <c r="B1861" s="21">
        <v>41183</v>
      </c>
      <c r="C1861" s="17">
        <v>13</v>
      </c>
      <c r="D1861" s="17" t="s">
        <v>90</v>
      </c>
      <c r="E1861" s="18">
        <v>219622</v>
      </c>
      <c r="F1861" s="17" t="s">
        <v>91</v>
      </c>
      <c r="G1861" s="14">
        <v>2018010.15</v>
      </c>
      <c r="H1861" s="14">
        <v>1973540.71</v>
      </c>
      <c r="I1861" s="14">
        <v>1973540.71</v>
      </c>
      <c r="J1861" s="22">
        <f>H1861*(1+Assumptions!$B$6+IF(F1861="Yes",Assumptions!$C$6,0))</f>
        <v>2032746.9313000001</v>
      </c>
      <c r="K1861" s="22">
        <f>H1861*(1+Assumptions!$B$7+IF(F1861="Yes",Assumptions!$C$7,0))</f>
        <v>2072217.7455</v>
      </c>
      <c r="L1861" s="22">
        <f>H1861*(1+Assumptions!$B$8+IF(F1861="Yes",Assumptions!$C$8,0))</f>
        <v>1993276.1170999999</v>
      </c>
    </row>
    <row r="1862" spans="1:12" ht="15">
      <c r="A1862" s="21">
        <v>41201</v>
      </c>
      <c r="B1862" s="21">
        <v>41183</v>
      </c>
      <c r="C1862" s="17">
        <v>14</v>
      </c>
      <c r="D1862" s="17" t="s">
        <v>90</v>
      </c>
      <c r="E1862" s="18">
        <v>200898</v>
      </c>
      <c r="F1862" s="17" t="s">
        <v>91</v>
      </c>
      <c r="G1862" s="14">
        <v>1590274.72</v>
      </c>
      <c r="H1862" s="14">
        <v>2008701.75</v>
      </c>
      <c r="I1862" s="14">
        <v>2008701.75</v>
      </c>
      <c r="J1862" s="22">
        <f>H1862*(1+Assumptions!$B$6+IF(F1862="Yes",Assumptions!$C$6,0))</f>
        <v>2068962.8025</v>
      </c>
      <c r="K1862" s="22">
        <f>H1862*(1+Assumptions!$B$7+IF(F1862="Yes",Assumptions!$C$7,0))</f>
        <v>2109136.8374999999</v>
      </c>
      <c r="L1862" s="22">
        <f>H1862*(1+Assumptions!$B$8+IF(F1862="Yes",Assumptions!$C$8,0))</f>
        <v>2028788.7675000001</v>
      </c>
    </row>
    <row r="1863" spans="1:12" ht="15">
      <c r="A1863" s="21">
        <v>41201</v>
      </c>
      <c r="B1863" s="21">
        <v>41183</v>
      </c>
      <c r="C1863" s="17">
        <v>15</v>
      </c>
      <c r="D1863" s="17" t="s">
        <v>92</v>
      </c>
      <c r="E1863" s="18">
        <v>123737</v>
      </c>
      <c r="F1863" s="17" t="s">
        <v>91</v>
      </c>
      <c r="G1863" s="14">
        <v>555599.85</v>
      </c>
      <c r="H1863" s="14">
        <v>603308.93000000005</v>
      </c>
      <c r="I1863" s="14">
        <v>603308.93000000005</v>
      </c>
      <c r="J1863" s="22">
        <f>H1863*(1+Assumptions!$B$6+IF(F1863="Yes",Assumptions!$C$6,0))</f>
        <v>621408.19790000003</v>
      </c>
      <c r="K1863" s="22">
        <f>H1863*(1+Assumptions!$B$7+IF(F1863="Yes",Assumptions!$C$7,0))</f>
        <v>633474.37650000013</v>
      </c>
      <c r="L1863" s="22">
        <f>H1863*(1+Assumptions!$B$8+IF(F1863="Yes",Assumptions!$C$8,0))</f>
        <v>609342.01930000004</v>
      </c>
    </row>
    <row r="1864" spans="1:12" ht="15">
      <c r="A1864" s="21">
        <v>41201</v>
      </c>
      <c r="B1864" s="21">
        <v>41183</v>
      </c>
      <c r="C1864" s="17">
        <v>16</v>
      </c>
      <c r="D1864" s="17" t="s">
        <v>92</v>
      </c>
      <c r="E1864" s="18">
        <v>57197</v>
      </c>
      <c r="F1864" s="17" t="s">
        <v>91</v>
      </c>
      <c r="G1864" s="14">
        <v>575093.99</v>
      </c>
      <c r="H1864" s="14">
        <v>560040.44000000006</v>
      </c>
      <c r="I1864" s="14">
        <v>560040.44000000006</v>
      </c>
      <c r="J1864" s="22">
        <f>H1864*(1+Assumptions!$B$6+IF(F1864="Yes",Assumptions!$C$6,0))</f>
        <v>576841.65320000006</v>
      </c>
      <c r="K1864" s="22">
        <f>H1864*(1+Assumptions!$B$7+IF(F1864="Yes",Assumptions!$C$7,0))</f>
        <v>588042.46200000006</v>
      </c>
      <c r="L1864" s="22">
        <f>H1864*(1+Assumptions!$B$8+IF(F1864="Yes",Assumptions!$C$8,0))</f>
        <v>565640.84440000006</v>
      </c>
    </row>
    <row r="1865" spans="1:12" ht="15">
      <c r="A1865" s="21">
        <v>41201</v>
      </c>
      <c r="B1865" s="21">
        <v>41183</v>
      </c>
      <c r="C1865" s="17">
        <v>17</v>
      </c>
      <c r="D1865" s="17" t="s">
        <v>92</v>
      </c>
      <c r="E1865" s="18">
        <v>93188</v>
      </c>
      <c r="F1865" s="17" t="s">
        <v>91</v>
      </c>
      <c r="G1865" s="14">
        <v>956521.51</v>
      </c>
      <c r="H1865" s="14">
        <v>877380.22</v>
      </c>
      <c r="I1865" s="14">
        <v>877380.22</v>
      </c>
      <c r="J1865" s="22">
        <f>H1865*(1+Assumptions!$B$6+IF(F1865="Yes",Assumptions!$C$6,0))</f>
        <v>903701.62659999996</v>
      </c>
      <c r="K1865" s="22">
        <f>H1865*(1+Assumptions!$B$7+IF(F1865="Yes",Assumptions!$C$7,0))</f>
        <v>921249.23100000003</v>
      </c>
      <c r="L1865" s="22">
        <f>H1865*(1+Assumptions!$B$8+IF(F1865="Yes",Assumptions!$C$8,0))</f>
        <v>886154.02220000001</v>
      </c>
    </row>
    <row r="1866" spans="1:12" ht="15">
      <c r="A1866" s="21">
        <v>41201</v>
      </c>
      <c r="B1866" s="21">
        <v>41183</v>
      </c>
      <c r="C1866" s="17">
        <v>18</v>
      </c>
      <c r="D1866" s="17" t="s">
        <v>92</v>
      </c>
      <c r="E1866" s="18">
        <v>120653</v>
      </c>
      <c r="F1866" s="17" t="s">
        <v>91</v>
      </c>
      <c r="G1866" s="14">
        <v>1048709.74</v>
      </c>
      <c r="H1866" s="14">
        <v>1048212.62</v>
      </c>
      <c r="I1866" s="14">
        <v>1048212.62</v>
      </c>
      <c r="J1866" s="22">
        <f>H1866*(1+Assumptions!$B$6+IF(F1866="Yes",Assumptions!$C$6,0))</f>
        <v>1079658.9986</v>
      </c>
      <c r="K1866" s="22">
        <f>H1866*(1+Assumptions!$B$7+IF(F1866="Yes",Assumptions!$C$7,0))</f>
        <v>1100623.2509999999</v>
      </c>
      <c r="L1866" s="22">
        <f>H1866*(1+Assumptions!$B$8+IF(F1866="Yes",Assumptions!$C$8,0))</f>
        <v>1058694.7461999999</v>
      </c>
    </row>
    <row r="1867" spans="1:12" ht="15">
      <c r="A1867" s="21">
        <v>41201</v>
      </c>
      <c r="B1867" s="21">
        <v>41183</v>
      </c>
      <c r="C1867" s="17">
        <v>19</v>
      </c>
      <c r="D1867" s="17" t="s">
        <v>90</v>
      </c>
      <c r="E1867" s="18">
        <v>203819</v>
      </c>
      <c r="F1867" s="17" t="s">
        <v>91</v>
      </c>
      <c r="G1867" s="14">
        <v>1321093.4099999999</v>
      </c>
      <c r="H1867" s="14">
        <v>1374802.94</v>
      </c>
      <c r="I1867" s="14">
        <v>1374802.94</v>
      </c>
      <c r="J1867" s="22">
        <f>H1867*(1+Assumptions!$B$6+IF(F1867="Yes",Assumptions!$C$6,0))</f>
        <v>1416047.0282000001</v>
      </c>
      <c r="K1867" s="22">
        <f>H1867*(1+Assumptions!$B$7+IF(F1867="Yes",Assumptions!$C$7,0))</f>
        <v>1443543.0870000001</v>
      </c>
      <c r="L1867" s="22">
        <f>H1867*(1+Assumptions!$B$8+IF(F1867="Yes",Assumptions!$C$8,0))</f>
        <v>1388550.9694000001</v>
      </c>
    </row>
    <row r="1868" spans="1:12" ht="15">
      <c r="A1868" s="21">
        <v>41201</v>
      </c>
      <c r="B1868" s="21">
        <v>41183</v>
      </c>
      <c r="C1868" s="17">
        <v>20</v>
      </c>
      <c r="D1868" s="17" t="s">
        <v>90</v>
      </c>
      <c r="E1868" s="18">
        <v>203742</v>
      </c>
      <c r="F1868" s="17" t="s">
        <v>91</v>
      </c>
      <c r="G1868" s="14">
        <v>1999363.49</v>
      </c>
      <c r="H1868" s="14">
        <v>2104127.06</v>
      </c>
      <c r="I1868" s="14">
        <v>2104127.06</v>
      </c>
      <c r="J1868" s="22">
        <f>H1868*(1+Assumptions!$B$6+IF(F1868="Yes",Assumptions!$C$6,0))</f>
        <v>2167250.8718000003</v>
      </c>
      <c r="K1868" s="22">
        <f>H1868*(1+Assumptions!$B$7+IF(F1868="Yes",Assumptions!$C$7,0))</f>
        <v>2209333.4130000002</v>
      </c>
      <c r="L1868" s="22">
        <f>H1868*(1+Assumptions!$B$8+IF(F1868="Yes",Assumptions!$C$8,0))</f>
        <v>2125168.3306</v>
      </c>
    </row>
    <row r="1869" spans="1:12" ht="15">
      <c r="A1869" s="21">
        <v>41201</v>
      </c>
      <c r="B1869" s="21">
        <v>41183</v>
      </c>
      <c r="C1869" s="17">
        <v>21</v>
      </c>
      <c r="D1869" s="17" t="s">
        <v>92</v>
      </c>
      <c r="E1869" s="18">
        <v>140167</v>
      </c>
      <c r="F1869" s="17" t="s">
        <v>91</v>
      </c>
      <c r="G1869" s="14">
        <v>641368.14</v>
      </c>
      <c r="H1869" s="14">
        <v>729036.05999999994</v>
      </c>
      <c r="I1869" s="14">
        <v>729036.05999999994</v>
      </c>
      <c r="J1869" s="22">
        <f>H1869*(1+Assumptions!$B$6+IF(F1869="Yes",Assumptions!$C$6,0))</f>
        <v>750907.14179999998</v>
      </c>
      <c r="K1869" s="22">
        <f>H1869*(1+Assumptions!$B$7+IF(F1869="Yes",Assumptions!$C$7,0))</f>
        <v>765487.86300000001</v>
      </c>
      <c r="L1869" s="22">
        <f>H1869*(1+Assumptions!$B$8+IF(F1869="Yes",Assumptions!$C$8,0))</f>
        <v>736326.42059999995</v>
      </c>
    </row>
    <row r="1870" spans="1:12" ht="15">
      <c r="A1870" s="21">
        <v>41201</v>
      </c>
      <c r="B1870" s="21">
        <v>41183</v>
      </c>
      <c r="C1870" s="17">
        <v>22</v>
      </c>
      <c r="D1870" s="17" t="s">
        <v>92</v>
      </c>
      <c r="E1870" s="18">
        <v>119557</v>
      </c>
      <c r="F1870" s="17" t="s">
        <v>91</v>
      </c>
      <c r="G1870" s="14">
        <v>978004.67</v>
      </c>
      <c r="H1870" s="14">
        <v>981622.28</v>
      </c>
      <c r="I1870" s="14">
        <v>981622.28</v>
      </c>
      <c r="J1870" s="22">
        <f>H1870*(1+Assumptions!$B$6+IF(F1870="Yes",Assumptions!$C$6,0))</f>
        <v>1011070.9484000001</v>
      </c>
      <c r="K1870" s="22">
        <f>H1870*(1+Assumptions!$B$7+IF(F1870="Yes",Assumptions!$C$7,0))</f>
        <v>1030703.3940000001</v>
      </c>
      <c r="L1870" s="22">
        <f>H1870*(1+Assumptions!$B$8+IF(F1870="Yes",Assumptions!$C$8,0))</f>
        <v>991438.50280000002</v>
      </c>
    </row>
    <row r="1871" spans="1:12" ht="15">
      <c r="A1871" s="21">
        <v>41201</v>
      </c>
      <c r="B1871" s="21">
        <v>41183</v>
      </c>
      <c r="C1871" s="17">
        <v>23</v>
      </c>
      <c r="D1871" s="17" t="s">
        <v>92</v>
      </c>
      <c r="E1871" s="18">
        <v>114533</v>
      </c>
      <c r="F1871" s="17" t="s">
        <v>91</v>
      </c>
      <c r="G1871" s="14">
        <v>1363155.77</v>
      </c>
      <c r="H1871" s="14">
        <v>1441020.6199999999</v>
      </c>
      <c r="I1871" s="14">
        <v>1441020.6199999999</v>
      </c>
      <c r="J1871" s="22">
        <f>H1871*(1+Assumptions!$B$6+IF(F1871="Yes",Assumptions!$C$6,0))</f>
        <v>1484251.2385999998</v>
      </c>
      <c r="K1871" s="22">
        <f>H1871*(1+Assumptions!$B$7+IF(F1871="Yes",Assumptions!$C$7,0))</f>
        <v>1513071.6509999998</v>
      </c>
      <c r="L1871" s="22">
        <f>H1871*(1+Assumptions!$B$8+IF(F1871="Yes",Assumptions!$C$8,0))</f>
        <v>1455430.8261999998</v>
      </c>
    </row>
    <row r="1872" spans="1:12" ht="15">
      <c r="A1872" s="21">
        <v>41201</v>
      </c>
      <c r="B1872" s="21">
        <v>41183</v>
      </c>
      <c r="C1872" s="17">
        <v>24</v>
      </c>
      <c r="D1872" s="17" t="s">
        <v>90</v>
      </c>
      <c r="E1872" s="18">
        <v>203819</v>
      </c>
      <c r="F1872" s="17" t="s">
        <v>91</v>
      </c>
      <c r="G1872" s="14">
        <v>1255414.8400000001</v>
      </c>
      <c r="H1872" s="14">
        <v>1283563.43</v>
      </c>
      <c r="I1872" s="14">
        <v>1283563.43</v>
      </c>
      <c r="J1872" s="22">
        <f>H1872*(1+Assumptions!$B$6+IF(F1872="Yes",Assumptions!$C$6,0))</f>
        <v>1322070.3329</v>
      </c>
      <c r="K1872" s="22">
        <f>H1872*(1+Assumptions!$B$7+IF(F1872="Yes",Assumptions!$C$7,0))</f>
        <v>1347741.6014999999</v>
      </c>
      <c r="L1872" s="22">
        <f>H1872*(1+Assumptions!$B$8+IF(F1872="Yes",Assumptions!$C$8,0))</f>
        <v>1296399.0643</v>
      </c>
    </row>
    <row r="1873" spans="1:12" ht="15">
      <c r="A1873" s="21">
        <v>41201</v>
      </c>
      <c r="B1873" s="21">
        <v>41183</v>
      </c>
      <c r="C1873" s="17">
        <v>25</v>
      </c>
      <c r="D1873" s="17" t="s">
        <v>92</v>
      </c>
      <c r="E1873" s="18">
        <v>128107</v>
      </c>
      <c r="F1873" s="17" t="s">
        <v>91</v>
      </c>
      <c r="G1873" s="14">
        <v>685531.85</v>
      </c>
      <c r="H1873" s="14">
        <v>690664.58</v>
      </c>
      <c r="I1873" s="14">
        <v>690664.58</v>
      </c>
      <c r="J1873" s="22">
        <f>H1873*(1+Assumptions!$B$6+IF(F1873="Yes",Assumptions!$C$6,0))</f>
        <v>711384.51740000001</v>
      </c>
      <c r="K1873" s="22">
        <f>H1873*(1+Assumptions!$B$7+IF(F1873="Yes",Assumptions!$C$7,0))</f>
        <v>725197.80900000001</v>
      </c>
      <c r="L1873" s="22">
        <f>H1873*(1+Assumptions!$B$8+IF(F1873="Yes",Assumptions!$C$8,0))</f>
        <v>697571.22580000001</v>
      </c>
    </row>
    <row r="1874" spans="1:12" ht="15">
      <c r="A1874" s="21">
        <v>41201</v>
      </c>
      <c r="B1874" s="21">
        <v>41183</v>
      </c>
      <c r="C1874" s="17">
        <v>26</v>
      </c>
      <c r="D1874" s="17" t="s">
        <v>90</v>
      </c>
      <c r="E1874" s="18">
        <v>152513</v>
      </c>
      <c r="F1874" s="17" t="s">
        <v>91</v>
      </c>
      <c r="G1874" s="14">
        <v>975578.02</v>
      </c>
      <c r="H1874" s="14">
        <v>974369.49</v>
      </c>
      <c r="I1874" s="14">
        <v>974369.49</v>
      </c>
      <c r="J1874" s="22">
        <f>H1874*(1+Assumptions!$B$6+IF(F1874="Yes",Assumptions!$C$6,0))</f>
        <v>1003600.5747</v>
      </c>
      <c r="K1874" s="22">
        <f>H1874*(1+Assumptions!$B$7+IF(F1874="Yes",Assumptions!$C$7,0))</f>
        <v>1023087.9645</v>
      </c>
      <c r="L1874" s="22">
        <f>H1874*(1+Assumptions!$B$8+IF(F1874="Yes",Assumptions!$C$8,0))</f>
        <v>984113.18489999999</v>
      </c>
    </row>
    <row r="1875" spans="1:12" ht="15">
      <c r="A1875" s="21">
        <v>41201</v>
      </c>
      <c r="B1875" s="21">
        <v>41183</v>
      </c>
      <c r="C1875" s="17">
        <v>27</v>
      </c>
      <c r="D1875" s="17" t="s">
        <v>90</v>
      </c>
      <c r="E1875" s="18">
        <v>204184</v>
      </c>
      <c r="F1875" s="17" t="s">
        <v>91</v>
      </c>
      <c r="G1875" s="14">
        <v>1620374.24</v>
      </c>
      <c r="H1875" s="14">
        <v>1689601.32</v>
      </c>
      <c r="I1875" s="14">
        <v>1689601.32</v>
      </c>
      <c r="J1875" s="22">
        <f>H1875*(1+Assumptions!$B$6+IF(F1875="Yes",Assumptions!$C$6,0))</f>
        <v>1740289.3596000001</v>
      </c>
      <c r="K1875" s="22">
        <f>H1875*(1+Assumptions!$B$7+IF(F1875="Yes",Assumptions!$C$7,0))</f>
        <v>1774081.3860000002</v>
      </c>
      <c r="L1875" s="22">
        <f>H1875*(1+Assumptions!$B$8+IF(F1875="Yes",Assumptions!$C$8,0))</f>
        <v>1706497.3332</v>
      </c>
    </row>
    <row r="1876" spans="1:12" ht="15">
      <c r="A1876" s="21">
        <v>41201</v>
      </c>
      <c r="B1876" s="21">
        <v>41183</v>
      </c>
      <c r="C1876" s="17">
        <v>28</v>
      </c>
      <c r="D1876" s="17" t="s">
        <v>90</v>
      </c>
      <c r="E1876" s="18">
        <v>206302</v>
      </c>
      <c r="F1876" s="17" t="s">
        <v>91</v>
      </c>
      <c r="G1876" s="14">
        <v>1143724.48</v>
      </c>
      <c r="H1876" s="14">
        <v>1203136.1399999999</v>
      </c>
      <c r="I1876" s="14">
        <v>1203136.1399999999</v>
      </c>
      <c r="J1876" s="22">
        <f>H1876*(1+Assumptions!$B$6+IF(F1876="Yes",Assumptions!$C$6,0))</f>
        <v>1239230.2241999998</v>
      </c>
      <c r="K1876" s="22">
        <f>H1876*(1+Assumptions!$B$7+IF(F1876="Yes",Assumptions!$C$7,0))</f>
        <v>1263292.9469999999</v>
      </c>
      <c r="L1876" s="22">
        <f>H1876*(1+Assumptions!$B$8+IF(F1876="Yes",Assumptions!$C$8,0))</f>
        <v>1215167.5014</v>
      </c>
    </row>
    <row r="1877" spans="1:12" ht="15">
      <c r="A1877" s="21">
        <v>41201</v>
      </c>
      <c r="B1877" s="21">
        <v>41183</v>
      </c>
      <c r="C1877" s="17">
        <v>29</v>
      </c>
      <c r="D1877" s="17" t="s">
        <v>92</v>
      </c>
      <c r="E1877" s="18">
        <v>93638</v>
      </c>
      <c r="F1877" s="17" t="s">
        <v>91</v>
      </c>
      <c r="G1877" s="14">
        <v>516908.24</v>
      </c>
      <c r="H1877" s="14">
        <v>504318.31</v>
      </c>
      <c r="I1877" s="14">
        <v>504318.31</v>
      </c>
      <c r="J1877" s="22">
        <f>H1877*(1+Assumptions!$B$6+IF(F1877="Yes",Assumptions!$C$6,0))</f>
        <v>519447.85930000001</v>
      </c>
      <c r="K1877" s="22">
        <f>H1877*(1+Assumptions!$B$7+IF(F1877="Yes",Assumptions!$C$7,0))</f>
        <v>529534.22550000006</v>
      </c>
      <c r="L1877" s="22">
        <f>H1877*(1+Assumptions!$B$8+IF(F1877="Yes",Assumptions!$C$8,0))</f>
        <v>509361.49310000002</v>
      </c>
    </row>
    <row r="1878" spans="1:12" ht="15">
      <c r="A1878" s="21">
        <v>41201</v>
      </c>
      <c r="B1878" s="21">
        <v>41183</v>
      </c>
      <c r="C1878" s="17">
        <v>30</v>
      </c>
      <c r="D1878" s="17" t="s">
        <v>93</v>
      </c>
      <c r="E1878" s="18">
        <v>42988</v>
      </c>
      <c r="F1878" s="17" t="s">
        <v>91</v>
      </c>
      <c r="G1878" s="14">
        <v>437467.53</v>
      </c>
      <c r="H1878" s="14">
        <v>428935.78</v>
      </c>
      <c r="I1878" s="14">
        <v>428935.78</v>
      </c>
      <c r="J1878" s="22">
        <f>H1878*(1+Assumptions!$B$6+IF(F1878="Yes",Assumptions!$C$6,0))</f>
        <v>441803.85340000002</v>
      </c>
      <c r="K1878" s="22">
        <f>H1878*(1+Assumptions!$B$7+IF(F1878="Yes",Assumptions!$C$7,0))</f>
        <v>450382.56900000008</v>
      </c>
      <c r="L1878" s="22">
        <f>H1878*(1+Assumptions!$B$8+IF(F1878="Yes",Assumptions!$C$8,0))</f>
        <v>433225.13780000003</v>
      </c>
    </row>
    <row r="1879" spans="1:12" ht="15">
      <c r="A1879" s="21">
        <v>41201</v>
      </c>
      <c r="B1879" s="21">
        <v>41183</v>
      </c>
      <c r="C1879" s="17">
        <v>31</v>
      </c>
      <c r="D1879" s="17" t="s">
        <v>90</v>
      </c>
      <c r="E1879" s="18">
        <v>203750</v>
      </c>
      <c r="F1879" s="17" t="s">
        <v>91</v>
      </c>
      <c r="G1879" s="14">
        <v>1378730.45</v>
      </c>
      <c r="H1879" s="14">
        <v>1409310.39</v>
      </c>
      <c r="I1879" s="14">
        <v>1409310.39</v>
      </c>
      <c r="J1879" s="22">
        <f>H1879*(1+Assumptions!$B$6+IF(F1879="Yes",Assumptions!$C$6,0))</f>
        <v>1451589.7016999999</v>
      </c>
      <c r="K1879" s="22">
        <f>H1879*(1+Assumptions!$B$7+IF(F1879="Yes",Assumptions!$C$7,0))</f>
        <v>1479775.9095000001</v>
      </c>
      <c r="L1879" s="22">
        <f>H1879*(1+Assumptions!$B$8+IF(F1879="Yes",Assumptions!$C$8,0))</f>
        <v>1423403.4938999999</v>
      </c>
    </row>
    <row r="1880" spans="1:12" ht="15">
      <c r="A1880" s="21">
        <v>41201</v>
      </c>
      <c r="B1880" s="21">
        <v>41183</v>
      </c>
      <c r="C1880" s="17">
        <v>32</v>
      </c>
      <c r="D1880" s="17" t="s">
        <v>90</v>
      </c>
      <c r="E1880" s="18">
        <v>203007</v>
      </c>
      <c r="F1880" s="17" t="s">
        <v>91</v>
      </c>
      <c r="G1880" s="14">
        <v>1199286.0900000001</v>
      </c>
      <c r="H1880" s="14">
        <v>1151263.6200000001</v>
      </c>
      <c r="I1880" s="14">
        <v>1151263.6200000001</v>
      </c>
      <c r="J1880" s="22">
        <f>H1880*(1+Assumptions!$B$6+IF(F1880="Yes",Assumptions!$C$6,0))</f>
        <v>1185801.5286000001</v>
      </c>
      <c r="K1880" s="22">
        <f>H1880*(1+Assumptions!$B$7+IF(F1880="Yes",Assumptions!$C$7,0))</f>
        <v>1208826.8010000002</v>
      </c>
      <c r="L1880" s="22">
        <f>H1880*(1+Assumptions!$B$8+IF(F1880="Yes",Assumptions!$C$8,0))</f>
        <v>1162776.2562000002</v>
      </c>
    </row>
    <row r="1881" spans="1:12" ht="15">
      <c r="A1881" s="21">
        <v>41201</v>
      </c>
      <c r="B1881" s="21">
        <v>41183</v>
      </c>
      <c r="C1881" s="17">
        <v>33</v>
      </c>
      <c r="D1881" s="17" t="s">
        <v>90</v>
      </c>
      <c r="E1881" s="18">
        <v>39690</v>
      </c>
      <c r="F1881" s="17" t="s">
        <v>91</v>
      </c>
      <c r="G1881" s="14">
        <v>254408.34</v>
      </c>
      <c r="H1881" s="14">
        <v>233486.56</v>
      </c>
      <c r="I1881" s="14">
        <v>233486.56</v>
      </c>
      <c r="J1881" s="22">
        <f>H1881*(1+Assumptions!$B$6+IF(F1881="Yes",Assumptions!$C$6,0))</f>
        <v>240491.1568</v>
      </c>
      <c r="K1881" s="22">
        <f>H1881*(1+Assumptions!$B$7+IF(F1881="Yes",Assumptions!$C$7,0))</f>
        <v>245160.88800000001</v>
      </c>
      <c r="L1881" s="22">
        <f>H1881*(1+Assumptions!$B$8+IF(F1881="Yes",Assumptions!$C$8,0))</f>
        <v>235821.42559999999</v>
      </c>
    </row>
    <row r="1882" spans="1:12" ht="15">
      <c r="A1882" s="21">
        <v>41201</v>
      </c>
      <c r="B1882" s="21">
        <v>41183</v>
      </c>
      <c r="C1882" s="17">
        <v>34</v>
      </c>
      <c r="D1882" s="17" t="s">
        <v>90</v>
      </c>
      <c r="E1882" s="18">
        <v>158114</v>
      </c>
      <c r="F1882" s="17" t="s">
        <v>91</v>
      </c>
      <c r="G1882" s="14">
        <v>963516.28</v>
      </c>
      <c r="H1882" s="14">
        <v>954291.23</v>
      </c>
      <c r="I1882" s="14">
        <v>954291.23</v>
      </c>
      <c r="J1882" s="22">
        <f>H1882*(1+Assumptions!$B$6+IF(F1882="Yes",Assumptions!$C$6,0))</f>
        <v>982919.9669</v>
      </c>
      <c r="K1882" s="22">
        <f>H1882*(1+Assumptions!$B$7+IF(F1882="Yes",Assumptions!$C$7,0))</f>
        <v>1002005.7915000001</v>
      </c>
      <c r="L1882" s="22">
        <f>H1882*(1+Assumptions!$B$8+IF(F1882="Yes",Assumptions!$C$8,0))</f>
        <v>963834.14229999995</v>
      </c>
    </row>
    <row r="1883" spans="1:12" ht="15">
      <c r="A1883" s="21">
        <v>41201</v>
      </c>
      <c r="B1883" s="21">
        <v>41183</v>
      </c>
      <c r="C1883" s="17">
        <v>35</v>
      </c>
      <c r="D1883" s="17" t="s">
        <v>92</v>
      </c>
      <c r="E1883" s="18">
        <v>103681</v>
      </c>
      <c r="F1883" s="17" t="s">
        <v>91</v>
      </c>
      <c r="G1883" s="14">
        <v>829276.80999999994</v>
      </c>
      <c r="H1883" s="14">
        <v>811313.24</v>
      </c>
      <c r="I1883" s="14">
        <v>811313.24</v>
      </c>
      <c r="J1883" s="22">
        <f>H1883*(1+Assumptions!$B$6+IF(F1883="Yes",Assumptions!$C$6,0))</f>
        <v>835652.6372</v>
      </c>
      <c r="K1883" s="22">
        <f>H1883*(1+Assumptions!$B$7+IF(F1883="Yes",Assumptions!$C$7,0))</f>
        <v>851878.902</v>
      </c>
      <c r="L1883" s="22">
        <f>H1883*(1+Assumptions!$B$8+IF(F1883="Yes",Assumptions!$C$8,0))</f>
        <v>819426.37239999999</v>
      </c>
    </row>
    <row r="1884" spans="1:12" ht="15">
      <c r="A1884" s="21">
        <v>41201</v>
      </c>
      <c r="B1884" s="21">
        <v>41183</v>
      </c>
      <c r="C1884" s="17">
        <v>36</v>
      </c>
      <c r="D1884" s="17" t="s">
        <v>90</v>
      </c>
      <c r="E1884" s="18">
        <v>39910</v>
      </c>
      <c r="F1884" s="17" t="s">
        <v>91</v>
      </c>
      <c r="G1884" s="14">
        <v>287189.05</v>
      </c>
      <c r="H1884" s="14">
        <v>328545.01</v>
      </c>
      <c r="I1884" s="14">
        <v>328545.01</v>
      </c>
      <c r="J1884" s="22">
        <f>H1884*(1+Assumptions!$B$6+IF(F1884="Yes",Assumptions!$C$6,0))</f>
        <v>338401.3603</v>
      </c>
      <c r="K1884" s="22">
        <f>H1884*(1+Assumptions!$B$7+IF(F1884="Yes",Assumptions!$C$7,0))</f>
        <v>344972.26050000003</v>
      </c>
      <c r="L1884" s="22">
        <f>H1884*(1+Assumptions!$B$8+IF(F1884="Yes",Assumptions!$C$8,0))</f>
        <v>331830.46010000003</v>
      </c>
    </row>
    <row r="1885" spans="1:12" ht="15">
      <c r="A1885" s="21">
        <v>41201</v>
      </c>
      <c r="B1885" s="21">
        <v>41183</v>
      </c>
      <c r="C1885" s="17">
        <v>37</v>
      </c>
      <c r="D1885" s="17" t="s">
        <v>93</v>
      </c>
      <c r="E1885" s="18">
        <v>39910</v>
      </c>
      <c r="F1885" s="17" t="s">
        <v>91</v>
      </c>
      <c r="G1885" s="14">
        <v>551849.44000000006</v>
      </c>
      <c r="H1885" s="14">
        <v>522784.33</v>
      </c>
      <c r="I1885" s="14">
        <v>522784.33</v>
      </c>
      <c r="J1885" s="22">
        <f>H1885*(1+Assumptions!$B$6+IF(F1885="Yes",Assumptions!$C$6,0))</f>
        <v>538467.85990000004</v>
      </c>
      <c r="K1885" s="22">
        <f>H1885*(1+Assumptions!$B$7+IF(F1885="Yes",Assumptions!$C$7,0))</f>
        <v>548923.54650000005</v>
      </c>
      <c r="L1885" s="22">
        <f>H1885*(1+Assumptions!$B$8+IF(F1885="Yes",Assumptions!$C$8,0))</f>
        <v>528012.17330000002</v>
      </c>
    </row>
    <row r="1886" spans="1:12" ht="15">
      <c r="A1886" s="21">
        <v>41201</v>
      </c>
      <c r="B1886" s="21">
        <v>41183</v>
      </c>
      <c r="C1886" s="17">
        <v>38</v>
      </c>
      <c r="D1886" s="17" t="s">
        <v>93</v>
      </c>
      <c r="E1886" s="18">
        <v>39690</v>
      </c>
      <c r="F1886" s="17" t="s">
        <v>91</v>
      </c>
      <c r="G1886" s="14">
        <v>428771.70999999996</v>
      </c>
      <c r="H1886" s="14">
        <v>402686.97000000003</v>
      </c>
      <c r="I1886" s="14">
        <v>402686.97000000003</v>
      </c>
      <c r="J1886" s="22">
        <f>H1886*(1+Assumptions!$B$6+IF(F1886="Yes",Assumptions!$C$6,0))</f>
        <v>414767.57910000003</v>
      </c>
      <c r="K1886" s="22">
        <f>H1886*(1+Assumptions!$B$7+IF(F1886="Yes",Assumptions!$C$7,0))</f>
        <v>422821.31850000005</v>
      </c>
      <c r="L1886" s="22">
        <f>H1886*(1+Assumptions!$B$8+IF(F1886="Yes",Assumptions!$C$8,0))</f>
        <v>406713.83970000001</v>
      </c>
    </row>
    <row r="1887" spans="1:12" ht="15">
      <c r="A1887" s="21">
        <v>41201</v>
      </c>
      <c r="B1887" s="21">
        <v>41183</v>
      </c>
      <c r="C1887" s="17">
        <v>39</v>
      </c>
      <c r="D1887" s="17" t="s">
        <v>90</v>
      </c>
      <c r="E1887" s="18">
        <v>184109</v>
      </c>
      <c r="F1887" s="17" t="s">
        <v>91</v>
      </c>
      <c r="G1887" s="14">
        <v>1577486.33</v>
      </c>
      <c r="H1887" s="14">
        <v>1465283.29</v>
      </c>
      <c r="I1887" s="14">
        <v>1465283.29</v>
      </c>
      <c r="J1887" s="22">
        <f>H1887*(1+Assumptions!$B$6+IF(F1887="Yes",Assumptions!$C$6,0))</f>
        <v>1509241.7887000002</v>
      </c>
      <c r="K1887" s="22">
        <f>H1887*(1+Assumptions!$B$7+IF(F1887="Yes",Assumptions!$C$7,0))</f>
        <v>1538547.4545</v>
      </c>
      <c r="L1887" s="22">
        <f>H1887*(1+Assumptions!$B$8+IF(F1887="Yes",Assumptions!$C$8,0))</f>
        <v>1479936.1229000001</v>
      </c>
    </row>
    <row r="1888" spans="1:12" ht="15">
      <c r="A1888" s="21">
        <v>41201</v>
      </c>
      <c r="B1888" s="21">
        <v>41183</v>
      </c>
      <c r="C1888" s="17">
        <v>40</v>
      </c>
      <c r="D1888" s="17" t="s">
        <v>90</v>
      </c>
      <c r="E1888" s="18">
        <v>155083</v>
      </c>
      <c r="F1888" s="17" t="s">
        <v>91</v>
      </c>
      <c r="G1888" s="14">
        <v>918170.5</v>
      </c>
      <c r="H1888" s="14">
        <v>942307.67999999993</v>
      </c>
      <c r="I1888" s="14">
        <v>942307.67999999993</v>
      </c>
      <c r="J1888" s="22">
        <f>H1888*(1+Assumptions!$B$6+IF(F1888="Yes",Assumptions!$C$6,0))</f>
        <v>970576.91039999994</v>
      </c>
      <c r="K1888" s="22">
        <f>H1888*(1+Assumptions!$B$7+IF(F1888="Yes",Assumptions!$C$7,0))</f>
        <v>989423.06400000001</v>
      </c>
      <c r="L1888" s="22">
        <f>H1888*(1+Assumptions!$B$8+IF(F1888="Yes",Assumptions!$C$8,0))</f>
        <v>951730.75679999997</v>
      </c>
    </row>
    <row r="1889" spans="1:12" ht="15">
      <c r="A1889" s="21">
        <v>41201</v>
      </c>
      <c r="B1889" s="21">
        <v>41183</v>
      </c>
      <c r="C1889" s="17">
        <v>41</v>
      </c>
      <c r="D1889" s="17" t="s">
        <v>90</v>
      </c>
      <c r="E1889" s="18">
        <v>196321</v>
      </c>
      <c r="F1889" s="17" t="s">
        <v>91</v>
      </c>
      <c r="G1889" s="14">
        <v>1326191.27</v>
      </c>
      <c r="H1889" s="14">
        <v>1214944.29</v>
      </c>
      <c r="I1889" s="14">
        <v>1214944.29</v>
      </c>
      <c r="J1889" s="22">
        <f>H1889*(1+Assumptions!$B$6+IF(F1889="Yes",Assumptions!$C$6,0))</f>
        <v>1251392.6187</v>
      </c>
      <c r="K1889" s="22">
        <f>H1889*(1+Assumptions!$B$7+IF(F1889="Yes",Assumptions!$C$7,0))</f>
        <v>1275691.5045</v>
      </c>
      <c r="L1889" s="22">
        <f>H1889*(1+Assumptions!$B$8+IF(F1889="Yes",Assumptions!$C$8,0))</f>
        <v>1227093.7328999999</v>
      </c>
    </row>
    <row r="1890" spans="1:12" ht="15">
      <c r="A1890" s="21">
        <v>41201</v>
      </c>
      <c r="B1890" s="21">
        <v>41183</v>
      </c>
      <c r="C1890" s="17">
        <v>42</v>
      </c>
      <c r="D1890" s="17" t="s">
        <v>93</v>
      </c>
      <c r="E1890" s="18">
        <v>39690</v>
      </c>
      <c r="F1890" s="17" t="s">
        <v>91</v>
      </c>
      <c r="G1890" s="14">
        <v>541117.39</v>
      </c>
      <c r="H1890" s="14">
        <v>537276.41</v>
      </c>
      <c r="I1890" s="14">
        <v>537276.41</v>
      </c>
      <c r="J1890" s="22">
        <f>H1890*(1+Assumptions!$B$6+IF(F1890="Yes",Assumptions!$C$6,0))</f>
        <v>553394.7023</v>
      </c>
      <c r="K1890" s="22">
        <f>H1890*(1+Assumptions!$B$7+IF(F1890="Yes",Assumptions!$C$7,0))</f>
        <v>564140.23050000006</v>
      </c>
      <c r="L1890" s="22">
        <f>H1890*(1+Assumptions!$B$8+IF(F1890="Yes",Assumptions!$C$8,0))</f>
        <v>542649.17410000006</v>
      </c>
    </row>
    <row r="1891" spans="1:12" ht="15">
      <c r="A1891" s="21">
        <v>41201</v>
      </c>
      <c r="B1891" s="21">
        <v>41183</v>
      </c>
      <c r="C1891" s="17">
        <v>43</v>
      </c>
      <c r="D1891" s="17" t="s">
        <v>93</v>
      </c>
      <c r="E1891" s="18">
        <v>41062</v>
      </c>
      <c r="F1891" s="17" t="s">
        <v>91</v>
      </c>
      <c r="G1891" s="14">
        <v>623895.1</v>
      </c>
      <c r="H1891" s="14">
        <v>594625.96</v>
      </c>
      <c r="I1891" s="14">
        <v>594625.96</v>
      </c>
      <c r="J1891" s="22">
        <f>H1891*(1+Assumptions!$B$6+IF(F1891="Yes",Assumptions!$C$6,0))</f>
        <v>612464.73879999993</v>
      </c>
      <c r="K1891" s="22">
        <f>H1891*(1+Assumptions!$B$7+IF(F1891="Yes",Assumptions!$C$7,0))</f>
        <v>624357.25800000003</v>
      </c>
      <c r="L1891" s="22">
        <f>H1891*(1+Assumptions!$B$8+IF(F1891="Yes",Assumptions!$C$8,0))</f>
        <v>600572.21959999995</v>
      </c>
    </row>
    <row r="1892" spans="1:12" ht="15">
      <c r="A1892" s="21">
        <v>41201</v>
      </c>
      <c r="B1892" s="21">
        <v>41183</v>
      </c>
      <c r="C1892" s="17">
        <v>44</v>
      </c>
      <c r="D1892" s="17" t="s">
        <v>93</v>
      </c>
      <c r="E1892" s="18">
        <v>39910</v>
      </c>
      <c r="F1892" s="17" t="s">
        <v>91</v>
      </c>
      <c r="G1892" s="14">
        <v>323440.8</v>
      </c>
      <c r="H1892" s="14">
        <v>305863.86</v>
      </c>
      <c r="I1892" s="14">
        <v>305863.86</v>
      </c>
      <c r="J1892" s="22">
        <f>H1892*(1+Assumptions!$B$6+IF(F1892="Yes",Assumptions!$C$6,0))</f>
        <v>315039.7758</v>
      </c>
      <c r="K1892" s="22">
        <f>H1892*(1+Assumptions!$B$7+IF(F1892="Yes",Assumptions!$C$7,0))</f>
        <v>321157.05300000001</v>
      </c>
      <c r="L1892" s="22">
        <f>H1892*(1+Assumptions!$B$8+IF(F1892="Yes",Assumptions!$C$8,0))</f>
        <v>308922.49859999999</v>
      </c>
    </row>
    <row r="1893" spans="1:12" ht="15">
      <c r="A1893" s="21">
        <v>41201</v>
      </c>
      <c r="B1893" s="21">
        <v>41183</v>
      </c>
      <c r="C1893" s="17">
        <v>45</v>
      </c>
      <c r="D1893" s="17" t="s">
        <v>92</v>
      </c>
      <c r="E1893" s="18">
        <v>118221</v>
      </c>
      <c r="F1893" s="17" t="s">
        <v>91</v>
      </c>
      <c r="G1893" s="14">
        <v>718125.53</v>
      </c>
      <c r="H1893" s="14">
        <v>771624.04</v>
      </c>
      <c r="I1893" s="14">
        <v>771624.04</v>
      </c>
      <c r="J1893" s="22">
        <f>H1893*(1+Assumptions!$B$6+IF(F1893="Yes",Assumptions!$C$6,0))</f>
        <v>794772.76120000007</v>
      </c>
      <c r="K1893" s="22">
        <f>H1893*(1+Assumptions!$B$7+IF(F1893="Yes",Assumptions!$C$7,0))</f>
        <v>810205.24200000009</v>
      </c>
      <c r="L1893" s="22">
        <f>H1893*(1+Assumptions!$B$8+IF(F1893="Yes",Assumptions!$C$8,0))</f>
        <v>779340.28040000005</v>
      </c>
    </row>
    <row r="1894" spans="1:12" ht="15">
      <c r="A1894" s="21">
        <v>41208</v>
      </c>
      <c r="B1894" s="21">
        <v>41183</v>
      </c>
      <c r="C1894" s="17">
        <v>1</v>
      </c>
      <c r="D1894" s="17" t="s">
        <v>90</v>
      </c>
      <c r="E1894" s="18">
        <v>151315</v>
      </c>
      <c r="F1894" s="17" t="s">
        <v>91</v>
      </c>
      <c r="G1894" s="14">
        <v>1493659.74</v>
      </c>
      <c r="H1894" s="14">
        <v>1445249.09</v>
      </c>
      <c r="I1894" s="14">
        <v>1445249.09</v>
      </c>
      <c r="J1894" s="22">
        <f>H1894*(1+Assumptions!$B$6+IF(F1894="Yes",Assumptions!$C$6,0))</f>
        <v>1488606.5627000001</v>
      </c>
      <c r="K1894" s="22">
        <f>H1894*(1+Assumptions!$B$7+IF(F1894="Yes",Assumptions!$C$7,0))</f>
        <v>1517511.5445000001</v>
      </c>
      <c r="L1894" s="22">
        <f>H1894*(1+Assumptions!$B$8+IF(F1894="Yes",Assumptions!$C$8,0))</f>
        <v>1459701.5809000002</v>
      </c>
    </row>
    <row r="1895" spans="1:12" ht="15">
      <c r="A1895" s="21">
        <v>41208</v>
      </c>
      <c r="B1895" s="21">
        <v>41183</v>
      </c>
      <c r="C1895" s="17">
        <v>2</v>
      </c>
      <c r="D1895" s="17" t="s">
        <v>90</v>
      </c>
      <c r="E1895" s="18">
        <v>202307</v>
      </c>
      <c r="F1895" s="17" t="s">
        <v>91</v>
      </c>
      <c r="G1895" s="14">
        <v>1834458.35</v>
      </c>
      <c r="H1895" s="14">
        <v>1769274.34</v>
      </c>
      <c r="I1895" s="14">
        <v>1769274.34</v>
      </c>
      <c r="J1895" s="22">
        <f>H1895*(1+Assumptions!$B$6+IF(F1895="Yes",Assumptions!$C$6,0))</f>
        <v>1822352.5702000002</v>
      </c>
      <c r="K1895" s="22">
        <f>H1895*(1+Assumptions!$B$7+IF(F1895="Yes",Assumptions!$C$7,0))</f>
        <v>1857738.0570000003</v>
      </c>
      <c r="L1895" s="22">
        <f>H1895*(1+Assumptions!$B$8+IF(F1895="Yes",Assumptions!$C$8,0))</f>
        <v>1786967.0834000001</v>
      </c>
    </row>
    <row r="1896" spans="1:12" ht="15">
      <c r="A1896" s="21">
        <v>41208</v>
      </c>
      <c r="B1896" s="21">
        <v>41183</v>
      </c>
      <c r="C1896" s="17">
        <v>3</v>
      </c>
      <c r="D1896" s="17" t="s">
        <v>92</v>
      </c>
      <c r="E1896" s="18">
        <v>37392</v>
      </c>
      <c r="F1896" s="17" t="s">
        <v>91</v>
      </c>
      <c r="G1896" s="14">
        <v>405420.82</v>
      </c>
      <c r="H1896" s="14">
        <v>389520.38</v>
      </c>
      <c r="I1896" s="14">
        <v>389520.38</v>
      </c>
      <c r="J1896" s="22">
        <f>H1896*(1+Assumptions!$B$6+IF(F1896="Yes",Assumptions!$C$6,0))</f>
        <v>401205.9914</v>
      </c>
      <c r="K1896" s="22">
        <f>H1896*(1+Assumptions!$B$7+IF(F1896="Yes",Assumptions!$C$7,0))</f>
        <v>408996.39900000003</v>
      </c>
      <c r="L1896" s="22">
        <f>H1896*(1+Assumptions!$B$8+IF(F1896="Yes",Assumptions!$C$8,0))</f>
        <v>393415.58380000002</v>
      </c>
    </row>
    <row r="1897" spans="1:12" ht="15">
      <c r="A1897" s="21">
        <v>41208</v>
      </c>
      <c r="B1897" s="21">
        <v>41183</v>
      </c>
      <c r="C1897" s="17">
        <v>4</v>
      </c>
      <c r="D1897" s="17" t="s">
        <v>90</v>
      </c>
      <c r="E1897" s="18">
        <v>205863</v>
      </c>
      <c r="F1897" s="17" t="s">
        <v>91</v>
      </c>
      <c r="G1897" s="14">
        <v>2149583.9900000002</v>
      </c>
      <c r="H1897" s="14">
        <v>2151659.59</v>
      </c>
      <c r="I1897" s="14">
        <v>2151659.59</v>
      </c>
      <c r="J1897" s="22">
        <f>H1897*(1+Assumptions!$B$6+IF(F1897="Yes",Assumptions!$C$6,0))</f>
        <v>2216209.3777000001</v>
      </c>
      <c r="K1897" s="22">
        <f>H1897*(1+Assumptions!$B$7+IF(F1897="Yes",Assumptions!$C$7,0))</f>
        <v>2259242.5694999998</v>
      </c>
      <c r="L1897" s="22">
        <f>H1897*(1+Assumptions!$B$8+IF(F1897="Yes",Assumptions!$C$8,0))</f>
        <v>2173176.1858999999</v>
      </c>
    </row>
    <row r="1898" spans="1:12" ht="15">
      <c r="A1898" s="21">
        <v>41208</v>
      </c>
      <c r="B1898" s="21">
        <v>41183</v>
      </c>
      <c r="C1898" s="17">
        <v>5</v>
      </c>
      <c r="D1898" s="17" t="s">
        <v>92</v>
      </c>
      <c r="E1898" s="18">
        <v>34875</v>
      </c>
      <c r="F1898" s="17" t="s">
        <v>91</v>
      </c>
      <c r="G1898" s="14">
        <v>319517.89</v>
      </c>
      <c r="H1898" s="14">
        <v>306944.05</v>
      </c>
      <c r="I1898" s="14">
        <v>306944.05</v>
      </c>
      <c r="J1898" s="22">
        <f>H1898*(1+Assumptions!$B$6+IF(F1898="Yes",Assumptions!$C$6,0))</f>
        <v>316152.37150000001</v>
      </c>
      <c r="K1898" s="22">
        <f>H1898*(1+Assumptions!$B$7+IF(F1898="Yes",Assumptions!$C$7,0))</f>
        <v>322291.2525</v>
      </c>
      <c r="L1898" s="22">
        <f>H1898*(1+Assumptions!$B$8+IF(F1898="Yes",Assumptions!$C$8,0))</f>
        <v>310013.49050000001</v>
      </c>
    </row>
    <row r="1899" spans="1:12" ht="15">
      <c r="A1899" s="21">
        <v>41208</v>
      </c>
      <c r="B1899" s="21">
        <v>41183</v>
      </c>
      <c r="C1899" s="17">
        <v>6</v>
      </c>
      <c r="D1899" s="17" t="s">
        <v>90</v>
      </c>
      <c r="E1899" s="18">
        <v>202505</v>
      </c>
      <c r="F1899" s="17" t="s">
        <v>91</v>
      </c>
      <c r="G1899" s="14">
        <v>1431447.97</v>
      </c>
      <c r="H1899" s="14">
        <v>1419445.12</v>
      </c>
      <c r="I1899" s="14">
        <v>1419445.12</v>
      </c>
      <c r="J1899" s="22">
        <f>H1899*(1+Assumptions!$B$6+IF(F1899="Yes",Assumptions!$C$6,0))</f>
        <v>1462028.4736000001</v>
      </c>
      <c r="K1899" s="22">
        <f>H1899*(1+Assumptions!$B$7+IF(F1899="Yes",Assumptions!$C$7,0))</f>
        <v>1490417.3760000002</v>
      </c>
      <c r="L1899" s="22">
        <f>H1899*(1+Assumptions!$B$8+IF(F1899="Yes",Assumptions!$C$8,0))</f>
        <v>1433639.5712000001</v>
      </c>
    </row>
    <row r="1900" spans="1:12" ht="15">
      <c r="A1900" s="21">
        <v>41208</v>
      </c>
      <c r="B1900" s="21">
        <v>41183</v>
      </c>
      <c r="C1900" s="17">
        <v>7</v>
      </c>
      <c r="D1900" s="17" t="s">
        <v>92</v>
      </c>
      <c r="E1900" s="18">
        <v>70713</v>
      </c>
      <c r="F1900" s="17" t="s">
        <v>91</v>
      </c>
      <c r="G1900" s="14">
        <v>495543.27999999997</v>
      </c>
      <c r="H1900" s="14">
        <v>527428.72</v>
      </c>
      <c r="I1900" s="14">
        <v>527428.72</v>
      </c>
      <c r="J1900" s="22">
        <f>H1900*(1+Assumptions!$B$6+IF(F1900="Yes",Assumptions!$C$6,0))</f>
        <v>543251.58160000003</v>
      </c>
      <c r="K1900" s="22">
        <f>H1900*(1+Assumptions!$B$7+IF(F1900="Yes",Assumptions!$C$7,0))</f>
        <v>553800.15599999996</v>
      </c>
      <c r="L1900" s="22">
        <f>H1900*(1+Assumptions!$B$8+IF(F1900="Yes",Assumptions!$C$8,0))</f>
        <v>532703.00719999999</v>
      </c>
    </row>
    <row r="1901" spans="1:12" ht="15">
      <c r="A1901" s="21">
        <v>41208</v>
      </c>
      <c r="B1901" s="21">
        <v>41183</v>
      </c>
      <c r="C1901" s="17">
        <v>8</v>
      </c>
      <c r="D1901" s="17" t="s">
        <v>90</v>
      </c>
      <c r="E1901" s="18">
        <v>155078</v>
      </c>
      <c r="F1901" s="17" t="s">
        <v>91</v>
      </c>
      <c r="G1901" s="14">
        <v>890566.43</v>
      </c>
      <c r="H1901" s="14">
        <v>876722.19000000006</v>
      </c>
      <c r="I1901" s="14">
        <v>876722.19000000006</v>
      </c>
      <c r="J1901" s="22">
        <f>H1901*(1+Assumptions!$B$6+IF(F1901="Yes",Assumptions!$C$6,0))</f>
        <v>903023.85570000007</v>
      </c>
      <c r="K1901" s="22">
        <f>H1901*(1+Assumptions!$B$7+IF(F1901="Yes",Assumptions!$C$7,0))</f>
        <v>920558.29950000008</v>
      </c>
      <c r="L1901" s="22">
        <f>H1901*(1+Assumptions!$B$8+IF(F1901="Yes",Assumptions!$C$8,0))</f>
        <v>885489.41190000006</v>
      </c>
    </row>
    <row r="1902" spans="1:12" ht="15">
      <c r="A1902" s="21">
        <v>41208</v>
      </c>
      <c r="B1902" s="21">
        <v>41183</v>
      </c>
      <c r="C1902" s="17">
        <v>9</v>
      </c>
      <c r="D1902" s="17" t="s">
        <v>92</v>
      </c>
      <c r="E1902" s="18">
        <v>125833</v>
      </c>
      <c r="F1902" s="17" t="s">
        <v>91</v>
      </c>
      <c r="G1902" s="14">
        <v>549731.49</v>
      </c>
      <c r="H1902" s="14">
        <v>548509.49</v>
      </c>
      <c r="I1902" s="14">
        <v>548509.49</v>
      </c>
      <c r="J1902" s="22">
        <f>H1902*(1+Assumptions!$B$6+IF(F1902="Yes",Assumptions!$C$6,0))</f>
        <v>564964.77469999995</v>
      </c>
      <c r="K1902" s="22">
        <f>H1902*(1+Assumptions!$B$7+IF(F1902="Yes",Assumptions!$C$7,0))</f>
        <v>575934.9645</v>
      </c>
      <c r="L1902" s="22">
        <f>H1902*(1+Assumptions!$B$8+IF(F1902="Yes",Assumptions!$C$8,0))</f>
        <v>553994.58490000002</v>
      </c>
    </row>
    <row r="1903" spans="1:12" ht="15">
      <c r="A1903" s="21">
        <v>41208</v>
      </c>
      <c r="B1903" s="21">
        <v>41183</v>
      </c>
      <c r="C1903" s="17">
        <v>10</v>
      </c>
      <c r="D1903" s="17" t="s">
        <v>92</v>
      </c>
      <c r="E1903" s="18">
        <v>126512</v>
      </c>
      <c r="F1903" s="17" t="s">
        <v>91</v>
      </c>
      <c r="G1903" s="14">
        <v>1744349.05</v>
      </c>
      <c r="H1903" s="14">
        <v>1771757.06</v>
      </c>
      <c r="I1903" s="14">
        <v>1771757.06</v>
      </c>
      <c r="J1903" s="22">
        <f>H1903*(1+Assumptions!$B$6+IF(F1903="Yes",Assumptions!$C$6,0))</f>
        <v>1824909.7718000002</v>
      </c>
      <c r="K1903" s="22">
        <f>H1903*(1+Assumptions!$B$7+IF(F1903="Yes",Assumptions!$C$7,0))</f>
        <v>1860344.9130000002</v>
      </c>
      <c r="L1903" s="22">
        <f>H1903*(1+Assumptions!$B$8+IF(F1903="Yes",Assumptions!$C$8,0))</f>
        <v>1789474.6306</v>
      </c>
    </row>
    <row r="1904" spans="1:12" ht="15">
      <c r="A1904" s="21">
        <v>41208</v>
      </c>
      <c r="B1904" s="21">
        <v>41183</v>
      </c>
      <c r="C1904" s="17">
        <v>11</v>
      </c>
      <c r="D1904" s="17" t="s">
        <v>90</v>
      </c>
      <c r="E1904" s="18">
        <v>207499</v>
      </c>
      <c r="F1904" s="17" t="s">
        <v>91</v>
      </c>
      <c r="G1904" s="14">
        <v>1200729.45</v>
      </c>
      <c r="H1904" s="14">
        <v>1310672.6299999999</v>
      </c>
      <c r="I1904" s="14">
        <v>1310672.6299999999</v>
      </c>
      <c r="J1904" s="22">
        <f>H1904*(1+Assumptions!$B$6+IF(F1904="Yes",Assumptions!$C$6,0))</f>
        <v>1349992.8088999998</v>
      </c>
      <c r="K1904" s="22">
        <f>H1904*(1+Assumptions!$B$7+IF(F1904="Yes",Assumptions!$C$7,0))</f>
        <v>1376206.2615</v>
      </c>
      <c r="L1904" s="22">
        <f>H1904*(1+Assumptions!$B$8+IF(F1904="Yes",Assumptions!$C$8,0))</f>
        <v>1323779.3562999999</v>
      </c>
    </row>
    <row r="1905" spans="1:12" ht="15">
      <c r="A1905" s="21">
        <v>41208</v>
      </c>
      <c r="B1905" s="21">
        <v>41183</v>
      </c>
      <c r="C1905" s="17">
        <v>12</v>
      </c>
      <c r="D1905" s="17" t="s">
        <v>92</v>
      </c>
      <c r="E1905" s="18">
        <v>112238</v>
      </c>
      <c r="F1905" s="17" t="s">
        <v>91</v>
      </c>
      <c r="G1905" s="14">
        <v>974696.6</v>
      </c>
      <c r="H1905" s="14">
        <v>990902.44</v>
      </c>
      <c r="I1905" s="14">
        <v>990902.44</v>
      </c>
      <c r="J1905" s="22">
        <f>H1905*(1+Assumptions!$B$6+IF(F1905="Yes",Assumptions!$C$6,0))</f>
        <v>1020629.5131999999</v>
      </c>
      <c r="K1905" s="22">
        <f>H1905*(1+Assumptions!$B$7+IF(F1905="Yes",Assumptions!$C$7,0))</f>
        <v>1040447.562</v>
      </c>
      <c r="L1905" s="22">
        <f>H1905*(1+Assumptions!$B$8+IF(F1905="Yes",Assumptions!$C$8,0))</f>
        <v>1000811.4643999999</v>
      </c>
    </row>
    <row r="1906" spans="1:12" ht="15">
      <c r="A1906" s="21">
        <v>41208</v>
      </c>
      <c r="B1906" s="21">
        <v>41183</v>
      </c>
      <c r="C1906" s="17">
        <v>13</v>
      </c>
      <c r="D1906" s="17" t="s">
        <v>90</v>
      </c>
      <c r="E1906" s="18">
        <v>219622</v>
      </c>
      <c r="F1906" s="17" t="s">
        <v>91</v>
      </c>
      <c r="G1906" s="14">
        <v>2035189.6600000001</v>
      </c>
      <c r="H1906" s="14">
        <v>1948725.84</v>
      </c>
      <c r="I1906" s="14">
        <v>1948725.84</v>
      </c>
      <c r="J1906" s="22">
        <f>H1906*(1+Assumptions!$B$6+IF(F1906="Yes",Assumptions!$C$6,0))</f>
        <v>2007187.6152000001</v>
      </c>
      <c r="K1906" s="22">
        <f>H1906*(1+Assumptions!$B$7+IF(F1906="Yes",Assumptions!$C$7,0))</f>
        <v>2046162.1320000002</v>
      </c>
      <c r="L1906" s="22">
        <f>H1906*(1+Assumptions!$B$8+IF(F1906="Yes",Assumptions!$C$8,0))</f>
        <v>1968213.0984</v>
      </c>
    </row>
    <row r="1907" spans="1:12" ht="15">
      <c r="A1907" s="21">
        <v>41208</v>
      </c>
      <c r="B1907" s="21">
        <v>41183</v>
      </c>
      <c r="C1907" s="17">
        <v>14</v>
      </c>
      <c r="D1907" s="17" t="s">
        <v>90</v>
      </c>
      <c r="E1907" s="18">
        <v>200898</v>
      </c>
      <c r="F1907" s="17" t="s">
        <v>91</v>
      </c>
      <c r="G1907" s="14">
        <v>1704357.62</v>
      </c>
      <c r="H1907" s="14">
        <v>2056807.24</v>
      </c>
      <c r="I1907" s="14">
        <v>2056807.24</v>
      </c>
      <c r="J1907" s="22">
        <f>H1907*(1+Assumptions!$B$6+IF(F1907="Yes",Assumptions!$C$6,0))</f>
        <v>2118511.4572000001</v>
      </c>
      <c r="K1907" s="22">
        <f>H1907*(1+Assumptions!$B$7+IF(F1907="Yes",Assumptions!$C$7,0))</f>
        <v>2159647.602</v>
      </c>
      <c r="L1907" s="22">
        <f>H1907*(1+Assumptions!$B$8+IF(F1907="Yes",Assumptions!$C$8,0))</f>
        <v>2077375.3123999999</v>
      </c>
    </row>
    <row r="1908" spans="1:12" ht="15">
      <c r="A1908" s="21">
        <v>41208</v>
      </c>
      <c r="B1908" s="21">
        <v>41183</v>
      </c>
      <c r="C1908" s="17">
        <v>15</v>
      </c>
      <c r="D1908" s="17" t="s">
        <v>92</v>
      </c>
      <c r="E1908" s="18">
        <v>123737</v>
      </c>
      <c r="F1908" s="17" t="s">
        <v>91</v>
      </c>
      <c r="G1908" s="14">
        <v>558462.6</v>
      </c>
      <c r="H1908" s="14">
        <v>589799.53</v>
      </c>
      <c r="I1908" s="14">
        <v>589799.53</v>
      </c>
      <c r="J1908" s="22">
        <f>H1908*(1+Assumptions!$B$6+IF(F1908="Yes",Assumptions!$C$6,0))</f>
        <v>607493.5159</v>
      </c>
      <c r="K1908" s="22">
        <f>H1908*(1+Assumptions!$B$7+IF(F1908="Yes",Assumptions!$C$7,0))</f>
        <v>619289.50650000002</v>
      </c>
      <c r="L1908" s="22">
        <f>H1908*(1+Assumptions!$B$8+IF(F1908="Yes",Assumptions!$C$8,0))</f>
        <v>595697.52529999998</v>
      </c>
    </row>
    <row r="1909" spans="1:12" ht="15">
      <c r="A1909" s="21">
        <v>41208</v>
      </c>
      <c r="B1909" s="21">
        <v>41183</v>
      </c>
      <c r="C1909" s="17">
        <v>16</v>
      </c>
      <c r="D1909" s="17" t="s">
        <v>92</v>
      </c>
      <c r="E1909" s="18">
        <v>57197</v>
      </c>
      <c r="F1909" s="17" t="s">
        <v>91</v>
      </c>
      <c r="G1909" s="14">
        <v>473789.21</v>
      </c>
      <c r="H1909" s="14">
        <v>505918.21</v>
      </c>
      <c r="I1909" s="14">
        <v>505918.21</v>
      </c>
      <c r="J1909" s="22">
        <f>H1909*(1+Assumptions!$B$6+IF(F1909="Yes",Assumptions!$C$6,0))</f>
        <v>521095.75630000001</v>
      </c>
      <c r="K1909" s="22">
        <f>H1909*(1+Assumptions!$B$7+IF(F1909="Yes",Assumptions!$C$7,0))</f>
        <v>531214.12050000008</v>
      </c>
      <c r="L1909" s="22">
        <f>H1909*(1+Assumptions!$B$8+IF(F1909="Yes",Assumptions!$C$8,0))</f>
        <v>510977.3921</v>
      </c>
    </row>
    <row r="1910" spans="1:12" ht="15">
      <c r="A1910" s="21">
        <v>41208</v>
      </c>
      <c r="B1910" s="21">
        <v>41183</v>
      </c>
      <c r="C1910" s="17">
        <v>17</v>
      </c>
      <c r="D1910" s="17" t="s">
        <v>92</v>
      </c>
      <c r="E1910" s="18">
        <v>93188</v>
      </c>
      <c r="F1910" s="17" t="s">
        <v>91</v>
      </c>
      <c r="G1910" s="14">
        <v>942760.66</v>
      </c>
      <c r="H1910" s="14">
        <v>936514.35</v>
      </c>
      <c r="I1910" s="14">
        <v>936514.35</v>
      </c>
      <c r="J1910" s="22">
        <f>H1910*(1+Assumptions!$B$6+IF(F1910="Yes",Assumptions!$C$6,0))</f>
        <v>964609.78049999999</v>
      </c>
      <c r="K1910" s="22">
        <f>H1910*(1+Assumptions!$B$7+IF(F1910="Yes",Assumptions!$C$7,0))</f>
        <v>983340.0675</v>
      </c>
      <c r="L1910" s="22">
        <f>H1910*(1+Assumptions!$B$8+IF(F1910="Yes",Assumptions!$C$8,0))</f>
        <v>945879.49349999998</v>
      </c>
    </row>
    <row r="1911" spans="1:12" ht="15">
      <c r="A1911" s="21">
        <v>41208</v>
      </c>
      <c r="B1911" s="21">
        <v>41183</v>
      </c>
      <c r="C1911" s="17">
        <v>18</v>
      </c>
      <c r="D1911" s="17" t="s">
        <v>92</v>
      </c>
      <c r="E1911" s="18">
        <v>120653</v>
      </c>
      <c r="F1911" s="17" t="s">
        <v>91</v>
      </c>
      <c r="G1911" s="14">
        <v>1127527.76</v>
      </c>
      <c r="H1911" s="14">
        <v>1106533.8500000001</v>
      </c>
      <c r="I1911" s="14">
        <v>1106533.8500000001</v>
      </c>
      <c r="J1911" s="22">
        <f>H1911*(1+Assumptions!$B$6+IF(F1911="Yes",Assumptions!$C$6,0))</f>
        <v>1139729.8655000001</v>
      </c>
      <c r="K1911" s="22">
        <f>H1911*(1+Assumptions!$B$7+IF(F1911="Yes",Assumptions!$C$7,0))</f>
        <v>1161860.5425000002</v>
      </c>
      <c r="L1911" s="22">
        <f>H1911*(1+Assumptions!$B$8+IF(F1911="Yes",Assumptions!$C$8,0))</f>
        <v>1117599.1885000002</v>
      </c>
    </row>
    <row r="1912" spans="1:12" ht="15">
      <c r="A1912" s="21">
        <v>41208</v>
      </c>
      <c r="B1912" s="21">
        <v>41183</v>
      </c>
      <c r="C1912" s="17">
        <v>19</v>
      </c>
      <c r="D1912" s="17" t="s">
        <v>90</v>
      </c>
      <c r="E1912" s="18">
        <v>203819</v>
      </c>
      <c r="F1912" s="17" t="s">
        <v>91</v>
      </c>
      <c r="G1912" s="14">
        <v>1322107.6499999999</v>
      </c>
      <c r="H1912" s="14">
        <v>1396612.36</v>
      </c>
      <c r="I1912" s="14">
        <v>1396612.36</v>
      </c>
      <c r="J1912" s="22">
        <f>H1912*(1+Assumptions!$B$6+IF(F1912="Yes",Assumptions!$C$6,0))</f>
        <v>1438510.7308000003</v>
      </c>
      <c r="K1912" s="22">
        <f>H1912*(1+Assumptions!$B$7+IF(F1912="Yes",Assumptions!$C$7,0))</f>
        <v>1466442.9780000001</v>
      </c>
      <c r="L1912" s="22">
        <f>H1912*(1+Assumptions!$B$8+IF(F1912="Yes",Assumptions!$C$8,0))</f>
        <v>1410578.4836000002</v>
      </c>
    </row>
    <row r="1913" spans="1:12" ht="15">
      <c r="A1913" s="21">
        <v>41208</v>
      </c>
      <c r="B1913" s="21">
        <v>41183</v>
      </c>
      <c r="C1913" s="17">
        <v>20</v>
      </c>
      <c r="D1913" s="17" t="s">
        <v>90</v>
      </c>
      <c r="E1913" s="18">
        <v>203742</v>
      </c>
      <c r="F1913" s="17" t="s">
        <v>91</v>
      </c>
      <c r="G1913" s="14">
        <v>2031650.55</v>
      </c>
      <c r="H1913" s="14">
        <v>2065421.52</v>
      </c>
      <c r="I1913" s="14">
        <v>2065421.52</v>
      </c>
      <c r="J1913" s="22">
        <f>H1913*(1+Assumptions!$B$6+IF(F1913="Yes",Assumptions!$C$6,0))</f>
        <v>2127384.1655999999</v>
      </c>
      <c r="K1913" s="22">
        <f>H1913*(1+Assumptions!$B$7+IF(F1913="Yes",Assumptions!$C$7,0))</f>
        <v>2168692.5959999999</v>
      </c>
      <c r="L1913" s="22">
        <f>H1913*(1+Assumptions!$B$8+IF(F1913="Yes",Assumptions!$C$8,0))</f>
        <v>2086075.7352</v>
      </c>
    </row>
    <row r="1914" spans="1:12" ht="15">
      <c r="A1914" s="21">
        <v>41208</v>
      </c>
      <c r="B1914" s="21">
        <v>41183</v>
      </c>
      <c r="C1914" s="17">
        <v>21</v>
      </c>
      <c r="D1914" s="17" t="s">
        <v>92</v>
      </c>
      <c r="E1914" s="18">
        <v>140167</v>
      </c>
      <c r="F1914" s="17" t="s">
        <v>91</v>
      </c>
      <c r="G1914" s="14">
        <v>674562.87</v>
      </c>
      <c r="H1914" s="14">
        <v>738739.28</v>
      </c>
      <c r="I1914" s="14">
        <v>738739.28</v>
      </c>
      <c r="J1914" s="22">
        <f>H1914*(1+Assumptions!$B$6+IF(F1914="Yes",Assumptions!$C$6,0))</f>
        <v>760901.4584</v>
      </c>
      <c r="K1914" s="22">
        <f>H1914*(1+Assumptions!$B$7+IF(F1914="Yes",Assumptions!$C$7,0))</f>
        <v>775676.24400000006</v>
      </c>
      <c r="L1914" s="22">
        <f>H1914*(1+Assumptions!$B$8+IF(F1914="Yes",Assumptions!$C$8,0))</f>
        <v>746126.67280000006</v>
      </c>
    </row>
    <row r="1915" spans="1:12" ht="15">
      <c r="A1915" s="21">
        <v>41208</v>
      </c>
      <c r="B1915" s="21">
        <v>41183</v>
      </c>
      <c r="C1915" s="17">
        <v>22</v>
      </c>
      <c r="D1915" s="17" t="s">
        <v>92</v>
      </c>
      <c r="E1915" s="18">
        <v>119557</v>
      </c>
      <c r="F1915" s="17" t="s">
        <v>91</v>
      </c>
      <c r="G1915" s="14">
        <v>1094391.3700000001</v>
      </c>
      <c r="H1915" s="14">
        <v>1099339.71</v>
      </c>
      <c r="I1915" s="14">
        <v>1099339.71</v>
      </c>
      <c r="J1915" s="22">
        <f>H1915*(1+Assumptions!$B$6+IF(F1915="Yes",Assumptions!$C$6,0))</f>
        <v>1132319.9013</v>
      </c>
      <c r="K1915" s="22">
        <f>H1915*(1+Assumptions!$B$7+IF(F1915="Yes",Assumptions!$C$7,0))</f>
        <v>1154306.6954999999</v>
      </c>
      <c r="L1915" s="22">
        <f>H1915*(1+Assumptions!$B$8+IF(F1915="Yes",Assumptions!$C$8,0))</f>
        <v>1110333.1070999999</v>
      </c>
    </row>
    <row r="1916" spans="1:12" ht="15">
      <c r="A1916" s="21">
        <v>41208</v>
      </c>
      <c r="B1916" s="21">
        <v>41183</v>
      </c>
      <c r="C1916" s="17">
        <v>23</v>
      </c>
      <c r="D1916" s="17" t="s">
        <v>92</v>
      </c>
      <c r="E1916" s="18">
        <v>114533</v>
      </c>
      <c r="F1916" s="17" t="s">
        <v>91</v>
      </c>
      <c r="G1916" s="14">
        <v>1347454.59</v>
      </c>
      <c r="H1916" s="14">
        <v>1406911.17</v>
      </c>
      <c r="I1916" s="14">
        <v>1406911.17</v>
      </c>
      <c r="J1916" s="22">
        <f>H1916*(1+Assumptions!$B$6+IF(F1916="Yes",Assumptions!$C$6,0))</f>
        <v>1449118.5051</v>
      </c>
      <c r="K1916" s="22">
        <f>H1916*(1+Assumptions!$B$7+IF(F1916="Yes",Assumptions!$C$7,0))</f>
        <v>1477256.7285</v>
      </c>
      <c r="L1916" s="22">
        <f>H1916*(1+Assumptions!$B$8+IF(F1916="Yes",Assumptions!$C$8,0))</f>
        <v>1420980.2816999999</v>
      </c>
    </row>
    <row r="1917" spans="1:12" ht="15">
      <c r="A1917" s="21">
        <v>41208</v>
      </c>
      <c r="B1917" s="21">
        <v>41183</v>
      </c>
      <c r="C1917" s="17">
        <v>24</v>
      </c>
      <c r="D1917" s="17" t="s">
        <v>90</v>
      </c>
      <c r="E1917" s="18">
        <v>203819</v>
      </c>
      <c r="F1917" s="17" t="s">
        <v>91</v>
      </c>
      <c r="G1917" s="14">
        <v>1307182.29</v>
      </c>
      <c r="H1917" s="14">
        <v>1307111.3500000001</v>
      </c>
      <c r="I1917" s="14">
        <v>1307111.3500000001</v>
      </c>
      <c r="J1917" s="22">
        <f>H1917*(1+Assumptions!$B$6+IF(F1917="Yes",Assumptions!$C$6,0))</f>
        <v>1346324.6905</v>
      </c>
      <c r="K1917" s="22">
        <f>H1917*(1+Assumptions!$B$7+IF(F1917="Yes",Assumptions!$C$7,0))</f>
        <v>1372466.9175000002</v>
      </c>
      <c r="L1917" s="22">
        <f>H1917*(1+Assumptions!$B$8+IF(F1917="Yes",Assumptions!$C$8,0))</f>
        <v>1320182.4635000001</v>
      </c>
    </row>
    <row r="1918" spans="1:12" ht="15">
      <c r="A1918" s="21">
        <v>41208</v>
      </c>
      <c r="B1918" s="21">
        <v>41183</v>
      </c>
      <c r="C1918" s="17">
        <v>25</v>
      </c>
      <c r="D1918" s="17" t="s">
        <v>92</v>
      </c>
      <c r="E1918" s="18">
        <v>128107</v>
      </c>
      <c r="F1918" s="17" t="s">
        <v>91</v>
      </c>
      <c r="G1918" s="14">
        <v>688940.94000000006</v>
      </c>
      <c r="H1918" s="14">
        <v>724432</v>
      </c>
      <c r="I1918" s="14">
        <v>724432</v>
      </c>
      <c r="J1918" s="22">
        <f>H1918*(1+Assumptions!$B$6+IF(F1918="Yes",Assumptions!$C$6,0))</f>
        <v>746164.96</v>
      </c>
      <c r="K1918" s="22">
        <f>H1918*(1+Assumptions!$B$7+IF(F1918="Yes",Assumptions!$C$7,0))</f>
        <v>760653.6</v>
      </c>
      <c r="L1918" s="22">
        <f>H1918*(1+Assumptions!$B$8+IF(F1918="Yes",Assumptions!$C$8,0))</f>
        <v>731676.32</v>
      </c>
    </row>
    <row r="1919" spans="1:12" ht="15">
      <c r="A1919" s="21">
        <v>41208</v>
      </c>
      <c r="B1919" s="21">
        <v>41183</v>
      </c>
      <c r="C1919" s="17">
        <v>26</v>
      </c>
      <c r="D1919" s="17" t="s">
        <v>90</v>
      </c>
      <c r="E1919" s="18">
        <v>152513</v>
      </c>
      <c r="F1919" s="17" t="s">
        <v>91</v>
      </c>
      <c r="G1919" s="14">
        <v>958583.88</v>
      </c>
      <c r="H1919" s="14">
        <v>971883.3</v>
      </c>
      <c r="I1919" s="14">
        <v>971883.3</v>
      </c>
      <c r="J1919" s="22">
        <f>H1919*(1+Assumptions!$B$6+IF(F1919="Yes",Assumptions!$C$6,0))</f>
        <v>1001039.7990000001</v>
      </c>
      <c r="K1919" s="22">
        <f>H1919*(1+Assumptions!$B$7+IF(F1919="Yes",Assumptions!$C$7,0))</f>
        <v>1020477.4650000001</v>
      </c>
      <c r="L1919" s="22">
        <f>H1919*(1+Assumptions!$B$8+IF(F1919="Yes",Assumptions!$C$8,0))</f>
        <v>981602.13300000003</v>
      </c>
    </row>
    <row r="1920" spans="1:12" ht="15">
      <c r="A1920" s="21">
        <v>41208</v>
      </c>
      <c r="B1920" s="21">
        <v>41183</v>
      </c>
      <c r="C1920" s="17">
        <v>27</v>
      </c>
      <c r="D1920" s="17" t="s">
        <v>90</v>
      </c>
      <c r="E1920" s="18">
        <v>204184</v>
      </c>
      <c r="F1920" s="17" t="s">
        <v>91</v>
      </c>
      <c r="G1920" s="14">
        <v>1703047.74</v>
      </c>
      <c r="H1920" s="14">
        <v>1710372.4</v>
      </c>
      <c r="I1920" s="14">
        <v>1710372.4</v>
      </c>
      <c r="J1920" s="22">
        <f>H1920*(1+Assumptions!$B$6+IF(F1920="Yes",Assumptions!$C$6,0))</f>
        <v>1761683.5719999999</v>
      </c>
      <c r="K1920" s="22">
        <f>H1920*(1+Assumptions!$B$7+IF(F1920="Yes",Assumptions!$C$7,0))</f>
        <v>1795891.02</v>
      </c>
      <c r="L1920" s="22">
        <f>H1920*(1+Assumptions!$B$8+IF(F1920="Yes",Assumptions!$C$8,0))</f>
        <v>1727476.1239999998</v>
      </c>
    </row>
    <row r="1921" spans="1:12" ht="15">
      <c r="A1921" s="21">
        <v>41208</v>
      </c>
      <c r="B1921" s="21">
        <v>41183</v>
      </c>
      <c r="C1921" s="17">
        <v>28</v>
      </c>
      <c r="D1921" s="17" t="s">
        <v>90</v>
      </c>
      <c r="E1921" s="18">
        <v>206302</v>
      </c>
      <c r="F1921" s="17" t="s">
        <v>91</v>
      </c>
      <c r="G1921" s="14">
        <v>1213860.6100000001</v>
      </c>
      <c r="H1921" s="14">
        <v>1242736.18</v>
      </c>
      <c r="I1921" s="14">
        <v>1242736.18</v>
      </c>
      <c r="J1921" s="22">
        <f>H1921*(1+Assumptions!$B$6+IF(F1921="Yes",Assumptions!$C$6,0))</f>
        <v>1280018.2653999999</v>
      </c>
      <c r="K1921" s="22">
        <f>H1921*(1+Assumptions!$B$7+IF(F1921="Yes",Assumptions!$C$7,0))</f>
        <v>1304872.9890000001</v>
      </c>
      <c r="L1921" s="22">
        <f>H1921*(1+Assumptions!$B$8+IF(F1921="Yes",Assumptions!$C$8,0))</f>
        <v>1255163.5418</v>
      </c>
    </row>
    <row r="1922" spans="1:12" ht="15">
      <c r="A1922" s="21">
        <v>41208</v>
      </c>
      <c r="B1922" s="21">
        <v>41183</v>
      </c>
      <c r="C1922" s="17">
        <v>29</v>
      </c>
      <c r="D1922" s="17" t="s">
        <v>92</v>
      </c>
      <c r="E1922" s="18">
        <v>93638</v>
      </c>
      <c r="F1922" s="17" t="s">
        <v>91</v>
      </c>
      <c r="G1922" s="14">
        <v>534961.80000000005</v>
      </c>
      <c r="H1922" s="14">
        <v>514989.77</v>
      </c>
      <c r="I1922" s="14">
        <v>514989.77</v>
      </c>
      <c r="J1922" s="22">
        <f>H1922*(1+Assumptions!$B$6+IF(F1922="Yes",Assumptions!$C$6,0))</f>
        <v>530439.46310000005</v>
      </c>
      <c r="K1922" s="22">
        <f>H1922*(1+Assumptions!$B$7+IF(F1922="Yes",Assumptions!$C$7,0))</f>
        <v>540739.2585</v>
      </c>
      <c r="L1922" s="22">
        <f>H1922*(1+Assumptions!$B$8+IF(F1922="Yes",Assumptions!$C$8,0))</f>
        <v>520139.66770000005</v>
      </c>
    </row>
    <row r="1923" spans="1:12" ht="15">
      <c r="A1923" s="21">
        <v>41208</v>
      </c>
      <c r="B1923" s="21">
        <v>41183</v>
      </c>
      <c r="C1923" s="17">
        <v>30</v>
      </c>
      <c r="D1923" s="17" t="s">
        <v>93</v>
      </c>
      <c r="E1923" s="18">
        <v>42988</v>
      </c>
      <c r="F1923" s="17" t="s">
        <v>91</v>
      </c>
      <c r="G1923" s="14">
        <v>439388.5</v>
      </c>
      <c r="H1923" s="14">
        <v>426102.13</v>
      </c>
      <c r="I1923" s="14">
        <v>426102.13</v>
      </c>
      <c r="J1923" s="22">
        <f>H1923*(1+Assumptions!$B$6+IF(F1923="Yes",Assumptions!$C$6,0))</f>
        <v>438885.19390000001</v>
      </c>
      <c r="K1923" s="22">
        <f>H1923*(1+Assumptions!$B$7+IF(F1923="Yes",Assumptions!$C$7,0))</f>
        <v>447407.2365</v>
      </c>
      <c r="L1923" s="22">
        <f>H1923*(1+Assumptions!$B$8+IF(F1923="Yes",Assumptions!$C$8,0))</f>
        <v>430363.15130000003</v>
      </c>
    </row>
    <row r="1924" spans="1:12" ht="15">
      <c r="A1924" s="21">
        <v>41208</v>
      </c>
      <c r="B1924" s="21">
        <v>41183</v>
      </c>
      <c r="C1924" s="17">
        <v>31</v>
      </c>
      <c r="D1924" s="17" t="s">
        <v>90</v>
      </c>
      <c r="E1924" s="18">
        <v>203750</v>
      </c>
      <c r="F1924" s="17" t="s">
        <v>91</v>
      </c>
      <c r="G1924" s="14">
        <v>1340162.71</v>
      </c>
      <c r="H1924" s="14">
        <v>1346875.59</v>
      </c>
      <c r="I1924" s="14">
        <v>1346875.59</v>
      </c>
      <c r="J1924" s="22">
        <f>H1924*(1+Assumptions!$B$6+IF(F1924="Yes",Assumptions!$C$6,0))</f>
        <v>1387281.8577000001</v>
      </c>
      <c r="K1924" s="22">
        <f>H1924*(1+Assumptions!$B$7+IF(F1924="Yes",Assumptions!$C$7,0))</f>
        <v>1414219.3695000003</v>
      </c>
      <c r="L1924" s="22">
        <f>H1924*(1+Assumptions!$B$8+IF(F1924="Yes",Assumptions!$C$8,0))</f>
        <v>1360344.3459000001</v>
      </c>
    </row>
    <row r="1925" spans="1:12" ht="15">
      <c r="A1925" s="21">
        <v>41208</v>
      </c>
      <c r="B1925" s="21">
        <v>41183</v>
      </c>
      <c r="C1925" s="17">
        <v>32</v>
      </c>
      <c r="D1925" s="17" t="s">
        <v>90</v>
      </c>
      <c r="E1925" s="18">
        <v>203007</v>
      </c>
      <c r="F1925" s="17" t="s">
        <v>91</v>
      </c>
      <c r="G1925" s="14">
        <v>1219967.29</v>
      </c>
      <c r="H1925" s="14">
        <v>1185391.96</v>
      </c>
      <c r="I1925" s="14">
        <v>1185391.96</v>
      </c>
      <c r="J1925" s="22">
        <f>H1925*(1+Assumptions!$B$6+IF(F1925="Yes",Assumptions!$C$6,0))</f>
        <v>1220953.7187999999</v>
      </c>
      <c r="K1925" s="22">
        <f>H1925*(1+Assumptions!$B$7+IF(F1925="Yes",Assumptions!$C$7,0))</f>
        <v>1244661.558</v>
      </c>
      <c r="L1925" s="22">
        <f>H1925*(1+Assumptions!$B$8+IF(F1925="Yes",Assumptions!$C$8,0))</f>
        <v>1197245.8795999999</v>
      </c>
    </row>
    <row r="1926" spans="1:12" ht="15">
      <c r="A1926" s="21">
        <v>41208</v>
      </c>
      <c r="B1926" s="21">
        <v>41183</v>
      </c>
      <c r="C1926" s="17">
        <v>33</v>
      </c>
      <c r="D1926" s="17" t="s">
        <v>90</v>
      </c>
      <c r="E1926" s="18">
        <v>39690</v>
      </c>
      <c r="F1926" s="17" t="s">
        <v>91</v>
      </c>
      <c r="G1926" s="14">
        <v>253717.13</v>
      </c>
      <c r="H1926" s="14">
        <v>231222.82</v>
      </c>
      <c r="I1926" s="14">
        <v>231222.82</v>
      </c>
      <c r="J1926" s="22">
        <f>H1926*(1+Assumptions!$B$6+IF(F1926="Yes",Assumptions!$C$6,0))</f>
        <v>238159.50460000001</v>
      </c>
      <c r="K1926" s="22">
        <f>H1926*(1+Assumptions!$B$7+IF(F1926="Yes",Assumptions!$C$7,0))</f>
        <v>242783.96100000001</v>
      </c>
      <c r="L1926" s="22">
        <f>H1926*(1+Assumptions!$B$8+IF(F1926="Yes",Assumptions!$C$8,0))</f>
        <v>233535.04820000002</v>
      </c>
    </row>
    <row r="1927" spans="1:12" ht="15">
      <c r="A1927" s="21">
        <v>41208</v>
      </c>
      <c r="B1927" s="21">
        <v>41183</v>
      </c>
      <c r="C1927" s="17">
        <v>34</v>
      </c>
      <c r="D1927" s="17" t="s">
        <v>90</v>
      </c>
      <c r="E1927" s="18">
        <v>158114</v>
      </c>
      <c r="F1927" s="17" t="s">
        <v>91</v>
      </c>
      <c r="G1927" s="14">
        <v>956987.80999999994</v>
      </c>
      <c r="H1927" s="14">
        <v>958063.87</v>
      </c>
      <c r="I1927" s="14">
        <v>958063.87</v>
      </c>
      <c r="J1927" s="22">
        <f>H1927*(1+Assumptions!$B$6+IF(F1927="Yes",Assumptions!$C$6,0))</f>
        <v>986805.78610000003</v>
      </c>
      <c r="K1927" s="22">
        <f>H1927*(1+Assumptions!$B$7+IF(F1927="Yes",Assumptions!$C$7,0))</f>
        <v>1005967.0635</v>
      </c>
      <c r="L1927" s="22">
        <f>H1927*(1+Assumptions!$B$8+IF(F1927="Yes",Assumptions!$C$8,0))</f>
        <v>967644.50870000001</v>
      </c>
    </row>
    <row r="1928" spans="1:12" ht="15">
      <c r="A1928" s="21">
        <v>41208</v>
      </c>
      <c r="B1928" s="21">
        <v>41183</v>
      </c>
      <c r="C1928" s="17">
        <v>35</v>
      </c>
      <c r="D1928" s="17" t="s">
        <v>92</v>
      </c>
      <c r="E1928" s="18">
        <v>103681</v>
      </c>
      <c r="F1928" s="17" t="s">
        <v>91</v>
      </c>
      <c r="G1928" s="14">
        <v>865127.6</v>
      </c>
      <c r="H1928" s="14">
        <v>808822.66</v>
      </c>
      <c r="I1928" s="14">
        <v>808822.66</v>
      </c>
      <c r="J1928" s="22">
        <f>H1928*(1+Assumptions!$B$6+IF(F1928="Yes",Assumptions!$C$6,0))</f>
        <v>833087.33980000007</v>
      </c>
      <c r="K1928" s="22">
        <f>H1928*(1+Assumptions!$B$7+IF(F1928="Yes",Assumptions!$C$7,0))</f>
        <v>849263.79300000006</v>
      </c>
      <c r="L1928" s="22">
        <f>H1928*(1+Assumptions!$B$8+IF(F1928="Yes",Assumptions!$C$8,0))</f>
        <v>816910.88660000009</v>
      </c>
    </row>
    <row r="1929" spans="1:12" ht="15">
      <c r="A1929" s="21">
        <v>41208</v>
      </c>
      <c r="B1929" s="21">
        <v>41183</v>
      </c>
      <c r="C1929" s="17">
        <v>36</v>
      </c>
      <c r="D1929" s="17" t="s">
        <v>90</v>
      </c>
      <c r="E1929" s="18">
        <v>39910</v>
      </c>
      <c r="F1929" s="17" t="s">
        <v>91</v>
      </c>
      <c r="G1929" s="14">
        <v>272467.13</v>
      </c>
      <c r="H1929" s="14">
        <v>305520.22000000003</v>
      </c>
      <c r="I1929" s="14">
        <v>305520.22000000003</v>
      </c>
      <c r="J1929" s="22">
        <f>H1929*(1+Assumptions!$B$6+IF(F1929="Yes",Assumptions!$C$6,0))</f>
        <v>314685.82660000003</v>
      </c>
      <c r="K1929" s="22">
        <f>H1929*(1+Assumptions!$B$7+IF(F1929="Yes",Assumptions!$C$7,0))</f>
        <v>320796.23100000003</v>
      </c>
      <c r="L1929" s="22">
        <f>H1929*(1+Assumptions!$B$8+IF(F1929="Yes",Assumptions!$C$8,0))</f>
        <v>308575.42220000003</v>
      </c>
    </row>
    <row r="1930" spans="1:12" ht="15">
      <c r="A1930" s="21">
        <v>41208</v>
      </c>
      <c r="B1930" s="21">
        <v>41183</v>
      </c>
      <c r="C1930" s="17">
        <v>37</v>
      </c>
      <c r="D1930" s="17" t="s">
        <v>93</v>
      </c>
      <c r="E1930" s="18">
        <v>39910</v>
      </c>
      <c r="F1930" s="17" t="s">
        <v>91</v>
      </c>
      <c r="G1930" s="14">
        <v>534601.15</v>
      </c>
      <c r="H1930" s="14">
        <v>517307.44</v>
      </c>
      <c r="I1930" s="14">
        <v>517307.44</v>
      </c>
      <c r="J1930" s="22">
        <f>H1930*(1+Assumptions!$B$6+IF(F1930="Yes",Assumptions!$C$6,0))</f>
        <v>532826.66320000007</v>
      </c>
      <c r="K1930" s="22">
        <f>H1930*(1+Assumptions!$B$7+IF(F1930="Yes",Assumptions!$C$7,0))</f>
        <v>543172.81200000003</v>
      </c>
      <c r="L1930" s="22">
        <f>H1930*(1+Assumptions!$B$8+IF(F1930="Yes",Assumptions!$C$8,0))</f>
        <v>522480.51439999999</v>
      </c>
    </row>
    <row r="1931" spans="1:12" ht="15">
      <c r="A1931" s="21">
        <v>41208</v>
      </c>
      <c r="B1931" s="21">
        <v>41183</v>
      </c>
      <c r="C1931" s="17">
        <v>38</v>
      </c>
      <c r="D1931" s="17" t="s">
        <v>93</v>
      </c>
      <c r="E1931" s="18">
        <v>39690</v>
      </c>
      <c r="F1931" s="17" t="s">
        <v>91</v>
      </c>
      <c r="G1931" s="14">
        <v>417179.76999999996</v>
      </c>
      <c r="H1931" s="14">
        <v>378399.25</v>
      </c>
      <c r="I1931" s="14">
        <v>378399.25</v>
      </c>
      <c r="J1931" s="22">
        <f>H1931*(1+Assumptions!$B$6+IF(F1931="Yes",Assumptions!$C$6,0))</f>
        <v>389751.22750000004</v>
      </c>
      <c r="K1931" s="22">
        <f>H1931*(1+Assumptions!$B$7+IF(F1931="Yes",Assumptions!$C$7,0))</f>
        <v>397319.21250000002</v>
      </c>
      <c r="L1931" s="22">
        <f>H1931*(1+Assumptions!$B$8+IF(F1931="Yes",Assumptions!$C$8,0))</f>
        <v>382183.24249999999</v>
      </c>
    </row>
    <row r="1932" spans="1:12" ht="15">
      <c r="A1932" s="21">
        <v>41208</v>
      </c>
      <c r="B1932" s="21">
        <v>41183</v>
      </c>
      <c r="C1932" s="17">
        <v>39</v>
      </c>
      <c r="D1932" s="17" t="s">
        <v>90</v>
      </c>
      <c r="E1932" s="18">
        <v>184109</v>
      </c>
      <c r="F1932" s="17" t="s">
        <v>91</v>
      </c>
      <c r="G1932" s="14">
        <v>1569501.03</v>
      </c>
      <c r="H1932" s="14">
        <v>1472651.63</v>
      </c>
      <c r="I1932" s="14">
        <v>1472651.63</v>
      </c>
      <c r="J1932" s="22">
        <f>H1932*(1+Assumptions!$B$6+IF(F1932="Yes",Assumptions!$C$6,0))</f>
        <v>1516831.1788999999</v>
      </c>
      <c r="K1932" s="22">
        <f>H1932*(1+Assumptions!$B$7+IF(F1932="Yes",Assumptions!$C$7,0))</f>
        <v>1546284.2115</v>
      </c>
      <c r="L1932" s="22">
        <f>H1932*(1+Assumptions!$B$8+IF(F1932="Yes",Assumptions!$C$8,0))</f>
        <v>1487378.1462999999</v>
      </c>
    </row>
    <row r="1933" spans="1:12" ht="15">
      <c r="A1933" s="21">
        <v>41208</v>
      </c>
      <c r="B1933" s="21">
        <v>41183</v>
      </c>
      <c r="C1933" s="17">
        <v>40</v>
      </c>
      <c r="D1933" s="17" t="s">
        <v>90</v>
      </c>
      <c r="E1933" s="18">
        <v>155083</v>
      </c>
      <c r="F1933" s="17" t="s">
        <v>91</v>
      </c>
      <c r="G1933" s="14">
        <v>921264.52</v>
      </c>
      <c r="H1933" s="14">
        <v>941675.95</v>
      </c>
      <c r="I1933" s="14">
        <v>941675.95</v>
      </c>
      <c r="J1933" s="22">
        <f>H1933*(1+Assumptions!$B$6+IF(F1933="Yes",Assumptions!$C$6,0))</f>
        <v>969926.22849999997</v>
      </c>
      <c r="K1933" s="22">
        <f>H1933*(1+Assumptions!$B$7+IF(F1933="Yes",Assumptions!$C$7,0))</f>
        <v>988759.74749999994</v>
      </c>
      <c r="L1933" s="22">
        <f>H1933*(1+Assumptions!$B$8+IF(F1933="Yes",Assumptions!$C$8,0))</f>
        <v>951092.7095</v>
      </c>
    </row>
    <row r="1934" spans="1:12" ht="15">
      <c r="A1934" s="21">
        <v>41208</v>
      </c>
      <c r="B1934" s="21">
        <v>41183</v>
      </c>
      <c r="C1934" s="17">
        <v>41</v>
      </c>
      <c r="D1934" s="17" t="s">
        <v>90</v>
      </c>
      <c r="E1934" s="18">
        <v>196321</v>
      </c>
      <c r="F1934" s="17" t="s">
        <v>91</v>
      </c>
      <c r="G1934" s="14">
        <v>1316512.71</v>
      </c>
      <c r="H1934" s="14">
        <v>1274478.02</v>
      </c>
      <c r="I1934" s="14">
        <v>1274478.02</v>
      </c>
      <c r="J1934" s="22">
        <f>H1934*(1+Assumptions!$B$6+IF(F1934="Yes",Assumptions!$C$6,0))</f>
        <v>1312712.3606</v>
      </c>
      <c r="K1934" s="22">
        <f>H1934*(1+Assumptions!$B$7+IF(F1934="Yes",Assumptions!$C$7,0))</f>
        <v>1338201.9210000001</v>
      </c>
      <c r="L1934" s="22">
        <f>H1934*(1+Assumptions!$B$8+IF(F1934="Yes",Assumptions!$C$8,0))</f>
        <v>1287222.8001999999</v>
      </c>
    </row>
    <row r="1935" spans="1:12" ht="15">
      <c r="A1935" s="21">
        <v>41208</v>
      </c>
      <c r="B1935" s="21">
        <v>41183</v>
      </c>
      <c r="C1935" s="17">
        <v>42</v>
      </c>
      <c r="D1935" s="17" t="s">
        <v>93</v>
      </c>
      <c r="E1935" s="18">
        <v>39690</v>
      </c>
      <c r="F1935" s="17" t="s">
        <v>91</v>
      </c>
      <c r="G1935" s="14">
        <v>514693.85</v>
      </c>
      <c r="H1935" s="14">
        <v>515599.69999999995</v>
      </c>
      <c r="I1935" s="14">
        <v>515599.69999999995</v>
      </c>
      <c r="J1935" s="22">
        <f>H1935*(1+Assumptions!$B$6+IF(F1935="Yes",Assumptions!$C$6,0))</f>
        <v>531067.69099999999</v>
      </c>
      <c r="K1935" s="22">
        <f>H1935*(1+Assumptions!$B$7+IF(F1935="Yes",Assumptions!$C$7,0))</f>
        <v>541379.68499999994</v>
      </c>
      <c r="L1935" s="22">
        <f>H1935*(1+Assumptions!$B$8+IF(F1935="Yes",Assumptions!$C$8,0))</f>
        <v>520755.69699999999</v>
      </c>
    </row>
    <row r="1936" spans="1:12" ht="15">
      <c r="A1936" s="21">
        <v>41208</v>
      </c>
      <c r="B1936" s="21">
        <v>41183</v>
      </c>
      <c r="C1936" s="17">
        <v>43</v>
      </c>
      <c r="D1936" s="17" t="s">
        <v>93</v>
      </c>
      <c r="E1936" s="18">
        <v>41062</v>
      </c>
      <c r="F1936" s="17" t="s">
        <v>91</v>
      </c>
      <c r="G1936" s="14">
        <v>587595.23</v>
      </c>
      <c r="H1936" s="14">
        <v>572516.56999999995</v>
      </c>
      <c r="I1936" s="14">
        <v>572516.56999999995</v>
      </c>
      <c r="J1936" s="22">
        <f>H1936*(1+Assumptions!$B$6+IF(F1936="Yes",Assumptions!$C$6,0))</f>
        <v>589692.06709999999</v>
      </c>
      <c r="K1936" s="22">
        <f>H1936*(1+Assumptions!$B$7+IF(F1936="Yes",Assumptions!$C$7,0))</f>
        <v>601142.39850000001</v>
      </c>
      <c r="L1936" s="22">
        <f>H1936*(1+Assumptions!$B$8+IF(F1936="Yes",Assumptions!$C$8,0))</f>
        <v>578241.73569999996</v>
      </c>
    </row>
    <row r="1937" spans="1:12" ht="15">
      <c r="A1937" s="21">
        <v>41208</v>
      </c>
      <c r="B1937" s="21">
        <v>41183</v>
      </c>
      <c r="C1937" s="17">
        <v>44</v>
      </c>
      <c r="D1937" s="17" t="s">
        <v>93</v>
      </c>
      <c r="E1937" s="18">
        <v>39910</v>
      </c>
      <c r="F1937" s="17" t="s">
        <v>91</v>
      </c>
      <c r="G1937" s="14">
        <v>360862.16</v>
      </c>
      <c r="H1937" s="14">
        <v>306278.18</v>
      </c>
      <c r="I1937" s="14">
        <v>306278.18</v>
      </c>
      <c r="J1937" s="22">
        <f>H1937*(1+Assumptions!$B$6+IF(F1937="Yes",Assumptions!$C$6,0))</f>
        <v>315466.52539999998</v>
      </c>
      <c r="K1937" s="22">
        <f>H1937*(1+Assumptions!$B$7+IF(F1937="Yes",Assumptions!$C$7,0))</f>
        <v>321592.08899999998</v>
      </c>
      <c r="L1937" s="22">
        <f>H1937*(1+Assumptions!$B$8+IF(F1937="Yes",Assumptions!$C$8,0))</f>
        <v>309340.96179999999</v>
      </c>
    </row>
    <row r="1938" spans="1:12" ht="15">
      <c r="A1938" s="21">
        <v>41208</v>
      </c>
      <c r="B1938" s="21">
        <v>41183</v>
      </c>
      <c r="C1938" s="17">
        <v>45</v>
      </c>
      <c r="D1938" s="17" t="s">
        <v>92</v>
      </c>
      <c r="E1938" s="18">
        <v>118221</v>
      </c>
      <c r="F1938" s="17" t="s">
        <v>91</v>
      </c>
      <c r="G1938" s="14">
        <v>760257.51</v>
      </c>
      <c r="H1938" s="14">
        <v>781647.05</v>
      </c>
      <c r="I1938" s="14">
        <v>781647.05</v>
      </c>
      <c r="J1938" s="22">
        <f>H1938*(1+Assumptions!$B$6+IF(F1938="Yes",Assumptions!$C$6,0))</f>
        <v>805096.46150000009</v>
      </c>
      <c r="K1938" s="22">
        <f>H1938*(1+Assumptions!$B$7+IF(F1938="Yes",Assumptions!$C$7,0))</f>
        <v>820729.40250000008</v>
      </c>
      <c r="L1938" s="22">
        <f>H1938*(1+Assumptions!$B$8+IF(F1938="Yes",Assumptions!$C$8,0))</f>
        <v>789463.5205000001</v>
      </c>
    </row>
  </sheetData>
  <mergeCells count="1">
    <mergeCell ref="A1:L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247"/>
  <sheetViews>
    <sheetView showGridLines="0" workbookViewId="0">
      <selection sqref="A1:J1"/>
    </sheetView>
  </sheetViews>
  <sheetFormatPr defaultRowHeight="14.25"/>
  <cols>
    <col min="1" max="10" width="16" customWidth="1"/>
  </cols>
  <sheetData>
    <row r="1" spans="1:10" ht="19.5">
      <c r="A1" s="68" t="s">
        <v>95</v>
      </c>
      <c r="B1" s="68"/>
      <c r="C1" s="68"/>
      <c r="D1" s="68"/>
      <c r="E1" s="68"/>
      <c r="F1" s="68"/>
      <c r="G1" s="68"/>
      <c r="H1" s="68"/>
      <c r="I1" s="68"/>
      <c r="J1" s="68"/>
    </row>
    <row r="2" spans="1:10" ht="15">
      <c r="A2" s="11"/>
      <c r="B2" s="11"/>
      <c r="C2" s="11"/>
      <c r="D2" s="11"/>
      <c r="E2" s="11"/>
      <c r="F2" s="11"/>
      <c r="G2" s="11"/>
      <c r="H2" s="11"/>
      <c r="I2" s="11"/>
      <c r="J2" s="11"/>
    </row>
    <row r="3" spans="1:10" ht="15">
      <c r="A3" s="12" t="s">
        <v>85</v>
      </c>
      <c r="B3" s="12" t="s">
        <v>12</v>
      </c>
      <c r="C3" s="12" t="s">
        <v>80</v>
      </c>
      <c r="D3" s="12" t="s">
        <v>88</v>
      </c>
      <c r="E3" s="12" t="s">
        <v>4</v>
      </c>
      <c r="F3" s="12" t="s">
        <v>89</v>
      </c>
      <c r="G3" s="12" t="s">
        <v>8</v>
      </c>
      <c r="H3" s="12" t="s">
        <v>67</v>
      </c>
      <c r="I3" s="12" t="s">
        <v>69</v>
      </c>
      <c r="J3" s="12" t="s">
        <v>71</v>
      </c>
    </row>
    <row r="4" spans="1:10" ht="15">
      <c r="A4" s="21">
        <v>40914</v>
      </c>
      <c r="B4" s="21">
        <v>40909</v>
      </c>
      <c r="C4" s="17">
        <v>1</v>
      </c>
      <c r="D4" s="17" t="s">
        <v>91</v>
      </c>
      <c r="E4" s="14">
        <v>593103.91</v>
      </c>
      <c r="F4" s="14">
        <v>523274.27999999997</v>
      </c>
      <c r="G4" s="14">
        <v>523274.27999999997</v>
      </c>
      <c r="H4" s="22">
        <f>F4*(1+Assumptions!$B$6+IF(D4="Yes",Assumptions!$C$6,0))</f>
        <v>538972.50839999993</v>
      </c>
      <c r="I4" s="22">
        <f>F4*(1+Assumptions!$B$7+IF(D4="Yes",Assumptions!$C$7,0))</f>
        <v>549437.99399999995</v>
      </c>
      <c r="J4" s="22">
        <f>F4*(1+Assumptions!$B$8+IF(D4="Yes",Assumptions!$C$8,0))</f>
        <v>528507.02279999992</v>
      </c>
    </row>
    <row r="5" spans="1:10" ht="15">
      <c r="A5" s="21">
        <v>40914</v>
      </c>
      <c r="B5" s="21">
        <v>40909</v>
      </c>
      <c r="C5" s="17">
        <v>2</v>
      </c>
      <c r="D5" s="17" t="s">
        <v>91</v>
      </c>
      <c r="E5" s="14">
        <v>1936413.71</v>
      </c>
      <c r="F5" s="14">
        <v>1799906.29</v>
      </c>
      <c r="G5" s="14">
        <v>1799906.29</v>
      </c>
      <c r="H5" s="22">
        <f>F5*(1+Assumptions!$B$6+IF(D5="Yes",Assumptions!$C$6,0))</f>
        <v>1853903.4787000001</v>
      </c>
      <c r="I5" s="22">
        <f>F5*(1+Assumptions!$B$7+IF(D5="Yes",Assumptions!$C$7,0))</f>
        <v>1889901.6045000001</v>
      </c>
      <c r="J5" s="22">
        <f>F5*(1+Assumptions!$B$8+IF(D5="Yes",Assumptions!$C$8,0))</f>
        <v>1817905.3529000001</v>
      </c>
    </row>
    <row r="6" spans="1:10" ht="15">
      <c r="A6" s="21">
        <v>40914</v>
      </c>
      <c r="B6" s="21">
        <v>40909</v>
      </c>
      <c r="C6" s="17">
        <v>3</v>
      </c>
      <c r="D6" s="17" t="s">
        <v>91</v>
      </c>
      <c r="E6" s="14">
        <v>525514.59</v>
      </c>
      <c r="F6" s="14">
        <v>549175.36</v>
      </c>
      <c r="G6" s="14">
        <v>549175.36</v>
      </c>
      <c r="H6" s="22">
        <f>F6*(1+Assumptions!$B$6+IF(D6="Yes",Assumptions!$C$6,0))</f>
        <v>565650.62080000003</v>
      </c>
      <c r="I6" s="22">
        <f>F6*(1+Assumptions!$B$7+IF(D6="Yes",Assumptions!$C$7,0))</f>
        <v>576634.12800000003</v>
      </c>
      <c r="J6" s="22">
        <f>F6*(1+Assumptions!$B$8+IF(D6="Yes",Assumptions!$C$8,0))</f>
        <v>554667.11360000004</v>
      </c>
    </row>
    <row r="7" spans="1:10" ht="15">
      <c r="A7" s="21">
        <v>40914</v>
      </c>
      <c r="B7" s="21">
        <v>40909</v>
      </c>
      <c r="C7" s="17">
        <v>4</v>
      </c>
      <c r="D7" s="17" t="s">
        <v>91</v>
      </c>
      <c r="E7" s="14">
        <v>1312275.49</v>
      </c>
      <c r="F7" s="14">
        <v>1222500.77</v>
      </c>
      <c r="G7" s="14">
        <v>1222500.77</v>
      </c>
      <c r="H7" s="22">
        <f>F7*(1+Assumptions!$B$6+IF(D7="Yes",Assumptions!$C$6,0))</f>
        <v>1259175.7931000001</v>
      </c>
      <c r="I7" s="22">
        <f>F7*(1+Assumptions!$B$7+IF(D7="Yes",Assumptions!$C$7,0))</f>
        <v>1283625.8085</v>
      </c>
      <c r="J7" s="22">
        <f>F7*(1+Assumptions!$B$8+IF(D7="Yes",Assumptions!$C$8,0))</f>
        <v>1234725.7777</v>
      </c>
    </row>
    <row r="8" spans="1:10" ht="15">
      <c r="A8" s="21">
        <v>40914</v>
      </c>
      <c r="B8" s="21">
        <v>40909</v>
      </c>
      <c r="C8" s="17">
        <v>5</v>
      </c>
      <c r="D8" s="17" t="s">
        <v>91</v>
      </c>
      <c r="E8" s="14">
        <v>797274.53</v>
      </c>
      <c r="F8" s="14">
        <v>852362.54</v>
      </c>
      <c r="G8" s="14">
        <v>852362.54</v>
      </c>
      <c r="H8" s="22">
        <f>F8*(1+Assumptions!$B$6+IF(D8="Yes",Assumptions!$C$6,0))</f>
        <v>877933.41620000009</v>
      </c>
      <c r="I8" s="22">
        <f>F8*(1+Assumptions!$B$7+IF(D8="Yes",Assumptions!$C$7,0))</f>
        <v>894980.66700000013</v>
      </c>
      <c r="J8" s="22">
        <f>F8*(1+Assumptions!$B$8+IF(D8="Yes",Assumptions!$C$8,0))</f>
        <v>860886.16540000006</v>
      </c>
    </row>
    <row r="9" spans="1:10" ht="15">
      <c r="A9" s="21">
        <v>40914</v>
      </c>
      <c r="B9" s="21">
        <v>40909</v>
      </c>
      <c r="C9" s="17">
        <v>6</v>
      </c>
      <c r="D9" s="17" t="s">
        <v>91</v>
      </c>
      <c r="E9" s="14">
        <v>114623.36</v>
      </c>
      <c r="F9" s="14">
        <v>126756.18000000001</v>
      </c>
      <c r="G9" s="14">
        <v>126756.18000000001</v>
      </c>
      <c r="H9" s="22">
        <f>F9*(1+Assumptions!$B$6+IF(D9="Yes",Assumptions!$C$6,0))</f>
        <v>130558.86540000001</v>
      </c>
      <c r="I9" s="22">
        <f>F9*(1+Assumptions!$B$7+IF(D9="Yes",Assumptions!$C$7,0))</f>
        <v>133093.989</v>
      </c>
      <c r="J9" s="22">
        <f>F9*(1+Assumptions!$B$8+IF(D9="Yes",Assumptions!$C$8,0))</f>
        <v>128023.7418</v>
      </c>
    </row>
    <row r="10" spans="1:10" ht="15">
      <c r="A10" s="21">
        <v>40914</v>
      </c>
      <c r="B10" s="21">
        <v>40909</v>
      </c>
      <c r="C10" s="17">
        <v>7</v>
      </c>
      <c r="D10" s="17" t="s">
        <v>91</v>
      </c>
      <c r="E10" s="14">
        <v>567023.85</v>
      </c>
      <c r="F10" s="14">
        <v>538596.79</v>
      </c>
      <c r="G10" s="14">
        <v>538596.79</v>
      </c>
      <c r="H10" s="22">
        <f>F10*(1+Assumptions!$B$6+IF(D10="Yes",Assumptions!$C$6,0))</f>
        <v>554754.69370000006</v>
      </c>
      <c r="I10" s="22">
        <f>F10*(1+Assumptions!$B$7+IF(D10="Yes",Assumptions!$C$7,0))</f>
        <v>565526.62950000004</v>
      </c>
      <c r="J10" s="22">
        <f>F10*(1+Assumptions!$B$8+IF(D10="Yes",Assumptions!$C$8,0))</f>
        <v>543982.75790000008</v>
      </c>
    </row>
    <row r="11" spans="1:10" ht="15">
      <c r="A11" s="21">
        <v>40914</v>
      </c>
      <c r="B11" s="21">
        <v>40909</v>
      </c>
      <c r="C11" s="17">
        <v>8</v>
      </c>
      <c r="D11" s="17" t="s">
        <v>91</v>
      </c>
      <c r="E11" s="14">
        <v>1326346.71</v>
      </c>
      <c r="F11" s="14">
        <v>1322007.8599999999</v>
      </c>
      <c r="G11" s="14">
        <v>1322007.8599999999</v>
      </c>
      <c r="H11" s="22">
        <f>F11*(1+Assumptions!$B$6+IF(D11="Yes",Assumptions!$C$6,0))</f>
        <v>1361668.0958</v>
      </c>
      <c r="I11" s="22">
        <f>F11*(1+Assumptions!$B$7+IF(D11="Yes",Assumptions!$C$7,0))</f>
        <v>1388108.253</v>
      </c>
      <c r="J11" s="22">
        <f>F11*(1+Assumptions!$B$8+IF(D11="Yes",Assumptions!$C$8,0))</f>
        <v>1335227.9386</v>
      </c>
    </row>
    <row r="12" spans="1:10" ht="15">
      <c r="A12" s="21">
        <v>40914</v>
      </c>
      <c r="B12" s="21">
        <v>40909</v>
      </c>
      <c r="C12" s="17">
        <v>9</v>
      </c>
      <c r="D12" s="17" t="s">
        <v>91</v>
      </c>
      <c r="E12" s="14">
        <v>571869.16</v>
      </c>
      <c r="F12" s="14">
        <v>504120.1</v>
      </c>
      <c r="G12" s="14">
        <v>504120.1</v>
      </c>
      <c r="H12" s="22">
        <f>F12*(1+Assumptions!$B$6+IF(D12="Yes",Assumptions!$C$6,0))</f>
        <v>519243.70299999998</v>
      </c>
      <c r="I12" s="22">
        <f>F12*(1+Assumptions!$B$7+IF(D12="Yes",Assumptions!$C$7,0))</f>
        <v>529326.10499999998</v>
      </c>
      <c r="J12" s="22">
        <f>F12*(1+Assumptions!$B$8+IF(D12="Yes",Assumptions!$C$8,0))</f>
        <v>509161.30099999998</v>
      </c>
    </row>
    <row r="13" spans="1:10" ht="15">
      <c r="A13" s="21">
        <v>40914</v>
      </c>
      <c r="B13" s="21">
        <v>40909</v>
      </c>
      <c r="C13" s="17">
        <v>10</v>
      </c>
      <c r="D13" s="17" t="s">
        <v>91</v>
      </c>
      <c r="E13" s="14">
        <v>734989.76</v>
      </c>
      <c r="F13" s="14">
        <v>700428.13</v>
      </c>
      <c r="G13" s="14">
        <v>700428.13</v>
      </c>
      <c r="H13" s="22">
        <f>F13*(1+Assumptions!$B$6+IF(D13="Yes",Assumptions!$C$6,0))</f>
        <v>721440.97389999998</v>
      </c>
      <c r="I13" s="22">
        <f>F13*(1+Assumptions!$B$7+IF(D13="Yes",Assumptions!$C$7,0))</f>
        <v>735449.53650000005</v>
      </c>
      <c r="J13" s="22">
        <f>F13*(1+Assumptions!$B$8+IF(D13="Yes",Assumptions!$C$8,0))</f>
        <v>707432.41130000004</v>
      </c>
    </row>
    <row r="14" spans="1:10" ht="15">
      <c r="A14" s="21">
        <v>40914</v>
      </c>
      <c r="B14" s="21">
        <v>40909</v>
      </c>
      <c r="C14" s="17">
        <v>11</v>
      </c>
      <c r="D14" s="17" t="s">
        <v>91</v>
      </c>
      <c r="E14" s="14">
        <v>656927.92000000004</v>
      </c>
      <c r="F14" s="14">
        <v>651976.55000000005</v>
      </c>
      <c r="G14" s="14">
        <v>651976.55000000005</v>
      </c>
      <c r="H14" s="22">
        <f>F14*(1+Assumptions!$B$6+IF(D14="Yes",Assumptions!$C$6,0))</f>
        <v>671535.8465000001</v>
      </c>
      <c r="I14" s="22">
        <f>F14*(1+Assumptions!$B$7+IF(D14="Yes",Assumptions!$C$7,0))</f>
        <v>684575.37750000006</v>
      </c>
      <c r="J14" s="22">
        <f>F14*(1+Assumptions!$B$8+IF(D14="Yes",Assumptions!$C$8,0))</f>
        <v>658496.31550000003</v>
      </c>
    </row>
    <row r="15" spans="1:10" ht="15">
      <c r="A15" s="21">
        <v>40914</v>
      </c>
      <c r="B15" s="21">
        <v>40909</v>
      </c>
      <c r="C15" s="17">
        <v>12</v>
      </c>
      <c r="D15" s="17" t="s">
        <v>91</v>
      </c>
      <c r="E15" s="14">
        <v>137351.54999999999</v>
      </c>
      <c r="F15" s="14">
        <v>120904.85</v>
      </c>
      <c r="G15" s="14">
        <v>120904.85</v>
      </c>
      <c r="H15" s="22">
        <f>F15*(1+Assumptions!$B$6+IF(D15="Yes",Assumptions!$C$6,0))</f>
        <v>124531.9955</v>
      </c>
      <c r="I15" s="22">
        <f>F15*(1+Assumptions!$B$7+IF(D15="Yes",Assumptions!$C$7,0))</f>
        <v>126950.09250000001</v>
      </c>
      <c r="J15" s="22">
        <f>F15*(1+Assumptions!$B$8+IF(D15="Yes",Assumptions!$C$8,0))</f>
        <v>122113.89850000001</v>
      </c>
    </row>
    <row r="16" spans="1:10" ht="15">
      <c r="A16" s="21">
        <v>40914</v>
      </c>
      <c r="B16" s="21">
        <v>40909</v>
      </c>
      <c r="C16" s="17">
        <v>13</v>
      </c>
      <c r="D16" s="17" t="s">
        <v>91</v>
      </c>
      <c r="E16" s="14">
        <v>1437179.04</v>
      </c>
      <c r="F16" s="14">
        <v>1398554.6099999999</v>
      </c>
      <c r="G16" s="14">
        <v>1398554.6099999999</v>
      </c>
      <c r="H16" s="22">
        <f>F16*(1+Assumptions!$B$6+IF(D16="Yes",Assumptions!$C$6,0))</f>
        <v>1440511.2482999999</v>
      </c>
      <c r="I16" s="22">
        <f>F16*(1+Assumptions!$B$7+IF(D16="Yes",Assumptions!$C$7,0))</f>
        <v>1468482.3404999999</v>
      </c>
      <c r="J16" s="22">
        <f>F16*(1+Assumptions!$B$8+IF(D16="Yes",Assumptions!$C$8,0))</f>
        <v>1412540.1560999998</v>
      </c>
    </row>
    <row r="17" spans="1:10" ht="15">
      <c r="A17" s="21">
        <v>40914</v>
      </c>
      <c r="B17" s="21">
        <v>40909</v>
      </c>
      <c r="C17" s="17">
        <v>14</v>
      </c>
      <c r="D17" s="17" t="s">
        <v>91</v>
      </c>
      <c r="E17" s="14">
        <v>634014.89</v>
      </c>
      <c r="F17" s="14">
        <v>617345.52</v>
      </c>
      <c r="G17" s="14">
        <v>617345.52</v>
      </c>
      <c r="H17" s="22">
        <f>F17*(1+Assumptions!$B$6+IF(D17="Yes",Assumptions!$C$6,0))</f>
        <v>635865.88560000004</v>
      </c>
      <c r="I17" s="22">
        <f>F17*(1+Assumptions!$B$7+IF(D17="Yes",Assumptions!$C$7,0))</f>
        <v>648212.79600000009</v>
      </c>
      <c r="J17" s="22">
        <f>F17*(1+Assumptions!$B$8+IF(D17="Yes",Assumptions!$C$8,0))</f>
        <v>623518.97519999999</v>
      </c>
    </row>
    <row r="18" spans="1:10" ht="15">
      <c r="A18" s="21">
        <v>40914</v>
      </c>
      <c r="B18" s="21">
        <v>40909</v>
      </c>
      <c r="C18" s="17">
        <v>16</v>
      </c>
      <c r="D18" s="17" t="s">
        <v>91</v>
      </c>
      <c r="E18" s="14">
        <v>149228.72</v>
      </c>
      <c r="F18" s="14">
        <v>128303.25</v>
      </c>
      <c r="G18" s="14">
        <v>128303.25</v>
      </c>
      <c r="H18" s="22">
        <f>F18*(1+Assumptions!$B$6+IF(D18="Yes",Assumptions!$C$6,0))</f>
        <v>132152.3475</v>
      </c>
      <c r="I18" s="22">
        <f>F18*(1+Assumptions!$B$7+IF(D18="Yes",Assumptions!$C$7,0))</f>
        <v>134718.41250000001</v>
      </c>
      <c r="J18" s="22">
        <f>F18*(1+Assumptions!$B$8+IF(D18="Yes",Assumptions!$C$8,0))</f>
        <v>129586.2825</v>
      </c>
    </row>
    <row r="19" spans="1:10" ht="15">
      <c r="A19" s="21">
        <v>40914</v>
      </c>
      <c r="B19" s="21">
        <v>40909</v>
      </c>
      <c r="C19" s="17">
        <v>17</v>
      </c>
      <c r="D19" s="17" t="s">
        <v>91</v>
      </c>
      <c r="E19" s="14">
        <v>432958.85</v>
      </c>
      <c r="F19" s="14">
        <v>421220.51</v>
      </c>
      <c r="G19" s="14">
        <v>421220.51</v>
      </c>
      <c r="H19" s="22">
        <f>F19*(1+Assumptions!$B$6+IF(D19="Yes",Assumptions!$C$6,0))</f>
        <v>433857.12530000001</v>
      </c>
      <c r="I19" s="22">
        <f>F19*(1+Assumptions!$B$7+IF(D19="Yes",Assumptions!$C$7,0))</f>
        <v>442281.53550000006</v>
      </c>
      <c r="J19" s="22">
        <f>F19*(1+Assumptions!$B$8+IF(D19="Yes",Assumptions!$C$8,0))</f>
        <v>425432.71510000003</v>
      </c>
    </row>
    <row r="20" spans="1:10" ht="15">
      <c r="A20" s="21">
        <v>40914</v>
      </c>
      <c r="B20" s="21">
        <v>40909</v>
      </c>
      <c r="C20" s="17">
        <v>18</v>
      </c>
      <c r="D20" s="17" t="s">
        <v>91</v>
      </c>
      <c r="E20" s="14">
        <v>242470.72</v>
      </c>
      <c r="F20" s="14">
        <v>210471.98</v>
      </c>
      <c r="G20" s="14">
        <v>210471.98</v>
      </c>
      <c r="H20" s="22">
        <f>F20*(1+Assumptions!$B$6+IF(D20="Yes",Assumptions!$C$6,0))</f>
        <v>216786.13940000001</v>
      </c>
      <c r="I20" s="22">
        <f>F20*(1+Assumptions!$B$7+IF(D20="Yes",Assumptions!$C$7,0))</f>
        <v>220995.57900000003</v>
      </c>
      <c r="J20" s="22">
        <f>F20*(1+Assumptions!$B$8+IF(D20="Yes",Assumptions!$C$8,0))</f>
        <v>212576.6998</v>
      </c>
    </row>
    <row r="21" spans="1:10" ht="15">
      <c r="A21" s="21">
        <v>40914</v>
      </c>
      <c r="B21" s="21">
        <v>40909</v>
      </c>
      <c r="C21" s="17">
        <v>19</v>
      </c>
      <c r="D21" s="17" t="s">
        <v>91</v>
      </c>
      <c r="E21" s="14">
        <v>37255.19</v>
      </c>
      <c r="F21" s="14">
        <v>41077.03</v>
      </c>
      <c r="G21" s="14">
        <v>41077.03</v>
      </c>
      <c r="H21" s="22">
        <f>F21*(1+Assumptions!$B$6+IF(D21="Yes",Assumptions!$C$6,0))</f>
        <v>42309.340900000003</v>
      </c>
      <c r="I21" s="22">
        <f>F21*(1+Assumptions!$B$7+IF(D21="Yes",Assumptions!$C$7,0))</f>
        <v>43130.881500000003</v>
      </c>
      <c r="J21" s="22">
        <f>F21*(1+Assumptions!$B$8+IF(D21="Yes",Assumptions!$C$8,0))</f>
        <v>41487.800300000003</v>
      </c>
    </row>
    <row r="22" spans="1:10" ht="15">
      <c r="A22" s="21">
        <v>40914</v>
      </c>
      <c r="B22" s="21">
        <v>40909</v>
      </c>
      <c r="C22" s="17">
        <v>20</v>
      </c>
      <c r="D22" s="17" t="s">
        <v>91</v>
      </c>
      <c r="E22" s="14">
        <v>214868.31</v>
      </c>
      <c r="F22" s="14">
        <v>196076.47</v>
      </c>
      <c r="G22" s="14">
        <v>196076.47</v>
      </c>
      <c r="H22" s="22">
        <f>F22*(1+Assumptions!$B$6+IF(D22="Yes",Assumptions!$C$6,0))</f>
        <v>201958.7641</v>
      </c>
      <c r="I22" s="22">
        <f>F22*(1+Assumptions!$B$7+IF(D22="Yes",Assumptions!$C$7,0))</f>
        <v>205880.2935</v>
      </c>
      <c r="J22" s="22">
        <f>F22*(1+Assumptions!$B$8+IF(D22="Yes",Assumptions!$C$8,0))</f>
        <v>198037.2347</v>
      </c>
    </row>
    <row r="23" spans="1:10" ht="15">
      <c r="A23" s="21">
        <v>40914</v>
      </c>
      <c r="B23" s="21">
        <v>40909</v>
      </c>
      <c r="C23" s="17">
        <v>21</v>
      </c>
      <c r="D23" s="17" t="s">
        <v>91</v>
      </c>
      <c r="E23" s="14">
        <v>185622.68</v>
      </c>
      <c r="F23" s="14">
        <v>190371.36</v>
      </c>
      <c r="G23" s="14">
        <v>190371.36</v>
      </c>
      <c r="H23" s="22">
        <f>F23*(1+Assumptions!$B$6+IF(D23="Yes",Assumptions!$C$6,0))</f>
        <v>196082.50079999998</v>
      </c>
      <c r="I23" s="22">
        <f>F23*(1+Assumptions!$B$7+IF(D23="Yes",Assumptions!$C$7,0))</f>
        <v>199889.92799999999</v>
      </c>
      <c r="J23" s="22">
        <f>F23*(1+Assumptions!$B$8+IF(D23="Yes",Assumptions!$C$8,0))</f>
        <v>192275.07359999997</v>
      </c>
    </row>
    <row r="24" spans="1:10" ht="15">
      <c r="A24" s="21">
        <v>40914</v>
      </c>
      <c r="B24" s="21">
        <v>40909</v>
      </c>
      <c r="C24" s="17">
        <v>22</v>
      </c>
      <c r="D24" s="17" t="s">
        <v>91</v>
      </c>
      <c r="E24" s="14">
        <v>407741.99</v>
      </c>
      <c r="F24" s="14">
        <v>386746.82</v>
      </c>
      <c r="G24" s="14">
        <v>386746.82</v>
      </c>
      <c r="H24" s="22">
        <f>F24*(1+Assumptions!$B$6+IF(D24="Yes",Assumptions!$C$6,0))</f>
        <v>398349.22460000002</v>
      </c>
      <c r="I24" s="22">
        <f>F24*(1+Assumptions!$B$7+IF(D24="Yes",Assumptions!$C$7,0))</f>
        <v>406084.16100000002</v>
      </c>
      <c r="J24" s="22">
        <f>F24*(1+Assumptions!$B$8+IF(D24="Yes",Assumptions!$C$8,0))</f>
        <v>390614.28820000001</v>
      </c>
    </row>
    <row r="25" spans="1:10" ht="15">
      <c r="A25" s="21">
        <v>40914</v>
      </c>
      <c r="B25" s="21">
        <v>40909</v>
      </c>
      <c r="C25" s="17">
        <v>23</v>
      </c>
      <c r="D25" s="17" t="s">
        <v>91</v>
      </c>
      <c r="E25" s="14">
        <v>743275.81</v>
      </c>
      <c r="F25" s="14">
        <v>699694.24</v>
      </c>
      <c r="G25" s="14">
        <v>699694.24</v>
      </c>
      <c r="H25" s="22">
        <f>F25*(1+Assumptions!$B$6+IF(D25="Yes",Assumptions!$C$6,0))</f>
        <v>720685.06720000005</v>
      </c>
      <c r="I25" s="22">
        <f>F25*(1+Assumptions!$B$7+IF(D25="Yes",Assumptions!$C$7,0))</f>
        <v>734678.95200000005</v>
      </c>
      <c r="J25" s="22">
        <f>F25*(1+Assumptions!$B$8+IF(D25="Yes",Assumptions!$C$8,0))</f>
        <v>706691.18240000005</v>
      </c>
    </row>
    <row r="26" spans="1:10" ht="15">
      <c r="A26" s="21">
        <v>40914</v>
      </c>
      <c r="B26" s="21">
        <v>40909</v>
      </c>
      <c r="C26" s="17">
        <v>24</v>
      </c>
      <c r="D26" s="17" t="s">
        <v>91</v>
      </c>
      <c r="E26" s="14">
        <v>139300.34</v>
      </c>
      <c r="F26" s="14">
        <v>145636.79999999999</v>
      </c>
      <c r="G26" s="14">
        <v>145636.79999999999</v>
      </c>
      <c r="H26" s="22">
        <f>F26*(1+Assumptions!$B$6+IF(D26="Yes",Assumptions!$C$6,0))</f>
        <v>150005.90399999998</v>
      </c>
      <c r="I26" s="22">
        <f>F26*(1+Assumptions!$B$7+IF(D26="Yes",Assumptions!$C$7,0))</f>
        <v>152918.63999999998</v>
      </c>
      <c r="J26" s="22">
        <f>F26*(1+Assumptions!$B$8+IF(D26="Yes",Assumptions!$C$8,0))</f>
        <v>147093.16799999998</v>
      </c>
    </row>
    <row r="27" spans="1:10" ht="15">
      <c r="A27" s="21">
        <v>40914</v>
      </c>
      <c r="B27" s="21">
        <v>40909</v>
      </c>
      <c r="C27" s="17">
        <v>25</v>
      </c>
      <c r="D27" s="17" t="s">
        <v>91</v>
      </c>
      <c r="E27" s="14">
        <v>285543.09999999998</v>
      </c>
      <c r="F27" s="14">
        <v>284719.63</v>
      </c>
      <c r="G27" s="14">
        <v>284719.63</v>
      </c>
      <c r="H27" s="22">
        <f>F27*(1+Assumptions!$B$6+IF(D27="Yes",Assumptions!$C$6,0))</f>
        <v>293261.21890000004</v>
      </c>
      <c r="I27" s="22">
        <f>F27*(1+Assumptions!$B$7+IF(D27="Yes",Assumptions!$C$7,0))</f>
        <v>298955.6115</v>
      </c>
      <c r="J27" s="22">
        <f>F27*(1+Assumptions!$B$8+IF(D27="Yes",Assumptions!$C$8,0))</f>
        <v>287566.82630000002</v>
      </c>
    </row>
    <row r="28" spans="1:10" ht="15">
      <c r="A28" s="21">
        <v>40914</v>
      </c>
      <c r="B28" s="21">
        <v>40909</v>
      </c>
      <c r="C28" s="17">
        <v>26</v>
      </c>
      <c r="D28" s="17" t="s">
        <v>91</v>
      </c>
      <c r="E28" s="14">
        <v>179580.2</v>
      </c>
      <c r="F28" s="14">
        <v>188782.47</v>
      </c>
      <c r="G28" s="14">
        <v>188782.47</v>
      </c>
      <c r="H28" s="22">
        <f>F28*(1+Assumptions!$B$6+IF(D28="Yes",Assumptions!$C$6,0))</f>
        <v>194445.94409999999</v>
      </c>
      <c r="I28" s="22">
        <f>F28*(1+Assumptions!$B$7+IF(D28="Yes",Assumptions!$C$7,0))</f>
        <v>198221.59350000002</v>
      </c>
      <c r="J28" s="22">
        <f>F28*(1+Assumptions!$B$8+IF(D28="Yes",Assumptions!$C$8,0))</f>
        <v>190670.2947</v>
      </c>
    </row>
    <row r="29" spans="1:10" ht="15">
      <c r="A29" s="21">
        <v>40914</v>
      </c>
      <c r="B29" s="21">
        <v>40909</v>
      </c>
      <c r="C29" s="17">
        <v>27</v>
      </c>
      <c r="D29" s="17" t="s">
        <v>91</v>
      </c>
      <c r="E29" s="14">
        <v>68290.540000000008</v>
      </c>
      <c r="F29" s="14">
        <v>68304.59</v>
      </c>
      <c r="G29" s="14">
        <v>68304.59</v>
      </c>
      <c r="H29" s="22">
        <f>F29*(1+Assumptions!$B$6+IF(D29="Yes",Assumptions!$C$6,0))</f>
        <v>70353.727700000003</v>
      </c>
      <c r="I29" s="22">
        <f>F29*(1+Assumptions!$B$7+IF(D29="Yes",Assumptions!$C$7,0))</f>
        <v>71719.819499999998</v>
      </c>
      <c r="J29" s="22">
        <f>F29*(1+Assumptions!$B$8+IF(D29="Yes",Assumptions!$C$8,0))</f>
        <v>68987.635899999994</v>
      </c>
    </row>
    <row r="30" spans="1:10" ht="15">
      <c r="A30" s="21">
        <v>40914</v>
      </c>
      <c r="B30" s="21">
        <v>40909</v>
      </c>
      <c r="C30" s="17">
        <v>28</v>
      </c>
      <c r="D30" s="17" t="s">
        <v>91</v>
      </c>
      <c r="E30" s="14">
        <v>28983.119999999999</v>
      </c>
      <c r="F30" s="14">
        <v>27944.48</v>
      </c>
      <c r="G30" s="14">
        <v>27944.48</v>
      </c>
      <c r="H30" s="22">
        <f>F30*(1+Assumptions!$B$6+IF(D30="Yes",Assumptions!$C$6,0))</f>
        <v>28782.814399999999</v>
      </c>
      <c r="I30" s="22">
        <f>F30*(1+Assumptions!$B$7+IF(D30="Yes",Assumptions!$C$7,0))</f>
        <v>29341.704000000002</v>
      </c>
      <c r="J30" s="22">
        <f>F30*(1+Assumptions!$B$8+IF(D30="Yes",Assumptions!$C$8,0))</f>
        <v>28223.924800000001</v>
      </c>
    </row>
    <row r="31" spans="1:10" ht="15">
      <c r="A31" s="21">
        <v>40914</v>
      </c>
      <c r="B31" s="21">
        <v>40909</v>
      </c>
      <c r="C31" s="17">
        <v>29</v>
      </c>
      <c r="D31" s="17" t="s">
        <v>91</v>
      </c>
      <c r="E31" s="14">
        <v>187551.57</v>
      </c>
      <c r="F31" s="14">
        <v>189852.81</v>
      </c>
      <c r="G31" s="14">
        <v>189852.81</v>
      </c>
      <c r="H31" s="22">
        <f>F31*(1+Assumptions!$B$6+IF(D31="Yes",Assumptions!$C$6,0))</f>
        <v>195548.39430000001</v>
      </c>
      <c r="I31" s="22">
        <f>F31*(1+Assumptions!$B$7+IF(D31="Yes",Assumptions!$C$7,0))</f>
        <v>199345.45050000001</v>
      </c>
      <c r="J31" s="22">
        <f>F31*(1+Assumptions!$B$8+IF(D31="Yes",Assumptions!$C$8,0))</f>
        <v>191751.33809999999</v>
      </c>
    </row>
    <row r="32" spans="1:10" ht="15">
      <c r="A32" s="21">
        <v>40914</v>
      </c>
      <c r="B32" s="21">
        <v>40909</v>
      </c>
      <c r="C32" s="17">
        <v>30</v>
      </c>
      <c r="D32" s="17" t="s">
        <v>91</v>
      </c>
      <c r="E32" s="14">
        <v>109148.76</v>
      </c>
      <c r="F32" s="14">
        <v>113259.4</v>
      </c>
      <c r="G32" s="14">
        <v>113259.4</v>
      </c>
      <c r="H32" s="22">
        <f>F32*(1+Assumptions!$B$6+IF(D32="Yes",Assumptions!$C$6,0))</f>
        <v>116657.182</v>
      </c>
      <c r="I32" s="22">
        <f>F32*(1+Assumptions!$B$7+IF(D32="Yes",Assumptions!$C$7,0))</f>
        <v>118922.37</v>
      </c>
      <c r="J32" s="22">
        <f>F32*(1+Assumptions!$B$8+IF(D32="Yes",Assumptions!$C$8,0))</f>
        <v>114391.99399999999</v>
      </c>
    </row>
    <row r="33" spans="1:10" ht="15">
      <c r="A33" s="21">
        <v>40914</v>
      </c>
      <c r="B33" s="21">
        <v>40909</v>
      </c>
      <c r="C33" s="17">
        <v>31</v>
      </c>
      <c r="D33" s="17" t="s">
        <v>91</v>
      </c>
      <c r="E33" s="14">
        <v>73473.64</v>
      </c>
      <c r="F33" s="14">
        <v>82051.990000000005</v>
      </c>
      <c r="G33" s="14">
        <v>82051.990000000005</v>
      </c>
      <c r="H33" s="22">
        <f>F33*(1+Assumptions!$B$6+IF(D33="Yes",Assumptions!$C$6,0))</f>
        <v>84513.549700000003</v>
      </c>
      <c r="I33" s="22">
        <f>F33*(1+Assumptions!$B$7+IF(D33="Yes",Assumptions!$C$7,0))</f>
        <v>86154.589500000016</v>
      </c>
      <c r="J33" s="22">
        <f>F33*(1+Assumptions!$B$8+IF(D33="Yes",Assumptions!$C$8,0))</f>
        <v>82872.509900000005</v>
      </c>
    </row>
    <row r="34" spans="1:10" ht="15">
      <c r="A34" s="21">
        <v>40914</v>
      </c>
      <c r="B34" s="21">
        <v>40909</v>
      </c>
      <c r="C34" s="17">
        <v>32</v>
      </c>
      <c r="D34" s="17" t="s">
        <v>91</v>
      </c>
      <c r="E34" s="14">
        <v>199050.44</v>
      </c>
      <c r="F34" s="14">
        <v>211166.8</v>
      </c>
      <c r="G34" s="14">
        <v>211166.8</v>
      </c>
      <c r="H34" s="22">
        <f>F34*(1+Assumptions!$B$6+IF(D34="Yes",Assumptions!$C$6,0))</f>
        <v>217501.804</v>
      </c>
      <c r="I34" s="22">
        <f>F34*(1+Assumptions!$B$7+IF(D34="Yes",Assumptions!$C$7,0))</f>
        <v>221725.13999999998</v>
      </c>
      <c r="J34" s="22">
        <f>F34*(1+Assumptions!$B$8+IF(D34="Yes",Assumptions!$C$8,0))</f>
        <v>213278.46799999999</v>
      </c>
    </row>
    <row r="35" spans="1:10" ht="15">
      <c r="A35" s="21">
        <v>40914</v>
      </c>
      <c r="B35" s="21">
        <v>40909</v>
      </c>
      <c r="C35" s="17">
        <v>33</v>
      </c>
      <c r="D35" s="17" t="s">
        <v>91</v>
      </c>
      <c r="E35" s="14">
        <v>137637.04999999999</v>
      </c>
      <c r="F35" s="14">
        <v>146242.93</v>
      </c>
      <c r="G35" s="14">
        <v>146242.93</v>
      </c>
      <c r="H35" s="22">
        <f>F35*(1+Assumptions!$B$6+IF(D35="Yes",Assumptions!$C$6,0))</f>
        <v>150630.21789999999</v>
      </c>
      <c r="I35" s="22">
        <f>F35*(1+Assumptions!$B$7+IF(D35="Yes",Assumptions!$C$7,0))</f>
        <v>153555.0765</v>
      </c>
      <c r="J35" s="22">
        <f>F35*(1+Assumptions!$B$8+IF(D35="Yes",Assumptions!$C$8,0))</f>
        <v>147705.35929999998</v>
      </c>
    </row>
    <row r="36" spans="1:10" ht="15">
      <c r="A36" s="21">
        <v>40914</v>
      </c>
      <c r="B36" s="21">
        <v>40909</v>
      </c>
      <c r="C36" s="17">
        <v>34</v>
      </c>
      <c r="D36" s="17" t="s">
        <v>91</v>
      </c>
      <c r="E36" s="14">
        <v>406127.59</v>
      </c>
      <c r="F36" s="14">
        <v>413259.37</v>
      </c>
      <c r="G36" s="14">
        <v>413259.37</v>
      </c>
      <c r="H36" s="22">
        <f>F36*(1+Assumptions!$B$6+IF(D36="Yes",Assumptions!$C$6,0))</f>
        <v>425657.15110000002</v>
      </c>
      <c r="I36" s="22">
        <f>F36*(1+Assumptions!$B$7+IF(D36="Yes",Assumptions!$C$7,0))</f>
        <v>433922.33850000001</v>
      </c>
      <c r="J36" s="22">
        <f>F36*(1+Assumptions!$B$8+IF(D36="Yes",Assumptions!$C$8,0))</f>
        <v>417391.96370000002</v>
      </c>
    </row>
    <row r="37" spans="1:10" ht="15">
      <c r="A37" s="21">
        <v>40914</v>
      </c>
      <c r="B37" s="21">
        <v>40909</v>
      </c>
      <c r="C37" s="17">
        <v>35</v>
      </c>
      <c r="D37" s="17" t="s">
        <v>91</v>
      </c>
      <c r="E37" s="14">
        <v>72681.759999999995</v>
      </c>
      <c r="F37" s="14">
        <v>73653.39</v>
      </c>
      <c r="G37" s="14">
        <v>73653.39</v>
      </c>
      <c r="H37" s="22">
        <f>F37*(1+Assumptions!$B$6+IF(D37="Yes",Assumptions!$C$6,0))</f>
        <v>75862.991699999999</v>
      </c>
      <c r="I37" s="22">
        <f>F37*(1+Assumptions!$B$7+IF(D37="Yes",Assumptions!$C$7,0))</f>
        <v>77336.059500000003</v>
      </c>
      <c r="J37" s="22">
        <f>F37*(1+Assumptions!$B$8+IF(D37="Yes",Assumptions!$C$8,0))</f>
        <v>74389.923899999994</v>
      </c>
    </row>
    <row r="38" spans="1:10" ht="15">
      <c r="A38" s="21">
        <v>40914</v>
      </c>
      <c r="B38" s="21">
        <v>40909</v>
      </c>
      <c r="C38" s="17">
        <v>36</v>
      </c>
      <c r="D38" s="17" t="s">
        <v>91</v>
      </c>
      <c r="E38" s="14">
        <v>41321.089999999997</v>
      </c>
      <c r="F38" s="14">
        <v>38171.879999999997</v>
      </c>
      <c r="G38" s="14">
        <v>38171.879999999997</v>
      </c>
      <c r="H38" s="22">
        <f>F38*(1+Assumptions!$B$6+IF(D38="Yes",Assumptions!$C$6,0))</f>
        <v>39317.036399999997</v>
      </c>
      <c r="I38" s="22">
        <f>F38*(1+Assumptions!$B$7+IF(D38="Yes",Assumptions!$C$7,0))</f>
        <v>40080.474000000002</v>
      </c>
      <c r="J38" s="22">
        <f>F38*(1+Assumptions!$B$8+IF(D38="Yes",Assumptions!$C$8,0))</f>
        <v>38553.5988</v>
      </c>
    </row>
    <row r="39" spans="1:10" ht="15">
      <c r="A39" s="21">
        <v>40914</v>
      </c>
      <c r="B39" s="21">
        <v>40909</v>
      </c>
      <c r="C39" s="17">
        <v>37</v>
      </c>
      <c r="D39" s="17" t="s">
        <v>91</v>
      </c>
      <c r="E39" s="14">
        <v>54599.57</v>
      </c>
      <c r="F39" s="14">
        <v>52087.71</v>
      </c>
      <c r="G39" s="14">
        <v>52087.71</v>
      </c>
      <c r="H39" s="22">
        <f>F39*(1+Assumptions!$B$6+IF(D39="Yes",Assumptions!$C$6,0))</f>
        <v>53650.3413</v>
      </c>
      <c r="I39" s="22">
        <f>F39*(1+Assumptions!$B$7+IF(D39="Yes",Assumptions!$C$7,0))</f>
        <v>54692.095500000003</v>
      </c>
      <c r="J39" s="22">
        <f>F39*(1+Assumptions!$B$8+IF(D39="Yes",Assumptions!$C$8,0))</f>
        <v>52608.587099999997</v>
      </c>
    </row>
    <row r="40" spans="1:10" ht="15">
      <c r="A40" s="21">
        <v>40914</v>
      </c>
      <c r="B40" s="21">
        <v>40909</v>
      </c>
      <c r="C40" s="17">
        <v>38</v>
      </c>
      <c r="D40" s="17" t="s">
        <v>91</v>
      </c>
      <c r="E40" s="14">
        <v>3110692.21</v>
      </c>
      <c r="F40" s="14">
        <v>3219845.43</v>
      </c>
      <c r="G40" s="14">
        <v>3219845.43</v>
      </c>
      <c r="H40" s="22">
        <f>F40*(1+Assumptions!$B$6+IF(D40="Yes",Assumptions!$C$6,0))</f>
        <v>3316440.7929000002</v>
      </c>
      <c r="I40" s="22">
        <f>F40*(1+Assumptions!$B$7+IF(D40="Yes",Assumptions!$C$7,0))</f>
        <v>3380837.7015000004</v>
      </c>
      <c r="J40" s="22">
        <f>F40*(1+Assumptions!$B$8+IF(D40="Yes",Assumptions!$C$8,0))</f>
        <v>3252043.8843</v>
      </c>
    </row>
    <row r="41" spans="1:10" ht="15">
      <c r="A41" s="21">
        <v>40914</v>
      </c>
      <c r="B41" s="21">
        <v>40909</v>
      </c>
      <c r="C41" s="17">
        <v>40</v>
      </c>
      <c r="D41" s="17" t="s">
        <v>91</v>
      </c>
      <c r="E41" s="14">
        <v>2241109.21</v>
      </c>
      <c r="F41" s="14">
        <v>2147509.37</v>
      </c>
      <c r="G41" s="14">
        <v>2147509.37</v>
      </c>
      <c r="H41" s="22">
        <f>F41*(1+Assumptions!$B$6+IF(D41="Yes",Assumptions!$C$6,0))</f>
        <v>2211934.6511000004</v>
      </c>
      <c r="I41" s="22">
        <f>F41*(1+Assumptions!$B$7+IF(D41="Yes",Assumptions!$C$7,0))</f>
        <v>2254884.8385000001</v>
      </c>
      <c r="J41" s="22">
        <f>F41*(1+Assumptions!$B$8+IF(D41="Yes",Assumptions!$C$8,0))</f>
        <v>2168984.4637000002</v>
      </c>
    </row>
    <row r="42" spans="1:10" ht="15">
      <c r="A42" s="21">
        <v>40914</v>
      </c>
      <c r="B42" s="21">
        <v>40909</v>
      </c>
      <c r="C42" s="17">
        <v>41</v>
      </c>
      <c r="D42" s="17" t="s">
        <v>91</v>
      </c>
      <c r="E42" s="14">
        <v>39822.51</v>
      </c>
      <c r="F42" s="14">
        <v>33719.879999999997</v>
      </c>
      <c r="G42" s="14">
        <v>33719.879999999997</v>
      </c>
      <c r="H42" s="22">
        <f>F42*(1+Assumptions!$B$6+IF(D42="Yes",Assumptions!$C$6,0))</f>
        <v>34731.4764</v>
      </c>
      <c r="I42" s="22">
        <f>F42*(1+Assumptions!$B$7+IF(D42="Yes",Assumptions!$C$7,0))</f>
        <v>35405.873999999996</v>
      </c>
      <c r="J42" s="22">
        <f>F42*(1+Assumptions!$B$8+IF(D42="Yes",Assumptions!$C$8,0))</f>
        <v>34057.078799999996</v>
      </c>
    </row>
    <row r="43" spans="1:10" ht="15">
      <c r="A43" s="21">
        <v>40914</v>
      </c>
      <c r="B43" s="21">
        <v>40909</v>
      </c>
      <c r="C43" s="17">
        <v>42</v>
      </c>
      <c r="D43" s="17" t="s">
        <v>91</v>
      </c>
      <c r="E43" s="14">
        <v>232140.63</v>
      </c>
      <c r="F43" s="14">
        <v>199590.22</v>
      </c>
      <c r="G43" s="14">
        <v>199590.22</v>
      </c>
      <c r="H43" s="22">
        <f>F43*(1+Assumptions!$B$6+IF(D43="Yes",Assumptions!$C$6,0))</f>
        <v>205577.92660000001</v>
      </c>
      <c r="I43" s="22">
        <f>F43*(1+Assumptions!$B$7+IF(D43="Yes",Assumptions!$C$7,0))</f>
        <v>209569.731</v>
      </c>
      <c r="J43" s="22">
        <f>F43*(1+Assumptions!$B$8+IF(D43="Yes",Assumptions!$C$8,0))</f>
        <v>201586.12220000001</v>
      </c>
    </row>
    <row r="44" spans="1:10" ht="15">
      <c r="A44" s="21">
        <v>40914</v>
      </c>
      <c r="B44" s="21">
        <v>40909</v>
      </c>
      <c r="C44" s="17">
        <v>44</v>
      </c>
      <c r="D44" s="17" t="s">
        <v>91</v>
      </c>
      <c r="E44" s="14">
        <v>143616.13</v>
      </c>
      <c r="F44" s="14">
        <v>136321.63</v>
      </c>
      <c r="G44" s="14">
        <v>136321.63</v>
      </c>
      <c r="H44" s="22">
        <f>F44*(1+Assumptions!$B$6+IF(D44="Yes",Assumptions!$C$6,0))</f>
        <v>140411.2789</v>
      </c>
      <c r="I44" s="22">
        <f>F44*(1+Assumptions!$B$7+IF(D44="Yes",Assumptions!$C$7,0))</f>
        <v>143137.7115</v>
      </c>
      <c r="J44" s="22">
        <f>F44*(1+Assumptions!$B$8+IF(D44="Yes",Assumptions!$C$8,0))</f>
        <v>137684.8463</v>
      </c>
    </row>
    <row r="45" spans="1:10" ht="15">
      <c r="A45" s="21">
        <v>40914</v>
      </c>
      <c r="B45" s="21">
        <v>40909</v>
      </c>
      <c r="C45" s="17">
        <v>45</v>
      </c>
      <c r="D45" s="17" t="s">
        <v>91</v>
      </c>
      <c r="E45" s="14">
        <v>175.52</v>
      </c>
      <c r="F45" s="14">
        <v>157.86000000000001</v>
      </c>
      <c r="G45" s="14">
        <v>157.86000000000001</v>
      </c>
      <c r="H45" s="22">
        <f>F45*(1+Assumptions!$B$6+IF(D45="Yes",Assumptions!$C$6,0))</f>
        <v>162.59580000000003</v>
      </c>
      <c r="I45" s="22">
        <f>F45*(1+Assumptions!$B$7+IF(D45="Yes",Assumptions!$C$7,0))</f>
        <v>165.75300000000001</v>
      </c>
      <c r="J45" s="22">
        <f>F45*(1+Assumptions!$B$8+IF(D45="Yes",Assumptions!$C$8,0))</f>
        <v>159.43860000000001</v>
      </c>
    </row>
    <row r="46" spans="1:10" ht="15">
      <c r="A46" s="21">
        <v>40914</v>
      </c>
      <c r="B46" s="21">
        <v>40909</v>
      </c>
      <c r="C46" s="17">
        <v>46</v>
      </c>
      <c r="D46" s="17" t="s">
        <v>91</v>
      </c>
      <c r="E46" s="14">
        <v>796413.55</v>
      </c>
      <c r="F46" s="14">
        <v>758379.24</v>
      </c>
      <c r="G46" s="14">
        <v>758379.24</v>
      </c>
      <c r="H46" s="22">
        <f>F46*(1+Assumptions!$B$6+IF(D46="Yes",Assumptions!$C$6,0))</f>
        <v>781130.61719999998</v>
      </c>
      <c r="I46" s="22">
        <f>F46*(1+Assumptions!$B$7+IF(D46="Yes",Assumptions!$C$7,0))</f>
        <v>796298.20200000005</v>
      </c>
      <c r="J46" s="22">
        <f>F46*(1+Assumptions!$B$8+IF(D46="Yes",Assumptions!$C$8,0))</f>
        <v>765963.03240000003</v>
      </c>
    </row>
    <row r="47" spans="1:10" ht="15">
      <c r="A47" s="21">
        <v>40914</v>
      </c>
      <c r="B47" s="21">
        <v>40909</v>
      </c>
      <c r="C47" s="17">
        <v>47</v>
      </c>
      <c r="D47" s="17" t="s">
        <v>91</v>
      </c>
      <c r="E47" s="14">
        <v>-38</v>
      </c>
      <c r="F47" s="14">
        <v>10</v>
      </c>
      <c r="G47" s="14">
        <v>10</v>
      </c>
      <c r="H47" s="22">
        <f>F47*(1+Assumptions!$B$6+IF(D47="Yes",Assumptions!$C$6,0))</f>
        <v>10.3</v>
      </c>
      <c r="I47" s="22">
        <f>F47*(1+Assumptions!$B$7+IF(D47="Yes",Assumptions!$C$7,0))</f>
        <v>10.5</v>
      </c>
      <c r="J47" s="22">
        <f>F47*(1+Assumptions!$B$8+IF(D47="Yes",Assumptions!$C$8,0))</f>
        <v>10.1</v>
      </c>
    </row>
    <row r="48" spans="1:10" ht="15">
      <c r="A48" s="21">
        <v>40914</v>
      </c>
      <c r="B48" s="21">
        <v>40909</v>
      </c>
      <c r="C48" s="17">
        <v>48</v>
      </c>
      <c r="D48" s="17" t="s">
        <v>91</v>
      </c>
      <c r="E48" s="14">
        <v>9092.2999999999993</v>
      </c>
      <c r="F48" s="14">
        <v>8178</v>
      </c>
      <c r="G48" s="14">
        <v>8178</v>
      </c>
      <c r="H48" s="22">
        <f>F48*(1+Assumptions!$B$6+IF(D48="Yes",Assumptions!$C$6,0))</f>
        <v>8423.34</v>
      </c>
      <c r="I48" s="22">
        <f>F48*(1+Assumptions!$B$7+IF(D48="Yes",Assumptions!$C$7,0))</f>
        <v>8586.9</v>
      </c>
      <c r="J48" s="22">
        <f>F48*(1+Assumptions!$B$8+IF(D48="Yes",Assumptions!$C$8,0))</f>
        <v>8259.7800000000007</v>
      </c>
    </row>
    <row r="49" spans="1:10" ht="15">
      <c r="A49" s="21">
        <v>40914</v>
      </c>
      <c r="B49" s="21">
        <v>40909</v>
      </c>
      <c r="C49" s="17">
        <v>49</v>
      </c>
      <c r="D49" s="17" t="s">
        <v>91</v>
      </c>
      <c r="E49" s="14">
        <v>267057.33</v>
      </c>
      <c r="F49" s="14">
        <v>223660.27</v>
      </c>
      <c r="G49" s="14">
        <v>223660.27</v>
      </c>
      <c r="H49" s="22">
        <f>F49*(1+Assumptions!$B$6+IF(D49="Yes",Assumptions!$C$6,0))</f>
        <v>230370.07809999998</v>
      </c>
      <c r="I49" s="22">
        <f>F49*(1+Assumptions!$B$7+IF(D49="Yes",Assumptions!$C$7,0))</f>
        <v>234843.28349999999</v>
      </c>
      <c r="J49" s="22">
        <f>F49*(1+Assumptions!$B$8+IF(D49="Yes",Assumptions!$C$8,0))</f>
        <v>225896.87269999998</v>
      </c>
    </row>
    <row r="50" spans="1:10" ht="15">
      <c r="A50" s="21">
        <v>40914</v>
      </c>
      <c r="B50" s="21">
        <v>40909</v>
      </c>
      <c r="C50" s="17">
        <v>50</v>
      </c>
      <c r="D50" s="17" t="s">
        <v>91</v>
      </c>
      <c r="E50" s="14">
        <v>27112.21</v>
      </c>
      <c r="F50" s="14">
        <v>25945.08</v>
      </c>
      <c r="G50" s="14">
        <v>25945.08</v>
      </c>
      <c r="H50" s="22">
        <f>F50*(1+Assumptions!$B$6+IF(D50="Yes",Assumptions!$C$6,0))</f>
        <v>26723.432400000002</v>
      </c>
      <c r="I50" s="22">
        <f>F50*(1+Assumptions!$B$7+IF(D50="Yes",Assumptions!$C$7,0))</f>
        <v>27242.334000000003</v>
      </c>
      <c r="J50" s="22">
        <f>F50*(1+Assumptions!$B$8+IF(D50="Yes",Assumptions!$C$8,0))</f>
        <v>26204.5308</v>
      </c>
    </row>
    <row r="51" spans="1:10" ht="15">
      <c r="A51" s="21">
        <v>40914</v>
      </c>
      <c r="B51" s="21">
        <v>40909</v>
      </c>
      <c r="C51" s="17">
        <v>51</v>
      </c>
      <c r="D51" s="17" t="s">
        <v>91</v>
      </c>
      <c r="E51" s="14">
        <v>9.9600000000000009</v>
      </c>
      <c r="F51" s="14">
        <v>54.56</v>
      </c>
      <c r="G51" s="14">
        <v>54.56</v>
      </c>
      <c r="H51" s="22">
        <f>F51*(1+Assumptions!$B$6+IF(D51="Yes",Assumptions!$C$6,0))</f>
        <v>56.196800000000003</v>
      </c>
      <c r="I51" s="22">
        <f>F51*(1+Assumptions!$B$7+IF(D51="Yes",Assumptions!$C$7,0))</f>
        <v>57.288000000000004</v>
      </c>
      <c r="J51" s="22">
        <f>F51*(1+Assumptions!$B$8+IF(D51="Yes",Assumptions!$C$8,0))</f>
        <v>55.105600000000003</v>
      </c>
    </row>
    <row r="52" spans="1:10" ht="15">
      <c r="A52" s="21">
        <v>40914</v>
      </c>
      <c r="B52" s="21">
        <v>40909</v>
      </c>
      <c r="C52" s="17">
        <v>52</v>
      </c>
      <c r="D52" s="17" t="s">
        <v>91</v>
      </c>
      <c r="E52" s="14">
        <v>67711.679999999993</v>
      </c>
      <c r="F52" s="14">
        <v>65387.91</v>
      </c>
      <c r="G52" s="14">
        <v>65387.91</v>
      </c>
      <c r="H52" s="22">
        <f>F52*(1+Assumptions!$B$6+IF(D52="Yes",Assumptions!$C$6,0))</f>
        <v>67349.547300000006</v>
      </c>
      <c r="I52" s="22">
        <f>F52*(1+Assumptions!$B$7+IF(D52="Yes",Assumptions!$C$7,0))</f>
        <v>68657.305500000002</v>
      </c>
      <c r="J52" s="22">
        <f>F52*(1+Assumptions!$B$8+IF(D52="Yes",Assumptions!$C$8,0))</f>
        <v>66041.789100000009</v>
      </c>
    </row>
    <row r="53" spans="1:10" ht="15">
      <c r="A53" s="21">
        <v>40914</v>
      </c>
      <c r="B53" s="21">
        <v>40909</v>
      </c>
      <c r="C53" s="17">
        <v>54</v>
      </c>
      <c r="D53" s="17" t="s">
        <v>91</v>
      </c>
      <c r="E53" s="14">
        <v>1242.52</v>
      </c>
      <c r="F53" s="14">
        <v>1967.16</v>
      </c>
      <c r="G53" s="14">
        <v>1967.16</v>
      </c>
      <c r="H53" s="22">
        <f>F53*(1+Assumptions!$B$6+IF(D53="Yes",Assumptions!$C$6,0))</f>
        <v>2026.1748000000002</v>
      </c>
      <c r="I53" s="22">
        <f>F53*(1+Assumptions!$B$7+IF(D53="Yes",Assumptions!$C$7,0))</f>
        <v>2065.518</v>
      </c>
      <c r="J53" s="22">
        <f>F53*(1+Assumptions!$B$8+IF(D53="Yes",Assumptions!$C$8,0))</f>
        <v>1986.8316000000002</v>
      </c>
    </row>
    <row r="54" spans="1:10" ht="15">
      <c r="A54" s="21">
        <v>40914</v>
      </c>
      <c r="B54" s="21">
        <v>40909</v>
      </c>
      <c r="C54" s="17">
        <v>55</v>
      </c>
      <c r="D54" s="17" t="s">
        <v>91</v>
      </c>
      <c r="E54" s="14">
        <v>397126.78</v>
      </c>
      <c r="F54" s="14">
        <v>393128.3</v>
      </c>
      <c r="G54" s="14">
        <v>393128.3</v>
      </c>
      <c r="H54" s="22">
        <f>F54*(1+Assumptions!$B$6+IF(D54="Yes",Assumptions!$C$6,0))</f>
        <v>404922.14899999998</v>
      </c>
      <c r="I54" s="22">
        <f>F54*(1+Assumptions!$B$7+IF(D54="Yes",Assumptions!$C$7,0))</f>
        <v>412784.71500000003</v>
      </c>
      <c r="J54" s="22">
        <f>F54*(1+Assumptions!$B$8+IF(D54="Yes",Assumptions!$C$8,0))</f>
        <v>397059.58299999998</v>
      </c>
    </row>
    <row r="55" spans="1:10" ht="15">
      <c r="A55" s="21">
        <v>40914</v>
      </c>
      <c r="B55" s="21">
        <v>40909</v>
      </c>
      <c r="C55" s="17">
        <v>56</v>
      </c>
      <c r="D55" s="17" t="s">
        <v>91</v>
      </c>
      <c r="E55" s="14">
        <v>12603.87</v>
      </c>
      <c r="F55" s="14">
        <v>12356.9</v>
      </c>
      <c r="G55" s="14">
        <v>12356.9</v>
      </c>
      <c r="H55" s="22">
        <f>F55*(1+Assumptions!$B$6+IF(D55="Yes",Assumptions!$C$6,0))</f>
        <v>12727.607</v>
      </c>
      <c r="I55" s="22">
        <f>F55*(1+Assumptions!$B$7+IF(D55="Yes",Assumptions!$C$7,0))</f>
        <v>12974.745000000001</v>
      </c>
      <c r="J55" s="22">
        <f>F55*(1+Assumptions!$B$8+IF(D55="Yes",Assumptions!$C$8,0))</f>
        <v>12480.468999999999</v>
      </c>
    </row>
    <row r="56" spans="1:10" ht="15">
      <c r="A56" s="21">
        <v>40914</v>
      </c>
      <c r="B56" s="21">
        <v>40909</v>
      </c>
      <c r="C56" s="17">
        <v>58</v>
      </c>
      <c r="D56" s="17" t="s">
        <v>91</v>
      </c>
      <c r="E56" s="14">
        <v>90527.5</v>
      </c>
      <c r="F56" s="14">
        <v>96327.5</v>
      </c>
      <c r="G56" s="14">
        <v>96327.5</v>
      </c>
      <c r="H56" s="22">
        <f>F56*(1+Assumptions!$B$6+IF(D56="Yes",Assumptions!$C$6,0))</f>
        <v>99217.324999999997</v>
      </c>
      <c r="I56" s="22">
        <f>F56*(1+Assumptions!$B$7+IF(D56="Yes",Assumptions!$C$7,0))</f>
        <v>101143.875</v>
      </c>
      <c r="J56" s="22">
        <f>F56*(1+Assumptions!$B$8+IF(D56="Yes",Assumptions!$C$8,0))</f>
        <v>97290.774999999994</v>
      </c>
    </row>
    <row r="57" spans="1:10" ht="15">
      <c r="A57" s="21">
        <v>40914</v>
      </c>
      <c r="B57" s="21">
        <v>40909</v>
      </c>
      <c r="C57" s="17">
        <v>59</v>
      </c>
      <c r="D57" s="17" t="s">
        <v>91</v>
      </c>
      <c r="E57" s="14">
        <v>25091.8</v>
      </c>
      <c r="F57" s="14">
        <v>57031.39</v>
      </c>
      <c r="G57" s="14">
        <v>57031.39</v>
      </c>
      <c r="H57" s="22">
        <f>F57*(1+Assumptions!$B$6+IF(D57="Yes",Assumptions!$C$6,0))</f>
        <v>58742.331700000002</v>
      </c>
      <c r="I57" s="22">
        <f>F57*(1+Assumptions!$B$7+IF(D57="Yes",Assumptions!$C$7,0))</f>
        <v>59882.959500000004</v>
      </c>
      <c r="J57" s="22">
        <f>F57*(1+Assumptions!$B$8+IF(D57="Yes",Assumptions!$C$8,0))</f>
        <v>57601.7039</v>
      </c>
    </row>
    <row r="58" spans="1:10" ht="15">
      <c r="A58" s="21">
        <v>40914</v>
      </c>
      <c r="B58" s="21">
        <v>40909</v>
      </c>
      <c r="C58" s="17">
        <v>60</v>
      </c>
      <c r="D58" s="17" t="s">
        <v>91</v>
      </c>
      <c r="E58" s="14">
        <v>15180</v>
      </c>
      <c r="F58" s="14">
        <v>14090.4</v>
      </c>
      <c r="G58" s="14">
        <v>14090.4</v>
      </c>
      <c r="H58" s="22">
        <f>F58*(1+Assumptions!$B$6+IF(D58="Yes",Assumptions!$C$6,0))</f>
        <v>14513.111999999999</v>
      </c>
      <c r="I58" s="22">
        <f>F58*(1+Assumptions!$B$7+IF(D58="Yes",Assumptions!$C$7,0))</f>
        <v>14794.92</v>
      </c>
      <c r="J58" s="22">
        <f>F58*(1+Assumptions!$B$8+IF(D58="Yes",Assumptions!$C$8,0))</f>
        <v>14231.304</v>
      </c>
    </row>
    <row r="59" spans="1:10" ht="15">
      <c r="A59" s="21">
        <v>40914</v>
      </c>
      <c r="B59" s="21">
        <v>40909</v>
      </c>
      <c r="C59" s="17">
        <v>65</v>
      </c>
      <c r="D59" s="17" t="s">
        <v>91</v>
      </c>
      <c r="E59" s="14">
        <v>36434.78</v>
      </c>
      <c r="F59" s="14">
        <v>48050.61</v>
      </c>
      <c r="G59" s="14">
        <v>48050.61</v>
      </c>
      <c r="H59" s="22">
        <f>F59*(1+Assumptions!$B$6+IF(D59="Yes",Assumptions!$C$6,0))</f>
        <v>49492.128300000004</v>
      </c>
      <c r="I59" s="22">
        <f>F59*(1+Assumptions!$B$7+IF(D59="Yes",Assumptions!$C$7,0))</f>
        <v>50453.140500000001</v>
      </c>
      <c r="J59" s="22">
        <f>F59*(1+Assumptions!$B$8+IF(D59="Yes",Assumptions!$C$8,0))</f>
        <v>48531.116099999999</v>
      </c>
    </row>
    <row r="60" spans="1:10" ht="15">
      <c r="A60" s="21">
        <v>40914</v>
      </c>
      <c r="B60" s="21">
        <v>40909</v>
      </c>
      <c r="C60" s="17">
        <v>67</v>
      </c>
      <c r="D60" s="17" t="s">
        <v>91</v>
      </c>
      <c r="E60" s="14">
        <v>229031.13</v>
      </c>
      <c r="F60" s="14">
        <v>190323.94</v>
      </c>
      <c r="G60" s="14">
        <v>190323.94</v>
      </c>
      <c r="H60" s="22">
        <f>F60*(1+Assumptions!$B$6+IF(D60="Yes",Assumptions!$C$6,0))</f>
        <v>196033.65820000001</v>
      </c>
      <c r="I60" s="22">
        <f>F60*(1+Assumptions!$B$7+IF(D60="Yes",Assumptions!$C$7,0))</f>
        <v>199840.13700000002</v>
      </c>
      <c r="J60" s="22">
        <f>F60*(1+Assumptions!$B$8+IF(D60="Yes",Assumptions!$C$8,0))</f>
        <v>192227.17939999999</v>
      </c>
    </row>
    <row r="61" spans="1:10" ht="15">
      <c r="A61" s="21">
        <v>40914</v>
      </c>
      <c r="B61" s="21">
        <v>40909</v>
      </c>
      <c r="C61" s="17">
        <v>71</v>
      </c>
      <c r="D61" s="17" t="s">
        <v>91</v>
      </c>
      <c r="E61" s="14">
        <v>197473.16</v>
      </c>
      <c r="F61" s="14">
        <v>187812.12</v>
      </c>
      <c r="G61" s="14">
        <v>187812.12</v>
      </c>
      <c r="H61" s="22">
        <f>F61*(1+Assumptions!$B$6+IF(D61="Yes",Assumptions!$C$6,0))</f>
        <v>193446.48360000001</v>
      </c>
      <c r="I61" s="22">
        <f>F61*(1+Assumptions!$B$7+IF(D61="Yes",Assumptions!$C$7,0))</f>
        <v>197202.726</v>
      </c>
      <c r="J61" s="22">
        <f>F61*(1+Assumptions!$B$8+IF(D61="Yes",Assumptions!$C$8,0))</f>
        <v>189690.24119999999</v>
      </c>
    </row>
    <row r="62" spans="1:10" ht="15">
      <c r="A62" s="21">
        <v>40914</v>
      </c>
      <c r="B62" s="21">
        <v>40909</v>
      </c>
      <c r="C62" s="17">
        <v>72</v>
      </c>
      <c r="D62" s="17" t="s">
        <v>91</v>
      </c>
      <c r="E62" s="14">
        <v>1767184.08</v>
      </c>
      <c r="F62" s="14">
        <v>1868602.79</v>
      </c>
      <c r="G62" s="14">
        <v>1868602.79</v>
      </c>
      <c r="H62" s="22">
        <f>F62*(1+Assumptions!$B$6+IF(D62="Yes",Assumptions!$C$6,0))</f>
        <v>1924660.8737000001</v>
      </c>
      <c r="I62" s="22">
        <f>F62*(1+Assumptions!$B$7+IF(D62="Yes",Assumptions!$C$7,0))</f>
        <v>1962032.9295000001</v>
      </c>
      <c r="J62" s="22">
        <f>F62*(1+Assumptions!$B$8+IF(D62="Yes",Assumptions!$C$8,0))</f>
        <v>1887288.8179000001</v>
      </c>
    </row>
    <row r="63" spans="1:10" ht="15">
      <c r="A63" s="21">
        <v>40914</v>
      </c>
      <c r="B63" s="21">
        <v>40909</v>
      </c>
      <c r="C63" s="17">
        <v>74</v>
      </c>
      <c r="D63" s="17" t="s">
        <v>91</v>
      </c>
      <c r="E63" s="14">
        <v>789062.2</v>
      </c>
      <c r="F63" s="14">
        <v>782337.32</v>
      </c>
      <c r="G63" s="14">
        <v>782337.32</v>
      </c>
      <c r="H63" s="22">
        <f>F63*(1+Assumptions!$B$6+IF(D63="Yes",Assumptions!$C$6,0))</f>
        <v>805807.43959999993</v>
      </c>
      <c r="I63" s="22">
        <f>F63*(1+Assumptions!$B$7+IF(D63="Yes",Assumptions!$C$7,0))</f>
        <v>821454.18599999999</v>
      </c>
      <c r="J63" s="22">
        <f>F63*(1+Assumptions!$B$8+IF(D63="Yes",Assumptions!$C$8,0))</f>
        <v>790160.69319999998</v>
      </c>
    </row>
    <row r="64" spans="1:10" ht="15">
      <c r="A64" s="21">
        <v>40914</v>
      </c>
      <c r="B64" s="21">
        <v>40909</v>
      </c>
      <c r="C64" s="17">
        <v>79</v>
      </c>
      <c r="D64" s="17" t="s">
        <v>91</v>
      </c>
      <c r="E64" s="14">
        <v>984577.80999999994</v>
      </c>
      <c r="F64" s="14">
        <v>966014.02</v>
      </c>
      <c r="G64" s="14">
        <v>966014.02</v>
      </c>
      <c r="H64" s="22">
        <f>F64*(1+Assumptions!$B$6+IF(D64="Yes",Assumptions!$C$6,0))</f>
        <v>994994.44060000009</v>
      </c>
      <c r="I64" s="22">
        <f>F64*(1+Assumptions!$B$7+IF(D64="Yes",Assumptions!$C$7,0))</f>
        <v>1014314.721</v>
      </c>
      <c r="J64" s="22">
        <f>F64*(1+Assumptions!$B$8+IF(D64="Yes",Assumptions!$C$8,0))</f>
        <v>975674.16020000004</v>
      </c>
    </row>
    <row r="65" spans="1:10" ht="15">
      <c r="A65" s="21">
        <v>40914</v>
      </c>
      <c r="B65" s="21">
        <v>40909</v>
      </c>
      <c r="C65" s="17">
        <v>80</v>
      </c>
      <c r="D65" s="17" t="s">
        <v>91</v>
      </c>
      <c r="E65" s="14">
        <v>518029.58999999997</v>
      </c>
      <c r="F65" s="14">
        <v>475495.62</v>
      </c>
      <c r="G65" s="14">
        <v>475495.62</v>
      </c>
      <c r="H65" s="22">
        <f>F65*(1+Assumptions!$B$6+IF(D65="Yes",Assumptions!$C$6,0))</f>
        <v>489760.48859999998</v>
      </c>
      <c r="I65" s="22">
        <f>F65*(1+Assumptions!$B$7+IF(D65="Yes",Assumptions!$C$7,0))</f>
        <v>499270.40100000001</v>
      </c>
      <c r="J65" s="22">
        <f>F65*(1+Assumptions!$B$8+IF(D65="Yes",Assumptions!$C$8,0))</f>
        <v>480250.57620000001</v>
      </c>
    </row>
    <row r="66" spans="1:10" ht="15">
      <c r="A66" s="21">
        <v>40914</v>
      </c>
      <c r="B66" s="21">
        <v>40909</v>
      </c>
      <c r="C66" s="17">
        <v>81</v>
      </c>
      <c r="D66" s="17" t="s">
        <v>91</v>
      </c>
      <c r="E66" s="14">
        <v>702660.97</v>
      </c>
      <c r="F66" s="14">
        <v>682534.5</v>
      </c>
      <c r="G66" s="14">
        <v>682534.5</v>
      </c>
      <c r="H66" s="22">
        <f>F66*(1+Assumptions!$B$6+IF(D66="Yes",Assumptions!$C$6,0))</f>
        <v>703010.53500000003</v>
      </c>
      <c r="I66" s="22">
        <f>F66*(1+Assumptions!$B$7+IF(D66="Yes",Assumptions!$C$7,0))</f>
        <v>716661.22499999998</v>
      </c>
      <c r="J66" s="22">
        <f>F66*(1+Assumptions!$B$8+IF(D66="Yes",Assumptions!$C$8,0))</f>
        <v>689359.84499999997</v>
      </c>
    </row>
    <row r="67" spans="1:10" ht="15">
      <c r="A67" s="21">
        <v>40914</v>
      </c>
      <c r="B67" s="21">
        <v>40909</v>
      </c>
      <c r="C67" s="17">
        <v>82</v>
      </c>
      <c r="D67" s="17" t="s">
        <v>91</v>
      </c>
      <c r="E67" s="14">
        <v>667421.93999999994</v>
      </c>
      <c r="F67" s="14">
        <v>584686.61</v>
      </c>
      <c r="G67" s="14">
        <v>584686.61</v>
      </c>
      <c r="H67" s="22">
        <f>F67*(1+Assumptions!$B$6+IF(D67="Yes",Assumptions!$C$6,0))</f>
        <v>602227.20830000006</v>
      </c>
      <c r="I67" s="22">
        <f>F67*(1+Assumptions!$B$7+IF(D67="Yes",Assumptions!$C$7,0))</f>
        <v>613920.94050000003</v>
      </c>
      <c r="J67" s="22">
        <f>F67*(1+Assumptions!$B$8+IF(D67="Yes",Assumptions!$C$8,0))</f>
        <v>590533.47609999997</v>
      </c>
    </row>
    <row r="68" spans="1:10" ht="15">
      <c r="A68" s="21">
        <v>40914</v>
      </c>
      <c r="B68" s="21">
        <v>40909</v>
      </c>
      <c r="C68" s="17">
        <v>83</v>
      </c>
      <c r="D68" s="17" t="s">
        <v>91</v>
      </c>
      <c r="E68" s="14">
        <v>175381.72</v>
      </c>
      <c r="F68" s="14">
        <v>160700.1</v>
      </c>
      <c r="G68" s="14">
        <v>160700.1</v>
      </c>
      <c r="H68" s="22">
        <f>F68*(1+Assumptions!$B$6+IF(D68="Yes",Assumptions!$C$6,0))</f>
        <v>165521.103</v>
      </c>
      <c r="I68" s="22">
        <f>F68*(1+Assumptions!$B$7+IF(D68="Yes",Assumptions!$C$7,0))</f>
        <v>168735.10500000001</v>
      </c>
      <c r="J68" s="22">
        <f>F68*(1+Assumptions!$B$8+IF(D68="Yes",Assumptions!$C$8,0))</f>
        <v>162307.101</v>
      </c>
    </row>
    <row r="69" spans="1:10" ht="15">
      <c r="A69" s="21">
        <v>40914</v>
      </c>
      <c r="B69" s="21">
        <v>40909</v>
      </c>
      <c r="C69" s="17">
        <v>85</v>
      </c>
      <c r="D69" s="17" t="s">
        <v>91</v>
      </c>
      <c r="E69" s="14">
        <v>83590.02</v>
      </c>
      <c r="F69" s="14">
        <v>87196.29</v>
      </c>
      <c r="G69" s="14">
        <v>87196.29</v>
      </c>
      <c r="H69" s="22">
        <f>F69*(1+Assumptions!$B$6+IF(D69="Yes",Assumptions!$C$6,0))</f>
        <v>89812.178699999989</v>
      </c>
      <c r="I69" s="22">
        <f>F69*(1+Assumptions!$B$7+IF(D69="Yes",Assumptions!$C$7,0))</f>
        <v>91556.104500000001</v>
      </c>
      <c r="J69" s="22">
        <f>F69*(1+Assumptions!$B$8+IF(D69="Yes",Assumptions!$C$8,0))</f>
        <v>88068.252899999992</v>
      </c>
    </row>
    <row r="70" spans="1:10" ht="15">
      <c r="A70" s="21">
        <v>40914</v>
      </c>
      <c r="B70" s="21">
        <v>40909</v>
      </c>
      <c r="C70" s="17">
        <v>87</v>
      </c>
      <c r="D70" s="17" t="s">
        <v>91</v>
      </c>
      <c r="E70" s="14">
        <v>669490.28</v>
      </c>
      <c r="F70" s="14">
        <v>565533.53</v>
      </c>
      <c r="G70" s="14">
        <v>565533.53</v>
      </c>
      <c r="H70" s="22">
        <f>F70*(1+Assumptions!$B$6+IF(D70="Yes",Assumptions!$C$6,0))</f>
        <v>582499.53590000002</v>
      </c>
      <c r="I70" s="22">
        <f>F70*(1+Assumptions!$B$7+IF(D70="Yes",Assumptions!$C$7,0))</f>
        <v>593810.20650000009</v>
      </c>
      <c r="J70" s="22">
        <f>F70*(1+Assumptions!$B$8+IF(D70="Yes",Assumptions!$C$8,0))</f>
        <v>571188.86530000006</v>
      </c>
    </row>
    <row r="71" spans="1:10" ht="15">
      <c r="A71" s="21">
        <v>40914</v>
      </c>
      <c r="B71" s="21">
        <v>40909</v>
      </c>
      <c r="C71" s="17">
        <v>90</v>
      </c>
      <c r="D71" s="17" t="s">
        <v>91</v>
      </c>
      <c r="E71" s="14">
        <v>2274279.86</v>
      </c>
      <c r="F71" s="14">
        <v>2042736.51</v>
      </c>
      <c r="G71" s="14">
        <v>2042736.51</v>
      </c>
      <c r="H71" s="22">
        <f>F71*(1+Assumptions!$B$6+IF(D71="Yes",Assumptions!$C$6,0))</f>
        <v>2104018.6052999999</v>
      </c>
      <c r="I71" s="22">
        <f>F71*(1+Assumptions!$B$7+IF(D71="Yes",Assumptions!$C$7,0))</f>
        <v>2144873.3355</v>
      </c>
      <c r="J71" s="22">
        <f>F71*(1+Assumptions!$B$8+IF(D71="Yes",Assumptions!$C$8,0))</f>
        <v>2063163.8751000001</v>
      </c>
    </row>
    <row r="72" spans="1:10" ht="15">
      <c r="A72" s="21">
        <v>40914</v>
      </c>
      <c r="B72" s="21">
        <v>40909</v>
      </c>
      <c r="C72" s="17">
        <v>91</v>
      </c>
      <c r="D72" s="17" t="s">
        <v>91</v>
      </c>
      <c r="E72" s="14">
        <v>1682066.92</v>
      </c>
      <c r="F72" s="14">
        <v>1647214.24</v>
      </c>
      <c r="G72" s="14">
        <v>1647214.24</v>
      </c>
      <c r="H72" s="22">
        <f>F72*(1+Assumptions!$B$6+IF(D72="Yes",Assumptions!$C$6,0))</f>
        <v>1696630.6672</v>
      </c>
      <c r="I72" s="22">
        <f>F72*(1+Assumptions!$B$7+IF(D72="Yes",Assumptions!$C$7,0))</f>
        <v>1729574.952</v>
      </c>
      <c r="J72" s="22">
        <f>F72*(1+Assumptions!$B$8+IF(D72="Yes",Assumptions!$C$8,0))</f>
        <v>1663686.3824</v>
      </c>
    </row>
    <row r="73" spans="1:10" ht="15">
      <c r="A73" s="21">
        <v>40914</v>
      </c>
      <c r="B73" s="21">
        <v>40909</v>
      </c>
      <c r="C73" s="17">
        <v>92</v>
      </c>
      <c r="D73" s="17" t="s">
        <v>91</v>
      </c>
      <c r="E73" s="14">
        <v>3862416.79</v>
      </c>
      <c r="F73" s="14">
        <v>3536572.41</v>
      </c>
      <c r="G73" s="14">
        <v>3536572.41</v>
      </c>
      <c r="H73" s="22">
        <f>F73*(1+Assumptions!$B$6+IF(D73="Yes",Assumptions!$C$6,0))</f>
        <v>3642669.5823000004</v>
      </c>
      <c r="I73" s="22">
        <f>F73*(1+Assumptions!$B$7+IF(D73="Yes",Assumptions!$C$7,0))</f>
        <v>3713401.0305000003</v>
      </c>
      <c r="J73" s="22">
        <f>F73*(1+Assumptions!$B$8+IF(D73="Yes",Assumptions!$C$8,0))</f>
        <v>3571938.1341000004</v>
      </c>
    </row>
    <row r="74" spans="1:10" ht="15">
      <c r="A74" s="21">
        <v>40914</v>
      </c>
      <c r="B74" s="21">
        <v>40909</v>
      </c>
      <c r="C74" s="17">
        <v>93</v>
      </c>
      <c r="D74" s="17" t="s">
        <v>91</v>
      </c>
      <c r="E74" s="14">
        <v>1225825.24</v>
      </c>
      <c r="F74" s="14">
        <v>1143958.05</v>
      </c>
      <c r="G74" s="14">
        <v>1143958.05</v>
      </c>
      <c r="H74" s="22">
        <f>F74*(1+Assumptions!$B$6+IF(D74="Yes",Assumptions!$C$6,0))</f>
        <v>1178276.7915000001</v>
      </c>
      <c r="I74" s="22">
        <f>F74*(1+Assumptions!$B$7+IF(D74="Yes",Assumptions!$C$7,0))</f>
        <v>1201155.9525000001</v>
      </c>
      <c r="J74" s="22">
        <f>F74*(1+Assumptions!$B$8+IF(D74="Yes",Assumptions!$C$8,0))</f>
        <v>1155397.6305</v>
      </c>
    </row>
    <row r="75" spans="1:10" ht="15">
      <c r="A75" s="21">
        <v>40914</v>
      </c>
      <c r="B75" s="21">
        <v>40909</v>
      </c>
      <c r="C75" s="17">
        <v>94</v>
      </c>
      <c r="D75" s="17" t="s">
        <v>91</v>
      </c>
      <c r="E75" s="14">
        <v>1283556.23</v>
      </c>
      <c r="F75" s="14">
        <v>1174046.83</v>
      </c>
      <c r="G75" s="14">
        <v>1174046.83</v>
      </c>
      <c r="H75" s="22">
        <f>F75*(1+Assumptions!$B$6+IF(D75="Yes",Assumptions!$C$6,0))</f>
        <v>1209268.2349</v>
      </c>
      <c r="I75" s="22">
        <f>F75*(1+Assumptions!$B$7+IF(D75="Yes",Assumptions!$C$7,0))</f>
        <v>1232749.1715000002</v>
      </c>
      <c r="J75" s="22">
        <f>F75*(1+Assumptions!$B$8+IF(D75="Yes",Assumptions!$C$8,0))</f>
        <v>1185787.2983000001</v>
      </c>
    </row>
    <row r="76" spans="1:10" ht="15">
      <c r="A76" s="21">
        <v>40914</v>
      </c>
      <c r="B76" s="21">
        <v>40909</v>
      </c>
      <c r="C76" s="17">
        <v>95</v>
      </c>
      <c r="D76" s="17" t="s">
        <v>91</v>
      </c>
      <c r="E76" s="14">
        <v>3059249.38</v>
      </c>
      <c r="F76" s="14">
        <v>2777088.58</v>
      </c>
      <c r="G76" s="14">
        <v>2777088.58</v>
      </c>
      <c r="H76" s="22">
        <f>F76*(1+Assumptions!$B$6+IF(D76="Yes",Assumptions!$C$6,0))</f>
        <v>2860401.2374</v>
      </c>
      <c r="I76" s="22">
        <f>F76*(1+Assumptions!$B$7+IF(D76="Yes",Assumptions!$C$7,0))</f>
        <v>2915943.0090000001</v>
      </c>
      <c r="J76" s="22">
        <f>F76*(1+Assumptions!$B$8+IF(D76="Yes",Assumptions!$C$8,0))</f>
        <v>2804859.4657999999</v>
      </c>
    </row>
    <row r="77" spans="1:10" ht="15">
      <c r="A77" s="21">
        <v>40914</v>
      </c>
      <c r="B77" s="21">
        <v>40909</v>
      </c>
      <c r="C77" s="17">
        <v>96</v>
      </c>
      <c r="D77" s="17" t="s">
        <v>91</v>
      </c>
      <c r="E77" s="14">
        <v>562703.15</v>
      </c>
      <c r="F77" s="14">
        <v>346627.14</v>
      </c>
      <c r="G77" s="14">
        <v>346627.14</v>
      </c>
      <c r="H77" s="22">
        <f>F77*(1+Assumptions!$B$6+IF(D77="Yes",Assumptions!$C$6,0))</f>
        <v>357025.95420000004</v>
      </c>
      <c r="I77" s="22">
        <f>F77*(1+Assumptions!$B$7+IF(D77="Yes",Assumptions!$C$7,0))</f>
        <v>363958.49700000003</v>
      </c>
      <c r="J77" s="22">
        <f>F77*(1+Assumptions!$B$8+IF(D77="Yes",Assumptions!$C$8,0))</f>
        <v>350093.41140000004</v>
      </c>
    </row>
    <row r="78" spans="1:10" ht="15">
      <c r="A78" s="21">
        <v>40914</v>
      </c>
      <c r="B78" s="21">
        <v>40909</v>
      </c>
      <c r="C78" s="17">
        <v>97</v>
      </c>
      <c r="D78" s="17" t="s">
        <v>91</v>
      </c>
      <c r="E78" s="14">
        <v>684567.42</v>
      </c>
      <c r="F78" s="14">
        <v>635313.12</v>
      </c>
      <c r="G78" s="14">
        <v>635313.12</v>
      </c>
      <c r="H78" s="22">
        <f>F78*(1+Assumptions!$B$6+IF(D78="Yes",Assumptions!$C$6,0))</f>
        <v>654372.51360000006</v>
      </c>
      <c r="I78" s="22">
        <f>F78*(1+Assumptions!$B$7+IF(D78="Yes",Assumptions!$C$7,0))</f>
        <v>667078.77600000007</v>
      </c>
      <c r="J78" s="22">
        <f>F78*(1+Assumptions!$B$8+IF(D78="Yes",Assumptions!$C$8,0))</f>
        <v>641666.25120000006</v>
      </c>
    </row>
    <row r="79" spans="1:10" ht="15">
      <c r="A79" s="21">
        <v>40914</v>
      </c>
      <c r="B79" s="21">
        <v>40909</v>
      </c>
      <c r="C79" s="17">
        <v>98</v>
      </c>
      <c r="D79" s="17" t="s">
        <v>91</v>
      </c>
      <c r="E79" s="14">
        <v>261434.08000000002</v>
      </c>
      <c r="F79" s="14">
        <v>234749.87</v>
      </c>
      <c r="G79" s="14">
        <v>234749.87</v>
      </c>
      <c r="H79" s="22">
        <f>F79*(1+Assumptions!$B$6+IF(D79="Yes",Assumptions!$C$6,0))</f>
        <v>241792.36610000001</v>
      </c>
      <c r="I79" s="22">
        <f>F79*(1+Assumptions!$B$7+IF(D79="Yes",Assumptions!$C$7,0))</f>
        <v>246487.36350000001</v>
      </c>
      <c r="J79" s="22">
        <f>F79*(1+Assumptions!$B$8+IF(D79="Yes",Assumptions!$C$8,0))</f>
        <v>237097.36869999999</v>
      </c>
    </row>
    <row r="80" spans="1:10" ht="15">
      <c r="A80" s="21">
        <v>40921</v>
      </c>
      <c r="B80" s="21">
        <v>40909</v>
      </c>
      <c r="C80" s="17">
        <v>1</v>
      </c>
      <c r="D80" s="17" t="s">
        <v>91</v>
      </c>
      <c r="E80" s="14">
        <v>613081.71</v>
      </c>
      <c r="F80" s="14">
        <v>572892.56999999995</v>
      </c>
      <c r="G80" s="14">
        <v>572892.56999999995</v>
      </c>
      <c r="H80" s="22">
        <f>F80*(1+Assumptions!$B$6+IF(D80="Yes",Assumptions!$C$6,0))</f>
        <v>590079.34710000001</v>
      </c>
      <c r="I80" s="22">
        <f>F80*(1+Assumptions!$B$7+IF(D80="Yes",Assumptions!$C$7,0))</f>
        <v>601537.19849999994</v>
      </c>
      <c r="J80" s="22">
        <f>F80*(1+Assumptions!$B$8+IF(D80="Yes",Assumptions!$C$8,0))</f>
        <v>578621.49569999997</v>
      </c>
    </row>
    <row r="81" spans="1:10" ht="15">
      <c r="A81" s="21">
        <v>40921</v>
      </c>
      <c r="B81" s="21">
        <v>40909</v>
      </c>
      <c r="C81" s="17">
        <v>2</v>
      </c>
      <c r="D81" s="17" t="s">
        <v>91</v>
      </c>
      <c r="E81" s="14">
        <v>1852848.92</v>
      </c>
      <c r="F81" s="14">
        <v>1701879.1</v>
      </c>
      <c r="G81" s="14">
        <v>1701879.1</v>
      </c>
      <c r="H81" s="22">
        <f>F81*(1+Assumptions!$B$6+IF(D81="Yes",Assumptions!$C$6,0))</f>
        <v>1752935.4730000002</v>
      </c>
      <c r="I81" s="22">
        <f>F81*(1+Assumptions!$B$7+IF(D81="Yes",Assumptions!$C$7,0))</f>
        <v>1786973.0550000002</v>
      </c>
      <c r="J81" s="22">
        <f>F81*(1+Assumptions!$B$8+IF(D81="Yes",Assumptions!$C$8,0))</f>
        <v>1718897.8910000001</v>
      </c>
    </row>
    <row r="82" spans="1:10" ht="15">
      <c r="A82" s="21">
        <v>40921</v>
      </c>
      <c r="B82" s="21">
        <v>40909</v>
      </c>
      <c r="C82" s="17">
        <v>3</v>
      </c>
      <c r="D82" s="17" t="s">
        <v>91</v>
      </c>
      <c r="E82" s="14">
        <v>499755.66</v>
      </c>
      <c r="F82" s="14">
        <v>475195.58</v>
      </c>
      <c r="G82" s="14">
        <v>475195.58</v>
      </c>
      <c r="H82" s="22">
        <f>F82*(1+Assumptions!$B$6+IF(D82="Yes",Assumptions!$C$6,0))</f>
        <v>489451.4474</v>
      </c>
      <c r="I82" s="22">
        <f>F82*(1+Assumptions!$B$7+IF(D82="Yes",Assumptions!$C$7,0))</f>
        <v>498955.35900000005</v>
      </c>
      <c r="J82" s="22">
        <f>F82*(1+Assumptions!$B$8+IF(D82="Yes",Assumptions!$C$8,0))</f>
        <v>479947.53580000001</v>
      </c>
    </row>
    <row r="83" spans="1:10" ht="15">
      <c r="A83" s="21">
        <v>40921</v>
      </c>
      <c r="B83" s="21">
        <v>40909</v>
      </c>
      <c r="C83" s="17">
        <v>4</v>
      </c>
      <c r="D83" s="17" t="s">
        <v>91</v>
      </c>
      <c r="E83" s="14">
        <v>1148915.8999999999</v>
      </c>
      <c r="F83" s="14">
        <v>1112880.72</v>
      </c>
      <c r="G83" s="14">
        <v>1112880.72</v>
      </c>
      <c r="H83" s="22">
        <f>F83*(1+Assumptions!$B$6+IF(D83="Yes",Assumptions!$C$6,0))</f>
        <v>1146267.1416</v>
      </c>
      <c r="I83" s="22">
        <f>F83*(1+Assumptions!$B$7+IF(D83="Yes",Assumptions!$C$7,0))</f>
        <v>1168524.7560000001</v>
      </c>
      <c r="J83" s="22">
        <f>F83*(1+Assumptions!$B$8+IF(D83="Yes",Assumptions!$C$8,0))</f>
        <v>1124009.5271999999</v>
      </c>
    </row>
    <row r="84" spans="1:10" ht="15">
      <c r="A84" s="21">
        <v>40921</v>
      </c>
      <c r="B84" s="21">
        <v>40909</v>
      </c>
      <c r="C84" s="17">
        <v>5</v>
      </c>
      <c r="D84" s="17" t="s">
        <v>91</v>
      </c>
      <c r="E84" s="14">
        <v>673692.03</v>
      </c>
      <c r="F84" s="14">
        <v>732213.27</v>
      </c>
      <c r="G84" s="14">
        <v>732213.27</v>
      </c>
      <c r="H84" s="22">
        <f>F84*(1+Assumptions!$B$6+IF(D84="Yes",Assumptions!$C$6,0))</f>
        <v>754179.66810000001</v>
      </c>
      <c r="I84" s="22">
        <f>F84*(1+Assumptions!$B$7+IF(D84="Yes",Assumptions!$C$7,0))</f>
        <v>768823.93350000004</v>
      </c>
      <c r="J84" s="22">
        <f>F84*(1+Assumptions!$B$8+IF(D84="Yes",Assumptions!$C$8,0))</f>
        <v>739535.40269999998</v>
      </c>
    </row>
    <row r="85" spans="1:10" ht="15">
      <c r="A85" s="21">
        <v>40921</v>
      </c>
      <c r="B85" s="21">
        <v>40909</v>
      </c>
      <c r="C85" s="17">
        <v>6</v>
      </c>
      <c r="D85" s="17" t="s">
        <v>91</v>
      </c>
      <c r="E85" s="14">
        <v>92117.58</v>
      </c>
      <c r="F85" s="14">
        <v>110006.58</v>
      </c>
      <c r="G85" s="14">
        <v>110006.58</v>
      </c>
      <c r="H85" s="22">
        <f>F85*(1+Assumptions!$B$6+IF(D85="Yes",Assumptions!$C$6,0))</f>
        <v>113306.77740000001</v>
      </c>
      <c r="I85" s="22">
        <f>F85*(1+Assumptions!$B$7+IF(D85="Yes",Assumptions!$C$7,0))</f>
        <v>115506.909</v>
      </c>
      <c r="J85" s="22">
        <f>F85*(1+Assumptions!$B$8+IF(D85="Yes",Assumptions!$C$8,0))</f>
        <v>111106.6458</v>
      </c>
    </row>
    <row r="86" spans="1:10" ht="15">
      <c r="A86" s="21">
        <v>40921</v>
      </c>
      <c r="B86" s="21">
        <v>40909</v>
      </c>
      <c r="C86" s="17">
        <v>7</v>
      </c>
      <c r="D86" s="17" t="s">
        <v>91</v>
      </c>
      <c r="E86" s="14">
        <v>463141.69</v>
      </c>
      <c r="F86" s="14">
        <v>485350.57</v>
      </c>
      <c r="G86" s="14">
        <v>485350.57</v>
      </c>
      <c r="H86" s="22">
        <f>F86*(1+Assumptions!$B$6+IF(D86="Yes",Assumptions!$C$6,0))</f>
        <v>499911.0871</v>
      </c>
      <c r="I86" s="22">
        <f>F86*(1+Assumptions!$B$7+IF(D86="Yes",Assumptions!$C$7,0))</f>
        <v>509618.09850000002</v>
      </c>
      <c r="J86" s="22">
        <f>F86*(1+Assumptions!$B$8+IF(D86="Yes",Assumptions!$C$8,0))</f>
        <v>490204.07569999999</v>
      </c>
    </row>
    <row r="87" spans="1:10" ht="15">
      <c r="A87" s="21">
        <v>40921</v>
      </c>
      <c r="B87" s="21">
        <v>40909</v>
      </c>
      <c r="C87" s="17">
        <v>8</v>
      </c>
      <c r="D87" s="17" t="s">
        <v>91</v>
      </c>
      <c r="E87" s="14">
        <v>1289438.3799999999</v>
      </c>
      <c r="F87" s="14">
        <v>1295871.1100000001</v>
      </c>
      <c r="G87" s="14">
        <v>1295871.1100000001</v>
      </c>
      <c r="H87" s="22">
        <f>F87*(1+Assumptions!$B$6+IF(D87="Yes",Assumptions!$C$6,0))</f>
        <v>1334747.2433000002</v>
      </c>
      <c r="I87" s="22">
        <f>F87*(1+Assumptions!$B$7+IF(D87="Yes",Assumptions!$C$7,0))</f>
        <v>1360664.6655000001</v>
      </c>
      <c r="J87" s="22">
        <f>F87*(1+Assumptions!$B$8+IF(D87="Yes",Assumptions!$C$8,0))</f>
        <v>1308829.8211000001</v>
      </c>
    </row>
    <row r="88" spans="1:10" ht="15">
      <c r="A88" s="21">
        <v>40921</v>
      </c>
      <c r="B88" s="21">
        <v>40909</v>
      </c>
      <c r="C88" s="17">
        <v>9</v>
      </c>
      <c r="D88" s="17" t="s">
        <v>91</v>
      </c>
      <c r="E88" s="14">
        <v>494902.54</v>
      </c>
      <c r="F88" s="14">
        <v>455223.78</v>
      </c>
      <c r="G88" s="14">
        <v>455223.78</v>
      </c>
      <c r="H88" s="22">
        <f>F88*(1+Assumptions!$B$6+IF(D88="Yes",Assumptions!$C$6,0))</f>
        <v>468880.49340000004</v>
      </c>
      <c r="I88" s="22">
        <f>F88*(1+Assumptions!$B$7+IF(D88="Yes",Assumptions!$C$7,0))</f>
        <v>477984.96900000004</v>
      </c>
      <c r="J88" s="22">
        <f>F88*(1+Assumptions!$B$8+IF(D88="Yes",Assumptions!$C$8,0))</f>
        <v>459776.01780000003</v>
      </c>
    </row>
    <row r="89" spans="1:10" ht="15">
      <c r="A89" s="21">
        <v>40921</v>
      </c>
      <c r="B89" s="21">
        <v>40909</v>
      </c>
      <c r="C89" s="17">
        <v>10</v>
      </c>
      <c r="D89" s="17" t="s">
        <v>91</v>
      </c>
      <c r="E89" s="14">
        <v>682862.8</v>
      </c>
      <c r="F89" s="14">
        <v>723695.03</v>
      </c>
      <c r="G89" s="14">
        <v>723695.03</v>
      </c>
      <c r="H89" s="22">
        <f>F89*(1+Assumptions!$B$6+IF(D89="Yes",Assumptions!$C$6,0))</f>
        <v>745405.88090000011</v>
      </c>
      <c r="I89" s="22">
        <f>F89*(1+Assumptions!$B$7+IF(D89="Yes",Assumptions!$C$7,0))</f>
        <v>759879.78150000004</v>
      </c>
      <c r="J89" s="22">
        <f>F89*(1+Assumptions!$B$8+IF(D89="Yes",Assumptions!$C$8,0))</f>
        <v>730931.98030000005</v>
      </c>
    </row>
    <row r="90" spans="1:10" ht="15">
      <c r="A90" s="21">
        <v>40921</v>
      </c>
      <c r="B90" s="21">
        <v>40909</v>
      </c>
      <c r="C90" s="17">
        <v>11</v>
      </c>
      <c r="D90" s="17" t="s">
        <v>91</v>
      </c>
      <c r="E90" s="14">
        <v>581126.78</v>
      </c>
      <c r="F90" s="14">
        <v>663788.88</v>
      </c>
      <c r="G90" s="14">
        <v>663788.88</v>
      </c>
      <c r="H90" s="22">
        <f>F90*(1+Assumptions!$B$6+IF(D90="Yes",Assumptions!$C$6,0))</f>
        <v>683702.54639999999</v>
      </c>
      <c r="I90" s="22">
        <f>F90*(1+Assumptions!$B$7+IF(D90="Yes",Assumptions!$C$7,0))</f>
        <v>696978.32400000002</v>
      </c>
      <c r="J90" s="22">
        <f>F90*(1+Assumptions!$B$8+IF(D90="Yes",Assumptions!$C$8,0))</f>
        <v>670426.76879999996</v>
      </c>
    </row>
    <row r="91" spans="1:10" ht="15">
      <c r="A91" s="21">
        <v>40921</v>
      </c>
      <c r="B91" s="21">
        <v>40909</v>
      </c>
      <c r="C91" s="17">
        <v>12</v>
      </c>
      <c r="D91" s="17" t="s">
        <v>91</v>
      </c>
      <c r="E91" s="14">
        <v>131578.07</v>
      </c>
      <c r="F91" s="14">
        <v>115676.32</v>
      </c>
      <c r="G91" s="14">
        <v>115676.32</v>
      </c>
      <c r="H91" s="22">
        <f>F91*(1+Assumptions!$B$6+IF(D91="Yes",Assumptions!$C$6,0))</f>
        <v>119146.60960000001</v>
      </c>
      <c r="I91" s="22">
        <f>F91*(1+Assumptions!$B$7+IF(D91="Yes",Assumptions!$C$7,0))</f>
        <v>121460.13600000001</v>
      </c>
      <c r="J91" s="22">
        <f>F91*(1+Assumptions!$B$8+IF(D91="Yes",Assumptions!$C$8,0))</f>
        <v>116833.08320000001</v>
      </c>
    </row>
    <row r="92" spans="1:10" ht="15">
      <c r="A92" s="21">
        <v>40921</v>
      </c>
      <c r="B92" s="21">
        <v>40909</v>
      </c>
      <c r="C92" s="17">
        <v>13</v>
      </c>
      <c r="D92" s="17" t="s">
        <v>91</v>
      </c>
      <c r="E92" s="14">
        <v>1317409.43</v>
      </c>
      <c r="F92" s="14">
        <v>1284522.1299999999</v>
      </c>
      <c r="G92" s="14">
        <v>1284522.1299999999</v>
      </c>
      <c r="H92" s="22">
        <f>F92*(1+Assumptions!$B$6+IF(D92="Yes",Assumptions!$C$6,0))</f>
        <v>1323057.7938999999</v>
      </c>
      <c r="I92" s="22">
        <f>F92*(1+Assumptions!$B$7+IF(D92="Yes",Assumptions!$C$7,0))</f>
        <v>1348748.2364999999</v>
      </c>
      <c r="J92" s="22">
        <f>F92*(1+Assumptions!$B$8+IF(D92="Yes",Assumptions!$C$8,0))</f>
        <v>1297367.3513</v>
      </c>
    </row>
    <row r="93" spans="1:10" ht="15">
      <c r="A93" s="21">
        <v>40921</v>
      </c>
      <c r="B93" s="21">
        <v>40909</v>
      </c>
      <c r="C93" s="17">
        <v>14</v>
      </c>
      <c r="D93" s="17" t="s">
        <v>91</v>
      </c>
      <c r="E93" s="14">
        <v>572092.46</v>
      </c>
      <c r="F93" s="14">
        <v>528589.63</v>
      </c>
      <c r="G93" s="14">
        <v>528589.63</v>
      </c>
      <c r="H93" s="22">
        <f>F93*(1+Assumptions!$B$6+IF(D93="Yes",Assumptions!$C$6,0))</f>
        <v>544447.31890000007</v>
      </c>
      <c r="I93" s="22">
        <f>F93*(1+Assumptions!$B$7+IF(D93="Yes",Assumptions!$C$7,0))</f>
        <v>555019.1115</v>
      </c>
      <c r="J93" s="22">
        <f>F93*(1+Assumptions!$B$8+IF(D93="Yes",Assumptions!$C$8,0))</f>
        <v>533875.52630000003</v>
      </c>
    </row>
    <row r="94" spans="1:10" ht="15">
      <c r="A94" s="21">
        <v>40921</v>
      </c>
      <c r="B94" s="21">
        <v>40909</v>
      </c>
      <c r="C94" s="17">
        <v>16</v>
      </c>
      <c r="D94" s="17" t="s">
        <v>91</v>
      </c>
      <c r="E94" s="14">
        <v>145588.19</v>
      </c>
      <c r="F94" s="14">
        <v>172329.63</v>
      </c>
      <c r="G94" s="14">
        <v>172329.63</v>
      </c>
      <c r="H94" s="22">
        <f>F94*(1+Assumptions!$B$6+IF(D94="Yes",Assumptions!$C$6,0))</f>
        <v>177499.5189</v>
      </c>
      <c r="I94" s="22">
        <f>F94*(1+Assumptions!$B$7+IF(D94="Yes",Assumptions!$C$7,0))</f>
        <v>180946.1115</v>
      </c>
      <c r="J94" s="22">
        <f>F94*(1+Assumptions!$B$8+IF(D94="Yes",Assumptions!$C$8,0))</f>
        <v>174052.92629999999</v>
      </c>
    </row>
    <row r="95" spans="1:10" ht="15">
      <c r="A95" s="21">
        <v>40921</v>
      </c>
      <c r="B95" s="21">
        <v>40909</v>
      </c>
      <c r="C95" s="17">
        <v>17</v>
      </c>
      <c r="D95" s="17" t="s">
        <v>91</v>
      </c>
      <c r="E95" s="14">
        <v>408124.22000000003</v>
      </c>
      <c r="F95" s="14">
        <v>392323.45</v>
      </c>
      <c r="G95" s="14">
        <v>392323.45</v>
      </c>
      <c r="H95" s="22">
        <f>F95*(1+Assumptions!$B$6+IF(D95="Yes",Assumptions!$C$6,0))</f>
        <v>404093.15350000001</v>
      </c>
      <c r="I95" s="22">
        <f>F95*(1+Assumptions!$B$7+IF(D95="Yes",Assumptions!$C$7,0))</f>
        <v>411939.62250000006</v>
      </c>
      <c r="J95" s="22">
        <f>F95*(1+Assumptions!$B$8+IF(D95="Yes",Assumptions!$C$8,0))</f>
        <v>396246.68450000003</v>
      </c>
    </row>
    <row r="96" spans="1:10" ht="15">
      <c r="A96" s="21">
        <v>40921</v>
      </c>
      <c r="B96" s="21">
        <v>40909</v>
      </c>
      <c r="C96" s="17">
        <v>18</v>
      </c>
      <c r="D96" s="17" t="s">
        <v>91</v>
      </c>
      <c r="E96" s="14">
        <v>80376.84</v>
      </c>
      <c r="F96" s="14">
        <v>47890.5</v>
      </c>
      <c r="G96" s="14">
        <v>47890.5</v>
      </c>
      <c r="H96" s="22">
        <f>F96*(1+Assumptions!$B$6+IF(D96="Yes",Assumptions!$C$6,0))</f>
        <v>49327.215000000004</v>
      </c>
      <c r="I96" s="22">
        <f>F96*(1+Assumptions!$B$7+IF(D96="Yes",Assumptions!$C$7,0))</f>
        <v>50285.025000000001</v>
      </c>
      <c r="J96" s="22">
        <f>F96*(1+Assumptions!$B$8+IF(D96="Yes",Assumptions!$C$8,0))</f>
        <v>48369.404999999999</v>
      </c>
    </row>
    <row r="97" spans="1:10" ht="15">
      <c r="A97" s="21">
        <v>40921</v>
      </c>
      <c r="B97" s="21">
        <v>40909</v>
      </c>
      <c r="C97" s="17">
        <v>19</v>
      </c>
      <c r="D97" s="17" t="s">
        <v>91</v>
      </c>
      <c r="E97" s="14">
        <v>34475.5</v>
      </c>
      <c r="F97" s="14">
        <v>44579.5</v>
      </c>
      <c r="G97" s="14">
        <v>44579.5</v>
      </c>
      <c r="H97" s="22">
        <f>F97*(1+Assumptions!$B$6+IF(D97="Yes",Assumptions!$C$6,0))</f>
        <v>45916.885000000002</v>
      </c>
      <c r="I97" s="22">
        <f>F97*(1+Assumptions!$B$7+IF(D97="Yes",Assumptions!$C$7,0))</f>
        <v>46808.474999999999</v>
      </c>
      <c r="J97" s="22">
        <f>F97*(1+Assumptions!$B$8+IF(D97="Yes",Assumptions!$C$8,0))</f>
        <v>45025.294999999998</v>
      </c>
    </row>
    <row r="98" spans="1:10" ht="15">
      <c r="A98" s="21">
        <v>40921</v>
      </c>
      <c r="B98" s="21">
        <v>40909</v>
      </c>
      <c r="C98" s="17">
        <v>20</v>
      </c>
      <c r="D98" s="17" t="s">
        <v>91</v>
      </c>
      <c r="E98" s="14">
        <v>190881.76</v>
      </c>
      <c r="F98" s="14">
        <v>170929.53</v>
      </c>
      <c r="G98" s="14">
        <v>170929.53</v>
      </c>
      <c r="H98" s="22">
        <f>F98*(1+Assumptions!$B$6+IF(D98="Yes",Assumptions!$C$6,0))</f>
        <v>176057.41589999999</v>
      </c>
      <c r="I98" s="22">
        <f>F98*(1+Assumptions!$B$7+IF(D98="Yes",Assumptions!$C$7,0))</f>
        <v>179476.00650000002</v>
      </c>
      <c r="J98" s="22">
        <f>F98*(1+Assumptions!$B$8+IF(D98="Yes",Assumptions!$C$8,0))</f>
        <v>172638.8253</v>
      </c>
    </row>
    <row r="99" spans="1:10" ht="15">
      <c r="A99" s="21">
        <v>40921</v>
      </c>
      <c r="B99" s="21">
        <v>40909</v>
      </c>
      <c r="C99" s="17">
        <v>21</v>
      </c>
      <c r="D99" s="17" t="s">
        <v>91</v>
      </c>
      <c r="E99" s="14">
        <v>176195.79</v>
      </c>
      <c r="F99" s="14">
        <v>184551.69</v>
      </c>
      <c r="G99" s="14">
        <v>184551.69</v>
      </c>
      <c r="H99" s="22">
        <f>F99*(1+Assumptions!$B$6+IF(D99="Yes",Assumptions!$C$6,0))</f>
        <v>190088.24069999999</v>
      </c>
      <c r="I99" s="22">
        <f>F99*(1+Assumptions!$B$7+IF(D99="Yes",Assumptions!$C$7,0))</f>
        <v>193779.2745</v>
      </c>
      <c r="J99" s="22">
        <f>F99*(1+Assumptions!$B$8+IF(D99="Yes",Assumptions!$C$8,0))</f>
        <v>186397.20689999999</v>
      </c>
    </row>
    <row r="100" spans="1:10" ht="15">
      <c r="A100" s="21">
        <v>40921</v>
      </c>
      <c r="B100" s="21">
        <v>40909</v>
      </c>
      <c r="C100" s="17">
        <v>22</v>
      </c>
      <c r="D100" s="17" t="s">
        <v>91</v>
      </c>
      <c r="E100" s="14">
        <v>355048.21</v>
      </c>
      <c r="F100" s="14">
        <v>346512.01</v>
      </c>
      <c r="G100" s="14">
        <v>346512.01</v>
      </c>
      <c r="H100" s="22">
        <f>F100*(1+Assumptions!$B$6+IF(D100="Yes",Assumptions!$C$6,0))</f>
        <v>356907.37030000001</v>
      </c>
      <c r="I100" s="22">
        <f>F100*(1+Assumptions!$B$7+IF(D100="Yes",Assumptions!$C$7,0))</f>
        <v>363837.61050000001</v>
      </c>
      <c r="J100" s="22">
        <f>F100*(1+Assumptions!$B$8+IF(D100="Yes",Assumptions!$C$8,0))</f>
        <v>349977.13010000001</v>
      </c>
    </row>
    <row r="101" spans="1:10" ht="15">
      <c r="A101" s="21">
        <v>40921</v>
      </c>
      <c r="B101" s="21">
        <v>40909</v>
      </c>
      <c r="C101" s="17">
        <v>23</v>
      </c>
      <c r="D101" s="17" t="s">
        <v>91</v>
      </c>
      <c r="E101" s="14">
        <v>686309.2</v>
      </c>
      <c r="F101" s="14">
        <v>730643.03</v>
      </c>
      <c r="G101" s="14">
        <v>730643.03</v>
      </c>
      <c r="H101" s="22">
        <f>F101*(1+Assumptions!$B$6+IF(D101="Yes",Assumptions!$C$6,0))</f>
        <v>752562.32090000005</v>
      </c>
      <c r="I101" s="22">
        <f>F101*(1+Assumptions!$B$7+IF(D101="Yes",Assumptions!$C$7,0))</f>
        <v>767175.18150000006</v>
      </c>
      <c r="J101" s="22">
        <f>F101*(1+Assumptions!$B$8+IF(D101="Yes",Assumptions!$C$8,0))</f>
        <v>737949.46030000004</v>
      </c>
    </row>
    <row r="102" spans="1:10" ht="15">
      <c r="A102" s="21">
        <v>40921</v>
      </c>
      <c r="B102" s="21">
        <v>40909</v>
      </c>
      <c r="C102" s="17">
        <v>24</v>
      </c>
      <c r="D102" s="17" t="s">
        <v>91</v>
      </c>
      <c r="E102" s="14">
        <v>135519.01999999999</v>
      </c>
      <c r="F102" s="14">
        <v>153438.35</v>
      </c>
      <c r="G102" s="14">
        <v>153438.35</v>
      </c>
      <c r="H102" s="22">
        <f>F102*(1+Assumptions!$B$6+IF(D102="Yes",Assumptions!$C$6,0))</f>
        <v>158041.50050000002</v>
      </c>
      <c r="I102" s="22">
        <f>F102*(1+Assumptions!$B$7+IF(D102="Yes",Assumptions!$C$7,0))</f>
        <v>161110.26750000002</v>
      </c>
      <c r="J102" s="22">
        <f>F102*(1+Assumptions!$B$8+IF(D102="Yes",Assumptions!$C$8,0))</f>
        <v>154972.7335</v>
      </c>
    </row>
    <row r="103" spans="1:10" ht="15">
      <c r="A103" s="21">
        <v>40921</v>
      </c>
      <c r="B103" s="21">
        <v>40909</v>
      </c>
      <c r="C103" s="17">
        <v>25</v>
      </c>
      <c r="D103" s="17" t="s">
        <v>91</v>
      </c>
      <c r="E103" s="14">
        <v>262090.52</v>
      </c>
      <c r="F103" s="14">
        <v>307699.68</v>
      </c>
      <c r="G103" s="14">
        <v>307699.68</v>
      </c>
      <c r="H103" s="22">
        <f>F103*(1+Assumptions!$B$6+IF(D103="Yes",Assumptions!$C$6,0))</f>
        <v>316930.6704</v>
      </c>
      <c r="I103" s="22">
        <f>F103*(1+Assumptions!$B$7+IF(D103="Yes",Assumptions!$C$7,0))</f>
        <v>323084.66399999999</v>
      </c>
      <c r="J103" s="22">
        <f>F103*(1+Assumptions!$B$8+IF(D103="Yes",Assumptions!$C$8,0))</f>
        <v>310776.67680000002</v>
      </c>
    </row>
    <row r="104" spans="1:10" ht="15">
      <c r="A104" s="21">
        <v>40921</v>
      </c>
      <c r="B104" s="21">
        <v>40909</v>
      </c>
      <c r="C104" s="17">
        <v>26</v>
      </c>
      <c r="D104" s="17" t="s">
        <v>91</v>
      </c>
      <c r="E104" s="14">
        <v>192036.68</v>
      </c>
      <c r="F104" s="14">
        <v>206934.2</v>
      </c>
      <c r="G104" s="14">
        <v>206934.2</v>
      </c>
      <c r="H104" s="22">
        <f>F104*(1+Assumptions!$B$6+IF(D104="Yes",Assumptions!$C$6,0))</f>
        <v>213142.22600000002</v>
      </c>
      <c r="I104" s="22">
        <f>F104*(1+Assumptions!$B$7+IF(D104="Yes",Assumptions!$C$7,0))</f>
        <v>217280.91000000003</v>
      </c>
      <c r="J104" s="22">
        <f>F104*(1+Assumptions!$B$8+IF(D104="Yes",Assumptions!$C$8,0))</f>
        <v>209003.54200000002</v>
      </c>
    </row>
    <row r="105" spans="1:10" ht="15">
      <c r="A105" s="21">
        <v>40921</v>
      </c>
      <c r="B105" s="21">
        <v>40909</v>
      </c>
      <c r="C105" s="17">
        <v>27</v>
      </c>
      <c r="D105" s="17" t="s">
        <v>91</v>
      </c>
      <c r="E105" s="14">
        <v>63344.77</v>
      </c>
      <c r="F105" s="14">
        <v>64612.73</v>
      </c>
      <c r="G105" s="14">
        <v>64612.73</v>
      </c>
      <c r="H105" s="22">
        <f>F105*(1+Assumptions!$B$6+IF(D105="Yes",Assumptions!$C$6,0))</f>
        <v>66551.111900000004</v>
      </c>
      <c r="I105" s="22">
        <f>F105*(1+Assumptions!$B$7+IF(D105="Yes",Assumptions!$C$7,0))</f>
        <v>67843.366500000004</v>
      </c>
      <c r="J105" s="22">
        <f>F105*(1+Assumptions!$B$8+IF(D105="Yes",Assumptions!$C$8,0))</f>
        <v>65258.857300000003</v>
      </c>
    </row>
    <row r="106" spans="1:10" ht="15">
      <c r="A106" s="21">
        <v>40921</v>
      </c>
      <c r="B106" s="21">
        <v>40909</v>
      </c>
      <c r="C106" s="17">
        <v>28</v>
      </c>
      <c r="D106" s="17" t="s">
        <v>91</v>
      </c>
      <c r="E106" s="14">
        <v>27945.98</v>
      </c>
      <c r="F106" s="14">
        <v>27880.41</v>
      </c>
      <c r="G106" s="14">
        <v>27880.41</v>
      </c>
      <c r="H106" s="22">
        <f>F106*(1+Assumptions!$B$6+IF(D106="Yes",Assumptions!$C$6,0))</f>
        <v>28716.8223</v>
      </c>
      <c r="I106" s="22">
        <f>F106*(1+Assumptions!$B$7+IF(D106="Yes",Assumptions!$C$7,0))</f>
        <v>29274.430500000002</v>
      </c>
      <c r="J106" s="22">
        <f>F106*(1+Assumptions!$B$8+IF(D106="Yes",Assumptions!$C$8,0))</f>
        <v>28159.214100000001</v>
      </c>
    </row>
    <row r="107" spans="1:10" ht="15">
      <c r="A107" s="21">
        <v>40921</v>
      </c>
      <c r="B107" s="21">
        <v>40909</v>
      </c>
      <c r="C107" s="17">
        <v>29</v>
      </c>
      <c r="D107" s="17" t="s">
        <v>91</v>
      </c>
      <c r="E107" s="14">
        <v>169528.03</v>
      </c>
      <c r="F107" s="14">
        <v>174580.15</v>
      </c>
      <c r="G107" s="14">
        <v>174580.15</v>
      </c>
      <c r="H107" s="22">
        <f>F107*(1+Assumptions!$B$6+IF(D107="Yes",Assumptions!$C$6,0))</f>
        <v>179817.5545</v>
      </c>
      <c r="I107" s="22">
        <f>F107*(1+Assumptions!$B$7+IF(D107="Yes",Assumptions!$C$7,0))</f>
        <v>183309.1575</v>
      </c>
      <c r="J107" s="22">
        <f>F107*(1+Assumptions!$B$8+IF(D107="Yes",Assumptions!$C$8,0))</f>
        <v>176325.9515</v>
      </c>
    </row>
    <row r="108" spans="1:10" ht="15">
      <c r="A108" s="21">
        <v>40921</v>
      </c>
      <c r="B108" s="21">
        <v>40909</v>
      </c>
      <c r="C108" s="17">
        <v>30</v>
      </c>
      <c r="D108" s="17" t="s">
        <v>91</v>
      </c>
      <c r="E108" s="14">
        <v>103487.8</v>
      </c>
      <c r="F108" s="14">
        <v>103336.91</v>
      </c>
      <c r="G108" s="14">
        <v>103336.91</v>
      </c>
      <c r="H108" s="22">
        <f>F108*(1+Assumptions!$B$6+IF(D108="Yes",Assumptions!$C$6,0))</f>
        <v>106437.01730000001</v>
      </c>
      <c r="I108" s="22">
        <f>F108*(1+Assumptions!$B$7+IF(D108="Yes",Assumptions!$C$7,0))</f>
        <v>108503.75550000001</v>
      </c>
      <c r="J108" s="22">
        <f>F108*(1+Assumptions!$B$8+IF(D108="Yes",Assumptions!$C$8,0))</f>
        <v>104370.2791</v>
      </c>
    </row>
    <row r="109" spans="1:10" ht="15">
      <c r="A109" s="21">
        <v>40921</v>
      </c>
      <c r="B109" s="21">
        <v>40909</v>
      </c>
      <c r="C109" s="17">
        <v>31</v>
      </c>
      <c r="D109" s="17" t="s">
        <v>91</v>
      </c>
      <c r="E109" s="14">
        <v>65227.340000000004</v>
      </c>
      <c r="F109" s="14">
        <v>89064.2</v>
      </c>
      <c r="G109" s="14">
        <v>89064.2</v>
      </c>
      <c r="H109" s="22">
        <f>F109*(1+Assumptions!$B$6+IF(D109="Yes",Assumptions!$C$6,0))</f>
        <v>91736.126000000004</v>
      </c>
      <c r="I109" s="22">
        <f>F109*(1+Assumptions!$B$7+IF(D109="Yes",Assumptions!$C$7,0))</f>
        <v>93517.41</v>
      </c>
      <c r="J109" s="22">
        <f>F109*(1+Assumptions!$B$8+IF(D109="Yes",Assumptions!$C$8,0))</f>
        <v>89954.842000000004</v>
      </c>
    </row>
    <row r="110" spans="1:10" ht="15">
      <c r="A110" s="21">
        <v>40921</v>
      </c>
      <c r="B110" s="21">
        <v>40909</v>
      </c>
      <c r="C110" s="17">
        <v>32</v>
      </c>
      <c r="D110" s="17" t="s">
        <v>91</v>
      </c>
      <c r="E110" s="14">
        <v>185530.23999999999</v>
      </c>
      <c r="F110" s="14">
        <v>166787.61000000002</v>
      </c>
      <c r="G110" s="14">
        <v>166787.61000000002</v>
      </c>
      <c r="H110" s="22">
        <f>F110*(1+Assumptions!$B$6+IF(D110="Yes",Assumptions!$C$6,0))</f>
        <v>171791.23830000003</v>
      </c>
      <c r="I110" s="22">
        <f>F110*(1+Assumptions!$B$7+IF(D110="Yes",Assumptions!$C$7,0))</f>
        <v>175126.99050000001</v>
      </c>
      <c r="J110" s="22">
        <f>F110*(1+Assumptions!$B$8+IF(D110="Yes",Assumptions!$C$8,0))</f>
        <v>168455.48610000001</v>
      </c>
    </row>
    <row r="111" spans="1:10" ht="15">
      <c r="A111" s="21">
        <v>40921</v>
      </c>
      <c r="B111" s="21">
        <v>40909</v>
      </c>
      <c r="C111" s="17">
        <v>33</v>
      </c>
      <c r="D111" s="17" t="s">
        <v>91</v>
      </c>
      <c r="E111" s="14">
        <v>134005.43</v>
      </c>
      <c r="F111" s="14">
        <v>147289.18</v>
      </c>
      <c r="G111" s="14">
        <v>147289.18</v>
      </c>
      <c r="H111" s="22">
        <f>F111*(1+Assumptions!$B$6+IF(D111="Yes",Assumptions!$C$6,0))</f>
        <v>151707.8554</v>
      </c>
      <c r="I111" s="22">
        <f>F111*(1+Assumptions!$B$7+IF(D111="Yes",Assumptions!$C$7,0))</f>
        <v>154653.639</v>
      </c>
      <c r="J111" s="22">
        <f>F111*(1+Assumptions!$B$8+IF(D111="Yes",Assumptions!$C$8,0))</f>
        <v>148762.07180000001</v>
      </c>
    </row>
    <row r="112" spans="1:10" ht="15">
      <c r="A112" s="21">
        <v>40921</v>
      </c>
      <c r="B112" s="21">
        <v>40909</v>
      </c>
      <c r="C112" s="17">
        <v>34</v>
      </c>
      <c r="D112" s="17" t="s">
        <v>91</v>
      </c>
      <c r="E112" s="14">
        <v>387454.92</v>
      </c>
      <c r="F112" s="14">
        <v>391410.06</v>
      </c>
      <c r="G112" s="14">
        <v>391410.06</v>
      </c>
      <c r="H112" s="22">
        <f>F112*(1+Assumptions!$B$6+IF(D112="Yes",Assumptions!$C$6,0))</f>
        <v>403152.36180000001</v>
      </c>
      <c r="I112" s="22">
        <f>F112*(1+Assumptions!$B$7+IF(D112="Yes",Assumptions!$C$7,0))</f>
        <v>410980.56300000002</v>
      </c>
      <c r="J112" s="22">
        <f>F112*(1+Assumptions!$B$8+IF(D112="Yes",Assumptions!$C$8,0))</f>
        <v>395324.1606</v>
      </c>
    </row>
    <row r="113" spans="1:10" ht="15">
      <c r="A113" s="21">
        <v>40921</v>
      </c>
      <c r="B113" s="21">
        <v>40909</v>
      </c>
      <c r="C113" s="17">
        <v>35</v>
      </c>
      <c r="D113" s="17" t="s">
        <v>91</v>
      </c>
      <c r="E113" s="14">
        <v>69927.16</v>
      </c>
      <c r="F113" s="14">
        <v>64976.44</v>
      </c>
      <c r="G113" s="14">
        <v>64976.44</v>
      </c>
      <c r="H113" s="22">
        <f>F113*(1+Assumptions!$B$6+IF(D113="Yes",Assumptions!$C$6,0))</f>
        <v>66925.733200000002</v>
      </c>
      <c r="I113" s="22">
        <f>F113*(1+Assumptions!$B$7+IF(D113="Yes",Assumptions!$C$7,0))</f>
        <v>68225.262000000002</v>
      </c>
      <c r="J113" s="22">
        <f>F113*(1+Assumptions!$B$8+IF(D113="Yes",Assumptions!$C$8,0))</f>
        <v>65626.204400000002</v>
      </c>
    </row>
    <row r="114" spans="1:10" ht="15">
      <c r="A114" s="21">
        <v>40921</v>
      </c>
      <c r="B114" s="21">
        <v>40909</v>
      </c>
      <c r="C114" s="17">
        <v>36</v>
      </c>
      <c r="D114" s="17" t="s">
        <v>91</v>
      </c>
      <c r="E114" s="14">
        <v>40822.980000000003</v>
      </c>
      <c r="F114" s="14">
        <v>44922.33</v>
      </c>
      <c r="G114" s="14">
        <v>44922.33</v>
      </c>
      <c r="H114" s="22">
        <f>F114*(1+Assumptions!$B$6+IF(D114="Yes",Assumptions!$C$6,0))</f>
        <v>46269.999900000003</v>
      </c>
      <c r="I114" s="22">
        <f>F114*(1+Assumptions!$B$7+IF(D114="Yes",Assumptions!$C$7,0))</f>
        <v>47168.446500000005</v>
      </c>
      <c r="J114" s="22">
        <f>F114*(1+Assumptions!$B$8+IF(D114="Yes",Assumptions!$C$8,0))</f>
        <v>45371.5533</v>
      </c>
    </row>
    <row r="115" spans="1:10" ht="15">
      <c r="A115" s="21">
        <v>40921</v>
      </c>
      <c r="B115" s="21">
        <v>40909</v>
      </c>
      <c r="C115" s="17">
        <v>37</v>
      </c>
      <c r="D115" s="17" t="s">
        <v>91</v>
      </c>
      <c r="E115" s="14">
        <v>50986.42</v>
      </c>
      <c r="F115" s="14">
        <v>52423.72</v>
      </c>
      <c r="G115" s="14">
        <v>52423.72</v>
      </c>
      <c r="H115" s="22">
        <f>F115*(1+Assumptions!$B$6+IF(D115="Yes",Assumptions!$C$6,0))</f>
        <v>53996.431600000004</v>
      </c>
      <c r="I115" s="22">
        <f>F115*(1+Assumptions!$B$7+IF(D115="Yes",Assumptions!$C$7,0))</f>
        <v>55044.906000000003</v>
      </c>
      <c r="J115" s="22">
        <f>F115*(1+Assumptions!$B$8+IF(D115="Yes",Assumptions!$C$8,0))</f>
        <v>52947.957200000004</v>
      </c>
    </row>
    <row r="116" spans="1:10" ht="15">
      <c r="A116" s="21">
        <v>40921</v>
      </c>
      <c r="B116" s="21">
        <v>40909</v>
      </c>
      <c r="C116" s="17">
        <v>38</v>
      </c>
      <c r="D116" s="17" t="s">
        <v>91</v>
      </c>
      <c r="E116" s="14">
        <v>3048915.22</v>
      </c>
      <c r="F116" s="14">
        <v>2836653.36</v>
      </c>
      <c r="G116" s="14">
        <v>2836653.36</v>
      </c>
      <c r="H116" s="22">
        <f>F116*(1+Assumptions!$B$6+IF(D116="Yes",Assumptions!$C$6,0))</f>
        <v>2921752.9608</v>
      </c>
      <c r="I116" s="22">
        <f>F116*(1+Assumptions!$B$7+IF(D116="Yes",Assumptions!$C$7,0))</f>
        <v>2978486.0279999999</v>
      </c>
      <c r="J116" s="22">
        <f>F116*(1+Assumptions!$B$8+IF(D116="Yes",Assumptions!$C$8,0))</f>
        <v>2865019.8936000001</v>
      </c>
    </row>
    <row r="117" spans="1:10" ht="15">
      <c r="A117" s="21">
        <v>40921</v>
      </c>
      <c r="B117" s="21">
        <v>40909</v>
      </c>
      <c r="C117" s="17">
        <v>40</v>
      </c>
      <c r="D117" s="17" t="s">
        <v>91</v>
      </c>
      <c r="E117" s="14">
        <v>2124902.5699999998</v>
      </c>
      <c r="F117" s="14">
        <v>2001491.61</v>
      </c>
      <c r="G117" s="14">
        <v>2001491.61</v>
      </c>
      <c r="H117" s="22">
        <f>F117*(1+Assumptions!$B$6+IF(D117="Yes",Assumptions!$C$6,0))</f>
        <v>2061536.3583000002</v>
      </c>
      <c r="I117" s="22">
        <f>F117*(1+Assumptions!$B$7+IF(D117="Yes",Assumptions!$C$7,0))</f>
        <v>2101566.1905</v>
      </c>
      <c r="J117" s="22">
        <f>F117*(1+Assumptions!$B$8+IF(D117="Yes",Assumptions!$C$8,0))</f>
        <v>2021506.5261000001</v>
      </c>
    </row>
    <row r="118" spans="1:10" ht="15">
      <c r="A118" s="21">
        <v>40921</v>
      </c>
      <c r="B118" s="21">
        <v>40909</v>
      </c>
      <c r="C118" s="17">
        <v>41</v>
      </c>
      <c r="D118" s="17" t="s">
        <v>91</v>
      </c>
      <c r="E118" s="14">
        <v>44239.79</v>
      </c>
      <c r="F118" s="14">
        <v>35201.050000000003</v>
      </c>
      <c r="G118" s="14">
        <v>35201.050000000003</v>
      </c>
      <c r="H118" s="22">
        <f>F118*(1+Assumptions!$B$6+IF(D118="Yes",Assumptions!$C$6,0))</f>
        <v>36257.081500000008</v>
      </c>
      <c r="I118" s="22">
        <f>F118*(1+Assumptions!$B$7+IF(D118="Yes",Assumptions!$C$7,0))</f>
        <v>36961.102500000008</v>
      </c>
      <c r="J118" s="22">
        <f>F118*(1+Assumptions!$B$8+IF(D118="Yes",Assumptions!$C$8,0))</f>
        <v>35553.060500000007</v>
      </c>
    </row>
    <row r="119" spans="1:10" ht="15">
      <c r="A119" s="21">
        <v>40921</v>
      </c>
      <c r="B119" s="21">
        <v>40909</v>
      </c>
      <c r="C119" s="17">
        <v>42</v>
      </c>
      <c r="D119" s="17" t="s">
        <v>91</v>
      </c>
      <c r="E119" s="14">
        <v>215028.69</v>
      </c>
      <c r="F119" s="14">
        <v>182408.08000000002</v>
      </c>
      <c r="G119" s="14">
        <v>182408.08000000002</v>
      </c>
      <c r="H119" s="22">
        <f>F119*(1+Assumptions!$B$6+IF(D119="Yes",Assumptions!$C$6,0))</f>
        <v>187880.32240000003</v>
      </c>
      <c r="I119" s="22">
        <f>F119*(1+Assumptions!$B$7+IF(D119="Yes",Assumptions!$C$7,0))</f>
        <v>191528.48400000003</v>
      </c>
      <c r="J119" s="22">
        <f>F119*(1+Assumptions!$B$8+IF(D119="Yes",Assumptions!$C$8,0))</f>
        <v>184232.16080000001</v>
      </c>
    </row>
    <row r="120" spans="1:10" ht="15">
      <c r="A120" s="21">
        <v>40921</v>
      </c>
      <c r="B120" s="21">
        <v>40909</v>
      </c>
      <c r="C120" s="17">
        <v>44</v>
      </c>
      <c r="D120" s="17" t="s">
        <v>91</v>
      </c>
      <c r="E120" s="14">
        <v>152594.28</v>
      </c>
      <c r="F120" s="14">
        <v>136898.03</v>
      </c>
      <c r="G120" s="14">
        <v>136898.03</v>
      </c>
      <c r="H120" s="22">
        <f>F120*(1+Assumptions!$B$6+IF(D120="Yes",Assumptions!$C$6,0))</f>
        <v>141004.97090000001</v>
      </c>
      <c r="I120" s="22">
        <f>F120*(1+Assumptions!$B$7+IF(D120="Yes",Assumptions!$C$7,0))</f>
        <v>143742.93150000001</v>
      </c>
      <c r="J120" s="22">
        <f>F120*(1+Assumptions!$B$8+IF(D120="Yes",Assumptions!$C$8,0))</f>
        <v>138267.01029999999</v>
      </c>
    </row>
    <row r="121" spans="1:10" ht="15">
      <c r="A121" s="21">
        <v>40921</v>
      </c>
      <c r="B121" s="21">
        <v>40909</v>
      </c>
      <c r="C121" s="17">
        <v>45</v>
      </c>
      <c r="D121" s="17" t="s">
        <v>91</v>
      </c>
      <c r="E121" s="14">
        <v>117.17</v>
      </c>
      <c r="F121" s="14">
        <v>452.96</v>
      </c>
      <c r="G121" s="14">
        <v>452.96</v>
      </c>
      <c r="H121" s="22">
        <f>F121*(1+Assumptions!$B$6+IF(D121="Yes",Assumptions!$C$6,0))</f>
        <v>466.54879999999997</v>
      </c>
      <c r="I121" s="22">
        <f>F121*(1+Assumptions!$B$7+IF(D121="Yes",Assumptions!$C$7,0))</f>
        <v>475.608</v>
      </c>
      <c r="J121" s="22">
        <f>F121*(1+Assumptions!$B$8+IF(D121="Yes",Assumptions!$C$8,0))</f>
        <v>457.4896</v>
      </c>
    </row>
    <row r="122" spans="1:10" ht="15">
      <c r="A122" s="21">
        <v>40921</v>
      </c>
      <c r="B122" s="21">
        <v>40909</v>
      </c>
      <c r="C122" s="17">
        <v>46</v>
      </c>
      <c r="D122" s="17" t="s">
        <v>91</v>
      </c>
      <c r="E122" s="14">
        <v>758812.45</v>
      </c>
      <c r="F122" s="14">
        <v>724776.74</v>
      </c>
      <c r="G122" s="14">
        <v>724776.74</v>
      </c>
      <c r="H122" s="22">
        <f>F122*(1+Assumptions!$B$6+IF(D122="Yes",Assumptions!$C$6,0))</f>
        <v>746520.04220000003</v>
      </c>
      <c r="I122" s="22">
        <f>F122*(1+Assumptions!$B$7+IF(D122="Yes",Assumptions!$C$7,0))</f>
        <v>761015.57700000005</v>
      </c>
      <c r="J122" s="22">
        <f>F122*(1+Assumptions!$B$8+IF(D122="Yes",Assumptions!$C$8,0))</f>
        <v>732024.5074</v>
      </c>
    </row>
    <row r="123" spans="1:10" ht="15">
      <c r="A123" s="21">
        <v>40921</v>
      </c>
      <c r="B123" s="21">
        <v>40909</v>
      </c>
      <c r="C123" s="17">
        <v>47</v>
      </c>
      <c r="D123" s="17" t="s">
        <v>91</v>
      </c>
      <c r="E123" s="14">
        <v>-68</v>
      </c>
      <c r="F123" s="14">
        <v>125</v>
      </c>
      <c r="G123" s="14">
        <v>125</v>
      </c>
      <c r="H123" s="22">
        <f>F123*(1+Assumptions!$B$6+IF(D123="Yes",Assumptions!$C$6,0))</f>
        <v>128.75</v>
      </c>
      <c r="I123" s="22">
        <f>F123*(1+Assumptions!$B$7+IF(D123="Yes",Assumptions!$C$7,0))</f>
        <v>131.25</v>
      </c>
      <c r="J123" s="22">
        <f>F123*(1+Assumptions!$B$8+IF(D123="Yes",Assumptions!$C$8,0))</f>
        <v>126.25</v>
      </c>
    </row>
    <row r="124" spans="1:10" ht="15">
      <c r="A124" s="21">
        <v>40921</v>
      </c>
      <c r="B124" s="21">
        <v>40909</v>
      </c>
      <c r="C124" s="17">
        <v>48</v>
      </c>
      <c r="D124" s="17" t="s">
        <v>91</v>
      </c>
      <c r="E124" s="14">
        <v>11971</v>
      </c>
      <c r="F124" s="14">
        <v>9673</v>
      </c>
      <c r="G124" s="14">
        <v>9673</v>
      </c>
      <c r="H124" s="22">
        <f>F124*(1+Assumptions!$B$6+IF(D124="Yes",Assumptions!$C$6,0))</f>
        <v>9963.19</v>
      </c>
      <c r="I124" s="22">
        <f>F124*(1+Assumptions!$B$7+IF(D124="Yes",Assumptions!$C$7,0))</f>
        <v>10156.65</v>
      </c>
      <c r="J124" s="22">
        <f>F124*(1+Assumptions!$B$8+IF(D124="Yes",Assumptions!$C$8,0))</f>
        <v>9769.73</v>
      </c>
    </row>
    <row r="125" spans="1:10" ht="15">
      <c r="A125" s="21">
        <v>40921</v>
      </c>
      <c r="B125" s="21">
        <v>40909</v>
      </c>
      <c r="C125" s="17">
        <v>49</v>
      </c>
      <c r="D125" s="17" t="s">
        <v>91</v>
      </c>
      <c r="E125" s="14">
        <v>258688.98</v>
      </c>
      <c r="F125" s="14">
        <v>241317.94</v>
      </c>
      <c r="G125" s="14">
        <v>241317.94</v>
      </c>
      <c r="H125" s="22">
        <f>F125*(1+Assumptions!$B$6+IF(D125="Yes",Assumptions!$C$6,0))</f>
        <v>248557.47820000001</v>
      </c>
      <c r="I125" s="22">
        <f>F125*(1+Assumptions!$B$7+IF(D125="Yes",Assumptions!$C$7,0))</f>
        <v>253383.837</v>
      </c>
      <c r="J125" s="22">
        <f>F125*(1+Assumptions!$B$8+IF(D125="Yes",Assumptions!$C$8,0))</f>
        <v>243731.1194</v>
      </c>
    </row>
    <row r="126" spans="1:10" ht="15">
      <c r="A126" s="21">
        <v>40921</v>
      </c>
      <c r="B126" s="21">
        <v>40909</v>
      </c>
      <c r="C126" s="17">
        <v>50</v>
      </c>
      <c r="D126" s="17" t="s">
        <v>91</v>
      </c>
      <c r="E126" s="14">
        <v>28084.85</v>
      </c>
      <c r="F126" s="14">
        <v>26151.940000000002</v>
      </c>
      <c r="G126" s="14">
        <v>26151.940000000002</v>
      </c>
      <c r="H126" s="22">
        <f>F126*(1+Assumptions!$B$6+IF(D126="Yes",Assumptions!$C$6,0))</f>
        <v>26936.498200000002</v>
      </c>
      <c r="I126" s="22">
        <f>F126*(1+Assumptions!$B$7+IF(D126="Yes",Assumptions!$C$7,0))</f>
        <v>27459.537000000004</v>
      </c>
      <c r="J126" s="22">
        <f>F126*(1+Assumptions!$B$8+IF(D126="Yes",Assumptions!$C$8,0))</f>
        <v>26413.459400000003</v>
      </c>
    </row>
    <row r="127" spans="1:10" ht="15">
      <c r="A127" s="21">
        <v>40921</v>
      </c>
      <c r="B127" s="21">
        <v>40909</v>
      </c>
      <c r="C127" s="17">
        <v>52</v>
      </c>
      <c r="D127" s="17" t="s">
        <v>91</v>
      </c>
      <c r="E127" s="14">
        <v>70792.52</v>
      </c>
      <c r="F127" s="14">
        <v>58666.95</v>
      </c>
      <c r="G127" s="14">
        <v>58666.95</v>
      </c>
      <c r="H127" s="22">
        <f>F127*(1+Assumptions!$B$6+IF(D127="Yes",Assumptions!$C$6,0))</f>
        <v>60426.958500000001</v>
      </c>
      <c r="I127" s="22">
        <f>F127*(1+Assumptions!$B$7+IF(D127="Yes",Assumptions!$C$7,0))</f>
        <v>61600.297500000001</v>
      </c>
      <c r="J127" s="22">
        <f>F127*(1+Assumptions!$B$8+IF(D127="Yes",Assumptions!$C$8,0))</f>
        <v>59253.619500000001</v>
      </c>
    </row>
    <row r="128" spans="1:10" ht="15">
      <c r="A128" s="21">
        <v>40921</v>
      </c>
      <c r="B128" s="21">
        <v>40909</v>
      </c>
      <c r="C128" s="17">
        <v>54</v>
      </c>
      <c r="D128" s="17" t="s">
        <v>91</v>
      </c>
      <c r="E128" s="14">
        <v>1226.18</v>
      </c>
      <c r="F128" s="14">
        <v>1512.8</v>
      </c>
      <c r="G128" s="14">
        <v>1512.8</v>
      </c>
      <c r="H128" s="22">
        <f>F128*(1+Assumptions!$B$6+IF(D128="Yes",Assumptions!$C$6,0))</f>
        <v>1558.184</v>
      </c>
      <c r="I128" s="22">
        <f>F128*(1+Assumptions!$B$7+IF(D128="Yes",Assumptions!$C$7,0))</f>
        <v>1588.44</v>
      </c>
      <c r="J128" s="22">
        <f>F128*(1+Assumptions!$B$8+IF(D128="Yes",Assumptions!$C$8,0))</f>
        <v>1527.9279999999999</v>
      </c>
    </row>
    <row r="129" spans="1:10" ht="15">
      <c r="A129" s="21">
        <v>40921</v>
      </c>
      <c r="B129" s="21">
        <v>40909</v>
      </c>
      <c r="C129" s="17">
        <v>55</v>
      </c>
      <c r="D129" s="17" t="s">
        <v>91</v>
      </c>
      <c r="E129" s="14">
        <v>297332.08</v>
      </c>
      <c r="F129" s="14">
        <v>323620.63</v>
      </c>
      <c r="G129" s="14">
        <v>323620.63</v>
      </c>
      <c r="H129" s="22">
        <f>F129*(1+Assumptions!$B$6+IF(D129="Yes",Assumptions!$C$6,0))</f>
        <v>333329.24890000001</v>
      </c>
      <c r="I129" s="22">
        <f>F129*(1+Assumptions!$B$7+IF(D129="Yes",Assumptions!$C$7,0))</f>
        <v>339801.66150000005</v>
      </c>
      <c r="J129" s="22">
        <f>F129*(1+Assumptions!$B$8+IF(D129="Yes",Assumptions!$C$8,0))</f>
        <v>326856.83630000002</v>
      </c>
    </row>
    <row r="130" spans="1:10" ht="15">
      <c r="A130" s="21">
        <v>40921</v>
      </c>
      <c r="B130" s="21">
        <v>40909</v>
      </c>
      <c r="C130" s="17">
        <v>56</v>
      </c>
      <c r="D130" s="17" t="s">
        <v>91</v>
      </c>
      <c r="E130" s="14">
        <v>16345.25</v>
      </c>
      <c r="F130" s="14">
        <v>10086.86</v>
      </c>
      <c r="G130" s="14">
        <v>10086.86</v>
      </c>
      <c r="H130" s="22">
        <f>F130*(1+Assumptions!$B$6+IF(D130="Yes",Assumptions!$C$6,0))</f>
        <v>10389.465800000002</v>
      </c>
      <c r="I130" s="22">
        <f>F130*(1+Assumptions!$B$7+IF(D130="Yes",Assumptions!$C$7,0))</f>
        <v>10591.203000000001</v>
      </c>
      <c r="J130" s="22">
        <f>F130*(1+Assumptions!$B$8+IF(D130="Yes",Assumptions!$C$8,0))</f>
        <v>10187.7286</v>
      </c>
    </row>
    <row r="131" spans="1:10" ht="15">
      <c r="A131" s="21">
        <v>40921</v>
      </c>
      <c r="B131" s="21">
        <v>40909</v>
      </c>
      <c r="C131" s="17">
        <v>58</v>
      </c>
      <c r="D131" s="17" t="s">
        <v>91</v>
      </c>
      <c r="E131" s="14">
        <v>94862.5</v>
      </c>
      <c r="F131" s="14">
        <v>79955.009999999995</v>
      </c>
      <c r="G131" s="14">
        <v>79955.009999999995</v>
      </c>
      <c r="H131" s="22">
        <f>F131*(1+Assumptions!$B$6+IF(D131="Yes",Assumptions!$C$6,0))</f>
        <v>82353.660300000003</v>
      </c>
      <c r="I131" s="22">
        <f>F131*(1+Assumptions!$B$7+IF(D131="Yes",Assumptions!$C$7,0))</f>
        <v>83952.760500000004</v>
      </c>
      <c r="J131" s="22">
        <f>F131*(1+Assumptions!$B$8+IF(D131="Yes",Assumptions!$C$8,0))</f>
        <v>80754.560100000002</v>
      </c>
    </row>
    <row r="132" spans="1:10" ht="15">
      <c r="A132" s="21">
        <v>40921</v>
      </c>
      <c r="B132" s="21">
        <v>40909</v>
      </c>
      <c r="C132" s="17">
        <v>59</v>
      </c>
      <c r="D132" s="17" t="s">
        <v>91</v>
      </c>
      <c r="E132" s="14">
        <v>9970.02</v>
      </c>
      <c r="F132" s="14">
        <v>19628.439999999999</v>
      </c>
      <c r="G132" s="14">
        <v>19628.439999999999</v>
      </c>
      <c r="H132" s="22">
        <f>F132*(1+Assumptions!$B$6+IF(D132="Yes",Assumptions!$C$6,0))</f>
        <v>20217.2932</v>
      </c>
      <c r="I132" s="22">
        <f>F132*(1+Assumptions!$B$7+IF(D132="Yes",Assumptions!$C$7,0))</f>
        <v>20609.862000000001</v>
      </c>
      <c r="J132" s="22">
        <f>F132*(1+Assumptions!$B$8+IF(D132="Yes",Assumptions!$C$8,0))</f>
        <v>19824.724399999999</v>
      </c>
    </row>
    <row r="133" spans="1:10" ht="15">
      <c r="A133" s="21">
        <v>40921</v>
      </c>
      <c r="B133" s="21">
        <v>40909</v>
      </c>
      <c r="C133" s="17">
        <v>60</v>
      </c>
      <c r="D133" s="17" t="s">
        <v>91</v>
      </c>
      <c r="E133" s="14">
        <v>11924</v>
      </c>
      <c r="F133" s="14">
        <v>11281.6</v>
      </c>
      <c r="G133" s="14">
        <v>11281.6</v>
      </c>
      <c r="H133" s="22">
        <f>F133*(1+Assumptions!$B$6+IF(D133="Yes",Assumptions!$C$6,0))</f>
        <v>11620.048000000001</v>
      </c>
      <c r="I133" s="22">
        <f>F133*(1+Assumptions!$B$7+IF(D133="Yes",Assumptions!$C$7,0))</f>
        <v>11845.68</v>
      </c>
      <c r="J133" s="22">
        <f>F133*(1+Assumptions!$B$8+IF(D133="Yes",Assumptions!$C$8,0))</f>
        <v>11394.416000000001</v>
      </c>
    </row>
    <row r="134" spans="1:10" ht="15">
      <c r="A134" s="21">
        <v>40921</v>
      </c>
      <c r="B134" s="21">
        <v>40909</v>
      </c>
      <c r="C134" s="17">
        <v>65</v>
      </c>
      <c r="D134" s="17" t="s">
        <v>91</v>
      </c>
      <c r="E134" s="14">
        <v>36523.39</v>
      </c>
      <c r="F134" s="14">
        <v>46391.98</v>
      </c>
      <c r="G134" s="14">
        <v>46391.98</v>
      </c>
      <c r="H134" s="22">
        <f>F134*(1+Assumptions!$B$6+IF(D134="Yes",Assumptions!$C$6,0))</f>
        <v>47783.739400000006</v>
      </c>
      <c r="I134" s="22">
        <f>F134*(1+Assumptions!$B$7+IF(D134="Yes",Assumptions!$C$7,0))</f>
        <v>48711.579000000005</v>
      </c>
      <c r="J134" s="22">
        <f>F134*(1+Assumptions!$B$8+IF(D134="Yes",Assumptions!$C$8,0))</f>
        <v>46855.899800000007</v>
      </c>
    </row>
    <row r="135" spans="1:10" ht="15">
      <c r="A135" s="21">
        <v>40921</v>
      </c>
      <c r="B135" s="21">
        <v>40909</v>
      </c>
      <c r="C135" s="17">
        <v>67</v>
      </c>
      <c r="D135" s="17" t="s">
        <v>91</v>
      </c>
      <c r="E135" s="14">
        <v>219800.54</v>
      </c>
      <c r="F135" s="14">
        <v>204134.66</v>
      </c>
      <c r="G135" s="14">
        <v>204134.66</v>
      </c>
      <c r="H135" s="22">
        <f>F135*(1+Assumptions!$B$6+IF(D135="Yes",Assumptions!$C$6,0))</f>
        <v>210258.6998</v>
      </c>
      <c r="I135" s="22">
        <f>F135*(1+Assumptions!$B$7+IF(D135="Yes",Assumptions!$C$7,0))</f>
        <v>214341.39300000001</v>
      </c>
      <c r="J135" s="22">
        <f>F135*(1+Assumptions!$B$8+IF(D135="Yes",Assumptions!$C$8,0))</f>
        <v>206176.00659999999</v>
      </c>
    </row>
    <row r="136" spans="1:10" ht="15">
      <c r="A136" s="21">
        <v>40921</v>
      </c>
      <c r="B136" s="21">
        <v>40909</v>
      </c>
      <c r="C136" s="17">
        <v>71</v>
      </c>
      <c r="D136" s="17" t="s">
        <v>91</v>
      </c>
      <c r="E136" s="14">
        <v>180620.81</v>
      </c>
      <c r="F136" s="14">
        <v>172527.13999999998</v>
      </c>
      <c r="G136" s="14">
        <v>172527.13999999998</v>
      </c>
      <c r="H136" s="22">
        <f>F136*(1+Assumptions!$B$6+IF(D136="Yes",Assumptions!$C$6,0))</f>
        <v>177702.95419999998</v>
      </c>
      <c r="I136" s="22">
        <f>F136*(1+Assumptions!$B$7+IF(D136="Yes",Assumptions!$C$7,0))</f>
        <v>181153.497</v>
      </c>
      <c r="J136" s="22">
        <f>F136*(1+Assumptions!$B$8+IF(D136="Yes",Assumptions!$C$8,0))</f>
        <v>174252.41139999998</v>
      </c>
    </row>
    <row r="137" spans="1:10" ht="15">
      <c r="A137" s="21">
        <v>40921</v>
      </c>
      <c r="B137" s="21">
        <v>40909</v>
      </c>
      <c r="C137" s="17">
        <v>72</v>
      </c>
      <c r="D137" s="17" t="s">
        <v>91</v>
      </c>
      <c r="E137" s="14">
        <v>1672350.9</v>
      </c>
      <c r="F137" s="14">
        <v>1701560.03</v>
      </c>
      <c r="G137" s="14">
        <v>1701560.03</v>
      </c>
      <c r="H137" s="22">
        <f>F137*(1+Assumptions!$B$6+IF(D137="Yes",Assumptions!$C$6,0))</f>
        <v>1752606.8309000002</v>
      </c>
      <c r="I137" s="22">
        <f>F137*(1+Assumptions!$B$7+IF(D137="Yes",Assumptions!$C$7,0))</f>
        <v>1786638.0315</v>
      </c>
      <c r="J137" s="22">
        <f>F137*(1+Assumptions!$B$8+IF(D137="Yes",Assumptions!$C$8,0))</f>
        <v>1718575.6303000001</v>
      </c>
    </row>
    <row r="138" spans="1:10" ht="15">
      <c r="A138" s="21">
        <v>40921</v>
      </c>
      <c r="B138" s="21">
        <v>40909</v>
      </c>
      <c r="C138" s="17">
        <v>74</v>
      </c>
      <c r="D138" s="17" t="s">
        <v>91</v>
      </c>
      <c r="E138" s="14">
        <v>623881.1</v>
      </c>
      <c r="F138" s="14">
        <v>597791.80999999994</v>
      </c>
      <c r="G138" s="14">
        <v>597791.80999999994</v>
      </c>
      <c r="H138" s="22">
        <f>F138*(1+Assumptions!$B$6+IF(D138="Yes",Assumptions!$C$6,0))</f>
        <v>615725.56429999997</v>
      </c>
      <c r="I138" s="22">
        <f>F138*(1+Assumptions!$B$7+IF(D138="Yes",Assumptions!$C$7,0))</f>
        <v>627681.40049999999</v>
      </c>
      <c r="J138" s="22">
        <f>F138*(1+Assumptions!$B$8+IF(D138="Yes",Assumptions!$C$8,0))</f>
        <v>603769.72809999995</v>
      </c>
    </row>
    <row r="139" spans="1:10" ht="15">
      <c r="A139" s="21">
        <v>40921</v>
      </c>
      <c r="B139" s="21">
        <v>40909</v>
      </c>
      <c r="C139" s="17">
        <v>79</v>
      </c>
      <c r="D139" s="17" t="s">
        <v>91</v>
      </c>
      <c r="E139" s="14">
        <v>904537.32000000007</v>
      </c>
      <c r="F139" s="14">
        <v>871256.41</v>
      </c>
      <c r="G139" s="14">
        <v>871256.41</v>
      </c>
      <c r="H139" s="22">
        <f>F139*(1+Assumptions!$B$6+IF(D139="Yes",Assumptions!$C$6,0))</f>
        <v>897394.10230000003</v>
      </c>
      <c r="I139" s="22">
        <f>F139*(1+Assumptions!$B$7+IF(D139="Yes",Assumptions!$C$7,0))</f>
        <v>914819.23050000006</v>
      </c>
      <c r="J139" s="22">
        <f>F139*(1+Assumptions!$B$8+IF(D139="Yes",Assumptions!$C$8,0))</f>
        <v>879968.97409999999</v>
      </c>
    </row>
    <row r="140" spans="1:10" ht="15">
      <c r="A140" s="21">
        <v>40921</v>
      </c>
      <c r="B140" s="21">
        <v>40909</v>
      </c>
      <c r="C140" s="17">
        <v>80</v>
      </c>
      <c r="D140" s="17" t="s">
        <v>91</v>
      </c>
      <c r="E140" s="14">
        <v>498782.53</v>
      </c>
      <c r="F140" s="14">
        <v>491469.5</v>
      </c>
      <c r="G140" s="14">
        <v>491469.5</v>
      </c>
      <c r="H140" s="22">
        <f>F140*(1+Assumptions!$B$6+IF(D140="Yes",Assumptions!$C$6,0))</f>
        <v>506213.58500000002</v>
      </c>
      <c r="I140" s="22">
        <f>F140*(1+Assumptions!$B$7+IF(D140="Yes",Assumptions!$C$7,0))</f>
        <v>516042.97500000003</v>
      </c>
      <c r="J140" s="22">
        <f>F140*(1+Assumptions!$B$8+IF(D140="Yes",Assumptions!$C$8,0))</f>
        <v>496384.19500000001</v>
      </c>
    </row>
    <row r="141" spans="1:10" ht="15">
      <c r="A141" s="21">
        <v>40921</v>
      </c>
      <c r="B141" s="21">
        <v>40909</v>
      </c>
      <c r="C141" s="17">
        <v>81</v>
      </c>
      <c r="D141" s="17" t="s">
        <v>91</v>
      </c>
      <c r="E141" s="14">
        <v>693191.36</v>
      </c>
      <c r="F141" s="14">
        <v>693923</v>
      </c>
      <c r="G141" s="14">
        <v>693923</v>
      </c>
      <c r="H141" s="22">
        <f>F141*(1+Assumptions!$B$6+IF(D141="Yes",Assumptions!$C$6,0))</f>
        <v>714740.69000000006</v>
      </c>
      <c r="I141" s="22">
        <f>F141*(1+Assumptions!$B$7+IF(D141="Yes",Assumptions!$C$7,0))</f>
        <v>728619.15</v>
      </c>
      <c r="J141" s="22">
        <f>F141*(1+Assumptions!$B$8+IF(D141="Yes",Assumptions!$C$8,0))</f>
        <v>700862.23</v>
      </c>
    </row>
    <row r="142" spans="1:10" ht="15">
      <c r="A142" s="21">
        <v>40921</v>
      </c>
      <c r="B142" s="21">
        <v>40909</v>
      </c>
      <c r="C142" s="17">
        <v>82</v>
      </c>
      <c r="D142" s="17" t="s">
        <v>91</v>
      </c>
      <c r="E142" s="14">
        <v>588692.35</v>
      </c>
      <c r="F142" s="14">
        <v>550951.57999999996</v>
      </c>
      <c r="G142" s="14">
        <v>550951.57999999996</v>
      </c>
      <c r="H142" s="22">
        <f>F142*(1+Assumptions!$B$6+IF(D142="Yes",Assumptions!$C$6,0))</f>
        <v>567480.1274</v>
      </c>
      <c r="I142" s="22">
        <f>F142*(1+Assumptions!$B$7+IF(D142="Yes",Assumptions!$C$7,0))</f>
        <v>578499.15899999999</v>
      </c>
      <c r="J142" s="22">
        <f>F142*(1+Assumptions!$B$8+IF(D142="Yes",Assumptions!$C$8,0))</f>
        <v>556461.09580000001</v>
      </c>
    </row>
    <row r="143" spans="1:10" ht="15">
      <c r="A143" s="21">
        <v>40921</v>
      </c>
      <c r="B143" s="21">
        <v>40909</v>
      </c>
      <c r="C143" s="17">
        <v>83</v>
      </c>
      <c r="D143" s="17" t="s">
        <v>91</v>
      </c>
      <c r="E143" s="14">
        <v>147888.91</v>
      </c>
      <c r="F143" s="14">
        <v>156036.68</v>
      </c>
      <c r="G143" s="14">
        <v>156036.68</v>
      </c>
      <c r="H143" s="22">
        <f>F143*(1+Assumptions!$B$6+IF(D143="Yes",Assumptions!$C$6,0))</f>
        <v>160717.78039999999</v>
      </c>
      <c r="I143" s="22">
        <f>F143*(1+Assumptions!$B$7+IF(D143="Yes",Assumptions!$C$7,0))</f>
        <v>163838.514</v>
      </c>
      <c r="J143" s="22">
        <f>F143*(1+Assumptions!$B$8+IF(D143="Yes",Assumptions!$C$8,0))</f>
        <v>157597.04679999998</v>
      </c>
    </row>
    <row r="144" spans="1:10" ht="15">
      <c r="A144" s="21">
        <v>40921</v>
      </c>
      <c r="B144" s="21">
        <v>40909</v>
      </c>
      <c r="C144" s="17">
        <v>85</v>
      </c>
      <c r="D144" s="17" t="s">
        <v>91</v>
      </c>
      <c r="E144" s="14">
        <v>77699.64</v>
      </c>
      <c r="F144" s="14">
        <v>80284.41</v>
      </c>
      <c r="G144" s="14">
        <v>80284.41</v>
      </c>
      <c r="H144" s="22">
        <f>F144*(1+Assumptions!$B$6+IF(D144="Yes",Assumptions!$C$6,0))</f>
        <v>82692.94230000001</v>
      </c>
      <c r="I144" s="22">
        <f>F144*(1+Assumptions!$B$7+IF(D144="Yes",Assumptions!$C$7,0))</f>
        <v>84298.630500000014</v>
      </c>
      <c r="J144" s="22">
        <f>F144*(1+Assumptions!$B$8+IF(D144="Yes",Assumptions!$C$8,0))</f>
        <v>81087.254100000006</v>
      </c>
    </row>
    <row r="145" spans="1:10" ht="15">
      <c r="A145" s="21">
        <v>40921</v>
      </c>
      <c r="B145" s="21">
        <v>40909</v>
      </c>
      <c r="C145" s="17">
        <v>87</v>
      </c>
      <c r="D145" s="17" t="s">
        <v>91</v>
      </c>
      <c r="E145" s="14">
        <v>565606.86</v>
      </c>
      <c r="F145" s="14">
        <v>471051.79</v>
      </c>
      <c r="G145" s="14">
        <v>471051.79</v>
      </c>
      <c r="H145" s="22">
        <f>F145*(1+Assumptions!$B$6+IF(D145="Yes",Assumptions!$C$6,0))</f>
        <v>485183.34369999997</v>
      </c>
      <c r="I145" s="22">
        <f>F145*(1+Assumptions!$B$7+IF(D145="Yes",Assumptions!$C$7,0))</f>
        <v>494604.37949999998</v>
      </c>
      <c r="J145" s="22">
        <f>F145*(1+Assumptions!$B$8+IF(D145="Yes",Assumptions!$C$8,0))</f>
        <v>475762.30789999996</v>
      </c>
    </row>
    <row r="146" spans="1:10" ht="15">
      <c r="A146" s="21">
        <v>40921</v>
      </c>
      <c r="B146" s="21">
        <v>40909</v>
      </c>
      <c r="C146" s="17">
        <v>90</v>
      </c>
      <c r="D146" s="17" t="s">
        <v>91</v>
      </c>
      <c r="E146" s="14">
        <v>2191304.4900000002</v>
      </c>
      <c r="F146" s="14">
        <v>2053458.9</v>
      </c>
      <c r="G146" s="14">
        <v>2053458.9</v>
      </c>
      <c r="H146" s="22">
        <f>F146*(1+Assumptions!$B$6+IF(D146="Yes",Assumptions!$C$6,0))</f>
        <v>2115062.6669999999</v>
      </c>
      <c r="I146" s="22">
        <f>F146*(1+Assumptions!$B$7+IF(D146="Yes",Assumptions!$C$7,0))</f>
        <v>2156131.8450000002</v>
      </c>
      <c r="J146" s="22">
        <f>F146*(1+Assumptions!$B$8+IF(D146="Yes",Assumptions!$C$8,0))</f>
        <v>2073993.4889999998</v>
      </c>
    </row>
    <row r="147" spans="1:10" ht="15">
      <c r="A147" s="21">
        <v>40921</v>
      </c>
      <c r="B147" s="21">
        <v>40909</v>
      </c>
      <c r="C147" s="17">
        <v>91</v>
      </c>
      <c r="D147" s="17" t="s">
        <v>91</v>
      </c>
      <c r="E147" s="14">
        <v>1642329.01</v>
      </c>
      <c r="F147" s="14">
        <v>1618109.25</v>
      </c>
      <c r="G147" s="14">
        <v>1618109.25</v>
      </c>
      <c r="H147" s="22">
        <f>F147*(1+Assumptions!$B$6+IF(D147="Yes",Assumptions!$C$6,0))</f>
        <v>1666652.5275000001</v>
      </c>
      <c r="I147" s="22">
        <f>F147*(1+Assumptions!$B$7+IF(D147="Yes",Assumptions!$C$7,0))</f>
        <v>1699014.7125000001</v>
      </c>
      <c r="J147" s="22">
        <f>F147*(1+Assumptions!$B$8+IF(D147="Yes",Assumptions!$C$8,0))</f>
        <v>1634290.3425</v>
      </c>
    </row>
    <row r="148" spans="1:10" ht="15">
      <c r="A148" s="21">
        <v>40921</v>
      </c>
      <c r="B148" s="21">
        <v>40909</v>
      </c>
      <c r="C148" s="17">
        <v>92</v>
      </c>
      <c r="D148" s="17" t="s">
        <v>91</v>
      </c>
      <c r="E148" s="14">
        <v>3746489.07</v>
      </c>
      <c r="F148" s="14">
        <v>3443153.88</v>
      </c>
      <c r="G148" s="14">
        <v>3443153.88</v>
      </c>
      <c r="H148" s="22">
        <f>F148*(1+Assumptions!$B$6+IF(D148="Yes",Assumptions!$C$6,0))</f>
        <v>3546448.4964000001</v>
      </c>
      <c r="I148" s="22">
        <f>F148*(1+Assumptions!$B$7+IF(D148="Yes",Assumptions!$C$7,0))</f>
        <v>3615311.574</v>
      </c>
      <c r="J148" s="22">
        <f>F148*(1+Assumptions!$B$8+IF(D148="Yes",Assumptions!$C$8,0))</f>
        <v>3477585.4188000001</v>
      </c>
    </row>
    <row r="149" spans="1:10" ht="15">
      <c r="A149" s="21">
        <v>40921</v>
      </c>
      <c r="B149" s="21">
        <v>40909</v>
      </c>
      <c r="C149" s="17">
        <v>93</v>
      </c>
      <c r="D149" s="17" t="s">
        <v>91</v>
      </c>
      <c r="E149" s="14">
        <v>1179480.23</v>
      </c>
      <c r="F149" s="14">
        <v>1143981.6599999999</v>
      </c>
      <c r="G149" s="14">
        <v>1143981.6599999999</v>
      </c>
      <c r="H149" s="22">
        <f>F149*(1+Assumptions!$B$6+IF(D149="Yes",Assumptions!$C$6,0))</f>
        <v>1178301.1098</v>
      </c>
      <c r="I149" s="22">
        <f>F149*(1+Assumptions!$B$7+IF(D149="Yes",Assumptions!$C$7,0))</f>
        <v>1201180.743</v>
      </c>
      <c r="J149" s="22">
        <f>F149*(1+Assumptions!$B$8+IF(D149="Yes",Assumptions!$C$8,0))</f>
        <v>1155421.4765999999</v>
      </c>
    </row>
    <row r="150" spans="1:10" ht="15">
      <c r="A150" s="21">
        <v>40921</v>
      </c>
      <c r="B150" s="21">
        <v>40909</v>
      </c>
      <c r="C150" s="17">
        <v>94</v>
      </c>
      <c r="D150" s="17" t="s">
        <v>91</v>
      </c>
      <c r="E150" s="14">
        <v>1261695.81</v>
      </c>
      <c r="F150" s="14">
        <v>1213719.98</v>
      </c>
      <c r="G150" s="14">
        <v>1213719.98</v>
      </c>
      <c r="H150" s="22">
        <f>F150*(1+Assumptions!$B$6+IF(D150="Yes",Assumptions!$C$6,0))</f>
        <v>1250131.5793999999</v>
      </c>
      <c r="I150" s="22">
        <f>F150*(1+Assumptions!$B$7+IF(D150="Yes",Assumptions!$C$7,0))</f>
        <v>1274405.9790000001</v>
      </c>
      <c r="J150" s="22">
        <f>F150*(1+Assumptions!$B$8+IF(D150="Yes",Assumptions!$C$8,0))</f>
        <v>1225857.1798</v>
      </c>
    </row>
    <row r="151" spans="1:10" ht="15">
      <c r="A151" s="21">
        <v>40921</v>
      </c>
      <c r="B151" s="21">
        <v>40909</v>
      </c>
      <c r="C151" s="17">
        <v>95</v>
      </c>
      <c r="D151" s="17" t="s">
        <v>91</v>
      </c>
      <c r="E151" s="14">
        <v>2926984.66</v>
      </c>
      <c r="F151" s="14">
        <v>2848487.07</v>
      </c>
      <c r="G151" s="14">
        <v>2848487.07</v>
      </c>
      <c r="H151" s="22">
        <f>F151*(1+Assumptions!$B$6+IF(D151="Yes",Assumptions!$C$6,0))</f>
        <v>2933941.6820999999</v>
      </c>
      <c r="I151" s="22">
        <f>F151*(1+Assumptions!$B$7+IF(D151="Yes",Assumptions!$C$7,0))</f>
        <v>2990911.4235</v>
      </c>
      <c r="J151" s="22">
        <f>F151*(1+Assumptions!$B$8+IF(D151="Yes",Assumptions!$C$8,0))</f>
        <v>2876971.9406999997</v>
      </c>
    </row>
    <row r="152" spans="1:10" ht="15">
      <c r="A152" s="21">
        <v>40921</v>
      </c>
      <c r="B152" s="21">
        <v>40909</v>
      </c>
      <c r="C152" s="17">
        <v>96</v>
      </c>
      <c r="D152" s="17" t="s">
        <v>91</v>
      </c>
      <c r="E152" s="14">
        <v>431405.63</v>
      </c>
      <c r="F152" s="14">
        <v>395022.06</v>
      </c>
      <c r="G152" s="14">
        <v>395022.06</v>
      </c>
      <c r="H152" s="22">
        <f>F152*(1+Assumptions!$B$6+IF(D152="Yes",Assumptions!$C$6,0))</f>
        <v>406872.7218</v>
      </c>
      <c r="I152" s="22">
        <f>F152*(1+Assumptions!$B$7+IF(D152="Yes",Assumptions!$C$7,0))</f>
        <v>414773.163</v>
      </c>
      <c r="J152" s="22">
        <f>F152*(1+Assumptions!$B$8+IF(D152="Yes",Assumptions!$C$8,0))</f>
        <v>398972.2806</v>
      </c>
    </row>
    <row r="153" spans="1:10" ht="15">
      <c r="A153" s="21">
        <v>40921</v>
      </c>
      <c r="B153" s="21">
        <v>40909</v>
      </c>
      <c r="C153" s="17">
        <v>97</v>
      </c>
      <c r="D153" s="17" t="s">
        <v>91</v>
      </c>
      <c r="E153" s="14">
        <v>636658.14</v>
      </c>
      <c r="F153" s="14">
        <v>621463.92000000004</v>
      </c>
      <c r="G153" s="14">
        <v>621463.92000000004</v>
      </c>
      <c r="H153" s="22">
        <f>F153*(1+Assumptions!$B$6+IF(D153="Yes",Assumptions!$C$6,0))</f>
        <v>640107.83760000009</v>
      </c>
      <c r="I153" s="22">
        <f>F153*(1+Assumptions!$B$7+IF(D153="Yes",Assumptions!$C$7,0))</f>
        <v>652537.11600000004</v>
      </c>
      <c r="J153" s="22">
        <f>F153*(1+Assumptions!$B$8+IF(D153="Yes",Assumptions!$C$8,0))</f>
        <v>627678.55920000002</v>
      </c>
    </row>
    <row r="154" spans="1:10" ht="15">
      <c r="A154" s="21">
        <v>40921</v>
      </c>
      <c r="B154" s="21">
        <v>40909</v>
      </c>
      <c r="C154" s="17">
        <v>98</v>
      </c>
      <c r="D154" s="17" t="s">
        <v>91</v>
      </c>
      <c r="E154" s="14">
        <v>249828.48000000001</v>
      </c>
      <c r="F154" s="14">
        <v>247600.71000000002</v>
      </c>
      <c r="G154" s="14">
        <v>247600.71000000002</v>
      </c>
      <c r="H154" s="22">
        <f>F154*(1+Assumptions!$B$6+IF(D154="Yes",Assumptions!$C$6,0))</f>
        <v>255028.73130000001</v>
      </c>
      <c r="I154" s="22">
        <f>F154*(1+Assumptions!$B$7+IF(D154="Yes",Assumptions!$C$7,0))</f>
        <v>259980.74550000002</v>
      </c>
      <c r="J154" s="22">
        <f>F154*(1+Assumptions!$B$8+IF(D154="Yes",Assumptions!$C$8,0))</f>
        <v>250076.71710000001</v>
      </c>
    </row>
    <row r="155" spans="1:10" ht="15">
      <c r="A155" s="21">
        <v>40928</v>
      </c>
      <c r="B155" s="21">
        <v>40909</v>
      </c>
      <c r="C155" s="17">
        <v>1</v>
      </c>
      <c r="D155" s="17" t="s">
        <v>91</v>
      </c>
      <c r="E155" s="14">
        <v>660113.12</v>
      </c>
      <c r="F155" s="14">
        <v>623889.31999999995</v>
      </c>
      <c r="G155" s="14">
        <v>623889.31999999995</v>
      </c>
      <c r="H155" s="22">
        <f>F155*(1+Assumptions!$B$6+IF(D155="Yes",Assumptions!$C$6,0))</f>
        <v>642605.99959999998</v>
      </c>
      <c r="I155" s="22">
        <f>F155*(1+Assumptions!$B$7+IF(D155="Yes",Assumptions!$C$7,0))</f>
        <v>655083.78599999996</v>
      </c>
      <c r="J155" s="22">
        <f>F155*(1+Assumptions!$B$8+IF(D155="Yes",Assumptions!$C$8,0))</f>
        <v>630128.2132</v>
      </c>
    </row>
    <row r="156" spans="1:10" ht="15">
      <c r="A156" s="21">
        <v>40928</v>
      </c>
      <c r="B156" s="21">
        <v>40909</v>
      </c>
      <c r="C156" s="17">
        <v>2</v>
      </c>
      <c r="D156" s="17" t="s">
        <v>91</v>
      </c>
      <c r="E156" s="14">
        <v>1867059.89</v>
      </c>
      <c r="F156" s="14">
        <v>1773920.57</v>
      </c>
      <c r="G156" s="14">
        <v>1773920.57</v>
      </c>
      <c r="H156" s="22">
        <f>F156*(1+Assumptions!$B$6+IF(D156="Yes",Assumptions!$C$6,0))</f>
        <v>1827138.1871000002</v>
      </c>
      <c r="I156" s="22">
        <f>F156*(1+Assumptions!$B$7+IF(D156="Yes",Assumptions!$C$7,0))</f>
        <v>1862616.5985000001</v>
      </c>
      <c r="J156" s="22">
        <f>F156*(1+Assumptions!$B$8+IF(D156="Yes",Assumptions!$C$8,0))</f>
        <v>1791659.7757000001</v>
      </c>
    </row>
    <row r="157" spans="1:10" ht="15">
      <c r="A157" s="21">
        <v>40928</v>
      </c>
      <c r="B157" s="21">
        <v>40909</v>
      </c>
      <c r="C157" s="17">
        <v>3</v>
      </c>
      <c r="D157" s="17" t="s">
        <v>91</v>
      </c>
      <c r="E157" s="14">
        <v>524111.1</v>
      </c>
      <c r="F157" s="14">
        <v>504270.8</v>
      </c>
      <c r="G157" s="14">
        <v>504270.8</v>
      </c>
      <c r="H157" s="22">
        <f>F157*(1+Assumptions!$B$6+IF(D157="Yes",Assumptions!$C$6,0))</f>
        <v>519398.924</v>
      </c>
      <c r="I157" s="22">
        <f>F157*(1+Assumptions!$B$7+IF(D157="Yes",Assumptions!$C$7,0))</f>
        <v>529484.34</v>
      </c>
      <c r="J157" s="22">
        <f>F157*(1+Assumptions!$B$8+IF(D157="Yes",Assumptions!$C$8,0))</f>
        <v>509313.50799999997</v>
      </c>
    </row>
    <row r="158" spans="1:10" ht="15">
      <c r="A158" s="21">
        <v>40928</v>
      </c>
      <c r="B158" s="21">
        <v>40909</v>
      </c>
      <c r="C158" s="17">
        <v>4</v>
      </c>
      <c r="D158" s="17" t="s">
        <v>91</v>
      </c>
      <c r="E158" s="14">
        <v>1134875.92</v>
      </c>
      <c r="F158" s="14">
        <v>1106609.01</v>
      </c>
      <c r="G158" s="14">
        <v>1106609.01</v>
      </c>
      <c r="H158" s="22">
        <f>F158*(1+Assumptions!$B$6+IF(D158="Yes",Assumptions!$C$6,0))</f>
        <v>1139807.2803</v>
      </c>
      <c r="I158" s="22">
        <f>F158*(1+Assumptions!$B$7+IF(D158="Yes",Assumptions!$C$7,0))</f>
        <v>1161939.4605</v>
      </c>
      <c r="J158" s="22">
        <f>F158*(1+Assumptions!$B$8+IF(D158="Yes",Assumptions!$C$8,0))</f>
        <v>1117675.1000999999</v>
      </c>
    </row>
    <row r="159" spans="1:10" ht="15">
      <c r="A159" s="21">
        <v>40928</v>
      </c>
      <c r="B159" s="21">
        <v>40909</v>
      </c>
      <c r="C159" s="17">
        <v>5</v>
      </c>
      <c r="D159" s="17" t="s">
        <v>91</v>
      </c>
      <c r="E159" s="14">
        <v>695938.23</v>
      </c>
      <c r="F159" s="14">
        <v>732331.74</v>
      </c>
      <c r="G159" s="14">
        <v>732331.74</v>
      </c>
      <c r="H159" s="22">
        <f>F159*(1+Assumptions!$B$6+IF(D159="Yes",Assumptions!$C$6,0))</f>
        <v>754301.69220000005</v>
      </c>
      <c r="I159" s="22">
        <f>F159*(1+Assumptions!$B$7+IF(D159="Yes",Assumptions!$C$7,0))</f>
        <v>768948.32700000005</v>
      </c>
      <c r="J159" s="22">
        <f>F159*(1+Assumptions!$B$8+IF(D159="Yes",Assumptions!$C$8,0))</f>
        <v>739655.05740000005</v>
      </c>
    </row>
    <row r="160" spans="1:10" ht="15">
      <c r="A160" s="21">
        <v>40928</v>
      </c>
      <c r="B160" s="21">
        <v>40909</v>
      </c>
      <c r="C160" s="17">
        <v>6</v>
      </c>
      <c r="D160" s="17" t="s">
        <v>91</v>
      </c>
      <c r="E160" s="14">
        <v>94477.16</v>
      </c>
      <c r="F160" s="14">
        <v>110735.01</v>
      </c>
      <c r="G160" s="14">
        <v>110735.01</v>
      </c>
      <c r="H160" s="22">
        <f>F160*(1+Assumptions!$B$6+IF(D160="Yes",Assumptions!$C$6,0))</f>
        <v>114057.0603</v>
      </c>
      <c r="I160" s="22">
        <f>F160*(1+Assumptions!$B$7+IF(D160="Yes",Assumptions!$C$7,0))</f>
        <v>116271.7605</v>
      </c>
      <c r="J160" s="22">
        <f>F160*(1+Assumptions!$B$8+IF(D160="Yes",Assumptions!$C$8,0))</f>
        <v>111842.36009999999</v>
      </c>
    </row>
    <row r="161" spans="1:10" ht="15">
      <c r="A161" s="21">
        <v>40928</v>
      </c>
      <c r="B161" s="21">
        <v>40909</v>
      </c>
      <c r="C161" s="17">
        <v>7</v>
      </c>
      <c r="D161" s="17" t="s">
        <v>91</v>
      </c>
      <c r="E161" s="14">
        <v>507816.43</v>
      </c>
      <c r="F161" s="14">
        <v>548514.14</v>
      </c>
      <c r="G161" s="14">
        <v>548514.14</v>
      </c>
      <c r="H161" s="22">
        <f>F161*(1+Assumptions!$B$6+IF(D161="Yes",Assumptions!$C$6,0))</f>
        <v>564969.56420000002</v>
      </c>
      <c r="I161" s="22">
        <f>F161*(1+Assumptions!$B$7+IF(D161="Yes",Assumptions!$C$7,0))</f>
        <v>575939.84700000007</v>
      </c>
      <c r="J161" s="22">
        <f>F161*(1+Assumptions!$B$8+IF(D161="Yes",Assumptions!$C$8,0))</f>
        <v>553999.28139999998</v>
      </c>
    </row>
    <row r="162" spans="1:10" ht="15">
      <c r="A162" s="21">
        <v>40928</v>
      </c>
      <c r="B162" s="21">
        <v>40909</v>
      </c>
      <c r="C162" s="17">
        <v>8</v>
      </c>
      <c r="D162" s="17" t="s">
        <v>91</v>
      </c>
      <c r="E162" s="14">
        <v>1320067.53</v>
      </c>
      <c r="F162" s="14">
        <v>1309732.22</v>
      </c>
      <c r="G162" s="14">
        <v>1309732.22</v>
      </c>
      <c r="H162" s="22">
        <f>F162*(1+Assumptions!$B$6+IF(D162="Yes",Assumptions!$C$6,0))</f>
        <v>1349024.1865999999</v>
      </c>
      <c r="I162" s="22">
        <f>F162*(1+Assumptions!$B$7+IF(D162="Yes",Assumptions!$C$7,0))</f>
        <v>1375218.831</v>
      </c>
      <c r="J162" s="22">
        <f>F162*(1+Assumptions!$B$8+IF(D162="Yes",Assumptions!$C$8,0))</f>
        <v>1322829.5422</v>
      </c>
    </row>
    <row r="163" spans="1:10" ht="15">
      <c r="A163" s="21">
        <v>40928</v>
      </c>
      <c r="B163" s="21">
        <v>40909</v>
      </c>
      <c r="C163" s="17">
        <v>9</v>
      </c>
      <c r="D163" s="17" t="s">
        <v>91</v>
      </c>
      <c r="E163" s="14">
        <v>500815.47</v>
      </c>
      <c r="F163" s="14">
        <v>468204.11</v>
      </c>
      <c r="G163" s="14">
        <v>468204.11</v>
      </c>
      <c r="H163" s="22">
        <f>F163*(1+Assumptions!$B$6+IF(D163="Yes",Assumptions!$C$6,0))</f>
        <v>482250.23330000002</v>
      </c>
      <c r="I163" s="22">
        <f>F163*(1+Assumptions!$B$7+IF(D163="Yes",Assumptions!$C$7,0))</f>
        <v>491614.31550000003</v>
      </c>
      <c r="J163" s="22">
        <f>F163*(1+Assumptions!$B$8+IF(D163="Yes",Assumptions!$C$8,0))</f>
        <v>472886.15110000002</v>
      </c>
    </row>
    <row r="164" spans="1:10" ht="15">
      <c r="A164" s="21">
        <v>40928</v>
      </c>
      <c r="B164" s="21">
        <v>40909</v>
      </c>
      <c r="C164" s="17">
        <v>10</v>
      </c>
      <c r="D164" s="17" t="s">
        <v>91</v>
      </c>
      <c r="E164" s="14">
        <v>722813.76</v>
      </c>
      <c r="F164" s="14">
        <v>692514.25</v>
      </c>
      <c r="G164" s="14">
        <v>692514.25</v>
      </c>
      <c r="H164" s="22">
        <f>F164*(1+Assumptions!$B$6+IF(D164="Yes",Assumptions!$C$6,0))</f>
        <v>713289.67749999999</v>
      </c>
      <c r="I164" s="22">
        <f>F164*(1+Assumptions!$B$7+IF(D164="Yes",Assumptions!$C$7,0))</f>
        <v>727139.96250000002</v>
      </c>
      <c r="J164" s="22">
        <f>F164*(1+Assumptions!$B$8+IF(D164="Yes",Assumptions!$C$8,0))</f>
        <v>699439.39249999996</v>
      </c>
    </row>
    <row r="165" spans="1:10" ht="15">
      <c r="A165" s="21">
        <v>40928</v>
      </c>
      <c r="B165" s="21">
        <v>40909</v>
      </c>
      <c r="C165" s="17">
        <v>11</v>
      </c>
      <c r="D165" s="17" t="s">
        <v>91</v>
      </c>
      <c r="E165" s="14">
        <v>596324.57999999996</v>
      </c>
      <c r="F165" s="14">
        <v>567353.81000000006</v>
      </c>
      <c r="G165" s="14">
        <v>567353.81000000006</v>
      </c>
      <c r="H165" s="22">
        <f>F165*(1+Assumptions!$B$6+IF(D165="Yes",Assumptions!$C$6,0))</f>
        <v>584374.42430000007</v>
      </c>
      <c r="I165" s="22">
        <f>F165*(1+Assumptions!$B$7+IF(D165="Yes",Assumptions!$C$7,0))</f>
        <v>595721.50050000008</v>
      </c>
      <c r="J165" s="22">
        <f>F165*(1+Assumptions!$B$8+IF(D165="Yes",Assumptions!$C$8,0))</f>
        <v>573027.34810000006</v>
      </c>
    </row>
    <row r="166" spans="1:10" ht="15">
      <c r="A166" s="21">
        <v>40928</v>
      </c>
      <c r="B166" s="21">
        <v>40909</v>
      </c>
      <c r="C166" s="17">
        <v>12</v>
      </c>
      <c r="D166" s="17" t="s">
        <v>91</v>
      </c>
      <c r="E166" s="14">
        <v>143682.81</v>
      </c>
      <c r="F166" s="14">
        <v>126828.9</v>
      </c>
      <c r="G166" s="14">
        <v>126828.9</v>
      </c>
      <c r="H166" s="22">
        <f>F166*(1+Assumptions!$B$6+IF(D166="Yes",Assumptions!$C$6,0))</f>
        <v>130633.76699999999</v>
      </c>
      <c r="I166" s="22">
        <f>F166*(1+Assumptions!$B$7+IF(D166="Yes",Assumptions!$C$7,0))</f>
        <v>133170.345</v>
      </c>
      <c r="J166" s="22">
        <f>F166*(1+Assumptions!$B$8+IF(D166="Yes",Assumptions!$C$8,0))</f>
        <v>128097.189</v>
      </c>
    </row>
    <row r="167" spans="1:10" ht="15">
      <c r="A167" s="21">
        <v>40928</v>
      </c>
      <c r="B167" s="21">
        <v>40909</v>
      </c>
      <c r="C167" s="17">
        <v>13</v>
      </c>
      <c r="D167" s="17" t="s">
        <v>91</v>
      </c>
      <c r="E167" s="14">
        <v>1318835.6299999999</v>
      </c>
      <c r="F167" s="14">
        <v>1327652.95</v>
      </c>
      <c r="G167" s="14">
        <v>1327652.95</v>
      </c>
      <c r="H167" s="22">
        <f>F167*(1+Assumptions!$B$6+IF(D167="Yes",Assumptions!$C$6,0))</f>
        <v>1367482.5385</v>
      </c>
      <c r="I167" s="22">
        <f>F167*(1+Assumptions!$B$7+IF(D167="Yes",Assumptions!$C$7,0))</f>
        <v>1394035.5974999999</v>
      </c>
      <c r="J167" s="22">
        <f>F167*(1+Assumptions!$B$8+IF(D167="Yes",Assumptions!$C$8,0))</f>
        <v>1340929.4794999999</v>
      </c>
    </row>
    <row r="168" spans="1:10" ht="15">
      <c r="A168" s="21">
        <v>40928</v>
      </c>
      <c r="B168" s="21">
        <v>40909</v>
      </c>
      <c r="C168" s="17">
        <v>14</v>
      </c>
      <c r="D168" s="17" t="s">
        <v>91</v>
      </c>
      <c r="E168" s="14">
        <v>573522.93000000005</v>
      </c>
      <c r="F168" s="14">
        <v>539563.49</v>
      </c>
      <c r="G168" s="14">
        <v>539563.49</v>
      </c>
      <c r="H168" s="22">
        <f>F168*(1+Assumptions!$B$6+IF(D168="Yes",Assumptions!$C$6,0))</f>
        <v>555750.39470000006</v>
      </c>
      <c r="I168" s="22">
        <f>F168*(1+Assumptions!$B$7+IF(D168="Yes",Assumptions!$C$7,0))</f>
        <v>566541.66450000007</v>
      </c>
      <c r="J168" s="22">
        <f>F168*(1+Assumptions!$B$8+IF(D168="Yes",Assumptions!$C$8,0))</f>
        <v>544959.12490000005</v>
      </c>
    </row>
    <row r="169" spans="1:10" ht="15">
      <c r="A169" s="21">
        <v>40928</v>
      </c>
      <c r="B169" s="21">
        <v>40909</v>
      </c>
      <c r="C169" s="17">
        <v>16</v>
      </c>
      <c r="D169" s="17" t="s">
        <v>91</v>
      </c>
      <c r="E169" s="14">
        <v>184499.33000000002</v>
      </c>
      <c r="F169" s="14">
        <v>186542.23</v>
      </c>
      <c r="G169" s="14">
        <v>186542.23</v>
      </c>
      <c r="H169" s="22">
        <f>F169*(1+Assumptions!$B$6+IF(D169="Yes",Assumptions!$C$6,0))</f>
        <v>192138.49690000003</v>
      </c>
      <c r="I169" s="22">
        <f>F169*(1+Assumptions!$B$7+IF(D169="Yes",Assumptions!$C$7,0))</f>
        <v>195869.34150000001</v>
      </c>
      <c r="J169" s="22">
        <f>F169*(1+Assumptions!$B$8+IF(D169="Yes",Assumptions!$C$8,0))</f>
        <v>188407.65230000002</v>
      </c>
    </row>
    <row r="170" spans="1:10" ht="15">
      <c r="A170" s="21">
        <v>40928</v>
      </c>
      <c r="B170" s="21">
        <v>40909</v>
      </c>
      <c r="C170" s="17">
        <v>17</v>
      </c>
      <c r="D170" s="17" t="s">
        <v>91</v>
      </c>
      <c r="E170" s="14">
        <v>416205.6</v>
      </c>
      <c r="F170" s="14">
        <v>406614.2</v>
      </c>
      <c r="G170" s="14">
        <v>406614.2</v>
      </c>
      <c r="H170" s="22">
        <f>F170*(1+Assumptions!$B$6+IF(D170="Yes",Assumptions!$C$6,0))</f>
        <v>418812.62600000005</v>
      </c>
      <c r="I170" s="22">
        <f>F170*(1+Assumptions!$B$7+IF(D170="Yes",Assumptions!$C$7,0))</f>
        <v>426944.91000000003</v>
      </c>
      <c r="J170" s="22">
        <f>F170*(1+Assumptions!$B$8+IF(D170="Yes",Assumptions!$C$8,0))</f>
        <v>410680.342</v>
      </c>
    </row>
    <row r="171" spans="1:10" ht="15">
      <c r="A171" s="21">
        <v>40928</v>
      </c>
      <c r="B171" s="21">
        <v>40909</v>
      </c>
      <c r="C171" s="17">
        <v>18</v>
      </c>
      <c r="D171" s="17" t="s">
        <v>91</v>
      </c>
      <c r="E171" s="14">
        <v>70439.58</v>
      </c>
      <c r="F171" s="14">
        <v>63380.32</v>
      </c>
      <c r="G171" s="14">
        <v>63380.32</v>
      </c>
      <c r="H171" s="22">
        <f>F171*(1+Assumptions!$B$6+IF(D171="Yes",Assumptions!$C$6,0))</f>
        <v>65281.729599999999</v>
      </c>
      <c r="I171" s="22">
        <f>F171*(1+Assumptions!$B$7+IF(D171="Yes",Assumptions!$C$7,0))</f>
        <v>66549.335999999996</v>
      </c>
      <c r="J171" s="22">
        <f>F171*(1+Assumptions!$B$8+IF(D171="Yes",Assumptions!$C$8,0))</f>
        <v>64014.123200000002</v>
      </c>
    </row>
    <row r="172" spans="1:10" ht="15">
      <c r="A172" s="21">
        <v>40928</v>
      </c>
      <c r="B172" s="21">
        <v>40909</v>
      </c>
      <c r="C172" s="17">
        <v>19</v>
      </c>
      <c r="D172" s="17" t="s">
        <v>91</v>
      </c>
      <c r="E172" s="14">
        <v>37691.019999999997</v>
      </c>
      <c r="F172" s="14">
        <v>40569.51</v>
      </c>
      <c r="G172" s="14">
        <v>40569.51</v>
      </c>
      <c r="H172" s="22">
        <f>F172*(1+Assumptions!$B$6+IF(D172="Yes",Assumptions!$C$6,0))</f>
        <v>41786.595300000001</v>
      </c>
      <c r="I172" s="22">
        <f>F172*(1+Assumptions!$B$7+IF(D172="Yes",Assumptions!$C$7,0))</f>
        <v>42597.985500000003</v>
      </c>
      <c r="J172" s="22">
        <f>F172*(1+Assumptions!$B$8+IF(D172="Yes",Assumptions!$C$8,0))</f>
        <v>40975.205099999999</v>
      </c>
    </row>
    <row r="173" spans="1:10" ht="15">
      <c r="A173" s="21">
        <v>40928</v>
      </c>
      <c r="B173" s="21">
        <v>40909</v>
      </c>
      <c r="C173" s="17">
        <v>20</v>
      </c>
      <c r="D173" s="17" t="s">
        <v>91</v>
      </c>
      <c r="E173" s="14">
        <v>191921.75</v>
      </c>
      <c r="F173" s="14">
        <v>176322.62</v>
      </c>
      <c r="G173" s="14">
        <v>176322.62</v>
      </c>
      <c r="H173" s="22">
        <f>F173*(1+Assumptions!$B$6+IF(D173="Yes",Assumptions!$C$6,0))</f>
        <v>181612.29860000001</v>
      </c>
      <c r="I173" s="22">
        <f>F173*(1+Assumptions!$B$7+IF(D173="Yes",Assumptions!$C$7,0))</f>
        <v>185138.75099999999</v>
      </c>
      <c r="J173" s="22">
        <f>F173*(1+Assumptions!$B$8+IF(D173="Yes",Assumptions!$C$8,0))</f>
        <v>178085.8462</v>
      </c>
    </row>
    <row r="174" spans="1:10" ht="15">
      <c r="A174" s="21">
        <v>40928</v>
      </c>
      <c r="B174" s="21">
        <v>40909</v>
      </c>
      <c r="C174" s="17">
        <v>21</v>
      </c>
      <c r="D174" s="17" t="s">
        <v>91</v>
      </c>
      <c r="E174" s="14">
        <v>179754.12</v>
      </c>
      <c r="F174" s="14">
        <v>190346.86000000002</v>
      </c>
      <c r="G174" s="14">
        <v>190346.86000000002</v>
      </c>
      <c r="H174" s="22">
        <f>F174*(1+Assumptions!$B$6+IF(D174="Yes",Assumptions!$C$6,0))</f>
        <v>196057.26580000002</v>
      </c>
      <c r="I174" s="22">
        <f>F174*(1+Assumptions!$B$7+IF(D174="Yes",Assumptions!$C$7,0))</f>
        <v>199864.20300000004</v>
      </c>
      <c r="J174" s="22">
        <f>F174*(1+Assumptions!$B$8+IF(D174="Yes",Assumptions!$C$8,0))</f>
        <v>192250.32860000001</v>
      </c>
    </row>
    <row r="175" spans="1:10" ht="15">
      <c r="A175" s="21">
        <v>40928</v>
      </c>
      <c r="B175" s="21">
        <v>40909</v>
      </c>
      <c r="C175" s="17">
        <v>22</v>
      </c>
      <c r="D175" s="17" t="s">
        <v>91</v>
      </c>
      <c r="E175" s="14">
        <v>350899.19</v>
      </c>
      <c r="F175" s="14">
        <v>343649.5</v>
      </c>
      <c r="G175" s="14">
        <v>343649.5</v>
      </c>
      <c r="H175" s="22">
        <f>F175*(1+Assumptions!$B$6+IF(D175="Yes",Assumptions!$C$6,0))</f>
        <v>353958.98499999999</v>
      </c>
      <c r="I175" s="22">
        <f>F175*(1+Assumptions!$B$7+IF(D175="Yes",Assumptions!$C$7,0))</f>
        <v>360831.97500000003</v>
      </c>
      <c r="J175" s="22">
        <f>F175*(1+Assumptions!$B$8+IF(D175="Yes",Assumptions!$C$8,0))</f>
        <v>347085.995</v>
      </c>
    </row>
    <row r="176" spans="1:10" ht="15">
      <c r="A176" s="21">
        <v>40928</v>
      </c>
      <c r="B176" s="21">
        <v>40909</v>
      </c>
      <c r="C176" s="17">
        <v>23</v>
      </c>
      <c r="D176" s="17" t="s">
        <v>91</v>
      </c>
      <c r="E176" s="14">
        <v>696285.35</v>
      </c>
      <c r="F176" s="14">
        <v>675475.65</v>
      </c>
      <c r="G176" s="14">
        <v>675475.65</v>
      </c>
      <c r="H176" s="22">
        <f>F176*(1+Assumptions!$B$6+IF(D176="Yes",Assumptions!$C$6,0))</f>
        <v>695739.91950000008</v>
      </c>
      <c r="I176" s="22">
        <f>F176*(1+Assumptions!$B$7+IF(D176="Yes",Assumptions!$C$7,0))</f>
        <v>709249.43250000011</v>
      </c>
      <c r="J176" s="22">
        <f>F176*(1+Assumptions!$B$8+IF(D176="Yes",Assumptions!$C$8,0))</f>
        <v>682230.40650000004</v>
      </c>
    </row>
    <row r="177" spans="1:10" ht="15">
      <c r="A177" s="21">
        <v>40928</v>
      </c>
      <c r="B177" s="21">
        <v>40909</v>
      </c>
      <c r="C177" s="17">
        <v>24</v>
      </c>
      <c r="D177" s="17" t="s">
        <v>91</v>
      </c>
      <c r="E177" s="14">
        <v>136385.29</v>
      </c>
      <c r="F177" s="14">
        <v>136204.03</v>
      </c>
      <c r="G177" s="14">
        <v>136204.03</v>
      </c>
      <c r="H177" s="22">
        <f>F177*(1+Assumptions!$B$6+IF(D177="Yes",Assumptions!$C$6,0))</f>
        <v>140290.15090000001</v>
      </c>
      <c r="I177" s="22">
        <f>F177*(1+Assumptions!$B$7+IF(D177="Yes",Assumptions!$C$7,0))</f>
        <v>143014.23149999999</v>
      </c>
      <c r="J177" s="22">
        <f>F177*(1+Assumptions!$B$8+IF(D177="Yes",Assumptions!$C$8,0))</f>
        <v>137566.07029999999</v>
      </c>
    </row>
    <row r="178" spans="1:10" ht="15">
      <c r="A178" s="21">
        <v>40928</v>
      </c>
      <c r="B178" s="21">
        <v>40909</v>
      </c>
      <c r="C178" s="17">
        <v>25</v>
      </c>
      <c r="D178" s="17" t="s">
        <v>91</v>
      </c>
      <c r="E178" s="14">
        <v>283591.7</v>
      </c>
      <c r="F178" s="14">
        <v>276681.23</v>
      </c>
      <c r="G178" s="14">
        <v>276681.23</v>
      </c>
      <c r="H178" s="22">
        <f>F178*(1+Assumptions!$B$6+IF(D178="Yes",Assumptions!$C$6,0))</f>
        <v>284981.66690000001</v>
      </c>
      <c r="I178" s="22">
        <f>F178*(1+Assumptions!$B$7+IF(D178="Yes",Assumptions!$C$7,0))</f>
        <v>290515.29149999999</v>
      </c>
      <c r="J178" s="22">
        <f>F178*(1+Assumptions!$B$8+IF(D178="Yes",Assumptions!$C$8,0))</f>
        <v>279448.04229999997</v>
      </c>
    </row>
    <row r="179" spans="1:10" ht="15">
      <c r="A179" s="21">
        <v>40928</v>
      </c>
      <c r="B179" s="21">
        <v>40909</v>
      </c>
      <c r="C179" s="17">
        <v>26</v>
      </c>
      <c r="D179" s="17" t="s">
        <v>91</v>
      </c>
      <c r="E179" s="14">
        <v>208483.77</v>
      </c>
      <c r="F179" s="14">
        <v>213511.23</v>
      </c>
      <c r="G179" s="14">
        <v>213511.23</v>
      </c>
      <c r="H179" s="22">
        <f>F179*(1+Assumptions!$B$6+IF(D179="Yes",Assumptions!$C$6,0))</f>
        <v>219916.56690000001</v>
      </c>
      <c r="I179" s="22">
        <f>F179*(1+Assumptions!$B$7+IF(D179="Yes",Assumptions!$C$7,0))</f>
        <v>224186.79150000002</v>
      </c>
      <c r="J179" s="22">
        <f>F179*(1+Assumptions!$B$8+IF(D179="Yes",Assumptions!$C$8,0))</f>
        <v>215646.34230000002</v>
      </c>
    </row>
    <row r="180" spans="1:10" ht="15">
      <c r="A180" s="21">
        <v>40928</v>
      </c>
      <c r="B180" s="21">
        <v>40909</v>
      </c>
      <c r="C180" s="17">
        <v>27</v>
      </c>
      <c r="D180" s="17" t="s">
        <v>91</v>
      </c>
      <c r="E180" s="14">
        <v>63842.5</v>
      </c>
      <c r="F180" s="14">
        <v>63826.25</v>
      </c>
      <c r="G180" s="14">
        <v>63826.25</v>
      </c>
      <c r="H180" s="22">
        <f>F180*(1+Assumptions!$B$6+IF(D180="Yes",Assumptions!$C$6,0))</f>
        <v>65741.037500000006</v>
      </c>
      <c r="I180" s="22">
        <f>F180*(1+Assumptions!$B$7+IF(D180="Yes",Assumptions!$C$7,0))</f>
        <v>67017.5625</v>
      </c>
      <c r="J180" s="22">
        <f>F180*(1+Assumptions!$B$8+IF(D180="Yes",Assumptions!$C$8,0))</f>
        <v>64464.512499999997</v>
      </c>
    </row>
    <row r="181" spans="1:10" ht="15">
      <c r="A181" s="21">
        <v>40928</v>
      </c>
      <c r="B181" s="21">
        <v>40909</v>
      </c>
      <c r="C181" s="17">
        <v>28</v>
      </c>
      <c r="D181" s="17" t="s">
        <v>91</v>
      </c>
      <c r="E181" s="14">
        <v>28009.32</v>
      </c>
      <c r="F181" s="14">
        <v>28637.54</v>
      </c>
      <c r="G181" s="14">
        <v>28637.54</v>
      </c>
      <c r="H181" s="22">
        <f>F181*(1+Assumptions!$B$6+IF(D181="Yes",Assumptions!$C$6,0))</f>
        <v>29496.666200000003</v>
      </c>
      <c r="I181" s="22">
        <f>F181*(1+Assumptions!$B$7+IF(D181="Yes",Assumptions!$C$7,0))</f>
        <v>30069.417000000001</v>
      </c>
      <c r="J181" s="22">
        <f>F181*(1+Assumptions!$B$8+IF(D181="Yes",Assumptions!$C$8,0))</f>
        <v>28923.915400000002</v>
      </c>
    </row>
    <row r="182" spans="1:10" ht="15">
      <c r="A182" s="21">
        <v>40928</v>
      </c>
      <c r="B182" s="21">
        <v>40909</v>
      </c>
      <c r="C182" s="17">
        <v>29</v>
      </c>
      <c r="D182" s="17" t="s">
        <v>91</v>
      </c>
      <c r="E182" s="14">
        <v>176386.07</v>
      </c>
      <c r="F182" s="14">
        <v>173771.32</v>
      </c>
      <c r="G182" s="14">
        <v>173771.32</v>
      </c>
      <c r="H182" s="22">
        <f>F182*(1+Assumptions!$B$6+IF(D182="Yes",Assumptions!$C$6,0))</f>
        <v>178984.4596</v>
      </c>
      <c r="I182" s="22">
        <f>F182*(1+Assumptions!$B$7+IF(D182="Yes",Assumptions!$C$7,0))</f>
        <v>182459.88600000003</v>
      </c>
      <c r="J182" s="22">
        <f>F182*(1+Assumptions!$B$8+IF(D182="Yes",Assumptions!$C$8,0))</f>
        <v>175509.03320000001</v>
      </c>
    </row>
    <row r="183" spans="1:10" ht="15">
      <c r="A183" s="21">
        <v>40928</v>
      </c>
      <c r="B183" s="21">
        <v>40909</v>
      </c>
      <c r="C183" s="17">
        <v>30</v>
      </c>
      <c r="D183" s="17" t="s">
        <v>91</v>
      </c>
      <c r="E183" s="14">
        <v>107269.74</v>
      </c>
      <c r="F183" s="14">
        <v>114152.42</v>
      </c>
      <c r="G183" s="14">
        <v>114152.42</v>
      </c>
      <c r="H183" s="22">
        <f>F183*(1+Assumptions!$B$6+IF(D183="Yes",Assumptions!$C$6,0))</f>
        <v>117576.9926</v>
      </c>
      <c r="I183" s="22">
        <f>F183*(1+Assumptions!$B$7+IF(D183="Yes",Assumptions!$C$7,0))</f>
        <v>119860.041</v>
      </c>
      <c r="J183" s="22">
        <f>F183*(1+Assumptions!$B$8+IF(D183="Yes",Assumptions!$C$8,0))</f>
        <v>115293.9442</v>
      </c>
    </row>
    <row r="184" spans="1:10" ht="15">
      <c r="A184" s="21">
        <v>40928</v>
      </c>
      <c r="B184" s="21">
        <v>40909</v>
      </c>
      <c r="C184" s="17">
        <v>31</v>
      </c>
      <c r="D184" s="17" t="s">
        <v>91</v>
      </c>
      <c r="E184" s="14">
        <v>69886.009999999995</v>
      </c>
      <c r="F184" s="14">
        <v>76726.37</v>
      </c>
      <c r="G184" s="14">
        <v>76726.37</v>
      </c>
      <c r="H184" s="22">
        <f>F184*(1+Assumptions!$B$6+IF(D184="Yes",Assumptions!$C$6,0))</f>
        <v>79028.161099999998</v>
      </c>
      <c r="I184" s="22">
        <f>F184*(1+Assumptions!$B$7+IF(D184="Yes",Assumptions!$C$7,0))</f>
        <v>80562.688500000004</v>
      </c>
      <c r="J184" s="22">
        <f>F184*(1+Assumptions!$B$8+IF(D184="Yes",Assumptions!$C$8,0))</f>
        <v>77493.633699999991</v>
      </c>
    </row>
    <row r="185" spans="1:10" ht="15">
      <c r="A185" s="21">
        <v>40928</v>
      </c>
      <c r="B185" s="21">
        <v>40909</v>
      </c>
      <c r="C185" s="17">
        <v>32</v>
      </c>
      <c r="D185" s="17" t="s">
        <v>91</v>
      </c>
      <c r="E185" s="14">
        <v>182427.53</v>
      </c>
      <c r="F185" s="14">
        <v>173404.83</v>
      </c>
      <c r="G185" s="14">
        <v>173404.83</v>
      </c>
      <c r="H185" s="22">
        <f>F185*(1+Assumptions!$B$6+IF(D185="Yes",Assumptions!$C$6,0))</f>
        <v>178606.9749</v>
      </c>
      <c r="I185" s="22">
        <f>F185*(1+Assumptions!$B$7+IF(D185="Yes",Assumptions!$C$7,0))</f>
        <v>182075.07149999999</v>
      </c>
      <c r="J185" s="22">
        <f>F185*(1+Assumptions!$B$8+IF(D185="Yes",Assumptions!$C$8,0))</f>
        <v>175138.87829999998</v>
      </c>
    </row>
    <row r="186" spans="1:10" ht="15">
      <c r="A186" s="21">
        <v>40928</v>
      </c>
      <c r="B186" s="21">
        <v>40909</v>
      </c>
      <c r="C186" s="17">
        <v>33</v>
      </c>
      <c r="D186" s="17" t="s">
        <v>91</v>
      </c>
      <c r="E186" s="14">
        <v>133656.51999999999</v>
      </c>
      <c r="F186" s="14">
        <v>133766.88</v>
      </c>
      <c r="G186" s="14">
        <v>133766.88</v>
      </c>
      <c r="H186" s="22">
        <f>F186*(1+Assumptions!$B$6+IF(D186="Yes",Assumptions!$C$6,0))</f>
        <v>137779.88640000002</v>
      </c>
      <c r="I186" s="22">
        <f>F186*(1+Assumptions!$B$7+IF(D186="Yes",Assumptions!$C$7,0))</f>
        <v>140455.22400000002</v>
      </c>
      <c r="J186" s="22">
        <f>F186*(1+Assumptions!$B$8+IF(D186="Yes",Assumptions!$C$8,0))</f>
        <v>135104.54880000002</v>
      </c>
    </row>
    <row r="187" spans="1:10" ht="15">
      <c r="A187" s="21">
        <v>40928</v>
      </c>
      <c r="B187" s="21">
        <v>40909</v>
      </c>
      <c r="C187" s="17">
        <v>34</v>
      </c>
      <c r="D187" s="17" t="s">
        <v>91</v>
      </c>
      <c r="E187" s="14">
        <v>382764.06</v>
      </c>
      <c r="F187" s="14">
        <v>381551.72</v>
      </c>
      <c r="G187" s="14">
        <v>381551.72</v>
      </c>
      <c r="H187" s="22">
        <f>F187*(1+Assumptions!$B$6+IF(D187="Yes",Assumptions!$C$6,0))</f>
        <v>392998.27159999998</v>
      </c>
      <c r="I187" s="22">
        <f>F187*(1+Assumptions!$B$7+IF(D187="Yes",Assumptions!$C$7,0))</f>
        <v>400629.30599999998</v>
      </c>
      <c r="J187" s="22">
        <f>F187*(1+Assumptions!$B$8+IF(D187="Yes",Assumptions!$C$8,0))</f>
        <v>385367.23719999997</v>
      </c>
    </row>
    <row r="188" spans="1:10" ht="15">
      <c r="A188" s="21">
        <v>40928</v>
      </c>
      <c r="B188" s="21">
        <v>40909</v>
      </c>
      <c r="C188" s="17">
        <v>35</v>
      </c>
      <c r="D188" s="17" t="s">
        <v>91</v>
      </c>
      <c r="E188" s="14">
        <v>69626.509999999995</v>
      </c>
      <c r="F188" s="14">
        <v>64107.67</v>
      </c>
      <c r="G188" s="14">
        <v>64107.67</v>
      </c>
      <c r="H188" s="22">
        <f>F188*(1+Assumptions!$B$6+IF(D188="Yes",Assumptions!$C$6,0))</f>
        <v>66030.900099999999</v>
      </c>
      <c r="I188" s="22">
        <f>F188*(1+Assumptions!$B$7+IF(D188="Yes",Assumptions!$C$7,0))</f>
        <v>67313.053499999995</v>
      </c>
      <c r="J188" s="22">
        <f>F188*(1+Assumptions!$B$8+IF(D188="Yes",Assumptions!$C$8,0))</f>
        <v>64748.746699999996</v>
      </c>
    </row>
    <row r="189" spans="1:10" ht="15">
      <c r="A189" s="21">
        <v>40928</v>
      </c>
      <c r="B189" s="21">
        <v>40909</v>
      </c>
      <c r="C189" s="17">
        <v>36</v>
      </c>
      <c r="D189" s="17" t="s">
        <v>91</v>
      </c>
      <c r="E189" s="14">
        <v>38554.89</v>
      </c>
      <c r="F189" s="14">
        <v>36752.75</v>
      </c>
      <c r="G189" s="14">
        <v>36752.75</v>
      </c>
      <c r="H189" s="22">
        <f>F189*(1+Assumptions!$B$6+IF(D189="Yes",Assumptions!$C$6,0))</f>
        <v>37855.332500000004</v>
      </c>
      <c r="I189" s="22">
        <f>F189*(1+Assumptions!$B$7+IF(D189="Yes",Assumptions!$C$7,0))</f>
        <v>38590.387500000004</v>
      </c>
      <c r="J189" s="22">
        <f>F189*(1+Assumptions!$B$8+IF(D189="Yes",Assumptions!$C$8,0))</f>
        <v>37120.277500000004</v>
      </c>
    </row>
    <row r="190" spans="1:10" ht="15">
      <c r="A190" s="21">
        <v>40928</v>
      </c>
      <c r="B190" s="21">
        <v>40909</v>
      </c>
      <c r="C190" s="17">
        <v>37</v>
      </c>
      <c r="D190" s="17" t="s">
        <v>91</v>
      </c>
      <c r="E190" s="14">
        <v>51568.480000000003</v>
      </c>
      <c r="F190" s="14">
        <v>54158.79</v>
      </c>
      <c r="G190" s="14">
        <v>54158.79</v>
      </c>
      <c r="H190" s="22">
        <f>F190*(1+Assumptions!$B$6+IF(D190="Yes",Assumptions!$C$6,0))</f>
        <v>55783.553700000004</v>
      </c>
      <c r="I190" s="22">
        <f>F190*(1+Assumptions!$B$7+IF(D190="Yes",Assumptions!$C$7,0))</f>
        <v>56866.729500000001</v>
      </c>
      <c r="J190" s="22">
        <f>F190*(1+Assumptions!$B$8+IF(D190="Yes",Assumptions!$C$8,0))</f>
        <v>54700.377899999999</v>
      </c>
    </row>
    <row r="191" spans="1:10" ht="15">
      <c r="A191" s="21">
        <v>40928</v>
      </c>
      <c r="B191" s="21">
        <v>40909</v>
      </c>
      <c r="C191" s="17">
        <v>38</v>
      </c>
      <c r="D191" s="17" t="s">
        <v>91</v>
      </c>
      <c r="E191" s="14">
        <v>2835067.85</v>
      </c>
      <c r="F191" s="14">
        <v>2780393.82</v>
      </c>
      <c r="G191" s="14">
        <v>2780393.82</v>
      </c>
      <c r="H191" s="22">
        <f>F191*(1+Assumptions!$B$6+IF(D191="Yes",Assumptions!$C$6,0))</f>
        <v>2863805.6346</v>
      </c>
      <c r="I191" s="22">
        <f>F191*(1+Assumptions!$B$7+IF(D191="Yes",Assumptions!$C$7,0))</f>
        <v>2919413.5109999999</v>
      </c>
      <c r="J191" s="22">
        <f>F191*(1+Assumptions!$B$8+IF(D191="Yes",Assumptions!$C$8,0))</f>
        <v>2808197.7582</v>
      </c>
    </row>
    <row r="192" spans="1:10" ht="15">
      <c r="A192" s="21">
        <v>40928</v>
      </c>
      <c r="B192" s="21">
        <v>40909</v>
      </c>
      <c r="C192" s="17">
        <v>40</v>
      </c>
      <c r="D192" s="17" t="s">
        <v>91</v>
      </c>
      <c r="E192" s="14">
        <v>2116767.62</v>
      </c>
      <c r="F192" s="14">
        <v>2034114.4</v>
      </c>
      <c r="G192" s="14">
        <v>2034114.4</v>
      </c>
      <c r="H192" s="22">
        <f>F192*(1+Assumptions!$B$6+IF(D192="Yes",Assumptions!$C$6,0))</f>
        <v>2095137.8319999999</v>
      </c>
      <c r="I192" s="22">
        <f>F192*(1+Assumptions!$B$7+IF(D192="Yes",Assumptions!$C$7,0))</f>
        <v>2135820.12</v>
      </c>
      <c r="J192" s="22">
        <f>F192*(1+Assumptions!$B$8+IF(D192="Yes",Assumptions!$C$8,0))</f>
        <v>2054455.544</v>
      </c>
    </row>
    <row r="193" spans="1:10" ht="15">
      <c r="A193" s="21">
        <v>40928</v>
      </c>
      <c r="B193" s="21">
        <v>40909</v>
      </c>
      <c r="C193" s="17">
        <v>41</v>
      </c>
      <c r="D193" s="17" t="s">
        <v>91</v>
      </c>
      <c r="E193" s="14">
        <v>32662.38</v>
      </c>
      <c r="F193" s="14">
        <v>49044.86</v>
      </c>
      <c r="G193" s="14">
        <v>49044.86</v>
      </c>
      <c r="H193" s="22">
        <f>F193*(1+Assumptions!$B$6+IF(D193="Yes",Assumptions!$C$6,0))</f>
        <v>50516.205800000003</v>
      </c>
      <c r="I193" s="22">
        <f>F193*(1+Assumptions!$B$7+IF(D193="Yes",Assumptions!$C$7,0))</f>
        <v>51497.103000000003</v>
      </c>
      <c r="J193" s="22">
        <f>F193*(1+Assumptions!$B$8+IF(D193="Yes",Assumptions!$C$8,0))</f>
        <v>49535.308600000004</v>
      </c>
    </row>
    <row r="194" spans="1:10" ht="15">
      <c r="A194" s="21">
        <v>40928</v>
      </c>
      <c r="B194" s="21">
        <v>40909</v>
      </c>
      <c r="C194" s="17">
        <v>42</v>
      </c>
      <c r="D194" s="17" t="s">
        <v>91</v>
      </c>
      <c r="E194" s="14">
        <v>214246.57</v>
      </c>
      <c r="F194" s="14">
        <v>194537.19999999998</v>
      </c>
      <c r="G194" s="14">
        <v>194537.19999999998</v>
      </c>
      <c r="H194" s="22">
        <f>F194*(1+Assumptions!$B$6+IF(D194="Yes",Assumptions!$C$6,0))</f>
        <v>200373.31599999999</v>
      </c>
      <c r="I194" s="22">
        <f>F194*(1+Assumptions!$B$7+IF(D194="Yes",Assumptions!$C$7,0))</f>
        <v>204264.06</v>
      </c>
      <c r="J194" s="22">
        <f>F194*(1+Assumptions!$B$8+IF(D194="Yes",Assumptions!$C$8,0))</f>
        <v>196482.57199999999</v>
      </c>
    </row>
    <row r="195" spans="1:10" ht="15">
      <c r="A195" s="21">
        <v>40928</v>
      </c>
      <c r="B195" s="21">
        <v>40909</v>
      </c>
      <c r="C195" s="17">
        <v>44</v>
      </c>
      <c r="D195" s="17" t="s">
        <v>91</v>
      </c>
      <c r="E195" s="14">
        <v>155638.03</v>
      </c>
      <c r="F195" s="14">
        <v>148802.45000000001</v>
      </c>
      <c r="G195" s="14">
        <v>148802.45000000001</v>
      </c>
      <c r="H195" s="22">
        <f>F195*(1+Assumptions!$B$6+IF(D195="Yes",Assumptions!$C$6,0))</f>
        <v>153266.52350000001</v>
      </c>
      <c r="I195" s="22">
        <f>F195*(1+Assumptions!$B$7+IF(D195="Yes",Assumptions!$C$7,0))</f>
        <v>156242.57250000001</v>
      </c>
      <c r="J195" s="22">
        <f>F195*(1+Assumptions!$B$8+IF(D195="Yes",Assumptions!$C$8,0))</f>
        <v>150290.47450000001</v>
      </c>
    </row>
    <row r="196" spans="1:10" ht="15">
      <c r="A196" s="21">
        <v>40928</v>
      </c>
      <c r="B196" s="21">
        <v>40909</v>
      </c>
      <c r="C196" s="17">
        <v>45</v>
      </c>
      <c r="D196" s="17" t="s">
        <v>91</v>
      </c>
      <c r="E196" s="14">
        <v>31.91</v>
      </c>
      <c r="F196" s="14">
        <v>47.42</v>
      </c>
      <c r="G196" s="14">
        <v>47.42</v>
      </c>
      <c r="H196" s="22">
        <f>F196*(1+Assumptions!$B$6+IF(D196="Yes",Assumptions!$C$6,0))</f>
        <v>48.842600000000004</v>
      </c>
      <c r="I196" s="22">
        <f>F196*(1+Assumptions!$B$7+IF(D196="Yes",Assumptions!$C$7,0))</f>
        <v>49.791000000000004</v>
      </c>
      <c r="J196" s="22">
        <f>F196*(1+Assumptions!$B$8+IF(D196="Yes",Assumptions!$C$8,0))</f>
        <v>47.894200000000005</v>
      </c>
    </row>
    <row r="197" spans="1:10" ht="15">
      <c r="A197" s="21">
        <v>40928</v>
      </c>
      <c r="B197" s="21">
        <v>40909</v>
      </c>
      <c r="C197" s="17">
        <v>46</v>
      </c>
      <c r="D197" s="17" t="s">
        <v>91</v>
      </c>
      <c r="E197" s="14">
        <v>803965.97</v>
      </c>
      <c r="F197" s="14">
        <v>765253.84</v>
      </c>
      <c r="G197" s="14">
        <v>765253.84</v>
      </c>
      <c r="H197" s="22">
        <f>F197*(1+Assumptions!$B$6+IF(D197="Yes",Assumptions!$C$6,0))</f>
        <v>788211.45519999997</v>
      </c>
      <c r="I197" s="22">
        <f>F197*(1+Assumptions!$B$7+IF(D197="Yes",Assumptions!$C$7,0))</f>
        <v>803516.53200000001</v>
      </c>
      <c r="J197" s="22">
        <f>F197*(1+Assumptions!$B$8+IF(D197="Yes",Assumptions!$C$8,0))</f>
        <v>772906.37839999993</v>
      </c>
    </row>
    <row r="198" spans="1:10" ht="15">
      <c r="A198" s="21">
        <v>40928</v>
      </c>
      <c r="B198" s="21">
        <v>40909</v>
      </c>
      <c r="C198" s="17">
        <v>48</v>
      </c>
      <c r="D198" s="17" t="s">
        <v>91</v>
      </c>
      <c r="E198" s="14">
        <v>12206</v>
      </c>
      <c r="F198" s="14">
        <v>7078</v>
      </c>
      <c r="G198" s="14">
        <v>7078</v>
      </c>
      <c r="H198" s="22">
        <f>F198*(1+Assumptions!$B$6+IF(D198="Yes",Assumptions!$C$6,0))</f>
        <v>7290.34</v>
      </c>
      <c r="I198" s="22">
        <f>F198*(1+Assumptions!$B$7+IF(D198="Yes",Assumptions!$C$7,0))</f>
        <v>7431.9000000000005</v>
      </c>
      <c r="J198" s="22">
        <f>F198*(1+Assumptions!$B$8+IF(D198="Yes",Assumptions!$C$8,0))</f>
        <v>7148.78</v>
      </c>
    </row>
    <row r="199" spans="1:10" ht="15">
      <c r="A199" s="21">
        <v>40928</v>
      </c>
      <c r="B199" s="21">
        <v>40909</v>
      </c>
      <c r="C199" s="17">
        <v>49</v>
      </c>
      <c r="D199" s="17" t="s">
        <v>91</v>
      </c>
      <c r="E199" s="14">
        <v>266317.03000000003</v>
      </c>
      <c r="F199" s="14">
        <v>264765.59999999998</v>
      </c>
      <c r="G199" s="14">
        <v>264765.59999999998</v>
      </c>
      <c r="H199" s="22">
        <f>F199*(1+Assumptions!$B$6+IF(D199="Yes",Assumptions!$C$6,0))</f>
        <v>272708.56799999997</v>
      </c>
      <c r="I199" s="22">
        <f>F199*(1+Assumptions!$B$7+IF(D199="Yes",Assumptions!$C$7,0))</f>
        <v>278003.88</v>
      </c>
      <c r="J199" s="22">
        <f>F199*(1+Assumptions!$B$8+IF(D199="Yes",Assumptions!$C$8,0))</f>
        <v>267413.25599999999</v>
      </c>
    </row>
    <row r="200" spans="1:10" ht="15">
      <c r="A200" s="21">
        <v>40928</v>
      </c>
      <c r="B200" s="21">
        <v>40909</v>
      </c>
      <c r="C200" s="17">
        <v>50</v>
      </c>
      <c r="D200" s="17" t="s">
        <v>91</v>
      </c>
      <c r="E200" s="14">
        <v>29245</v>
      </c>
      <c r="F200" s="14">
        <v>30170.12</v>
      </c>
      <c r="G200" s="14">
        <v>30170.12</v>
      </c>
      <c r="H200" s="22">
        <f>F200*(1+Assumptions!$B$6+IF(D200="Yes",Assumptions!$C$6,0))</f>
        <v>31075.223600000001</v>
      </c>
      <c r="I200" s="22">
        <f>F200*(1+Assumptions!$B$7+IF(D200="Yes",Assumptions!$C$7,0))</f>
        <v>31678.626</v>
      </c>
      <c r="J200" s="22">
        <f>F200*(1+Assumptions!$B$8+IF(D200="Yes",Assumptions!$C$8,0))</f>
        <v>30471.821199999998</v>
      </c>
    </row>
    <row r="201" spans="1:10" ht="15">
      <c r="A201" s="21">
        <v>40928</v>
      </c>
      <c r="B201" s="21">
        <v>40909</v>
      </c>
      <c r="C201" s="17">
        <v>52</v>
      </c>
      <c r="D201" s="17" t="s">
        <v>91</v>
      </c>
      <c r="E201" s="14">
        <v>70097.58</v>
      </c>
      <c r="F201" s="14">
        <v>66098.73</v>
      </c>
      <c r="G201" s="14">
        <v>66098.73</v>
      </c>
      <c r="H201" s="22">
        <f>F201*(1+Assumptions!$B$6+IF(D201="Yes",Assumptions!$C$6,0))</f>
        <v>68081.691899999991</v>
      </c>
      <c r="I201" s="22">
        <f>F201*(1+Assumptions!$B$7+IF(D201="Yes",Assumptions!$C$7,0))</f>
        <v>69403.666499999992</v>
      </c>
      <c r="J201" s="22">
        <f>F201*(1+Assumptions!$B$8+IF(D201="Yes",Assumptions!$C$8,0))</f>
        <v>66759.717299999989</v>
      </c>
    </row>
    <row r="202" spans="1:10" ht="15">
      <c r="A202" s="21">
        <v>40928</v>
      </c>
      <c r="B202" s="21">
        <v>40909</v>
      </c>
      <c r="C202" s="17">
        <v>54</v>
      </c>
      <c r="D202" s="17" t="s">
        <v>91</v>
      </c>
      <c r="E202" s="14">
        <v>792.4</v>
      </c>
      <c r="F202" s="14">
        <v>1720.45</v>
      </c>
      <c r="G202" s="14">
        <v>1720.45</v>
      </c>
      <c r="H202" s="22">
        <f>F202*(1+Assumptions!$B$6+IF(D202="Yes",Assumptions!$C$6,0))</f>
        <v>1772.0635000000002</v>
      </c>
      <c r="I202" s="22">
        <f>F202*(1+Assumptions!$B$7+IF(D202="Yes",Assumptions!$C$7,0))</f>
        <v>1806.4725000000001</v>
      </c>
      <c r="J202" s="22">
        <f>F202*(1+Assumptions!$B$8+IF(D202="Yes",Assumptions!$C$8,0))</f>
        <v>1737.6545000000001</v>
      </c>
    </row>
    <row r="203" spans="1:10" ht="15">
      <c r="A203" s="21">
        <v>40928</v>
      </c>
      <c r="B203" s="21">
        <v>40909</v>
      </c>
      <c r="C203" s="17">
        <v>55</v>
      </c>
      <c r="D203" s="17" t="s">
        <v>91</v>
      </c>
      <c r="E203" s="14">
        <v>294749.73</v>
      </c>
      <c r="F203" s="14">
        <v>333945.53999999998</v>
      </c>
      <c r="G203" s="14">
        <v>333945.53999999998</v>
      </c>
      <c r="H203" s="22">
        <f>F203*(1+Assumptions!$B$6+IF(D203="Yes",Assumptions!$C$6,0))</f>
        <v>343963.90619999997</v>
      </c>
      <c r="I203" s="22">
        <f>F203*(1+Assumptions!$B$7+IF(D203="Yes",Assumptions!$C$7,0))</f>
        <v>350642.81699999998</v>
      </c>
      <c r="J203" s="22">
        <f>F203*(1+Assumptions!$B$8+IF(D203="Yes",Assumptions!$C$8,0))</f>
        <v>337284.99539999996</v>
      </c>
    </row>
    <row r="204" spans="1:10" ht="15">
      <c r="A204" s="21">
        <v>40928</v>
      </c>
      <c r="B204" s="21">
        <v>40909</v>
      </c>
      <c r="C204" s="17">
        <v>56</v>
      </c>
      <c r="D204" s="17" t="s">
        <v>91</v>
      </c>
      <c r="E204" s="14">
        <v>25269.32</v>
      </c>
      <c r="F204" s="14">
        <v>14669.97</v>
      </c>
      <c r="G204" s="14">
        <v>14669.97</v>
      </c>
      <c r="H204" s="22">
        <f>F204*(1+Assumptions!$B$6+IF(D204="Yes",Assumptions!$C$6,0))</f>
        <v>15110.069100000001</v>
      </c>
      <c r="I204" s="22">
        <f>F204*(1+Assumptions!$B$7+IF(D204="Yes",Assumptions!$C$7,0))</f>
        <v>15403.468500000001</v>
      </c>
      <c r="J204" s="22">
        <f>F204*(1+Assumptions!$B$8+IF(D204="Yes",Assumptions!$C$8,0))</f>
        <v>14816.6697</v>
      </c>
    </row>
    <row r="205" spans="1:10" ht="15">
      <c r="A205" s="21">
        <v>40928</v>
      </c>
      <c r="B205" s="21">
        <v>40909</v>
      </c>
      <c r="C205" s="17">
        <v>58</v>
      </c>
      <c r="D205" s="17" t="s">
        <v>91</v>
      </c>
      <c r="E205" s="14">
        <v>78732.5</v>
      </c>
      <c r="F205" s="14">
        <v>89716</v>
      </c>
      <c r="G205" s="14">
        <v>89716</v>
      </c>
      <c r="H205" s="22">
        <f>F205*(1+Assumptions!$B$6+IF(D205="Yes",Assumptions!$C$6,0))</f>
        <v>92407.48</v>
      </c>
      <c r="I205" s="22">
        <f>F205*(1+Assumptions!$B$7+IF(D205="Yes",Assumptions!$C$7,0))</f>
        <v>94201.8</v>
      </c>
      <c r="J205" s="22">
        <f>F205*(1+Assumptions!$B$8+IF(D205="Yes",Assumptions!$C$8,0))</f>
        <v>90613.16</v>
      </c>
    </row>
    <row r="206" spans="1:10" ht="15">
      <c r="A206" s="21">
        <v>40928</v>
      </c>
      <c r="B206" s="21">
        <v>40909</v>
      </c>
      <c r="C206" s="17">
        <v>59</v>
      </c>
      <c r="D206" s="17" t="s">
        <v>91</v>
      </c>
      <c r="E206" s="14">
        <v>9099.08</v>
      </c>
      <c r="F206" s="14">
        <v>18298.080000000002</v>
      </c>
      <c r="G206" s="14">
        <v>18298.080000000002</v>
      </c>
      <c r="H206" s="22">
        <f>F206*(1+Assumptions!$B$6+IF(D206="Yes",Assumptions!$C$6,0))</f>
        <v>18847.022400000002</v>
      </c>
      <c r="I206" s="22">
        <f>F206*(1+Assumptions!$B$7+IF(D206="Yes",Assumptions!$C$7,0))</f>
        <v>19212.984000000004</v>
      </c>
      <c r="J206" s="22">
        <f>F206*(1+Assumptions!$B$8+IF(D206="Yes",Assumptions!$C$8,0))</f>
        <v>18481.060800000003</v>
      </c>
    </row>
    <row r="207" spans="1:10" ht="15">
      <c r="A207" s="21">
        <v>40928</v>
      </c>
      <c r="B207" s="21">
        <v>40909</v>
      </c>
      <c r="C207" s="17">
        <v>60</v>
      </c>
      <c r="D207" s="17" t="s">
        <v>91</v>
      </c>
      <c r="E207" s="14">
        <v>14194.4</v>
      </c>
      <c r="F207" s="14">
        <v>12020.6</v>
      </c>
      <c r="G207" s="14">
        <v>12020.6</v>
      </c>
      <c r="H207" s="22">
        <f>F207*(1+Assumptions!$B$6+IF(D207="Yes",Assumptions!$C$6,0))</f>
        <v>12381.218000000001</v>
      </c>
      <c r="I207" s="22">
        <f>F207*(1+Assumptions!$B$7+IF(D207="Yes",Assumptions!$C$7,0))</f>
        <v>12621.630000000001</v>
      </c>
      <c r="J207" s="22">
        <f>F207*(1+Assumptions!$B$8+IF(D207="Yes",Assumptions!$C$8,0))</f>
        <v>12140.806</v>
      </c>
    </row>
    <row r="208" spans="1:10" ht="15">
      <c r="A208" s="21">
        <v>40928</v>
      </c>
      <c r="B208" s="21">
        <v>40909</v>
      </c>
      <c r="C208" s="17">
        <v>65</v>
      </c>
      <c r="D208" s="17" t="s">
        <v>91</v>
      </c>
      <c r="E208" s="14">
        <v>36855.910000000003</v>
      </c>
      <c r="F208" s="14">
        <v>45695.42</v>
      </c>
      <c r="G208" s="14">
        <v>45695.42</v>
      </c>
      <c r="H208" s="22">
        <f>F208*(1+Assumptions!$B$6+IF(D208="Yes",Assumptions!$C$6,0))</f>
        <v>47066.282599999999</v>
      </c>
      <c r="I208" s="22">
        <f>F208*(1+Assumptions!$B$7+IF(D208="Yes",Assumptions!$C$7,0))</f>
        <v>47980.190999999999</v>
      </c>
      <c r="J208" s="22">
        <f>F208*(1+Assumptions!$B$8+IF(D208="Yes",Assumptions!$C$8,0))</f>
        <v>46152.374199999998</v>
      </c>
    </row>
    <row r="209" spans="1:10" ht="15">
      <c r="A209" s="21">
        <v>40928</v>
      </c>
      <c r="B209" s="21">
        <v>40909</v>
      </c>
      <c r="C209" s="17">
        <v>67</v>
      </c>
      <c r="D209" s="17" t="s">
        <v>91</v>
      </c>
      <c r="E209" s="14">
        <v>239228.83</v>
      </c>
      <c r="F209" s="14">
        <v>230673.83000000002</v>
      </c>
      <c r="G209" s="14">
        <v>230673.83000000002</v>
      </c>
      <c r="H209" s="22">
        <f>F209*(1+Assumptions!$B$6+IF(D209="Yes",Assumptions!$C$6,0))</f>
        <v>237594.04490000004</v>
      </c>
      <c r="I209" s="22">
        <f>F209*(1+Assumptions!$B$7+IF(D209="Yes",Assumptions!$C$7,0))</f>
        <v>242207.52150000003</v>
      </c>
      <c r="J209" s="22">
        <f>F209*(1+Assumptions!$B$8+IF(D209="Yes",Assumptions!$C$8,0))</f>
        <v>232980.56830000001</v>
      </c>
    </row>
    <row r="210" spans="1:10" ht="15">
      <c r="A210" s="21">
        <v>40928</v>
      </c>
      <c r="B210" s="21">
        <v>40909</v>
      </c>
      <c r="C210" s="17">
        <v>71</v>
      </c>
      <c r="D210" s="17" t="s">
        <v>91</v>
      </c>
      <c r="E210" s="14">
        <v>184696.22</v>
      </c>
      <c r="F210" s="14">
        <v>174211.94</v>
      </c>
      <c r="G210" s="14">
        <v>174211.94</v>
      </c>
      <c r="H210" s="22">
        <f>F210*(1+Assumptions!$B$6+IF(D210="Yes",Assumptions!$C$6,0))</f>
        <v>179438.29820000002</v>
      </c>
      <c r="I210" s="22">
        <f>F210*(1+Assumptions!$B$7+IF(D210="Yes",Assumptions!$C$7,0))</f>
        <v>182922.53700000001</v>
      </c>
      <c r="J210" s="22">
        <f>F210*(1+Assumptions!$B$8+IF(D210="Yes",Assumptions!$C$8,0))</f>
        <v>175954.0594</v>
      </c>
    </row>
    <row r="211" spans="1:10" ht="15">
      <c r="A211" s="21">
        <v>40928</v>
      </c>
      <c r="B211" s="21">
        <v>40909</v>
      </c>
      <c r="C211" s="17">
        <v>72</v>
      </c>
      <c r="D211" s="17" t="s">
        <v>91</v>
      </c>
      <c r="E211" s="14">
        <v>1805209.45</v>
      </c>
      <c r="F211" s="14">
        <v>1809920.07</v>
      </c>
      <c r="G211" s="14">
        <v>1809920.07</v>
      </c>
      <c r="H211" s="22">
        <f>F211*(1+Assumptions!$B$6+IF(D211="Yes",Assumptions!$C$6,0))</f>
        <v>1864217.6721000001</v>
      </c>
      <c r="I211" s="22">
        <f>F211*(1+Assumptions!$B$7+IF(D211="Yes",Assumptions!$C$7,0))</f>
        <v>1900416.0735000002</v>
      </c>
      <c r="J211" s="22">
        <f>F211*(1+Assumptions!$B$8+IF(D211="Yes",Assumptions!$C$8,0))</f>
        <v>1828019.2707</v>
      </c>
    </row>
    <row r="212" spans="1:10" ht="15">
      <c r="A212" s="21">
        <v>40928</v>
      </c>
      <c r="B212" s="21">
        <v>40909</v>
      </c>
      <c r="C212" s="17">
        <v>74</v>
      </c>
      <c r="D212" s="17" t="s">
        <v>91</v>
      </c>
      <c r="E212" s="14">
        <v>581264.09</v>
      </c>
      <c r="F212" s="14">
        <v>590148.31999999995</v>
      </c>
      <c r="G212" s="14">
        <v>590148.31999999995</v>
      </c>
      <c r="H212" s="22">
        <f>F212*(1+Assumptions!$B$6+IF(D212="Yes",Assumptions!$C$6,0))</f>
        <v>607852.7696</v>
      </c>
      <c r="I212" s="22">
        <f>F212*(1+Assumptions!$B$7+IF(D212="Yes",Assumptions!$C$7,0))</f>
        <v>619655.73599999992</v>
      </c>
      <c r="J212" s="22">
        <f>F212*(1+Assumptions!$B$8+IF(D212="Yes",Assumptions!$C$8,0))</f>
        <v>596049.80319999997</v>
      </c>
    </row>
    <row r="213" spans="1:10" ht="15">
      <c r="A213" s="21">
        <v>40928</v>
      </c>
      <c r="B213" s="21">
        <v>40909</v>
      </c>
      <c r="C213" s="17">
        <v>79</v>
      </c>
      <c r="D213" s="17" t="s">
        <v>91</v>
      </c>
      <c r="E213" s="14">
        <v>935582.15</v>
      </c>
      <c r="F213" s="14">
        <v>902633.92</v>
      </c>
      <c r="G213" s="14">
        <v>902633.92</v>
      </c>
      <c r="H213" s="22">
        <f>F213*(1+Assumptions!$B$6+IF(D213="Yes",Assumptions!$C$6,0))</f>
        <v>929712.93760000006</v>
      </c>
      <c r="I213" s="22">
        <f>F213*(1+Assumptions!$B$7+IF(D213="Yes",Assumptions!$C$7,0))</f>
        <v>947765.61600000004</v>
      </c>
      <c r="J213" s="22">
        <f>F213*(1+Assumptions!$B$8+IF(D213="Yes",Assumptions!$C$8,0))</f>
        <v>911660.25920000009</v>
      </c>
    </row>
    <row r="214" spans="1:10" ht="15">
      <c r="A214" s="21">
        <v>40928</v>
      </c>
      <c r="B214" s="21">
        <v>40909</v>
      </c>
      <c r="C214" s="17">
        <v>80</v>
      </c>
      <c r="D214" s="17" t="s">
        <v>91</v>
      </c>
      <c r="E214" s="14">
        <v>496508.4</v>
      </c>
      <c r="F214" s="14">
        <v>484728.06</v>
      </c>
      <c r="G214" s="14">
        <v>484728.06</v>
      </c>
      <c r="H214" s="22">
        <f>F214*(1+Assumptions!$B$6+IF(D214="Yes",Assumptions!$C$6,0))</f>
        <v>499269.90179999999</v>
      </c>
      <c r="I214" s="22">
        <f>F214*(1+Assumptions!$B$7+IF(D214="Yes",Assumptions!$C$7,0))</f>
        <v>508964.46300000005</v>
      </c>
      <c r="J214" s="22">
        <f>F214*(1+Assumptions!$B$8+IF(D214="Yes",Assumptions!$C$8,0))</f>
        <v>489575.3406</v>
      </c>
    </row>
    <row r="215" spans="1:10" ht="15">
      <c r="A215" s="21">
        <v>40928</v>
      </c>
      <c r="B215" s="21">
        <v>40909</v>
      </c>
      <c r="C215" s="17">
        <v>81</v>
      </c>
      <c r="D215" s="17" t="s">
        <v>91</v>
      </c>
      <c r="E215" s="14">
        <v>699384.59</v>
      </c>
      <c r="F215" s="14">
        <v>689751.54</v>
      </c>
      <c r="G215" s="14">
        <v>689751.54</v>
      </c>
      <c r="H215" s="22">
        <f>F215*(1+Assumptions!$B$6+IF(D215="Yes",Assumptions!$C$6,0))</f>
        <v>710444.08620000002</v>
      </c>
      <c r="I215" s="22">
        <f>F215*(1+Assumptions!$B$7+IF(D215="Yes",Assumptions!$C$7,0))</f>
        <v>724239.11700000009</v>
      </c>
      <c r="J215" s="22">
        <f>F215*(1+Assumptions!$B$8+IF(D215="Yes",Assumptions!$C$8,0))</f>
        <v>696649.05540000007</v>
      </c>
    </row>
    <row r="216" spans="1:10" ht="15">
      <c r="A216" s="21">
        <v>40928</v>
      </c>
      <c r="B216" s="21">
        <v>40909</v>
      </c>
      <c r="C216" s="17">
        <v>82</v>
      </c>
      <c r="D216" s="17" t="s">
        <v>91</v>
      </c>
      <c r="E216" s="14">
        <v>585264.78</v>
      </c>
      <c r="F216" s="14">
        <v>556399.32999999996</v>
      </c>
      <c r="G216" s="14">
        <v>556399.32999999996</v>
      </c>
      <c r="H216" s="22">
        <f>F216*(1+Assumptions!$B$6+IF(D216="Yes",Assumptions!$C$6,0))</f>
        <v>573091.30989999999</v>
      </c>
      <c r="I216" s="22">
        <f>F216*(1+Assumptions!$B$7+IF(D216="Yes",Assumptions!$C$7,0))</f>
        <v>584219.29649999994</v>
      </c>
      <c r="J216" s="22">
        <f>F216*(1+Assumptions!$B$8+IF(D216="Yes",Assumptions!$C$8,0))</f>
        <v>561963.32329999993</v>
      </c>
    </row>
    <row r="217" spans="1:10" ht="15">
      <c r="A217" s="21">
        <v>40928</v>
      </c>
      <c r="B217" s="21">
        <v>40909</v>
      </c>
      <c r="C217" s="17">
        <v>83</v>
      </c>
      <c r="D217" s="17" t="s">
        <v>91</v>
      </c>
      <c r="E217" s="14">
        <v>141048.71</v>
      </c>
      <c r="F217" s="14">
        <v>147302.98000000001</v>
      </c>
      <c r="G217" s="14">
        <v>147302.98000000001</v>
      </c>
      <c r="H217" s="22">
        <f>F217*(1+Assumptions!$B$6+IF(D217="Yes",Assumptions!$C$6,0))</f>
        <v>151722.06940000001</v>
      </c>
      <c r="I217" s="22">
        <f>F217*(1+Assumptions!$B$7+IF(D217="Yes",Assumptions!$C$7,0))</f>
        <v>154668.12900000002</v>
      </c>
      <c r="J217" s="22">
        <f>F217*(1+Assumptions!$B$8+IF(D217="Yes",Assumptions!$C$8,0))</f>
        <v>148776.0098</v>
      </c>
    </row>
    <row r="218" spans="1:10" ht="15">
      <c r="A218" s="21">
        <v>40928</v>
      </c>
      <c r="B218" s="21">
        <v>40909</v>
      </c>
      <c r="C218" s="17">
        <v>85</v>
      </c>
      <c r="D218" s="17" t="s">
        <v>91</v>
      </c>
      <c r="E218" s="14">
        <v>72205.279999999999</v>
      </c>
      <c r="F218" s="14">
        <v>75067.7</v>
      </c>
      <c r="G218" s="14">
        <v>75067.7</v>
      </c>
      <c r="H218" s="22">
        <f>F218*(1+Assumptions!$B$6+IF(D218="Yes",Assumptions!$C$6,0))</f>
        <v>77319.731</v>
      </c>
      <c r="I218" s="22">
        <f>F218*(1+Assumptions!$B$7+IF(D218="Yes",Assumptions!$C$7,0))</f>
        <v>78821.085000000006</v>
      </c>
      <c r="J218" s="22">
        <f>F218*(1+Assumptions!$B$8+IF(D218="Yes",Assumptions!$C$8,0))</f>
        <v>75818.376999999993</v>
      </c>
    </row>
    <row r="219" spans="1:10" ht="15">
      <c r="A219" s="21">
        <v>40928</v>
      </c>
      <c r="B219" s="21">
        <v>40909</v>
      </c>
      <c r="C219" s="17">
        <v>87</v>
      </c>
      <c r="D219" s="17" t="s">
        <v>91</v>
      </c>
      <c r="E219" s="14">
        <v>569116.80000000005</v>
      </c>
      <c r="F219" s="14">
        <v>480940.94</v>
      </c>
      <c r="G219" s="14">
        <v>480940.94</v>
      </c>
      <c r="H219" s="22">
        <f>F219*(1+Assumptions!$B$6+IF(D219="Yes",Assumptions!$C$6,0))</f>
        <v>495369.16820000001</v>
      </c>
      <c r="I219" s="22">
        <f>F219*(1+Assumptions!$B$7+IF(D219="Yes",Assumptions!$C$7,0))</f>
        <v>504987.98700000002</v>
      </c>
      <c r="J219" s="22">
        <f>F219*(1+Assumptions!$B$8+IF(D219="Yes",Assumptions!$C$8,0))</f>
        <v>485750.34940000001</v>
      </c>
    </row>
    <row r="220" spans="1:10" ht="15">
      <c r="A220" s="21">
        <v>40928</v>
      </c>
      <c r="B220" s="21">
        <v>40909</v>
      </c>
      <c r="C220" s="17">
        <v>90</v>
      </c>
      <c r="D220" s="17" t="s">
        <v>91</v>
      </c>
      <c r="E220" s="14">
        <v>2179965.35</v>
      </c>
      <c r="F220" s="14">
        <v>2014075.3699999999</v>
      </c>
      <c r="G220" s="14">
        <v>2014075.3699999999</v>
      </c>
      <c r="H220" s="22">
        <f>F220*(1+Assumptions!$B$6+IF(D220="Yes",Assumptions!$C$6,0))</f>
        <v>2074497.6310999999</v>
      </c>
      <c r="I220" s="22">
        <f>F220*(1+Assumptions!$B$7+IF(D220="Yes",Assumptions!$C$7,0))</f>
        <v>2114779.1384999999</v>
      </c>
      <c r="J220" s="22">
        <f>F220*(1+Assumptions!$B$8+IF(D220="Yes",Assumptions!$C$8,0))</f>
        <v>2034216.1236999999</v>
      </c>
    </row>
    <row r="221" spans="1:10" ht="15">
      <c r="A221" s="21">
        <v>40928</v>
      </c>
      <c r="B221" s="21">
        <v>40909</v>
      </c>
      <c r="C221" s="17">
        <v>91</v>
      </c>
      <c r="D221" s="17" t="s">
        <v>91</v>
      </c>
      <c r="E221" s="14">
        <v>1590982.85</v>
      </c>
      <c r="F221" s="14">
        <v>1558120.33</v>
      </c>
      <c r="G221" s="14">
        <v>1558120.33</v>
      </c>
      <c r="H221" s="22">
        <f>F221*(1+Assumptions!$B$6+IF(D221="Yes",Assumptions!$C$6,0))</f>
        <v>1604863.9399000001</v>
      </c>
      <c r="I221" s="22">
        <f>F221*(1+Assumptions!$B$7+IF(D221="Yes",Assumptions!$C$7,0))</f>
        <v>1636026.3465000002</v>
      </c>
      <c r="J221" s="22">
        <f>F221*(1+Assumptions!$B$8+IF(D221="Yes",Assumptions!$C$8,0))</f>
        <v>1573701.5333</v>
      </c>
    </row>
    <row r="222" spans="1:10" ht="15">
      <c r="A222" s="21">
        <v>40928</v>
      </c>
      <c r="B222" s="21">
        <v>40909</v>
      </c>
      <c r="C222" s="17">
        <v>92</v>
      </c>
      <c r="D222" s="17" t="s">
        <v>91</v>
      </c>
      <c r="E222" s="14">
        <v>3613365.95</v>
      </c>
      <c r="F222" s="14">
        <v>3271934.35</v>
      </c>
      <c r="G222" s="14">
        <v>3271934.35</v>
      </c>
      <c r="H222" s="22">
        <f>F222*(1+Assumptions!$B$6+IF(D222="Yes",Assumptions!$C$6,0))</f>
        <v>3370092.3805</v>
      </c>
      <c r="I222" s="22">
        <f>F222*(1+Assumptions!$B$7+IF(D222="Yes",Assumptions!$C$7,0))</f>
        <v>3435531.0675000004</v>
      </c>
      <c r="J222" s="22">
        <f>F222*(1+Assumptions!$B$8+IF(D222="Yes",Assumptions!$C$8,0))</f>
        <v>3304653.6935000001</v>
      </c>
    </row>
    <row r="223" spans="1:10" ht="15">
      <c r="A223" s="21">
        <v>40928</v>
      </c>
      <c r="B223" s="21">
        <v>40909</v>
      </c>
      <c r="C223" s="17">
        <v>93</v>
      </c>
      <c r="D223" s="17" t="s">
        <v>91</v>
      </c>
      <c r="E223" s="14">
        <v>1107062.46</v>
      </c>
      <c r="F223" s="14">
        <v>1048908.77</v>
      </c>
      <c r="G223" s="14">
        <v>1048908.77</v>
      </c>
      <c r="H223" s="22">
        <f>F223*(1+Assumptions!$B$6+IF(D223="Yes",Assumptions!$C$6,0))</f>
        <v>1080376.0331000001</v>
      </c>
      <c r="I223" s="22">
        <f>F223*(1+Assumptions!$B$7+IF(D223="Yes",Assumptions!$C$7,0))</f>
        <v>1101354.2085000002</v>
      </c>
      <c r="J223" s="22">
        <f>F223*(1+Assumptions!$B$8+IF(D223="Yes",Assumptions!$C$8,0))</f>
        <v>1059397.8577000001</v>
      </c>
    </row>
    <row r="224" spans="1:10" ht="15">
      <c r="A224" s="21">
        <v>40928</v>
      </c>
      <c r="B224" s="21">
        <v>40909</v>
      </c>
      <c r="C224" s="17">
        <v>94</v>
      </c>
      <c r="D224" s="17" t="s">
        <v>91</v>
      </c>
      <c r="E224" s="14">
        <v>1250178.3600000001</v>
      </c>
      <c r="F224" s="14">
        <v>1200127.57</v>
      </c>
      <c r="G224" s="14">
        <v>1200127.57</v>
      </c>
      <c r="H224" s="22">
        <f>F224*(1+Assumptions!$B$6+IF(D224="Yes",Assumptions!$C$6,0))</f>
        <v>1236131.3971000002</v>
      </c>
      <c r="I224" s="22">
        <f>F224*(1+Assumptions!$B$7+IF(D224="Yes",Assumptions!$C$7,0))</f>
        <v>1260133.9485000002</v>
      </c>
      <c r="J224" s="22">
        <f>F224*(1+Assumptions!$B$8+IF(D224="Yes",Assumptions!$C$8,0))</f>
        <v>1212128.8457000002</v>
      </c>
    </row>
    <row r="225" spans="1:10" ht="15">
      <c r="A225" s="21">
        <v>40928</v>
      </c>
      <c r="B225" s="21">
        <v>40909</v>
      </c>
      <c r="C225" s="17">
        <v>95</v>
      </c>
      <c r="D225" s="17" t="s">
        <v>91</v>
      </c>
      <c r="E225" s="14">
        <v>2958740.81</v>
      </c>
      <c r="F225" s="14">
        <v>2864509.86</v>
      </c>
      <c r="G225" s="14">
        <v>2864509.86</v>
      </c>
      <c r="H225" s="22">
        <f>F225*(1+Assumptions!$B$6+IF(D225="Yes",Assumptions!$C$6,0))</f>
        <v>2950445.1557999998</v>
      </c>
      <c r="I225" s="22">
        <f>F225*(1+Assumptions!$B$7+IF(D225="Yes",Assumptions!$C$7,0))</f>
        <v>3007735.3530000001</v>
      </c>
      <c r="J225" s="22">
        <f>F225*(1+Assumptions!$B$8+IF(D225="Yes",Assumptions!$C$8,0))</f>
        <v>2893154.9586</v>
      </c>
    </row>
    <row r="226" spans="1:10" ht="15">
      <c r="A226" s="21">
        <v>40928</v>
      </c>
      <c r="B226" s="21">
        <v>40909</v>
      </c>
      <c r="C226" s="17">
        <v>96</v>
      </c>
      <c r="D226" s="17" t="s">
        <v>91</v>
      </c>
      <c r="E226" s="14">
        <v>462858.92</v>
      </c>
      <c r="F226" s="14">
        <v>417611.56</v>
      </c>
      <c r="G226" s="14">
        <v>417611.56</v>
      </c>
      <c r="H226" s="22">
        <f>F226*(1+Assumptions!$B$6+IF(D226="Yes",Assumptions!$C$6,0))</f>
        <v>430139.9068</v>
      </c>
      <c r="I226" s="22">
        <f>F226*(1+Assumptions!$B$7+IF(D226="Yes",Assumptions!$C$7,0))</f>
        <v>438492.13800000004</v>
      </c>
      <c r="J226" s="22">
        <f>F226*(1+Assumptions!$B$8+IF(D226="Yes",Assumptions!$C$8,0))</f>
        <v>421787.67560000002</v>
      </c>
    </row>
    <row r="227" spans="1:10" ht="15">
      <c r="A227" s="21">
        <v>40928</v>
      </c>
      <c r="B227" s="21">
        <v>40909</v>
      </c>
      <c r="C227" s="17">
        <v>97</v>
      </c>
      <c r="D227" s="17" t="s">
        <v>91</v>
      </c>
      <c r="E227" s="14">
        <v>604279.09</v>
      </c>
      <c r="F227" s="14">
        <v>589619.06999999995</v>
      </c>
      <c r="G227" s="14">
        <v>589619.06999999995</v>
      </c>
      <c r="H227" s="22">
        <f>F227*(1+Assumptions!$B$6+IF(D227="Yes",Assumptions!$C$6,0))</f>
        <v>607307.64209999994</v>
      </c>
      <c r="I227" s="22">
        <f>F227*(1+Assumptions!$B$7+IF(D227="Yes",Assumptions!$C$7,0))</f>
        <v>619100.02350000001</v>
      </c>
      <c r="J227" s="22">
        <f>F227*(1+Assumptions!$B$8+IF(D227="Yes",Assumptions!$C$8,0))</f>
        <v>595515.26069999998</v>
      </c>
    </row>
    <row r="228" spans="1:10" ht="15">
      <c r="A228" s="21">
        <v>40928</v>
      </c>
      <c r="B228" s="21">
        <v>40909</v>
      </c>
      <c r="C228" s="17">
        <v>98</v>
      </c>
      <c r="D228" s="17" t="s">
        <v>91</v>
      </c>
      <c r="E228" s="14">
        <v>257158.55</v>
      </c>
      <c r="F228" s="14">
        <v>243327.46</v>
      </c>
      <c r="G228" s="14">
        <v>243327.46</v>
      </c>
      <c r="H228" s="22">
        <f>F228*(1+Assumptions!$B$6+IF(D228="Yes",Assumptions!$C$6,0))</f>
        <v>250627.2838</v>
      </c>
      <c r="I228" s="22">
        <f>F228*(1+Assumptions!$B$7+IF(D228="Yes",Assumptions!$C$7,0))</f>
        <v>255493.83300000001</v>
      </c>
      <c r="J228" s="22">
        <f>F228*(1+Assumptions!$B$8+IF(D228="Yes",Assumptions!$C$8,0))</f>
        <v>245760.7346</v>
      </c>
    </row>
    <row r="229" spans="1:10" ht="15">
      <c r="A229" s="21">
        <v>40935</v>
      </c>
      <c r="B229" s="21">
        <v>40909</v>
      </c>
      <c r="C229" s="17">
        <v>1</v>
      </c>
      <c r="D229" s="17" t="s">
        <v>91</v>
      </c>
      <c r="E229" s="14">
        <v>680687.63</v>
      </c>
      <c r="F229" s="14">
        <v>652488.21</v>
      </c>
      <c r="G229" s="14">
        <v>652488.21</v>
      </c>
      <c r="H229" s="22">
        <f>F229*(1+Assumptions!$B$6+IF(D229="Yes",Assumptions!$C$6,0))</f>
        <v>672062.85629999998</v>
      </c>
      <c r="I229" s="22">
        <f>F229*(1+Assumptions!$B$7+IF(D229="Yes",Assumptions!$C$7,0))</f>
        <v>685112.62049999996</v>
      </c>
      <c r="J229" s="22">
        <f>F229*(1+Assumptions!$B$8+IF(D229="Yes",Assumptions!$C$8,0))</f>
        <v>659013.09210000001</v>
      </c>
    </row>
    <row r="230" spans="1:10" ht="15">
      <c r="A230" s="21">
        <v>40935</v>
      </c>
      <c r="B230" s="21">
        <v>40909</v>
      </c>
      <c r="C230" s="17">
        <v>2</v>
      </c>
      <c r="D230" s="17" t="s">
        <v>91</v>
      </c>
      <c r="E230" s="14">
        <v>1730179.85</v>
      </c>
      <c r="F230" s="14">
        <v>1682712.98</v>
      </c>
      <c r="G230" s="14">
        <v>1682712.98</v>
      </c>
      <c r="H230" s="22">
        <f>F230*(1+Assumptions!$B$6+IF(D230="Yes",Assumptions!$C$6,0))</f>
        <v>1733194.3694</v>
      </c>
      <c r="I230" s="22">
        <f>F230*(1+Assumptions!$B$7+IF(D230="Yes",Assumptions!$C$7,0))</f>
        <v>1766848.629</v>
      </c>
      <c r="J230" s="22">
        <f>F230*(1+Assumptions!$B$8+IF(D230="Yes",Assumptions!$C$8,0))</f>
        <v>1699540.1098</v>
      </c>
    </row>
    <row r="231" spans="1:10" ht="15">
      <c r="A231" s="21">
        <v>40935</v>
      </c>
      <c r="B231" s="21">
        <v>40909</v>
      </c>
      <c r="C231" s="17">
        <v>3</v>
      </c>
      <c r="D231" s="17" t="s">
        <v>91</v>
      </c>
      <c r="E231" s="14">
        <v>476821.04000000004</v>
      </c>
      <c r="F231" s="14">
        <v>459136.83</v>
      </c>
      <c r="G231" s="14">
        <v>459136.83</v>
      </c>
      <c r="H231" s="22">
        <f>F231*(1+Assumptions!$B$6+IF(D231="Yes",Assumptions!$C$6,0))</f>
        <v>472910.93490000005</v>
      </c>
      <c r="I231" s="22">
        <f>F231*(1+Assumptions!$B$7+IF(D231="Yes",Assumptions!$C$7,0))</f>
        <v>482093.67150000005</v>
      </c>
      <c r="J231" s="22">
        <f>F231*(1+Assumptions!$B$8+IF(D231="Yes",Assumptions!$C$8,0))</f>
        <v>463728.19830000005</v>
      </c>
    </row>
    <row r="232" spans="1:10" ht="15">
      <c r="A232" s="21">
        <v>40935</v>
      </c>
      <c r="B232" s="21">
        <v>40909</v>
      </c>
      <c r="C232" s="17">
        <v>4</v>
      </c>
      <c r="D232" s="17" t="s">
        <v>91</v>
      </c>
      <c r="E232" s="14">
        <v>1051860.06</v>
      </c>
      <c r="F232" s="14">
        <v>1043022.12</v>
      </c>
      <c r="G232" s="14">
        <v>1043022.12</v>
      </c>
      <c r="H232" s="22">
        <f>F232*(1+Assumptions!$B$6+IF(D232="Yes",Assumptions!$C$6,0))</f>
        <v>1074312.7836</v>
      </c>
      <c r="I232" s="22">
        <f>F232*(1+Assumptions!$B$7+IF(D232="Yes",Assumptions!$C$7,0))</f>
        <v>1095173.226</v>
      </c>
      <c r="J232" s="22">
        <f>F232*(1+Assumptions!$B$8+IF(D232="Yes",Assumptions!$C$8,0))</f>
        <v>1053452.3411999999</v>
      </c>
    </row>
    <row r="233" spans="1:10" ht="15">
      <c r="A233" s="21">
        <v>40935</v>
      </c>
      <c r="B233" s="21">
        <v>40909</v>
      </c>
      <c r="C233" s="17">
        <v>5</v>
      </c>
      <c r="D233" s="17" t="s">
        <v>91</v>
      </c>
      <c r="E233" s="14">
        <v>708058.24</v>
      </c>
      <c r="F233" s="14">
        <v>818089.13</v>
      </c>
      <c r="G233" s="14">
        <v>818089.13</v>
      </c>
      <c r="H233" s="22">
        <f>F233*(1+Assumptions!$B$6+IF(D233="Yes",Assumptions!$C$6,0))</f>
        <v>842631.80390000006</v>
      </c>
      <c r="I233" s="22">
        <f>F233*(1+Assumptions!$B$7+IF(D233="Yes",Assumptions!$C$7,0))</f>
        <v>858993.58650000009</v>
      </c>
      <c r="J233" s="22">
        <f>F233*(1+Assumptions!$B$8+IF(D233="Yes",Assumptions!$C$8,0))</f>
        <v>826270.02130000002</v>
      </c>
    </row>
    <row r="234" spans="1:10" ht="15">
      <c r="A234" s="21">
        <v>40935</v>
      </c>
      <c r="B234" s="21">
        <v>40909</v>
      </c>
      <c r="C234" s="17">
        <v>6</v>
      </c>
      <c r="D234" s="17" t="s">
        <v>91</v>
      </c>
      <c r="E234" s="14">
        <v>95561.18</v>
      </c>
      <c r="F234" s="14">
        <v>127314.35</v>
      </c>
      <c r="G234" s="14">
        <v>127314.35</v>
      </c>
      <c r="H234" s="22">
        <f>F234*(1+Assumptions!$B$6+IF(D234="Yes",Assumptions!$C$6,0))</f>
        <v>131133.78050000002</v>
      </c>
      <c r="I234" s="22">
        <f>F234*(1+Assumptions!$B$7+IF(D234="Yes",Assumptions!$C$7,0))</f>
        <v>133680.0675</v>
      </c>
      <c r="J234" s="22">
        <f>F234*(1+Assumptions!$B$8+IF(D234="Yes",Assumptions!$C$8,0))</f>
        <v>128587.49350000001</v>
      </c>
    </row>
    <row r="235" spans="1:10" ht="15">
      <c r="A235" s="21">
        <v>40935</v>
      </c>
      <c r="B235" s="21">
        <v>40909</v>
      </c>
      <c r="C235" s="17">
        <v>7</v>
      </c>
      <c r="D235" s="17" t="s">
        <v>91</v>
      </c>
      <c r="E235" s="14">
        <v>519165.34</v>
      </c>
      <c r="F235" s="14">
        <v>539599.19999999995</v>
      </c>
      <c r="G235" s="14">
        <v>539599.19999999995</v>
      </c>
      <c r="H235" s="22">
        <f>F235*(1+Assumptions!$B$6+IF(D235="Yes",Assumptions!$C$6,0))</f>
        <v>555787.17599999998</v>
      </c>
      <c r="I235" s="22">
        <f>F235*(1+Assumptions!$B$7+IF(D235="Yes",Assumptions!$C$7,0))</f>
        <v>566579.16</v>
      </c>
      <c r="J235" s="22">
        <f>F235*(1+Assumptions!$B$8+IF(D235="Yes",Assumptions!$C$8,0))</f>
        <v>544995.19199999992</v>
      </c>
    </row>
    <row r="236" spans="1:10" ht="15">
      <c r="A236" s="21">
        <v>40935</v>
      </c>
      <c r="B236" s="21">
        <v>40909</v>
      </c>
      <c r="C236" s="17">
        <v>8</v>
      </c>
      <c r="D236" s="17" t="s">
        <v>91</v>
      </c>
      <c r="E236" s="14">
        <v>1251658.2</v>
      </c>
      <c r="F236" s="14">
        <v>1277978.57</v>
      </c>
      <c r="G236" s="14">
        <v>1277978.57</v>
      </c>
      <c r="H236" s="22">
        <f>F236*(1+Assumptions!$B$6+IF(D236="Yes",Assumptions!$C$6,0))</f>
        <v>1316317.9271000002</v>
      </c>
      <c r="I236" s="22">
        <f>F236*(1+Assumptions!$B$7+IF(D236="Yes",Assumptions!$C$7,0))</f>
        <v>1341877.4985000002</v>
      </c>
      <c r="J236" s="22">
        <f>F236*(1+Assumptions!$B$8+IF(D236="Yes",Assumptions!$C$8,0))</f>
        <v>1290758.3557000002</v>
      </c>
    </row>
    <row r="237" spans="1:10" ht="15">
      <c r="A237" s="21">
        <v>40935</v>
      </c>
      <c r="B237" s="21">
        <v>40909</v>
      </c>
      <c r="C237" s="17">
        <v>9</v>
      </c>
      <c r="D237" s="17" t="s">
        <v>91</v>
      </c>
      <c r="E237" s="14">
        <v>460811.58999999997</v>
      </c>
      <c r="F237" s="14">
        <v>435706.35</v>
      </c>
      <c r="G237" s="14">
        <v>435706.35</v>
      </c>
      <c r="H237" s="22">
        <f>F237*(1+Assumptions!$B$6+IF(D237="Yes",Assumptions!$C$6,0))</f>
        <v>448777.5405</v>
      </c>
      <c r="I237" s="22">
        <f>F237*(1+Assumptions!$B$7+IF(D237="Yes",Assumptions!$C$7,0))</f>
        <v>457491.66749999998</v>
      </c>
      <c r="J237" s="22">
        <f>F237*(1+Assumptions!$B$8+IF(D237="Yes",Assumptions!$C$8,0))</f>
        <v>440063.41349999997</v>
      </c>
    </row>
    <row r="238" spans="1:10" ht="15">
      <c r="A238" s="21">
        <v>40935</v>
      </c>
      <c r="B238" s="21">
        <v>40909</v>
      </c>
      <c r="C238" s="17">
        <v>10</v>
      </c>
      <c r="D238" s="17" t="s">
        <v>91</v>
      </c>
      <c r="E238" s="14">
        <v>662866.85</v>
      </c>
      <c r="F238" s="14">
        <v>699561.61</v>
      </c>
      <c r="G238" s="14">
        <v>699561.61</v>
      </c>
      <c r="H238" s="22">
        <f>F238*(1+Assumptions!$B$6+IF(D238="Yes",Assumptions!$C$6,0))</f>
        <v>720548.45830000006</v>
      </c>
      <c r="I238" s="22">
        <f>F238*(1+Assumptions!$B$7+IF(D238="Yes",Assumptions!$C$7,0))</f>
        <v>734539.69050000003</v>
      </c>
      <c r="J238" s="22">
        <f>F238*(1+Assumptions!$B$8+IF(D238="Yes",Assumptions!$C$8,0))</f>
        <v>706557.22609999997</v>
      </c>
    </row>
    <row r="239" spans="1:10" ht="15">
      <c r="A239" s="21">
        <v>40935</v>
      </c>
      <c r="B239" s="21">
        <v>40909</v>
      </c>
      <c r="C239" s="17">
        <v>11</v>
      </c>
      <c r="D239" s="17" t="s">
        <v>91</v>
      </c>
      <c r="E239" s="14">
        <v>510585.22</v>
      </c>
      <c r="F239" s="14">
        <v>541316.5</v>
      </c>
      <c r="G239" s="14">
        <v>541316.5</v>
      </c>
      <c r="H239" s="22">
        <f>F239*(1+Assumptions!$B$6+IF(D239="Yes",Assumptions!$C$6,0))</f>
        <v>557555.995</v>
      </c>
      <c r="I239" s="22">
        <f>F239*(1+Assumptions!$B$7+IF(D239="Yes",Assumptions!$C$7,0))</f>
        <v>568382.32500000007</v>
      </c>
      <c r="J239" s="22">
        <f>F239*(1+Assumptions!$B$8+IF(D239="Yes",Assumptions!$C$8,0))</f>
        <v>546729.66500000004</v>
      </c>
    </row>
    <row r="240" spans="1:10" ht="15">
      <c r="A240" s="21">
        <v>40935</v>
      </c>
      <c r="B240" s="21">
        <v>40909</v>
      </c>
      <c r="C240" s="17">
        <v>12</v>
      </c>
      <c r="D240" s="17" t="s">
        <v>91</v>
      </c>
      <c r="E240" s="14">
        <v>143711.62</v>
      </c>
      <c r="F240" s="14">
        <v>130079.65</v>
      </c>
      <c r="G240" s="14">
        <v>130079.65</v>
      </c>
      <c r="H240" s="22">
        <f>F240*(1+Assumptions!$B$6+IF(D240="Yes",Assumptions!$C$6,0))</f>
        <v>133982.03949999998</v>
      </c>
      <c r="I240" s="22">
        <f>F240*(1+Assumptions!$B$7+IF(D240="Yes",Assumptions!$C$7,0))</f>
        <v>136583.63250000001</v>
      </c>
      <c r="J240" s="22">
        <f>F240*(1+Assumptions!$B$8+IF(D240="Yes",Assumptions!$C$8,0))</f>
        <v>131380.44649999999</v>
      </c>
    </row>
    <row r="241" spans="1:10" ht="15">
      <c r="A241" s="21">
        <v>40935</v>
      </c>
      <c r="B241" s="21">
        <v>40909</v>
      </c>
      <c r="C241" s="17">
        <v>13</v>
      </c>
      <c r="D241" s="17" t="s">
        <v>91</v>
      </c>
      <c r="E241" s="14">
        <v>1210821.03</v>
      </c>
      <c r="F241" s="14">
        <v>1230893.77</v>
      </c>
      <c r="G241" s="14">
        <v>1230893.77</v>
      </c>
      <c r="H241" s="22">
        <f>F241*(1+Assumptions!$B$6+IF(D241="Yes",Assumptions!$C$6,0))</f>
        <v>1267820.5831000002</v>
      </c>
      <c r="I241" s="22">
        <f>F241*(1+Assumptions!$B$7+IF(D241="Yes",Assumptions!$C$7,0))</f>
        <v>1292438.4585000002</v>
      </c>
      <c r="J241" s="22">
        <f>F241*(1+Assumptions!$B$8+IF(D241="Yes",Assumptions!$C$8,0))</f>
        <v>1243202.7077000001</v>
      </c>
    </row>
    <row r="242" spans="1:10" ht="15">
      <c r="A242" s="21">
        <v>40935</v>
      </c>
      <c r="B242" s="21">
        <v>40909</v>
      </c>
      <c r="C242" s="17">
        <v>14</v>
      </c>
      <c r="D242" s="17" t="s">
        <v>91</v>
      </c>
      <c r="E242" s="14">
        <v>522783.62</v>
      </c>
      <c r="F242" s="14">
        <v>535272.21</v>
      </c>
      <c r="G242" s="14">
        <v>535272.21</v>
      </c>
      <c r="H242" s="22">
        <f>F242*(1+Assumptions!$B$6+IF(D242="Yes",Assumptions!$C$6,0))</f>
        <v>551330.3763</v>
      </c>
      <c r="I242" s="22">
        <f>F242*(1+Assumptions!$B$7+IF(D242="Yes",Assumptions!$C$7,0))</f>
        <v>562035.82050000003</v>
      </c>
      <c r="J242" s="22">
        <f>F242*(1+Assumptions!$B$8+IF(D242="Yes",Assumptions!$C$8,0))</f>
        <v>540624.93209999998</v>
      </c>
    </row>
    <row r="243" spans="1:10" ht="15">
      <c r="A243" s="21">
        <v>40935</v>
      </c>
      <c r="B243" s="21">
        <v>40909</v>
      </c>
      <c r="C243" s="17">
        <v>16</v>
      </c>
      <c r="D243" s="17" t="s">
        <v>91</v>
      </c>
      <c r="E243" s="14">
        <v>189299.83</v>
      </c>
      <c r="F243" s="14">
        <v>210984.91</v>
      </c>
      <c r="G243" s="14">
        <v>210984.91</v>
      </c>
      <c r="H243" s="22">
        <f>F243*(1+Assumptions!$B$6+IF(D243="Yes",Assumptions!$C$6,0))</f>
        <v>217314.45730000001</v>
      </c>
      <c r="I243" s="22">
        <f>F243*(1+Assumptions!$B$7+IF(D243="Yes",Assumptions!$C$7,0))</f>
        <v>221534.15550000002</v>
      </c>
      <c r="J243" s="22">
        <f>F243*(1+Assumptions!$B$8+IF(D243="Yes",Assumptions!$C$8,0))</f>
        <v>213094.7591</v>
      </c>
    </row>
    <row r="244" spans="1:10" ht="15">
      <c r="A244" s="21">
        <v>40935</v>
      </c>
      <c r="B244" s="21">
        <v>40909</v>
      </c>
      <c r="C244" s="17">
        <v>17</v>
      </c>
      <c r="D244" s="17" t="s">
        <v>91</v>
      </c>
      <c r="E244" s="14">
        <v>369527.83</v>
      </c>
      <c r="F244" s="14">
        <v>390621.65</v>
      </c>
      <c r="G244" s="14">
        <v>390621.65</v>
      </c>
      <c r="H244" s="22">
        <f>F244*(1+Assumptions!$B$6+IF(D244="Yes",Assumptions!$C$6,0))</f>
        <v>402340.29950000002</v>
      </c>
      <c r="I244" s="22">
        <f>F244*(1+Assumptions!$B$7+IF(D244="Yes",Assumptions!$C$7,0))</f>
        <v>410152.73250000004</v>
      </c>
      <c r="J244" s="22">
        <f>F244*(1+Assumptions!$B$8+IF(D244="Yes",Assumptions!$C$8,0))</f>
        <v>394527.8665</v>
      </c>
    </row>
    <row r="245" spans="1:10" ht="15">
      <c r="A245" s="21">
        <v>40935</v>
      </c>
      <c r="B245" s="21">
        <v>40909</v>
      </c>
      <c r="C245" s="17">
        <v>18</v>
      </c>
      <c r="D245" s="17" t="s">
        <v>91</v>
      </c>
      <c r="E245" s="14">
        <v>74734.75</v>
      </c>
      <c r="F245" s="14">
        <v>78650.2</v>
      </c>
      <c r="G245" s="14">
        <v>78650.2</v>
      </c>
      <c r="H245" s="22">
        <f>F245*(1+Assumptions!$B$6+IF(D245="Yes",Assumptions!$C$6,0))</f>
        <v>81009.706000000006</v>
      </c>
      <c r="I245" s="22">
        <f>F245*(1+Assumptions!$B$7+IF(D245="Yes",Assumptions!$C$7,0))</f>
        <v>82582.710000000006</v>
      </c>
      <c r="J245" s="22">
        <f>F245*(1+Assumptions!$B$8+IF(D245="Yes",Assumptions!$C$8,0))</f>
        <v>79436.702000000005</v>
      </c>
    </row>
    <row r="246" spans="1:10" ht="15">
      <c r="A246" s="21">
        <v>40935</v>
      </c>
      <c r="B246" s="21">
        <v>40909</v>
      </c>
      <c r="C246" s="17">
        <v>19</v>
      </c>
      <c r="D246" s="17" t="s">
        <v>91</v>
      </c>
      <c r="E246" s="14">
        <v>39374.660000000003</v>
      </c>
      <c r="F246" s="14">
        <v>41214.53</v>
      </c>
      <c r="G246" s="14">
        <v>41214.53</v>
      </c>
      <c r="H246" s="22">
        <f>F246*(1+Assumptions!$B$6+IF(D246="Yes",Assumptions!$C$6,0))</f>
        <v>42450.965900000003</v>
      </c>
      <c r="I246" s="22">
        <f>F246*(1+Assumptions!$B$7+IF(D246="Yes",Assumptions!$C$7,0))</f>
        <v>43275.256500000003</v>
      </c>
      <c r="J246" s="22">
        <f>F246*(1+Assumptions!$B$8+IF(D246="Yes",Assumptions!$C$8,0))</f>
        <v>41626.675300000003</v>
      </c>
    </row>
    <row r="247" spans="1:10" ht="15">
      <c r="A247" s="21">
        <v>40935</v>
      </c>
      <c r="B247" s="21">
        <v>40909</v>
      </c>
      <c r="C247" s="17">
        <v>20</v>
      </c>
      <c r="D247" s="17" t="s">
        <v>91</v>
      </c>
      <c r="E247" s="14">
        <v>178288.68</v>
      </c>
      <c r="F247" s="14">
        <v>171436.44</v>
      </c>
      <c r="G247" s="14">
        <v>171436.44</v>
      </c>
      <c r="H247" s="22">
        <f>F247*(1+Assumptions!$B$6+IF(D247="Yes",Assumptions!$C$6,0))</f>
        <v>176579.53320000001</v>
      </c>
      <c r="I247" s="22">
        <f>F247*(1+Assumptions!$B$7+IF(D247="Yes",Assumptions!$C$7,0))</f>
        <v>180008.26200000002</v>
      </c>
      <c r="J247" s="22">
        <f>F247*(1+Assumptions!$B$8+IF(D247="Yes",Assumptions!$C$8,0))</f>
        <v>173150.80439999999</v>
      </c>
    </row>
    <row r="248" spans="1:10" ht="15">
      <c r="A248" s="21">
        <v>40935</v>
      </c>
      <c r="B248" s="21">
        <v>40909</v>
      </c>
      <c r="C248" s="17">
        <v>21</v>
      </c>
      <c r="D248" s="17" t="s">
        <v>91</v>
      </c>
      <c r="E248" s="14">
        <v>166954.76999999999</v>
      </c>
      <c r="F248" s="14">
        <v>188841.22</v>
      </c>
      <c r="G248" s="14">
        <v>188841.22</v>
      </c>
      <c r="H248" s="22">
        <f>F248*(1+Assumptions!$B$6+IF(D248="Yes",Assumptions!$C$6,0))</f>
        <v>194506.4566</v>
      </c>
      <c r="I248" s="22">
        <f>F248*(1+Assumptions!$B$7+IF(D248="Yes",Assumptions!$C$7,0))</f>
        <v>198283.28100000002</v>
      </c>
      <c r="J248" s="22">
        <f>F248*(1+Assumptions!$B$8+IF(D248="Yes",Assumptions!$C$8,0))</f>
        <v>190729.63219999999</v>
      </c>
    </row>
    <row r="249" spans="1:10" ht="15">
      <c r="A249" s="21">
        <v>40935</v>
      </c>
      <c r="B249" s="21">
        <v>40909</v>
      </c>
      <c r="C249" s="17">
        <v>22</v>
      </c>
      <c r="D249" s="17" t="s">
        <v>91</v>
      </c>
      <c r="E249" s="14">
        <v>321046.58999999997</v>
      </c>
      <c r="F249" s="14">
        <v>347772.19</v>
      </c>
      <c r="G249" s="14">
        <v>347772.19</v>
      </c>
      <c r="H249" s="22">
        <f>F249*(1+Assumptions!$B$6+IF(D249="Yes",Assumptions!$C$6,0))</f>
        <v>358205.35570000001</v>
      </c>
      <c r="I249" s="22">
        <f>F249*(1+Assumptions!$B$7+IF(D249="Yes",Assumptions!$C$7,0))</f>
        <v>365160.79950000002</v>
      </c>
      <c r="J249" s="22">
        <f>F249*(1+Assumptions!$B$8+IF(D249="Yes",Assumptions!$C$8,0))</f>
        <v>351249.91190000001</v>
      </c>
    </row>
    <row r="250" spans="1:10" ht="15">
      <c r="A250" s="21">
        <v>40935</v>
      </c>
      <c r="B250" s="21">
        <v>40909</v>
      </c>
      <c r="C250" s="17">
        <v>23</v>
      </c>
      <c r="D250" s="17" t="s">
        <v>91</v>
      </c>
      <c r="E250" s="14">
        <v>656328.07999999996</v>
      </c>
      <c r="F250" s="14">
        <v>653258.29</v>
      </c>
      <c r="G250" s="14">
        <v>653258.29</v>
      </c>
      <c r="H250" s="22">
        <f>F250*(1+Assumptions!$B$6+IF(D250="Yes",Assumptions!$C$6,0))</f>
        <v>672856.03870000003</v>
      </c>
      <c r="I250" s="22">
        <f>F250*(1+Assumptions!$B$7+IF(D250="Yes",Assumptions!$C$7,0))</f>
        <v>685921.20450000011</v>
      </c>
      <c r="J250" s="22">
        <f>F250*(1+Assumptions!$B$8+IF(D250="Yes",Assumptions!$C$8,0))</f>
        <v>659790.87290000007</v>
      </c>
    </row>
    <row r="251" spans="1:10" ht="15">
      <c r="A251" s="21">
        <v>40935</v>
      </c>
      <c r="B251" s="21">
        <v>40909</v>
      </c>
      <c r="C251" s="17">
        <v>24</v>
      </c>
      <c r="D251" s="17" t="s">
        <v>91</v>
      </c>
      <c r="E251" s="14">
        <v>137231.85</v>
      </c>
      <c r="F251" s="14">
        <v>140599.43</v>
      </c>
      <c r="G251" s="14">
        <v>140599.43</v>
      </c>
      <c r="H251" s="22">
        <f>F251*(1+Assumptions!$B$6+IF(D251="Yes",Assumptions!$C$6,0))</f>
        <v>144817.4129</v>
      </c>
      <c r="I251" s="22">
        <f>F251*(1+Assumptions!$B$7+IF(D251="Yes",Assumptions!$C$7,0))</f>
        <v>147629.40150000001</v>
      </c>
      <c r="J251" s="22">
        <f>F251*(1+Assumptions!$B$8+IF(D251="Yes",Assumptions!$C$8,0))</f>
        <v>142005.42429999998</v>
      </c>
    </row>
    <row r="252" spans="1:10" ht="15">
      <c r="A252" s="21">
        <v>40935</v>
      </c>
      <c r="B252" s="21">
        <v>40909</v>
      </c>
      <c r="C252" s="17">
        <v>25</v>
      </c>
      <c r="D252" s="17" t="s">
        <v>91</v>
      </c>
      <c r="E252" s="14">
        <v>288273.03999999998</v>
      </c>
      <c r="F252" s="14">
        <v>268691.46999999997</v>
      </c>
      <c r="G252" s="14">
        <v>268691.46999999997</v>
      </c>
      <c r="H252" s="22">
        <f>F252*(1+Assumptions!$B$6+IF(D252="Yes",Assumptions!$C$6,0))</f>
        <v>276752.21409999998</v>
      </c>
      <c r="I252" s="22">
        <f>F252*(1+Assumptions!$B$7+IF(D252="Yes",Assumptions!$C$7,0))</f>
        <v>282126.04349999997</v>
      </c>
      <c r="J252" s="22">
        <f>F252*(1+Assumptions!$B$8+IF(D252="Yes",Assumptions!$C$8,0))</f>
        <v>271378.3847</v>
      </c>
    </row>
    <row r="253" spans="1:10" ht="15">
      <c r="A253" s="21">
        <v>40935</v>
      </c>
      <c r="B253" s="21">
        <v>40909</v>
      </c>
      <c r="C253" s="17">
        <v>26</v>
      </c>
      <c r="D253" s="17" t="s">
        <v>91</v>
      </c>
      <c r="E253" s="14">
        <v>208934.33000000002</v>
      </c>
      <c r="F253" s="14">
        <v>223617.29</v>
      </c>
      <c r="G253" s="14">
        <v>223617.29</v>
      </c>
      <c r="H253" s="22">
        <f>F253*(1+Assumptions!$B$6+IF(D253="Yes",Assumptions!$C$6,0))</f>
        <v>230325.80870000002</v>
      </c>
      <c r="I253" s="22">
        <f>F253*(1+Assumptions!$B$7+IF(D253="Yes",Assumptions!$C$7,0))</f>
        <v>234798.1545</v>
      </c>
      <c r="J253" s="22">
        <f>F253*(1+Assumptions!$B$8+IF(D253="Yes",Assumptions!$C$8,0))</f>
        <v>225853.46290000001</v>
      </c>
    </row>
    <row r="254" spans="1:10" ht="15">
      <c r="A254" s="21">
        <v>40935</v>
      </c>
      <c r="B254" s="21">
        <v>40909</v>
      </c>
      <c r="C254" s="17">
        <v>27</v>
      </c>
      <c r="D254" s="17" t="s">
        <v>91</v>
      </c>
      <c r="E254" s="14">
        <v>57641.97</v>
      </c>
      <c r="F254" s="14">
        <v>58821.75</v>
      </c>
      <c r="G254" s="14">
        <v>58821.75</v>
      </c>
      <c r="H254" s="22">
        <f>F254*(1+Assumptions!$B$6+IF(D254="Yes",Assumptions!$C$6,0))</f>
        <v>60586.402500000004</v>
      </c>
      <c r="I254" s="22">
        <f>F254*(1+Assumptions!$B$7+IF(D254="Yes",Assumptions!$C$7,0))</f>
        <v>61762.837500000001</v>
      </c>
      <c r="J254" s="22">
        <f>F254*(1+Assumptions!$B$8+IF(D254="Yes",Assumptions!$C$8,0))</f>
        <v>59409.967499999999</v>
      </c>
    </row>
    <row r="255" spans="1:10" ht="15">
      <c r="A255" s="21">
        <v>40935</v>
      </c>
      <c r="B255" s="21">
        <v>40909</v>
      </c>
      <c r="C255" s="17">
        <v>28</v>
      </c>
      <c r="D255" s="17" t="s">
        <v>91</v>
      </c>
      <c r="E255" s="14">
        <v>26627.53</v>
      </c>
      <c r="F255" s="14">
        <v>28629.61</v>
      </c>
      <c r="G255" s="14">
        <v>28629.61</v>
      </c>
      <c r="H255" s="22">
        <f>F255*(1+Assumptions!$B$6+IF(D255="Yes",Assumptions!$C$6,0))</f>
        <v>29488.498300000003</v>
      </c>
      <c r="I255" s="22">
        <f>F255*(1+Assumptions!$B$7+IF(D255="Yes",Assumptions!$C$7,0))</f>
        <v>30061.090500000002</v>
      </c>
      <c r="J255" s="22">
        <f>F255*(1+Assumptions!$B$8+IF(D255="Yes",Assumptions!$C$8,0))</f>
        <v>28915.9061</v>
      </c>
    </row>
    <row r="256" spans="1:10" ht="15">
      <c r="A256" s="21">
        <v>40935</v>
      </c>
      <c r="B256" s="21">
        <v>40909</v>
      </c>
      <c r="C256" s="17">
        <v>29</v>
      </c>
      <c r="D256" s="17" t="s">
        <v>91</v>
      </c>
      <c r="E256" s="14">
        <v>160135.07</v>
      </c>
      <c r="F256" s="14">
        <v>173724.55</v>
      </c>
      <c r="G256" s="14">
        <v>173724.55</v>
      </c>
      <c r="H256" s="22">
        <f>F256*(1+Assumptions!$B$6+IF(D256="Yes",Assumptions!$C$6,0))</f>
        <v>178936.28649999999</v>
      </c>
      <c r="I256" s="22">
        <f>F256*(1+Assumptions!$B$7+IF(D256="Yes",Assumptions!$C$7,0))</f>
        <v>182410.7775</v>
      </c>
      <c r="J256" s="22">
        <f>F256*(1+Assumptions!$B$8+IF(D256="Yes",Assumptions!$C$8,0))</f>
        <v>175461.79549999998</v>
      </c>
    </row>
    <row r="257" spans="1:10" ht="15">
      <c r="A257" s="21">
        <v>40935</v>
      </c>
      <c r="B257" s="21">
        <v>40909</v>
      </c>
      <c r="C257" s="17">
        <v>30</v>
      </c>
      <c r="D257" s="17" t="s">
        <v>91</v>
      </c>
      <c r="E257" s="14">
        <v>99382.26</v>
      </c>
      <c r="F257" s="14">
        <v>117844.08</v>
      </c>
      <c r="G257" s="14">
        <v>117844.08</v>
      </c>
      <c r="H257" s="22">
        <f>F257*(1+Assumptions!$B$6+IF(D257="Yes",Assumptions!$C$6,0))</f>
        <v>121379.40240000001</v>
      </c>
      <c r="I257" s="22">
        <f>F257*(1+Assumptions!$B$7+IF(D257="Yes",Assumptions!$C$7,0))</f>
        <v>123736.28400000001</v>
      </c>
      <c r="J257" s="22">
        <f>F257*(1+Assumptions!$B$8+IF(D257="Yes",Assumptions!$C$8,0))</f>
        <v>119022.5208</v>
      </c>
    </row>
    <row r="258" spans="1:10" ht="15">
      <c r="A258" s="21">
        <v>40935</v>
      </c>
      <c r="B258" s="21">
        <v>40909</v>
      </c>
      <c r="C258" s="17">
        <v>31</v>
      </c>
      <c r="D258" s="17" t="s">
        <v>91</v>
      </c>
      <c r="E258" s="14">
        <v>63657.43</v>
      </c>
      <c r="F258" s="14">
        <v>71241.070000000007</v>
      </c>
      <c r="G258" s="14">
        <v>71241.070000000007</v>
      </c>
      <c r="H258" s="22">
        <f>F258*(1+Assumptions!$B$6+IF(D258="Yes",Assumptions!$C$6,0))</f>
        <v>73378.302100000015</v>
      </c>
      <c r="I258" s="22">
        <f>F258*(1+Assumptions!$B$7+IF(D258="Yes",Assumptions!$C$7,0))</f>
        <v>74803.123500000016</v>
      </c>
      <c r="J258" s="22">
        <f>F258*(1+Assumptions!$B$8+IF(D258="Yes",Assumptions!$C$8,0))</f>
        <v>71953.480700000015</v>
      </c>
    </row>
    <row r="259" spans="1:10" ht="15">
      <c r="A259" s="21">
        <v>40935</v>
      </c>
      <c r="B259" s="21">
        <v>40909</v>
      </c>
      <c r="C259" s="17">
        <v>32</v>
      </c>
      <c r="D259" s="17" t="s">
        <v>91</v>
      </c>
      <c r="E259" s="14">
        <v>175472.56</v>
      </c>
      <c r="F259" s="14">
        <v>189602.33</v>
      </c>
      <c r="G259" s="14">
        <v>189602.33</v>
      </c>
      <c r="H259" s="22">
        <f>F259*(1+Assumptions!$B$6+IF(D259="Yes",Assumptions!$C$6,0))</f>
        <v>195290.39989999999</v>
      </c>
      <c r="I259" s="22">
        <f>F259*(1+Assumptions!$B$7+IF(D259="Yes",Assumptions!$C$7,0))</f>
        <v>199082.44649999999</v>
      </c>
      <c r="J259" s="22">
        <f>F259*(1+Assumptions!$B$8+IF(D259="Yes",Assumptions!$C$8,0))</f>
        <v>191498.35329999999</v>
      </c>
    </row>
    <row r="260" spans="1:10" ht="15">
      <c r="A260" s="21">
        <v>40935</v>
      </c>
      <c r="B260" s="21">
        <v>40909</v>
      </c>
      <c r="C260" s="17">
        <v>33</v>
      </c>
      <c r="D260" s="17" t="s">
        <v>91</v>
      </c>
      <c r="E260" s="14">
        <v>134806.15</v>
      </c>
      <c r="F260" s="14">
        <v>140487.04999999999</v>
      </c>
      <c r="G260" s="14">
        <v>140487.04999999999</v>
      </c>
      <c r="H260" s="22">
        <f>F260*(1+Assumptions!$B$6+IF(D260="Yes",Assumptions!$C$6,0))</f>
        <v>144701.66149999999</v>
      </c>
      <c r="I260" s="22">
        <f>F260*(1+Assumptions!$B$7+IF(D260="Yes",Assumptions!$C$7,0))</f>
        <v>147511.4025</v>
      </c>
      <c r="J260" s="22">
        <f>F260*(1+Assumptions!$B$8+IF(D260="Yes",Assumptions!$C$8,0))</f>
        <v>141891.92049999998</v>
      </c>
    </row>
    <row r="261" spans="1:10" ht="15">
      <c r="A261" s="21">
        <v>40935</v>
      </c>
      <c r="B261" s="21">
        <v>40909</v>
      </c>
      <c r="C261" s="17">
        <v>34</v>
      </c>
      <c r="D261" s="17" t="s">
        <v>91</v>
      </c>
      <c r="E261" s="14">
        <v>368253.71</v>
      </c>
      <c r="F261" s="14">
        <v>370239.93</v>
      </c>
      <c r="G261" s="14">
        <v>370239.93</v>
      </c>
      <c r="H261" s="22">
        <f>F261*(1+Assumptions!$B$6+IF(D261="Yes",Assumptions!$C$6,0))</f>
        <v>381347.12790000002</v>
      </c>
      <c r="I261" s="22">
        <f>F261*(1+Assumptions!$B$7+IF(D261="Yes",Assumptions!$C$7,0))</f>
        <v>388751.9265</v>
      </c>
      <c r="J261" s="22">
        <f>F261*(1+Assumptions!$B$8+IF(D261="Yes",Assumptions!$C$8,0))</f>
        <v>373942.32929999998</v>
      </c>
    </row>
    <row r="262" spans="1:10" ht="15">
      <c r="A262" s="21">
        <v>40935</v>
      </c>
      <c r="B262" s="21">
        <v>40909</v>
      </c>
      <c r="C262" s="17">
        <v>35</v>
      </c>
      <c r="D262" s="17" t="s">
        <v>91</v>
      </c>
      <c r="E262" s="14">
        <v>70848.399999999994</v>
      </c>
      <c r="F262" s="14">
        <v>64668.590000000004</v>
      </c>
      <c r="G262" s="14">
        <v>64668.590000000004</v>
      </c>
      <c r="H262" s="22">
        <f>F262*(1+Assumptions!$B$6+IF(D262="Yes",Assumptions!$C$6,0))</f>
        <v>66608.647700000001</v>
      </c>
      <c r="I262" s="22">
        <f>F262*(1+Assumptions!$B$7+IF(D262="Yes",Assumptions!$C$7,0))</f>
        <v>67902.019500000009</v>
      </c>
      <c r="J262" s="22">
        <f>F262*(1+Assumptions!$B$8+IF(D262="Yes",Assumptions!$C$8,0))</f>
        <v>65315.275900000008</v>
      </c>
    </row>
    <row r="263" spans="1:10" ht="15">
      <c r="A263" s="21">
        <v>40935</v>
      </c>
      <c r="B263" s="21">
        <v>40909</v>
      </c>
      <c r="C263" s="17">
        <v>36</v>
      </c>
      <c r="D263" s="17" t="s">
        <v>91</v>
      </c>
      <c r="E263" s="14">
        <v>34881.58</v>
      </c>
      <c r="F263" s="14">
        <v>30331.3</v>
      </c>
      <c r="G263" s="14">
        <v>30331.3</v>
      </c>
      <c r="H263" s="22">
        <f>F263*(1+Assumptions!$B$6+IF(D263="Yes",Assumptions!$C$6,0))</f>
        <v>31241.239000000001</v>
      </c>
      <c r="I263" s="22">
        <f>F263*(1+Assumptions!$B$7+IF(D263="Yes",Assumptions!$C$7,0))</f>
        <v>31847.865000000002</v>
      </c>
      <c r="J263" s="22">
        <f>F263*(1+Assumptions!$B$8+IF(D263="Yes",Assumptions!$C$8,0))</f>
        <v>30634.613000000001</v>
      </c>
    </row>
    <row r="264" spans="1:10" ht="15">
      <c r="A264" s="21">
        <v>40935</v>
      </c>
      <c r="B264" s="21">
        <v>40909</v>
      </c>
      <c r="C264" s="17">
        <v>37</v>
      </c>
      <c r="D264" s="17" t="s">
        <v>91</v>
      </c>
      <c r="E264" s="14">
        <v>48553.55</v>
      </c>
      <c r="F264" s="14">
        <v>52376.73</v>
      </c>
      <c r="G264" s="14">
        <v>52376.73</v>
      </c>
      <c r="H264" s="22">
        <f>F264*(1+Assumptions!$B$6+IF(D264="Yes",Assumptions!$C$6,0))</f>
        <v>53948.031900000002</v>
      </c>
      <c r="I264" s="22">
        <f>F264*(1+Assumptions!$B$7+IF(D264="Yes",Assumptions!$C$7,0))</f>
        <v>54995.566500000008</v>
      </c>
      <c r="J264" s="22">
        <f>F264*(1+Assumptions!$B$8+IF(D264="Yes",Assumptions!$C$8,0))</f>
        <v>52900.497300000003</v>
      </c>
    </row>
    <row r="265" spans="1:10" ht="15">
      <c r="A265" s="21">
        <v>40935</v>
      </c>
      <c r="B265" s="21">
        <v>40909</v>
      </c>
      <c r="C265" s="17">
        <v>38</v>
      </c>
      <c r="D265" s="17" t="s">
        <v>91</v>
      </c>
      <c r="E265" s="14">
        <v>2887702.33</v>
      </c>
      <c r="F265" s="14">
        <v>2742795.4699999997</v>
      </c>
      <c r="G265" s="14">
        <v>2742795.4699999997</v>
      </c>
      <c r="H265" s="22">
        <f>F265*(1+Assumptions!$B$6+IF(D265="Yes",Assumptions!$C$6,0))</f>
        <v>2825079.3340999996</v>
      </c>
      <c r="I265" s="22">
        <f>F265*(1+Assumptions!$B$7+IF(D265="Yes",Assumptions!$C$7,0))</f>
        <v>2879935.2434999999</v>
      </c>
      <c r="J265" s="22">
        <f>F265*(1+Assumptions!$B$8+IF(D265="Yes",Assumptions!$C$8,0))</f>
        <v>2770223.4246999999</v>
      </c>
    </row>
    <row r="266" spans="1:10" ht="15">
      <c r="A266" s="21">
        <v>40935</v>
      </c>
      <c r="B266" s="21">
        <v>40909</v>
      </c>
      <c r="C266" s="17">
        <v>40</v>
      </c>
      <c r="D266" s="17" t="s">
        <v>91</v>
      </c>
      <c r="E266" s="14">
        <v>2001857.2</v>
      </c>
      <c r="F266" s="14">
        <v>1995856.1199999999</v>
      </c>
      <c r="G266" s="14">
        <v>1995856.1199999999</v>
      </c>
      <c r="H266" s="22">
        <f>F266*(1+Assumptions!$B$6+IF(D266="Yes",Assumptions!$C$6,0))</f>
        <v>2055731.8036</v>
      </c>
      <c r="I266" s="22">
        <f>F266*(1+Assumptions!$B$7+IF(D266="Yes",Assumptions!$C$7,0))</f>
        <v>2095648.926</v>
      </c>
      <c r="J266" s="22">
        <f>F266*(1+Assumptions!$B$8+IF(D266="Yes",Assumptions!$C$8,0))</f>
        <v>2015814.6812</v>
      </c>
    </row>
    <row r="267" spans="1:10" ht="15">
      <c r="A267" s="21">
        <v>40935</v>
      </c>
      <c r="B267" s="21">
        <v>40909</v>
      </c>
      <c r="C267" s="17">
        <v>41</v>
      </c>
      <c r="D267" s="17" t="s">
        <v>91</v>
      </c>
      <c r="E267" s="14">
        <v>38519.21</v>
      </c>
      <c r="F267" s="14">
        <v>67574.02</v>
      </c>
      <c r="G267" s="14">
        <v>67574.02</v>
      </c>
      <c r="H267" s="22">
        <f>F267*(1+Assumptions!$B$6+IF(D267="Yes",Assumptions!$C$6,0))</f>
        <v>69601.240600000005</v>
      </c>
      <c r="I267" s="22">
        <f>F267*(1+Assumptions!$B$7+IF(D267="Yes",Assumptions!$C$7,0))</f>
        <v>70952.721000000005</v>
      </c>
      <c r="J267" s="22">
        <f>F267*(1+Assumptions!$B$8+IF(D267="Yes",Assumptions!$C$8,0))</f>
        <v>68249.760200000004</v>
      </c>
    </row>
    <row r="268" spans="1:10" ht="15">
      <c r="A268" s="21">
        <v>40935</v>
      </c>
      <c r="B268" s="21">
        <v>40909</v>
      </c>
      <c r="C268" s="17">
        <v>42</v>
      </c>
      <c r="D268" s="17" t="s">
        <v>91</v>
      </c>
      <c r="E268" s="14">
        <v>205461.47</v>
      </c>
      <c r="F268" s="14">
        <v>194717.2</v>
      </c>
      <c r="G268" s="14">
        <v>194717.2</v>
      </c>
      <c r="H268" s="22">
        <f>F268*(1+Assumptions!$B$6+IF(D268="Yes",Assumptions!$C$6,0))</f>
        <v>200558.71600000001</v>
      </c>
      <c r="I268" s="22">
        <f>F268*(1+Assumptions!$B$7+IF(D268="Yes",Assumptions!$C$7,0))</f>
        <v>204453.06000000003</v>
      </c>
      <c r="J268" s="22">
        <f>F268*(1+Assumptions!$B$8+IF(D268="Yes",Assumptions!$C$8,0))</f>
        <v>196664.372</v>
      </c>
    </row>
    <row r="269" spans="1:10" ht="15">
      <c r="A269" s="21">
        <v>40935</v>
      </c>
      <c r="B269" s="21">
        <v>40909</v>
      </c>
      <c r="C269" s="17">
        <v>44</v>
      </c>
      <c r="D269" s="17" t="s">
        <v>91</v>
      </c>
      <c r="E269" s="14">
        <v>161163.95000000001</v>
      </c>
      <c r="F269" s="14">
        <v>151701.76999999999</v>
      </c>
      <c r="G269" s="14">
        <v>151701.76999999999</v>
      </c>
      <c r="H269" s="22">
        <f>F269*(1+Assumptions!$B$6+IF(D269="Yes",Assumptions!$C$6,0))</f>
        <v>156252.82309999998</v>
      </c>
      <c r="I269" s="22">
        <f>F269*(1+Assumptions!$B$7+IF(D269="Yes",Assumptions!$C$7,0))</f>
        <v>159286.8585</v>
      </c>
      <c r="J269" s="22">
        <f>F269*(1+Assumptions!$B$8+IF(D269="Yes",Assumptions!$C$8,0))</f>
        <v>153218.78769999999</v>
      </c>
    </row>
    <row r="270" spans="1:10" ht="15">
      <c r="A270" s="21">
        <v>40935</v>
      </c>
      <c r="B270" s="21">
        <v>40909</v>
      </c>
      <c r="C270" s="17">
        <v>45</v>
      </c>
      <c r="D270" s="17" t="s">
        <v>91</v>
      </c>
      <c r="E270" s="14">
        <v>180.49</v>
      </c>
      <c r="F270" s="14">
        <v>176.55</v>
      </c>
      <c r="G270" s="14">
        <v>176.55</v>
      </c>
      <c r="H270" s="22">
        <f>F270*(1+Assumptions!$B$6+IF(D270="Yes",Assumptions!$C$6,0))</f>
        <v>181.84650000000002</v>
      </c>
      <c r="I270" s="22">
        <f>F270*(1+Assumptions!$B$7+IF(D270="Yes",Assumptions!$C$7,0))</f>
        <v>185.37750000000003</v>
      </c>
      <c r="J270" s="22">
        <f>F270*(1+Assumptions!$B$8+IF(D270="Yes",Assumptions!$C$8,0))</f>
        <v>178.31550000000001</v>
      </c>
    </row>
    <row r="271" spans="1:10" ht="15">
      <c r="A271" s="21">
        <v>40935</v>
      </c>
      <c r="B271" s="21">
        <v>40909</v>
      </c>
      <c r="C271" s="17">
        <v>46</v>
      </c>
      <c r="D271" s="17" t="s">
        <v>91</v>
      </c>
      <c r="E271" s="14">
        <v>759632.81</v>
      </c>
      <c r="F271" s="14">
        <v>755366.35</v>
      </c>
      <c r="G271" s="14">
        <v>755366.35</v>
      </c>
      <c r="H271" s="22">
        <f>F271*(1+Assumptions!$B$6+IF(D271="Yes",Assumptions!$C$6,0))</f>
        <v>778027.34050000005</v>
      </c>
      <c r="I271" s="22">
        <f>F271*(1+Assumptions!$B$7+IF(D271="Yes",Assumptions!$C$7,0))</f>
        <v>793134.66749999998</v>
      </c>
      <c r="J271" s="22">
        <f>F271*(1+Assumptions!$B$8+IF(D271="Yes",Assumptions!$C$8,0))</f>
        <v>762920.0135</v>
      </c>
    </row>
    <row r="272" spans="1:10" ht="15">
      <c r="A272" s="21">
        <v>40935</v>
      </c>
      <c r="B272" s="21">
        <v>40909</v>
      </c>
      <c r="C272" s="17">
        <v>48</v>
      </c>
      <c r="D272" s="17" t="s">
        <v>91</v>
      </c>
      <c r="E272" s="14">
        <v>8544.0300000000007</v>
      </c>
      <c r="F272" s="14">
        <v>6473</v>
      </c>
      <c r="G272" s="14">
        <v>6473</v>
      </c>
      <c r="H272" s="22">
        <f>F272*(1+Assumptions!$B$6+IF(D272="Yes",Assumptions!$C$6,0))</f>
        <v>6667.1900000000005</v>
      </c>
      <c r="I272" s="22">
        <f>F272*(1+Assumptions!$B$7+IF(D272="Yes",Assumptions!$C$7,0))</f>
        <v>6796.6500000000005</v>
      </c>
      <c r="J272" s="22">
        <f>F272*(1+Assumptions!$B$8+IF(D272="Yes",Assumptions!$C$8,0))</f>
        <v>6537.7300000000005</v>
      </c>
    </row>
    <row r="273" spans="1:10" ht="15">
      <c r="A273" s="21">
        <v>40935</v>
      </c>
      <c r="B273" s="21">
        <v>40909</v>
      </c>
      <c r="C273" s="17">
        <v>49</v>
      </c>
      <c r="D273" s="17" t="s">
        <v>91</v>
      </c>
      <c r="E273" s="14">
        <v>245107.73</v>
      </c>
      <c r="F273" s="14">
        <v>257325.46</v>
      </c>
      <c r="G273" s="14">
        <v>257325.46</v>
      </c>
      <c r="H273" s="22">
        <f>F273*(1+Assumptions!$B$6+IF(D273="Yes",Assumptions!$C$6,0))</f>
        <v>265045.22379999998</v>
      </c>
      <c r="I273" s="22">
        <f>F273*(1+Assumptions!$B$7+IF(D273="Yes",Assumptions!$C$7,0))</f>
        <v>270191.73300000001</v>
      </c>
      <c r="J273" s="22">
        <f>F273*(1+Assumptions!$B$8+IF(D273="Yes",Assumptions!$C$8,0))</f>
        <v>259898.71460000001</v>
      </c>
    </row>
    <row r="274" spans="1:10" ht="15">
      <c r="A274" s="21">
        <v>40935</v>
      </c>
      <c r="B274" s="21">
        <v>40909</v>
      </c>
      <c r="C274" s="17">
        <v>50</v>
      </c>
      <c r="D274" s="17" t="s">
        <v>91</v>
      </c>
      <c r="E274" s="14">
        <v>29423.5</v>
      </c>
      <c r="F274" s="14">
        <v>27201.72</v>
      </c>
      <c r="G274" s="14">
        <v>27201.72</v>
      </c>
      <c r="H274" s="22">
        <f>F274*(1+Assumptions!$B$6+IF(D274="Yes",Assumptions!$C$6,0))</f>
        <v>28017.771600000004</v>
      </c>
      <c r="I274" s="22">
        <f>F274*(1+Assumptions!$B$7+IF(D274="Yes",Assumptions!$C$7,0))</f>
        <v>28561.806000000004</v>
      </c>
      <c r="J274" s="22">
        <f>F274*(1+Assumptions!$B$8+IF(D274="Yes",Assumptions!$C$8,0))</f>
        <v>27473.737200000003</v>
      </c>
    </row>
    <row r="275" spans="1:10" ht="15">
      <c r="A275" s="21">
        <v>40935</v>
      </c>
      <c r="B275" s="21">
        <v>40909</v>
      </c>
      <c r="C275" s="17">
        <v>52</v>
      </c>
      <c r="D275" s="17" t="s">
        <v>91</v>
      </c>
      <c r="E275" s="14">
        <v>72929.56</v>
      </c>
      <c r="F275" s="14">
        <v>63633.93</v>
      </c>
      <c r="G275" s="14">
        <v>63633.93</v>
      </c>
      <c r="H275" s="22">
        <f>F275*(1+Assumptions!$B$6+IF(D275="Yes",Assumptions!$C$6,0))</f>
        <v>65542.947899999999</v>
      </c>
      <c r="I275" s="22">
        <f>F275*(1+Assumptions!$B$7+IF(D275="Yes",Assumptions!$C$7,0))</f>
        <v>66815.626499999998</v>
      </c>
      <c r="J275" s="22">
        <f>F275*(1+Assumptions!$B$8+IF(D275="Yes",Assumptions!$C$8,0))</f>
        <v>64270.2693</v>
      </c>
    </row>
    <row r="276" spans="1:10" ht="15">
      <c r="A276" s="21">
        <v>40935</v>
      </c>
      <c r="B276" s="21">
        <v>40909</v>
      </c>
      <c r="C276" s="17">
        <v>54</v>
      </c>
      <c r="D276" s="17" t="s">
        <v>91</v>
      </c>
      <c r="E276" s="14">
        <v>796.24</v>
      </c>
      <c r="F276" s="14">
        <v>1413.24</v>
      </c>
      <c r="G276" s="14">
        <v>1413.24</v>
      </c>
      <c r="H276" s="22">
        <f>F276*(1+Assumptions!$B$6+IF(D276="Yes",Assumptions!$C$6,0))</f>
        <v>1455.6372000000001</v>
      </c>
      <c r="I276" s="22">
        <f>F276*(1+Assumptions!$B$7+IF(D276="Yes",Assumptions!$C$7,0))</f>
        <v>1483.902</v>
      </c>
      <c r="J276" s="22">
        <f>F276*(1+Assumptions!$B$8+IF(D276="Yes",Assumptions!$C$8,0))</f>
        <v>1427.3724</v>
      </c>
    </row>
    <row r="277" spans="1:10" ht="15">
      <c r="A277" s="21">
        <v>40935</v>
      </c>
      <c r="B277" s="21">
        <v>40909</v>
      </c>
      <c r="C277" s="17">
        <v>55</v>
      </c>
      <c r="D277" s="17" t="s">
        <v>91</v>
      </c>
      <c r="E277" s="14">
        <v>269589.98</v>
      </c>
      <c r="F277" s="14">
        <v>329519.71999999997</v>
      </c>
      <c r="G277" s="14">
        <v>329519.71999999997</v>
      </c>
      <c r="H277" s="22">
        <f>F277*(1+Assumptions!$B$6+IF(D277="Yes",Assumptions!$C$6,0))</f>
        <v>339405.31159999996</v>
      </c>
      <c r="I277" s="22">
        <f>F277*(1+Assumptions!$B$7+IF(D277="Yes",Assumptions!$C$7,0))</f>
        <v>345995.70600000001</v>
      </c>
      <c r="J277" s="22">
        <f>F277*(1+Assumptions!$B$8+IF(D277="Yes",Assumptions!$C$8,0))</f>
        <v>332814.91719999997</v>
      </c>
    </row>
    <row r="278" spans="1:10" ht="15">
      <c r="A278" s="21">
        <v>40935</v>
      </c>
      <c r="B278" s="21">
        <v>40909</v>
      </c>
      <c r="C278" s="17">
        <v>56</v>
      </c>
      <c r="D278" s="17" t="s">
        <v>91</v>
      </c>
      <c r="E278" s="14">
        <v>26603.94</v>
      </c>
      <c r="F278" s="14">
        <v>20330.03</v>
      </c>
      <c r="G278" s="14">
        <v>20330.03</v>
      </c>
      <c r="H278" s="22">
        <f>F278*(1+Assumptions!$B$6+IF(D278="Yes",Assumptions!$C$6,0))</f>
        <v>20939.930899999999</v>
      </c>
      <c r="I278" s="22">
        <f>F278*(1+Assumptions!$B$7+IF(D278="Yes",Assumptions!$C$7,0))</f>
        <v>21346.531500000001</v>
      </c>
      <c r="J278" s="22">
        <f>F278*(1+Assumptions!$B$8+IF(D278="Yes",Assumptions!$C$8,0))</f>
        <v>20533.330299999998</v>
      </c>
    </row>
    <row r="279" spans="1:10" ht="15">
      <c r="A279" s="21">
        <v>40935</v>
      </c>
      <c r="B279" s="21">
        <v>40909</v>
      </c>
      <c r="C279" s="17">
        <v>58</v>
      </c>
      <c r="D279" s="17" t="s">
        <v>91</v>
      </c>
      <c r="E279" s="14">
        <v>73380</v>
      </c>
      <c r="F279" s="14">
        <v>77187</v>
      </c>
      <c r="G279" s="14">
        <v>77187</v>
      </c>
      <c r="H279" s="22">
        <f>F279*(1+Assumptions!$B$6+IF(D279="Yes",Assumptions!$C$6,0))</f>
        <v>79502.61</v>
      </c>
      <c r="I279" s="22">
        <f>F279*(1+Assumptions!$B$7+IF(D279="Yes",Assumptions!$C$7,0))</f>
        <v>81046.350000000006</v>
      </c>
      <c r="J279" s="22">
        <f>F279*(1+Assumptions!$B$8+IF(D279="Yes",Assumptions!$C$8,0))</f>
        <v>77958.87</v>
      </c>
    </row>
    <row r="280" spans="1:10" ht="15">
      <c r="A280" s="21">
        <v>40935</v>
      </c>
      <c r="B280" s="21">
        <v>40909</v>
      </c>
      <c r="C280" s="17">
        <v>59</v>
      </c>
      <c r="D280" s="17" t="s">
        <v>91</v>
      </c>
      <c r="E280" s="14">
        <v>8865.18</v>
      </c>
      <c r="F280" s="14">
        <v>17019.099999999999</v>
      </c>
      <c r="G280" s="14">
        <v>17019.099999999999</v>
      </c>
      <c r="H280" s="22">
        <f>F280*(1+Assumptions!$B$6+IF(D280="Yes",Assumptions!$C$6,0))</f>
        <v>17529.672999999999</v>
      </c>
      <c r="I280" s="22">
        <f>F280*(1+Assumptions!$B$7+IF(D280="Yes",Assumptions!$C$7,0))</f>
        <v>17870.055</v>
      </c>
      <c r="J280" s="22">
        <f>F280*(1+Assumptions!$B$8+IF(D280="Yes",Assumptions!$C$8,0))</f>
        <v>17189.290999999997</v>
      </c>
    </row>
    <row r="281" spans="1:10" ht="15">
      <c r="A281" s="21">
        <v>40935</v>
      </c>
      <c r="B281" s="21">
        <v>40909</v>
      </c>
      <c r="C281" s="17">
        <v>60</v>
      </c>
      <c r="D281" s="17" t="s">
        <v>91</v>
      </c>
      <c r="E281" s="14">
        <v>11308.2</v>
      </c>
      <c r="F281" s="14">
        <v>11976.98</v>
      </c>
      <c r="G281" s="14">
        <v>11976.98</v>
      </c>
      <c r="H281" s="22">
        <f>F281*(1+Assumptions!$B$6+IF(D281="Yes",Assumptions!$C$6,0))</f>
        <v>12336.2894</v>
      </c>
      <c r="I281" s="22">
        <f>F281*(1+Assumptions!$B$7+IF(D281="Yes",Assumptions!$C$7,0))</f>
        <v>12575.829</v>
      </c>
      <c r="J281" s="22">
        <f>F281*(1+Assumptions!$B$8+IF(D281="Yes",Assumptions!$C$8,0))</f>
        <v>12096.7498</v>
      </c>
    </row>
    <row r="282" spans="1:10" ht="15">
      <c r="A282" s="21">
        <v>40935</v>
      </c>
      <c r="B282" s="21">
        <v>40909</v>
      </c>
      <c r="C282" s="17">
        <v>65</v>
      </c>
      <c r="D282" s="17" t="s">
        <v>91</v>
      </c>
      <c r="E282" s="14">
        <v>34133.89</v>
      </c>
      <c r="F282" s="14">
        <v>43097.57</v>
      </c>
      <c r="G282" s="14">
        <v>43097.57</v>
      </c>
      <c r="H282" s="22">
        <f>F282*(1+Assumptions!$B$6+IF(D282="Yes",Assumptions!$C$6,0))</f>
        <v>44390.497100000001</v>
      </c>
      <c r="I282" s="22">
        <f>F282*(1+Assumptions!$B$7+IF(D282="Yes",Assumptions!$C$7,0))</f>
        <v>45252.448499999999</v>
      </c>
      <c r="J282" s="22">
        <f>F282*(1+Assumptions!$B$8+IF(D282="Yes",Assumptions!$C$8,0))</f>
        <v>43528.545700000002</v>
      </c>
    </row>
    <row r="283" spans="1:10" ht="15">
      <c r="A283" s="21">
        <v>40935</v>
      </c>
      <c r="B283" s="21">
        <v>40909</v>
      </c>
      <c r="C283" s="17">
        <v>67</v>
      </c>
      <c r="D283" s="17" t="s">
        <v>91</v>
      </c>
      <c r="E283" s="14">
        <v>253718.83</v>
      </c>
      <c r="F283" s="14">
        <v>246121.53999999998</v>
      </c>
      <c r="G283" s="14">
        <v>246121.53999999998</v>
      </c>
      <c r="H283" s="22">
        <f>F283*(1+Assumptions!$B$6+IF(D283="Yes",Assumptions!$C$6,0))</f>
        <v>253505.1862</v>
      </c>
      <c r="I283" s="22">
        <f>F283*(1+Assumptions!$B$7+IF(D283="Yes",Assumptions!$C$7,0))</f>
        <v>258427.617</v>
      </c>
      <c r="J283" s="22">
        <f>F283*(1+Assumptions!$B$8+IF(D283="Yes",Assumptions!$C$8,0))</f>
        <v>248582.75539999999</v>
      </c>
    </row>
    <row r="284" spans="1:10" ht="15">
      <c r="A284" s="21">
        <v>40935</v>
      </c>
      <c r="B284" s="21">
        <v>40909</v>
      </c>
      <c r="C284" s="17">
        <v>71</v>
      </c>
      <c r="D284" s="17" t="s">
        <v>91</v>
      </c>
      <c r="E284" s="14">
        <v>167180.6</v>
      </c>
      <c r="F284" s="14">
        <v>175762.91</v>
      </c>
      <c r="G284" s="14">
        <v>175762.91</v>
      </c>
      <c r="H284" s="22">
        <f>F284*(1+Assumptions!$B$6+IF(D284="Yes",Assumptions!$C$6,0))</f>
        <v>181035.79730000001</v>
      </c>
      <c r="I284" s="22">
        <f>F284*(1+Assumptions!$B$7+IF(D284="Yes",Assumptions!$C$7,0))</f>
        <v>184551.05550000002</v>
      </c>
      <c r="J284" s="22">
        <f>F284*(1+Assumptions!$B$8+IF(D284="Yes",Assumptions!$C$8,0))</f>
        <v>177520.53909999999</v>
      </c>
    </row>
    <row r="285" spans="1:10" ht="15">
      <c r="A285" s="21">
        <v>40935</v>
      </c>
      <c r="B285" s="21">
        <v>40909</v>
      </c>
      <c r="C285" s="17">
        <v>72</v>
      </c>
      <c r="D285" s="17" t="s">
        <v>91</v>
      </c>
      <c r="E285" s="14">
        <v>1789460.6600000001</v>
      </c>
      <c r="F285" s="14">
        <v>1967206.16</v>
      </c>
      <c r="G285" s="14">
        <v>1967206.16</v>
      </c>
      <c r="H285" s="22">
        <f>F285*(1+Assumptions!$B$6+IF(D285="Yes",Assumptions!$C$6,0))</f>
        <v>2026222.3448000001</v>
      </c>
      <c r="I285" s="22">
        <f>F285*(1+Assumptions!$B$7+IF(D285="Yes",Assumptions!$C$7,0))</f>
        <v>2065566.4680000001</v>
      </c>
      <c r="J285" s="22">
        <f>F285*(1+Assumptions!$B$8+IF(D285="Yes",Assumptions!$C$8,0))</f>
        <v>1986878.2216</v>
      </c>
    </row>
    <row r="286" spans="1:10" ht="15">
      <c r="A286" s="21">
        <v>40935</v>
      </c>
      <c r="B286" s="21">
        <v>40909</v>
      </c>
      <c r="C286" s="17">
        <v>74</v>
      </c>
      <c r="D286" s="17" t="s">
        <v>91</v>
      </c>
      <c r="E286" s="14">
        <v>516511.04</v>
      </c>
      <c r="F286" s="14">
        <v>540107.22</v>
      </c>
      <c r="G286" s="14">
        <v>540107.22</v>
      </c>
      <c r="H286" s="22">
        <f>F286*(1+Assumptions!$B$6+IF(D286="Yes",Assumptions!$C$6,0))</f>
        <v>556310.43660000002</v>
      </c>
      <c r="I286" s="22">
        <f>F286*(1+Assumptions!$B$7+IF(D286="Yes",Assumptions!$C$7,0))</f>
        <v>567112.58100000001</v>
      </c>
      <c r="J286" s="22">
        <f>F286*(1+Assumptions!$B$8+IF(D286="Yes",Assumptions!$C$8,0))</f>
        <v>545508.29220000003</v>
      </c>
    </row>
    <row r="287" spans="1:10" ht="15">
      <c r="A287" s="21">
        <v>40935</v>
      </c>
      <c r="B287" s="21">
        <v>40909</v>
      </c>
      <c r="C287" s="17">
        <v>77</v>
      </c>
      <c r="D287" s="17" t="s">
        <v>91</v>
      </c>
      <c r="E287" s="14">
        <v>20.97</v>
      </c>
      <c r="F287" s="14">
        <v>-20.97</v>
      </c>
      <c r="G287" s="14">
        <v>-20.97</v>
      </c>
      <c r="H287" s="22">
        <f>F287*(1+Assumptions!$B$6+IF(D287="Yes",Assumptions!$C$6,0))</f>
        <v>-21.5991</v>
      </c>
      <c r="I287" s="22">
        <f>F287*(1+Assumptions!$B$7+IF(D287="Yes",Assumptions!$C$7,0))</f>
        <v>-22.0185</v>
      </c>
      <c r="J287" s="22">
        <f>F287*(1+Assumptions!$B$8+IF(D287="Yes",Assumptions!$C$8,0))</f>
        <v>-21.1797</v>
      </c>
    </row>
    <row r="288" spans="1:10" ht="15">
      <c r="A288" s="21">
        <v>40935</v>
      </c>
      <c r="B288" s="21">
        <v>40909</v>
      </c>
      <c r="C288" s="17">
        <v>79</v>
      </c>
      <c r="D288" s="17" t="s">
        <v>91</v>
      </c>
      <c r="E288" s="14">
        <v>885848.37</v>
      </c>
      <c r="F288" s="14">
        <v>878652.75</v>
      </c>
      <c r="G288" s="14">
        <v>878652.75</v>
      </c>
      <c r="H288" s="22">
        <f>F288*(1+Assumptions!$B$6+IF(D288="Yes",Assumptions!$C$6,0))</f>
        <v>905012.33250000002</v>
      </c>
      <c r="I288" s="22">
        <f>F288*(1+Assumptions!$B$7+IF(D288="Yes",Assumptions!$C$7,0))</f>
        <v>922585.38750000007</v>
      </c>
      <c r="J288" s="22">
        <f>F288*(1+Assumptions!$B$8+IF(D288="Yes",Assumptions!$C$8,0))</f>
        <v>887439.27749999997</v>
      </c>
    </row>
    <row r="289" spans="1:10" ht="15">
      <c r="A289" s="21">
        <v>40935</v>
      </c>
      <c r="B289" s="21">
        <v>40909</v>
      </c>
      <c r="C289" s="17">
        <v>80</v>
      </c>
      <c r="D289" s="17" t="s">
        <v>91</v>
      </c>
      <c r="E289" s="14">
        <v>472558.97000000003</v>
      </c>
      <c r="F289" s="14">
        <v>462837.60000000003</v>
      </c>
      <c r="G289" s="14">
        <v>462837.60000000003</v>
      </c>
      <c r="H289" s="22">
        <f>F289*(1+Assumptions!$B$6+IF(D289="Yes",Assumptions!$C$6,0))</f>
        <v>476722.72800000006</v>
      </c>
      <c r="I289" s="22">
        <f>F289*(1+Assumptions!$B$7+IF(D289="Yes",Assumptions!$C$7,0))</f>
        <v>485979.48000000004</v>
      </c>
      <c r="J289" s="22">
        <f>F289*(1+Assumptions!$B$8+IF(D289="Yes",Assumptions!$C$8,0))</f>
        <v>467465.97600000002</v>
      </c>
    </row>
    <row r="290" spans="1:10" ht="15">
      <c r="A290" s="21">
        <v>40935</v>
      </c>
      <c r="B290" s="21">
        <v>40909</v>
      </c>
      <c r="C290" s="17">
        <v>81</v>
      </c>
      <c r="D290" s="17" t="s">
        <v>91</v>
      </c>
      <c r="E290" s="14">
        <v>660438.07999999996</v>
      </c>
      <c r="F290" s="14">
        <v>659021.21</v>
      </c>
      <c r="G290" s="14">
        <v>659021.21</v>
      </c>
      <c r="H290" s="22">
        <f>F290*(1+Assumptions!$B$6+IF(D290="Yes",Assumptions!$C$6,0))</f>
        <v>678791.84629999998</v>
      </c>
      <c r="I290" s="22">
        <f>F290*(1+Assumptions!$B$7+IF(D290="Yes",Assumptions!$C$7,0))</f>
        <v>691972.27049999998</v>
      </c>
      <c r="J290" s="22">
        <f>F290*(1+Assumptions!$B$8+IF(D290="Yes",Assumptions!$C$8,0))</f>
        <v>665611.42209999997</v>
      </c>
    </row>
    <row r="291" spans="1:10" ht="15">
      <c r="A291" s="21">
        <v>40935</v>
      </c>
      <c r="B291" s="21">
        <v>40909</v>
      </c>
      <c r="C291" s="17">
        <v>82</v>
      </c>
      <c r="D291" s="17" t="s">
        <v>91</v>
      </c>
      <c r="E291" s="14">
        <v>544280.04999999993</v>
      </c>
      <c r="F291" s="14">
        <v>541625.24</v>
      </c>
      <c r="G291" s="14">
        <v>541625.24</v>
      </c>
      <c r="H291" s="22">
        <f>F291*(1+Assumptions!$B$6+IF(D291="Yes",Assumptions!$C$6,0))</f>
        <v>557873.99719999998</v>
      </c>
      <c r="I291" s="22">
        <f>F291*(1+Assumptions!$B$7+IF(D291="Yes",Assumptions!$C$7,0))</f>
        <v>568706.50199999998</v>
      </c>
      <c r="J291" s="22">
        <f>F291*(1+Assumptions!$B$8+IF(D291="Yes",Assumptions!$C$8,0))</f>
        <v>547041.49239999999</v>
      </c>
    </row>
    <row r="292" spans="1:10" ht="15">
      <c r="A292" s="21">
        <v>40935</v>
      </c>
      <c r="B292" s="21">
        <v>40909</v>
      </c>
      <c r="C292" s="17">
        <v>83</v>
      </c>
      <c r="D292" s="17" t="s">
        <v>91</v>
      </c>
      <c r="E292" s="14">
        <v>126445.31999999999</v>
      </c>
      <c r="F292" s="14">
        <v>127847.61</v>
      </c>
      <c r="G292" s="14">
        <v>127847.61</v>
      </c>
      <c r="H292" s="22">
        <f>F292*(1+Assumptions!$B$6+IF(D292="Yes",Assumptions!$C$6,0))</f>
        <v>131683.03830000001</v>
      </c>
      <c r="I292" s="22">
        <f>F292*(1+Assumptions!$B$7+IF(D292="Yes",Assumptions!$C$7,0))</f>
        <v>134239.99050000001</v>
      </c>
      <c r="J292" s="22">
        <f>F292*(1+Assumptions!$B$8+IF(D292="Yes",Assumptions!$C$8,0))</f>
        <v>129126.0861</v>
      </c>
    </row>
    <row r="293" spans="1:10" ht="15">
      <c r="A293" s="21">
        <v>40935</v>
      </c>
      <c r="B293" s="21">
        <v>40909</v>
      </c>
      <c r="C293" s="17">
        <v>85</v>
      </c>
      <c r="D293" s="17" t="s">
        <v>91</v>
      </c>
      <c r="E293" s="14">
        <v>67436.59</v>
      </c>
      <c r="F293" s="14">
        <v>70846.759999999995</v>
      </c>
      <c r="G293" s="14">
        <v>70846.759999999995</v>
      </c>
      <c r="H293" s="22">
        <f>F293*(1+Assumptions!$B$6+IF(D293="Yes",Assumptions!$C$6,0))</f>
        <v>72972.162799999991</v>
      </c>
      <c r="I293" s="22">
        <f>F293*(1+Assumptions!$B$7+IF(D293="Yes",Assumptions!$C$7,0))</f>
        <v>74389.097999999998</v>
      </c>
      <c r="J293" s="22">
        <f>F293*(1+Assumptions!$B$8+IF(D293="Yes",Assumptions!$C$8,0))</f>
        <v>71555.227599999998</v>
      </c>
    </row>
    <row r="294" spans="1:10" ht="15">
      <c r="A294" s="21">
        <v>40935</v>
      </c>
      <c r="B294" s="21">
        <v>40909</v>
      </c>
      <c r="C294" s="17">
        <v>87</v>
      </c>
      <c r="D294" s="17" t="s">
        <v>91</v>
      </c>
      <c r="E294" s="14">
        <v>579636.21</v>
      </c>
      <c r="F294" s="14">
        <v>529229</v>
      </c>
      <c r="G294" s="14">
        <v>529229</v>
      </c>
      <c r="H294" s="22">
        <f>F294*(1+Assumptions!$B$6+IF(D294="Yes",Assumptions!$C$6,0))</f>
        <v>545105.87</v>
      </c>
      <c r="I294" s="22">
        <f>F294*(1+Assumptions!$B$7+IF(D294="Yes",Assumptions!$C$7,0))</f>
        <v>555690.45000000007</v>
      </c>
      <c r="J294" s="22">
        <f>F294*(1+Assumptions!$B$8+IF(D294="Yes",Assumptions!$C$8,0))</f>
        <v>534521.29</v>
      </c>
    </row>
    <row r="295" spans="1:10" ht="15">
      <c r="A295" s="21">
        <v>40935</v>
      </c>
      <c r="B295" s="21">
        <v>40909</v>
      </c>
      <c r="C295" s="17">
        <v>90</v>
      </c>
      <c r="D295" s="17" t="s">
        <v>91</v>
      </c>
      <c r="E295" s="14">
        <v>2037988.17</v>
      </c>
      <c r="F295" s="14">
        <v>1900881.46</v>
      </c>
      <c r="G295" s="14">
        <v>1900881.46</v>
      </c>
      <c r="H295" s="22">
        <f>F295*(1+Assumptions!$B$6+IF(D295="Yes",Assumptions!$C$6,0))</f>
        <v>1957907.9038</v>
      </c>
      <c r="I295" s="22">
        <f>F295*(1+Assumptions!$B$7+IF(D295="Yes",Assumptions!$C$7,0))</f>
        <v>1995925.5330000001</v>
      </c>
      <c r="J295" s="22">
        <f>F295*(1+Assumptions!$B$8+IF(D295="Yes",Assumptions!$C$8,0))</f>
        <v>1919890.2745999999</v>
      </c>
    </row>
    <row r="296" spans="1:10" ht="15">
      <c r="A296" s="21">
        <v>40935</v>
      </c>
      <c r="B296" s="21">
        <v>40909</v>
      </c>
      <c r="C296" s="17">
        <v>91</v>
      </c>
      <c r="D296" s="17" t="s">
        <v>91</v>
      </c>
      <c r="E296" s="14">
        <v>1446032.93</v>
      </c>
      <c r="F296" s="14">
        <v>1428835.37</v>
      </c>
      <c r="G296" s="14">
        <v>1428835.37</v>
      </c>
      <c r="H296" s="22">
        <f>F296*(1+Assumptions!$B$6+IF(D296="Yes",Assumptions!$C$6,0))</f>
        <v>1471700.4311000002</v>
      </c>
      <c r="I296" s="22">
        <f>F296*(1+Assumptions!$B$7+IF(D296="Yes",Assumptions!$C$7,0))</f>
        <v>1500277.1385000001</v>
      </c>
      <c r="J296" s="22">
        <f>F296*(1+Assumptions!$B$8+IF(D296="Yes",Assumptions!$C$8,0))</f>
        <v>1443123.7237000002</v>
      </c>
    </row>
    <row r="297" spans="1:10" ht="15">
      <c r="A297" s="21">
        <v>40935</v>
      </c>
      <c r="B297" s="21">
        <v>40909</v>
      </c>
      <c r="C297" s="17">
        <v>92</v>
      </c>
      <c r="D297" s="17" t="s">
        <v>91</v>
      </c>
      <c r="E297" s="14">
        <v>3313512.4</v>
      </c>
      <c r="F297" s="14">
        <v>3044345.87</v>
      </c>
      <c r="G297" s="14">
        <v>3044345.87</v>
      </c>
      <c r="H297" s="22">
        <f>F297*(1+Assumptions!$B$6+IF(D297="Yes",Assumptions!$C$6,0))</f>
        <v>3135676.2461000001</v>
      </c>
      <c r="I297" s="22">
        <f>F297*(1+Assumptions!$B$7+IF(D297="Yes",Assumptions!$C$7,0))</f>
        <v>3196563.1635000003</v>
      </c>
      <c r="J297" s="22">
        <f>F297*(1+Assumptions!$B$8+IF(D297="Yes",Assumptions!$C$8,0))</f>
        <v>3074789.3287</v>
      </c>
    </row>
    <row r="298" spans="1:10" ht="15">
      <c r="A298" s="21">
        <v>40935</v>
      </c>
      <c r="B298" s="21">
        <v>40909</v>
      </c>
      <c r="C298" s="17">
        <v>93</v>
      </c>
      <c r="D298" s="17" t="s">
        <v>91</v>
      </c>
      <c r="E298" s="14">
        <v>994744.66</v>
      </c>
      <c r="F298" s="14">
        <v>946042.78</v>
      </c>
      <c r="G298" s="14">
        <v>946042.78</v>
      </c>
      <c r="H298" s="22">
        <f>F298*(1+Assumptions!$B$6+IF(D298="Yes",Assumptions!$C$6,0))</f>
        <v>974424.0634000001</v>
      </c>
      <c r="I298" s="22">
        <f>F298*(1+Assumptions!$B$7+IF(D298="Yes",Assumptions!$C$7,0))</f>
        <v>993344.91900000011</v>
      </c>
      <c r="J298" s="22">
        <f>F298*(1+Assumptions!$B$8+IF(D298="Yes",Assumptions!$C$8,0))</f>
        <v>955503.20780000009</v>
      </c>
    </row>
    <row r="299" spans="1:10" ht="15">
      <c r="A299" s="21">
        <v>40935</v>
      </c>
      <c r="B299" s="21">
        <v>40909</v>
      </c>
      <c r="C299" s="17">
        <v>94</v>
      </c>
      <c r="D299" s="17" t="s">
        <v>91</v>
      </c>
      <c r="E299" s="14">
        <v>1209102.24</v>
      </c>
      <c r="F299" s="14">
        <v>1168026.83</v>
      </c>
      <c r="G299" s="14">
        <v>1168026.83</v>
      </c>
      <c r="H299" s="22">
        <f>F299*(1+Assumptions!$B$6+IF(D299="Yes",Assumptions!$C$6,0))</f>
        <v>1203067.6349000002</v>
      </c>
      <c r="I299" s="22">
        <f>F299*(1+Assumptions!$B$7+IF(D299="Yes",Assumptions!$C$7,0))</f>
        <v>1226428.1715000002</v>
      </c>
      <c r="J299" s="22">
        <f>F299*(1+Assumptions!$B$8+IF(D299="Yes",Assumptions!$C$8,0))</f>
        <v>1179707.0983000002</v>
      </c>
    </row>
    <row r="300" spans="1:10" ht="15">
      <c r="A300" s="21">
        <v>40935</v>
      </c>
      <c r="B300" s="21">
        <v>40909</v>
      </c>
      <c r="C300" s="17">
        <v>95</v>
      </c>
      <c r="D300" s="17" t="s">
        <v>91</v>
      </c>
      <c r="E300" s="14">
        <v>2773665.3000000003</v>
      </c>
      <c r="F300" s="14">
        <v>2743236.21</v>
      </c>
      <c r="G300" s="14">
        <v>2743236.21</v>
      </c>
      <c r="H300" s="22">
        <f>F300*(1+Assumptions!$B$6+IF(D300="Yes",Assumptions!$C$6,0))</f>
        <v>2825533.2963</v>
      </c>
      <c r="I300" s="22">
        <f>F300*(1+Assumptions!$B$7+IF(D300="Yes",Assumptions!$C$7,0))</f>
        <v>2880398.0205000001</v>
      </c>
      <c r="J300" s="22">
        <f>F300*(1+Assumptions!$B$8+IF(D300="Yes",Assumptions!$C$8,0))</f>
        <v>2770668.5721</v>
      </c>
    </row>
    <row r="301" spans="1:10" ht="15">
      <c r="A301" s="21">
        <v>40935</v>
      </c>
      <c r="B301" s="21">
        <v>40909</v>
      </c>
      <c r="C301" s="17">
        <v>96</v>
      </c>
      <c r="D301" s="17" t="s">
        <v>91</v>
      </c>
      <c r="E301" s="14">
        <v>454812.87</v>
      </c>
      <c r="F301" s="14">
        <v>424904.94</v>
      </c>
      <c r="G301" s="14">
        <v>424904.94</v>
      </c>
      <c r="H301" s="22">
        <f>F301*(1+Assumptions!$B$6+IF(D301="Yes",Assumptions!$C$6,0))</f>
        <v>437652.0882</v>
      </c>
      <c r="I301" s="22">
        <f>F301*(1+Assumptions!$B$7+IF(D301="Yes",Assumptions!$C$7,0))</f>
        <v>446150.18700000003</v>
      </c>
      <c r="J301" s="22">
        <f>F301*(1+Assumptions!$B$8+IF(D301="Yes",Assumptions!$C$8,0))</f>
        <v>429153.98940000002</v>
      </c>
    </row>
    <row r="302" spans="1:10" ht="15">
      <c r="A302" s="21">
        <v>40935</v>
      </c>
      <c r="B302" s="21">
        <v>40909</v>
      </c>
      <c r="C302" s="17">
        <v>97</v>
      </c>
      <c r="D302" s="17" t="s">
        <v>91</v>
      </c>
      <c r="E302" s="14">
        <v>550382.26</v>
      </c>
      <c r="F302" s="14">
        <v>543117.31000000006</v>
      </c>
      <c r="G302" s="14">
        <v>543117.31000000006</v>
      </c>
      <c r="H302" s="22">
        <f>F302*(1+Assumptions!$B$6+IF(D302="Yes",Assumptions!$C$6,0))</f>
        <v>559410.8293000001</v>
      </c>
      <c r="I302" s="22">
        <f>F302*(1+Assumptions!$B$7+IF(D302="Yes",Assumptions!$C$7,0))</f>
        <v>570273.17550000013</v>
      </c>
      <c r="J302" s="22">
        <f>F302*(1+Assumptions!$B$8+IF(D302="Yes",Assumptions!$C$8,0))</f>
        <v>548548.48310000007</v>
      </c>
    </row>
    <row r="303" spans="1:10" ht="15">
      <c r="A303" s="21">
        <v>40935</v>
      </c>
      <c r="B303" s="21">
        <v>40909</v>
      </c>
      <c r="C303" s="17">
        <v>98</v>
      </c>
      <c r="D303" s="17" t="s">
        <v>91</v>
      </c>
      <c r="E303" s="14">
        <v>244739.92</v>
      </c>
      <c r="F303" s="14">
        <v>237226.03</v>
      </c>
      <c r="G303" s="14">
        <v>237226.03</v>
      </c>
      <c r="H303" s="22">
        <f>F303*(1+Assumptions!$B$6+IF(D303="Yes",Assumptions!$C$6,0))</f>
        <v>244342.81090000001</v>
      </c>
      <c r="I303" s="22">
        <f>F303*(1+Assumptions!$B$7+IF(D303="Yes",Assumptions!$C$7,0))</f>
        <v>249087.3315</v>
      </c>
      <c r="J303" s="22">
        <f>F303*(1+Assumptions!$B$8+IF(D303="Yes",Assumptions!$C$8,0))</f>
        <v>239598.29029999999</v>
      </c>
    </row>
    <row r="304" spans="1:10" ht="15">
      <c r="A304" s="21">
        <v>40942</v>
      </c>
      <c r="B304" s="21">
        <v>40940</v>
      </c>
      <c r="C304" s="17">
        <v>1</v>
      </c>
      <c r="D304" s="17" t="s">
        <v>91</v>
      </c>
      <c r="E304" s="14">
        <v>819746.84</v>
      </c>
      <c r="F304" s="14">
        <v>792603.03</v>
      </c>
      <c r="G304" s="14">
        <v>792603.03</v>
      </c>
      <c r="H304" s="22">
        <f>F304*(1+Assumptions!$B$6+IF(D304="Yes",Assumptions!$C$6,0))</f>
        <v>816381.1209000001</v>
      </c>
      <c r="I304" s="22">
        <f>F304*(1+Assumptions!$B$7+IF(D304="Yes",Assumptions!$C$7,0))</f>
        <v>832233.18150000006</v>
      </c>
      <c r="J304" s="22">
        <f>F304*(1+Assumptions!$B$8+IF(D304="Yes",Assumptions!$C$8,0))</f>
        <v>800529.06030000001</v>
      </c>
    </row>
    <row r="305" spans="1:10" ht="15">
      <c r="A305" s="21">
        <v>40942</v>
      </c>
      <c r="B305" s="21">
        <v>40940</v>
      </c>
      <c r="C305" s="17">
        <v>2</v>
      </c>
      <c r="D305" s="17" t="s">
        <v>91</v>
      </c>
      <c r="E305" s="14">
        <v>1995274.05</v>
      </c>
      <c r="F305" s="14">
        <v>1853050.8799999999</v>
      </c>
      <c r="G305" s="14">
        <v>1853050.8799999999</v>
      </c>
      <c r="H305" s="22">
        <f>F305*(1+Assumptions!$B$6+IF(D305="Yes",Assumptions!$C$6,0))</f>
        <v>1908642.4064</v>
      </c>
      <c r="I305" s="22">
        <f>F305*(1+Assumptions!$B$7+IF(D305="Yes",Assumptions!$C$7,0))</f>
        <v>1945703.4239999999</v>
      </c>
      <c r="J305" s="22">
        <f>F305*(1+Assumptions!$B$8+IF(D305="Yes",Assumptions!$C$8,0))</f>
        <v>1871581.3887999998</v>
      </c>
    </row>
    <row r="306" spans="1:10" ht="15">
      <c r="A306" s="21">
        <v>40942</v>
      </c>
      <c r="B306" s="21">
        <v>40940</v>
      </c>
      <c r="C306" s="17">
        <v>3</v>
      </c>
      <c r="D306" s="17" t="s">
        <v>91</v>
      </c>
      <c r="E306" s="14">
        <v>458572.82</v>
      </c>
      <c r="F306" s="14">
        <v>420675.49</v>
      </c>
      <c r="G306" s="14">
        <v>420675.49</v>
      </c>
      <c r="H306" s="22">
        <f>F306*(1+Assumptions!$B$6+IF(D306="Yes",Assumptions!$C$6,0))</f>
        <v>433295.75469999999</v>
      </c>
      <c r="I306" s="22">
        <f>F306*(1+Assumptions!$B$7+IF(D306="Yes",Assumptions!$C$7,0))</f>
        <v>441709.26449999999</v>
      </c>
      <c r="J306" s="22">
        <f>F306*(1+Assumptions!$B$8+IF(D306="Yes",Assumptions!$C$8,0))</f>
        <v>424882.24489999999</v>
      </c>
    </row>
    <row r="307" spans="1:10" ht="15">
      <c r="A307" s="21">
        <v>40942</v>
      </c>
      <c r="B307" s="21">
        <v>40940</v>
      </c>
      <c r="C307" s="17">
        <v>4</v>
      </c>
      <c r="D307" s="17" t="s">
        <v>91</v>
      </c>
      <c r="E307" s="14">
        <v>1198011.25</v>
      </c>
      <c r="F307" s="14">
        <v>1167502.1499999999</v>
      </c>
      <c r="G307" s="14">
        <v>1167502.1499999999</v>
      </c>
      <c r="H307" s="22">
        <f>F307*(1+Assumptions!$B$6+IF(D307="Yes",Assumptions!$C$6,0))</f>
        <v>1202527.2145</v>
      </c>
      <c r="I307" s="22">
        <f>F307*(1+Assumptions!$B$7+IF(D307="Yes",Assumptions!$C$7,0))</f>
        <v>1225877.2575000001</v>
      </c>
      <c r="J307" s="22">
        <f>F307*(1+Assumptions!$B$8+IF(D307="Yes",Assumptions!$C$8,0))</f>
        <v>1179177.1714999999</v>
      </c>
    </row>
    <row r="308" spans="1:10" ht="15">
      <c r="A308" s="21">
        <v>40942</v>
      </c>
      <c r="B308" s="21">
        <v>40940</v>
      </c>
      <c r="C308" s="17">
        <v>5</v>
      </c>
      <c r="D308" s="17" t="s">
        <v>91</v>
      </c>
      <c r="E308" s="14">
        <v>897453.13</v>
      </c>
      <c r="F308" s="14">
        <v>1024066.58</v>
      </c>
      <c r="G308" s="14">
        <v>1024066.58</v>
      </c>
      <c r="H308" s="22">
        <f>F308*(1+Assumptions!$B$6+IF(D308="Yes",Assumptions!$C$6,0))</f>
        <v>1054788.5774000001</v>
      </c>
      <c r="I308" s="22">
        <f>F308*(1+Assumptions!$B$7+IF(D308="Yes",Assumptions!$C$7,0))</f>
        <v>1075269.909</v>
      </c>
      <c r="J308" s="22">
        <f>F308*(1+Assumptions!$B$8+IF(D308="Yes",Assumptions!$C$8,0))</f>
        <v>1034307.2457999999</v>
      </c>
    </row>
    <row r="309" spans="1:10" ht="15">
      <c r="A309" s="21">
        <v>40942</v>
      </c>
      <c r="B309" s="21">
        <v>40940</v>
      </c>
      <c r="C309" s="17">
        <v>6</v>
      </c>
      <c r="D309" s="17" t="s">
        <v>91</v>
      </c>
      <c r="E309" s="14">
        <v>117979.24</v>
      </c>
      <c r="F309" s="14">
        <v>154017.46</v>
      </c>
      <c r="G309" s="14">
        <v>154017.46</v>
      </c>
      <c r="H309" s="22">
        <f>F309*(1+Assumptions!$B$6+IF(D309="Yes",Assumptions!$C$6,0))</f>
        <v>158637.98379999999</v>
      </c>
      <c r="I309" s="22">
        <f>F309*(1+Assumptions!$B$7+IF(D309="Yes",Assumptions!$C$7,0))</f>
        <v>161718.33299999998</v>
      </c>
      <c r="J309" s="22">
        <f>F309*(1+Assumptions!$B$8+IF(D309="Yes",Assumptions!$C$8,0))</f>
        <v>155557.63459999999</v>
      </c>
    </row>
    <row r="310" spans="1:10" ht="15">
      <c r="A310" s="21">
        <v>40942</v>
      </c>
      <c r="B310" s="21">
        <v>40940</v>
      </c>
      <c r="C310" s="17">
        <v>7</v>
      </c>
      <c r="D310" s="17" t="s">
        <v>91</v>
      </c>
      <c r="E310" s="14">
        <v>653948.97</v>
      </c>
      <c r="F310" s="14">
        <v>636905</v>
      </c>
      <c r="G310" s="14">
        <v>636905</v>
      </c>
      <c r="H310" s="22">
        <f>F310*(1+Assumptions!$B$6+IF(D310="Yes",Assumptions!$C$6,0))</f>
        <v>656012.15</v>
      </c>
      <c r="I310" s="22">
        <f>F310*(1+Assumptions!$B$7+IF(D310="Yes",Assumptions!$C$7,0))</f>
        <v>668750.25</v>
      </c>
      <c r="J310" s="22">
        <f>F310*(1+Assumptions!$B$8+IF(D310="Yes",Assumptions!$C$8,0))</f>
        <v>643274.05000000005</v>
      </c>
    </row>
    <row r="311" spans="1:10" ht="15">
      <c r="A311" s="21">
        <v>40942</v>
      </c>
      <c r="B311" s="21">
        <v>40940</v>
      </c>
      <c r="C311" s="17">
        <v>8</v>
      </c>
      <c r="D311" s="17" t="s">
        <v>91</v>
      </c>
      <c r="E311" s="14">
        <v>1417157.72</v>
      </c>
      <c r="F311" s="14">
        <v>1434306.47</v>
      </c>
      <c r="G311" s="14">
        <v>1434306.47</v>
      </c>
      <c r="H311" s="22">
        <f>F311*(1+Assumptions!$B$6+IF(D311="Yes",Assumptions!$C$6,0))</f>
        <v>1477335.6640999999</v>
      </c>
      <c r="I311" s="22">
        <f>F311*(1+Assumptions!$B$7+IF(D311="Yes",Assumptions!$C$7,0))</f>
        <v>1506021.7935000001</v>
      </c>
      <c r="J311" s="22">
        <f>F311*(1+Assumptions!$B$8+IF(D311="Yes",Assumptions!$C$8,0))</f>
        <v>1448649.5347</v>
      </c>
    </row>
    <row r="312" spans="1:10" ht="15">
      <c r="A312" s="21">
        <v>40942</v>
      </c>
      <c r="B312" s="21">
        <v>40940</v>
      </c>
      <c r="C312" s="17">
        <v>9</v>
      </c>
      <c r="D312" s="17" t="s">
        <v>91</v>
      </c>
      <c r="E312" s="14">
        <v>540468.66</v>
      </c>
      <c r="F312" s="14">
        <v>508404.3</v>
      </c>
      <c r="G312" s="14">
        <v>508404.3</v>
      </c>
      <c r="H312" s="22">
        <f>F312*(1+Assumptions!$B$6+IF(D312="Yes",Assumptions!$C$6,0))</f>
        <v>523656.429</v>
      </c>
      <c r="I312" s="22">
        <f>F312*(1+Assumptions!$B$7+IF(D312="Yes",Assumptions!$C$7,0))</f>
        <v>533824.51500000001</v>
      </c>
      <c r="J312" s="22">
        <f>F312*(1+Assumptions!$B$8+IF(D312="Yes",Assumptions!$C$8,0))</f>
        <v>513488.34299999999</v>
      </c>
    </row>
    <row r="313" spans="1:10" ht="15">
      <c r="A313" s="21">
        <v>40942</v>
      </c>
      <c r="B313" s="21">
        <v>40940</v>
      </c>
      <c r="C313" s="17">
        <v>10</v>
      </c>
      <c r="D313" s="17" t="s">
        <v>91</v>
      </c>
      <c r="E313" s="14">
        <v>718104.73</v>
      </c>
      <c r="F313" s="14">
        <v>812989.73</v>
      </c>
      <c r="G313" s="14">
        <v>812989.73</v>
      </c>
      <c r="H313" s="22">
        <f>F313*(1+Assumptions!$B$6+IF(D313="Yes",Assumptions!$C$6,0))</f>
        <v>837379.42189999996</v>
      </c>
      <c r="I313" s="22">
        <f>F313*(1+Assumptions!$B$7+IF(D313="Yes",Assumptions!$C$7,0))</f>
        <v>853639.21649999998</v>
      </c>
      <c r="J313" s="22">
        <f>F313*(1+Assumptions!$B$8+IF(D313="Yes",Assumptions!$C$8,0))</f>
        <v>821119.62729999993</v>
      </c>
    </row>
    <row r="314" spans="1:10" ht="15">
      <c r="A314" s="21">
        <v>40942</v>
      </c>
      <c r="B314" s="21">
        <v>40940</v>
      </c>
      <c r="C314" s="17">
        <v>11</v>
      </c>
      <c r="D314" s="17" t="s">
        <v>91</v>
      </c>
      <c r="E314" s="14">
        <v>537823.26</v>
      </c>
      <c r="F314" s="14">
        <v>686686.26</v>
      </c>
      <c r="G314" s="14">
        <v>686686.26</v>
      </c>
      <c r="H314" s="22">
        <f>F314*(1+Assumptions!$B$6+IF(D314="Yes",Assumptions!$C$6,0))</f>
        <v>707286.84779999999</v>
      </c>
      <c r="I314" s="22">
        <f>F314*(1+Assumptions!$B$7+IF(D314="Yes",Assumptions!$C$7,0))</f>
        <v>721020.57300000009</v>
      </c>
      <c r="J314" s="22">
        <f>F314*(1+Assumptions!$B$8+IF(D314="Yes",Assumptions!$C$8,0))</f>
        <v>693553.1226</v>
      </c>
    </row>
    <row r="315" spans="1:10" ht="15">
      <c r="A315" s="21">
        <v>40942</v>
      </c>
      <c r="B315" s="21">
        <v>40940</v>
      </c>
      <c r="C315" s="17">
        <v>12</v>
      </c>
      <c r="D315" s="17" t="s">
        <v>91</v>
      </c>
      <c r="E315" s="14">
        <v>153979.45000000001</v>
      </c>
      <c r="F315" s="14">
        <v>140868.76999999999</v>
      </c>
      <c r="G315" s="14">
        <v>140868.76999999999</v>
      </c>
      <c r="H315" s="22">
        <f>F315*(1+Assumptions!$B$6+IF(D315="Yes",Assumptions!$C$6,0))</f>
        <v>145094.83309999999</v>
      </c>
      <c r="I315" s="22">
        <f>F315*(1+Assumptions!$B$7+IF(D315="Yes",Assumptions!$C$7,0))</f>
        <v>147912.20850000001</v>
      </c>
      <c r="J315" s="22">
        <f>F315*(1+Assumptions!$B$8+IF(D315="Yes",Assumptions!$C$8,0))</f>
        <v>142277.4577</v>
      </c>
    </row>
    <row r="316" spans="1:10" ht="15">
      <c r="A316" s="21">
        <v>40942</v>
      </c>
      <c r="B316" s="21">
        <v>40940</v>
      </c>
      <c r="C316" s="17">
        <v>13</v>
      </c>
      <c r="D316" s="17" t="s">
        <v>91</v>
      </c>
      <c r="E316" s="14">
        <v>1381251.29</v>
      </c>
      <c r="F316" s="14">
        <v>1348149.52</v>
      </c>
      <c r="G316" s="14">
        <v>1348149.52</v>
      </c>
      <c r="H316" s="22">
        <f>F316*(1+Assumptions!$B$6+IF(D316="Yes",Assumptions!$C$6,0))</f>
        <v>1388594.0056</v>
      </c>
      <c r="I316" s="22">
        <f>F316*(1+Assumptions!$B$7+IF(D316="Yes",Assumptions!$C$7,0))</f>
        <v>1415556.996</v>
      </c>
      <c r="J316" s="22">
        <f>F316*(1+Assumptions!$B$8+IF(D316="Yes",Assumptions!$C$8,0))</f>
        <v>1361631.0152</v>
      </c>
    </row>
    <row r="317" spans="1:10" ht="15">
      <c r="A317" s="21">
        <v>40942</v>
      </c>
      <c r="B317" s="21">
        <v>40940</v>
      </c>
      <c r="C317" s="17">
        <v>14</v>
      </c>
      <c r="D317" s="17" t="s">
        <v>91</v>
      </c>
      <c r="E317" s="14">
        <v>614611.92000000004</v>
      </c>
      <c r="F317" s="14">
        <v>638602.1</v>
      </c>
      <c r="G317" s="14">
        <v>638602.1</v>
      </c>
      <c r="H317" s="22">
        <f>F317*(1+Assumptions!$B$6+IF(D317="Yes",Assumptions!$C$6,0))</f>
        <v>657760.16299999994</v>
      </c>
      <c r="I317" s="22">
        <f>F317*(1+Assumptions!$B$7+IF(D317="Yes",Assumptions!$C$7,0))</f>
        <v>670532.20499999996</v>
      </c>
      <c r="J317" s="22">
        <f>F317*(1+Assumptions!$B$8+IF(D317="Yes",Assumptions!$C$8,0))</f>
        <v>644988.12099999993</v>
      </c>
    </row>
    <row r="318" spans="1:10" ht="15">
      <c r="A318" s="21">
        <v>40942</v>
      </c>
      <c r="B318" s="21">
        <v>40940</v>
      </c>
      <c r="C318" s="17">
        <v>16</v>
      </c>
      <c r="D318" s="17" t="s">
        <v>91</v>
      </c>
      <c r="E318" s="14">
        <v>216309.56</v>
      </c>
      <c r="F318" s="14">
        <v>231065.33</v>
      </c>
      <c r="G318" s="14">
        <v>231065.33</v>
      </c>
      <c r="H318" s="22">
        <f>F318*(1+Assumptions!$B$6+IF(D318="Yes",Assumptions!$C$6,0))</f>
        <v>237997.2899</v>
      </c>
      <c r="I318" s="22">
        <f>F318*(1+Assumptions!$B$7+IF(D318="Yes",Assumptions!$C$7,0))</f>
        <v>242618.59649999999</v>
      </c>
      <c r="J318" s="22">
        <f>F318*(1+Assumptions!$B$8+IF(D318="Yes",Assumptions!$C$8,0))</f>
        <v>233375.98329999999</v>
      </c>
    </row>
    <row r="319" spans="1:10" ht="15">
      <c r="A319" s="21">
        <v>40942</v>
      </c>
      <c r="B319" s="21">
        <v>40940</v>
      </c>
      <c r="C319" s="17">
        <v>17</v>
      </c>
      <c r="D319" s="17" t="s">
        <v>91</v>
      </c>
      <c r="E319" s="14">
        <v>429851.8</v>
      </c>
      <c r="F319" s="14">
        <v>444299.58999999997</v>
      </c>
      <c r="G319" s="14">
        <v>444299.58999999997</v>
      </c>
      <c r="H319" s="22">
        <f>F319*(1+Assumptions!$B$6+IF(D319="Yes",Assumptions!$C$6,0))</f>
        <v>457628.57769999997</v>
      </c>
      <c r="I319" s="22">
        <f>F319*(1+Assumptions!$B$7+IF(D319="Yes",Assumptions!$C$7,0))</f>
        <v>466514.56949999998</v>
      </c>
      <c r="J319" s="22">
        <f>F319*(1+Assumptions!$B$8+IF(D319="Yes",Assumptions!$C$8,0))</f>
        <v>448742.58589999995</v>
      </c>
    </row>
    <row r="320" spans="1:10" ht="15">
      <c r="A320" s="21">
        <v>40942</v>
      </c>
      <c r="B320" s="21">
        <v>40940</v>
      </c>
      <c r="C320" s="17">
        <v>18</v>
      </c>
      <c r="D320" s="17" t="s">
        <v>91</v>
      </c>
      <c r="E320" s="14">
        <v>119042.13</v>
      </c>
      <c r="F320" s="14">
        <v>120369.25</v>
      </c>
      <c r="G320" s="14">
        <v>120369.25</v>
      </c>
      <c r="H320" s="22">
        <f>F320*(1+Assumptions!$B$6+IF(D320="Yes",Assumptions!$C$6,0))</f>
        <v>123980.3275</v>
      </c>
      <c r="I320" s="22">
        <f>F320*(1+Assumptions!$B$7+IF(D320="Yes",Assumptions!$C$7,0))</f>
        <v>126387.71250000001</v>
      </c>
      <c r="J320" s="22">
        <f>F320*(1+Assumptions!$B$8+IF(D320="Yes",Assumptions!$C$8,0))</f>
        <v>121572.9425</v>
      </c>
    </row>
    <row r="321" spans="1:10" ht="15">
      <c r="A321" s="21">
        <v>40942</v>
      </c>
      <c r="B321" s="21">
        <v>40940</v>
      </c>
      <c r="C321" s="17">
        <v>19</v>
      </c>
      <c r="D321" s="17" t="s">
        <v>91</v>
      </c>
      <c r="E321" s="14">
        <v>42553.48</v>
      </c>
      <c r="F321" s="14">
        <v>43167.58</v>
      </c>
      <c r="G321" s="14">
        <v>43167.58</v>
      </c>
      <c r="H321" s="22">
        <f>F321*(1+Assumptions!$B$6+IF(D321="Yes",Assumptions!$C$6,0))</f>
        <v>44462.607400000001</v>
      </c>
      <c r="I321" s="22">
        <f>F321*(1+Assumptions!$B$7+IF(D321="Yes",Assumptions!$C$7,0))</f>
        <v>45325.959000000003</v>
      </c>
      <c r="J321" s="22">
        <f>F321*(1+Assumptions!$B$8+IF(D321="Yes",Assumptions!$C$8,0))</f>
        <v>43599.255799999999</v>
      </c>
    </row>
    <row r="322" spans="1:10" ht="15">
      <c r="A322" s="21">
        <v>40942</v>
      </c>
      <c r="B322" s="21">
        <v>40940</v>
      </c>
      <c r="C322" s="17">
        <v>20</v>
      </c>
      <c r="D322" s="17" t="s">
        <v>91</v>
      </c>
      <c r="E322" s="14">
        <v>223118.54</v>
      </c>
      <c r="F322" s="14">
        <v>205590.58</v>
      </c>
      <c r="G322" s="14">
        <v>205590.58</v>
      </c>
      <c r="H322" s="22">
        <f>F322*(1+Assumptions!$B$6+IF(D322="Yes",Assumptions!$C$6,0))</f>
        <v>211758.29739999998</v>
      </c>
      <c r="I322" s="22">
        <f>F322*(1+Assumptions!$B$7+IF(D322="Yes",Assumptions!$C$7,0))</f>
        <v>215870.109</v>
      </c>
      <c r="J322" s="22">
        <f>F322*(1+Assumptions!$B$8+IF(D322="Yes",Assumptions!$C$8,0))</f>
        <v>207646.48579999999</v>
      </c>
    </row>
    <row r="323" spans="1:10" ht="15">
      <c r="A323" s="21">
        <v>40942</v>
      </c>
      <c r="B323" s="21">
        <v>40940</v>
      </c>
      <c r="C323" s="17">
        <v>21</v>
      </c>
      <c r="D323" s="17" t="s">
        <v>91</v>
      </c>
      <c r="E323" s="14">
        <v>194809.3</v>
      </c>
      <c r="F323" s="14">
        <v>205196.58</v>
      </c>
      <c r="G323" s="14">
        <v>205196.58</v>
      </c>
      <c r="H323" s="22">
        <f>F323*(1+Assumptions!$B$6+IF(D323="Yes",Assumptions!$C$6,0))</f>
        <v>211352.4774</v>
      </c>
      <c r="I323" s="22">
        <f>F323*(1+Assumptions!$B$7+IF(D323="Yes",Assumptions!$C$7,0))</f>
        <v>215456.40899999999</v>
      </c>
      <c r="J323" s="22">
        <f>F323*(1+Assumptions!$B$8+IF(D323="Yes",Assumptions!$C$8,0))</f>
        <v>207248.54579999999</v>
      </c>
    </row>
    <row r="324" spans="1:10" ht="15">
      <c r="A324" s="21">
        <v>40942</v>
      </c>
      <c r="B324" s="21">
        <v>40940</v>
      </c>
      <c r="C324" s="17">
        <v>22</v>
      </c>
      <c r="D324" s="17" t="s">
        <v>91</v>
      </c>
      <c r="E324" s="14">
        <v>413105.89999999997</v>
      </c>
      <c r="F324" s="14">
        <v>458994.6</v>
      </c>
      <c r="G324" s="14">
        <v>458994.6</v>
      </c>
      <c r="H324" s="22">
        <f>F324*(1+Assumptions!$B$6+IF(D324="Yes",Assumptions!$C$6,0))</f>
        <v>472764.43799999997</v>
      </c>
      <c r="I324" s="22">
        <f>F324*(1+Assumptions!$B$7+IF(D324="Yes",Assumptions!$C$7,0))</f>
        <v>481944.33</v>
      </c>
      <c r="J324" s="22">
        <f>F324*(1+Assumptions!$B$8+IF(D324="Yes",Assumptions!$C$8,0))</f>
        <v>463584.54599999997</v>
      </c>
    </row>
    <row r="325" spans="1:10" ht="15">
      <c r="A325" s="21">
        <v>40942</v>
      </c>
      <c r="B325" s="21">
        <v>40940</v>
      </c>
      <c r="C325" s="17">
        <v>23</v>
      </c>
      <c r="D325" s="17" t="s">
        <v>91</v>
      </c>
      <c r="E325" s="14">
        <v>758800.17</v>
      </c>
      <c r="F325" s="14">
        <v>851093.96</v>
      </c>
      <c r="G325" s="14">
        <v>851093.96</v>
      </c>
      <c r="H325" s="22">
        <f>F325*(1+Assumptions!$B$6+IF(D325="Yes",Assumptions!$C$6,0))</f>
        <v>876626.77879999997</v>
      </c>
      <c r="I325" s="22">
        <f>F325*(1+Assumptions!$B$7+IF(D325="Yes",Assumptions!$C$7,0))</f>
        <v>893648.65800000005</v>
      </c>
      <c r="J325" s="22">
        <f>F325*(1+Assumptions!$B$8+IF(D325="Yes",Assumptions!$C$8,0))</f>
        <v>859604.8996</v>
      </c>
    </row>
    <row r="326" spans="1:10" ht="15">
      <c r="A326" s="21">
        <v>40942</v>
      </c>
      <c r="B326" s="21">
        <v>40940</v>
      </c>
      <c r="C326" s="17">
        <v>24</v>
      </c>
      <c r="D326" s="17" t="s">
        <v>91</v>
      </c>
      <c r="E326" s="14">
        <v>176474.44</v>
      </c>
      <c r="F326" s="14">
        <v>207115.75</v>
      </c>
      <c r="G326" s="14">
        <v>207115.75</v>
      </c>
      <c r="H326" s="22">
        <f>F326*(1+Assumptions!$B$6+IF(D326="Yes",Assumptions!$C$6,0))</f>
        <v>213329.2225</v>
      </c>
      <c r="I326" s="22">
        <f>F326*(1+Assumptions!$B$7+IF(D326="Yes",Assumptions!$C$7,0))</f>
        <v>217471.53750000001</v>
      </c>
      <c r="J326" s="22">
        <f>F326*(1+Assumptions!$B$8+IF(D326="Yes",Assumptions!$C$8,0))</f>
        <v>209186.9075</v>
      </c>
    </row>
    <row r="327" spans="1:10" ht="15">
      <c r="A327" s="21">
        <v>40942</v>
      </c>
      <c r="B327" s="21">
        <v>40940</v>
      </c>
      <c r="C327" s="17">
        <v>25</v>
      </c>
      <c r="D327" s="17" t="s">
        <v>91</v>
      </c>
      <c r="E327" s="14">
        <v>311525.09999999998</v>
      </c>
      <c r="F327" s="14">
        <v>341357.4</v>
      </c>
      <c r="G327" s="14">
        <v>341357.4</v>
      </c>
      <c r="H327" s="22">
        <f>F327*(1+Assumptions!$B$6+IF(D327="Yes",Assumptions!$C$6,0))</f>
        <v>351598.12200000003</v>
      </c>
      <c r="I327" s="22">
        <f>F327*(1+Assumptions!$B$7+IF(D327="Yes",Assumptions!$C$7,0))</f>
        <v>358425.27</v>
      </c>
      <c r="J327" s="22">
        <f>F327*(1+Assumptions!$B$8+IF(D327="Yes",Assumptions!$C$8,0))</f>
        <v>344770.97400000005</v>
      </c>
    </row>
    <row r="328" spans="1:10" ht="15">
      <c r="A328" s="21">
        <v>40942</v>
      </c>
      <c r="B328" s="21">
        <v>40940</v>
      </c>
      <c r="C328" s="17">
        <v>26</v>
      </c>
      <c r="D328" s="17" t="s">
        <v>91</v>
      </c>
      <c r="E328" s="14">
        <v>283020.82</v>
      </c>
      <c r="F328" s="14">
        <v>295850.8</v>
      </c>
      <c r="G328" s="14">
        <v>295850.8</v>
      </c>
      <c r="H328" s="22">
        <f>F328*(1+Assumptions!$B$6+IF(D328="Yes",Assumptions!$C$6,0))</f>
        <v>304726.32400000002</v>
      </c>
      <c r="I328" s="22">
        <f>F328*(1+Assumptions!$B$7+IF(D328="Yes",Assumptions!$C$7,0))</f>
        <v>310643.34000000003</v>
      </c>
      <c r="J328" s="22">
        <f>F328*(1+Assumptions!$B$8+IF(D328="Yes",Assumptions!$C$8,0))</f>
        <v>298809.30800000002</v>
      </c>
    </row>
    <row r="329" spans="1:10" ht="15">
      <c r="A329" s="21">
        <v>40942</v>
      </c>
      <c r="B329" s="21">
        <v>40940</v>
      </c>
      <c r="C329" s="17">
        <v>27</v>
      </c>
      <c r="D329" s="17" t="s">
        <v>91</v>
      </c>
      <c r="E329" s="14">
        <v>66591.100000000006</v>
      </c>
      <c r="F329" s="14">
        <v>69452.899999999994</v>
      </c>
      <c r="G329" s="14">
        <v>69452.899999999994</v>
      </c>
      <c r="H329" s="22">
        <f>F329*(1+Assumptions!$B$6+IF(D329="Yes",Assumptions!$C$6,0))</f>
        <v>71536.486999999994</v>
      </c>
      <c r="I329" s="22">
        <f>F329*(1+Assumptions!$B$7+IF(D329="Yes",Assumptions!$C$7,0))</f>
        <v>72925.544999999998</v>
      </c>
      <c r="J329" s="22">
        <f>F329*(1+Assumptions!$B$8+IF(D329="Yes",Assumptions!$C$8,0))</f>
        <v>70147.428999999989</v>
      </c>
    </row>
    <row r="330" spans="1:10" ht="15">
      <c r="A330" s="21">
        <v>40942</v>
      </c>
      <c r="B330" s="21">
        <v>40940</v>
      </c>
      <c r="C330" s="17">
        <v>28</v>
      </c>
      <c r="D330" s="17" t="s">
        <v>91</v>
      </c>
      <c r="E330" s="14">
        <v>28886.33</v>
      </c>
      <c r="F330" s="14">
        <v>28936.44</v>
      </c>
      <c r="G330" s="14">
        <v>28936.44</v>
      </c>
      <c r="H330" s="22">
        <f>F330*(1+Assumptions!$B$6+IF(D330="Yes",Assumptions!$C$6,0))</f>
        <v>29804.533199999998</v>
      </c>
      <c r="I330" s="22">
        <f>F330*(1+Assumptions!$B$7+IF(D330="Yes",Assumptions!$C$7,0))</f>
        <v>30383.261999999999</v>
      </c>
      <c r="J330" s="22">
        <f>F330*(1+Assumptions!$B$8+IF(D330="Yes",Assumptions!$C$8,0))</f>
        <v>29225.804399999997</v>
      </c>
    </row>
    <row r="331" spans="1:10" ht="15">
      <c r="A331" s="21">
        <v>40942</v>
      </c>
      <c r="B331" s="21">
        <v>40940</v>
      </c>
      <c r="C331" s="17">
        <v>29</v>
      </c>
      <c r="D331" s="17" t="s">
        <v>91</v>
      </c>
      <c r="E331" s="14">
        <v>208461.11000000002</v>
      </c>
      <c r="F331" s="14">
        <v>225880.81</v>
      </c>
      <c r="G331" s="14">
        <v>225880.81</v>
      </c>
      <c r="H331" s="22">
        <f>F331*(1+Assumptions!$B$6+IF(D331="Yes",Assumptions!$C$6,0))</f>
        <v>232657.23430000001</v>
      </c>
      <c r="I331" s="22">
        <f>F331*(1+Assumptions!$B$7+IF(D331="Yes",Assumptions!$C$7,0))</f>
        <v>237174.8505</v>
      </c>
      <c r="J331" s="22">
        <f>F331*(1+Assumptions!$B$8+IF(D331="Yes",Assumptions!$C$8,0))</f>
        <v>228139.61809999999</v>
      </c>
    </row>
    <row r="332" spans="1:10" ht="15">
      <c r="A332" s="21">
        <v>40942</v>
      </c>
      <c r="B332" s="21">
        <v>40940</v>
      </c>
      <c r="C332" s="17">
        <v>30</v>
      </c>
      <c r="D332" s="17" t="s">
        <v>91</v>
      </c>
      <c r="E332" s="14">
        <v>131789.48000000001</v>
      </c>
      <c r="F332" s="14">
        <v>139765.38999999998</v>
      </c>
      <c r="G332" s="14">
        <v>139765.38999999998</v>
      </c>
      <c r="H332" s="22">
        <f>F332*(1+Assumptions!$B$6+IF(D332="Yes",Assumptions!$C$6,0))</f>
        <v>143958.3517</v>
      </c>
      <c r="I332" s="22">
        <f>F332*(1+Assumptions!$B$7+IF(D332="Yes",Assumptions!$C$7,0))</f>
        <v>146753.65949999998</v>
      </c>
      <c r="J332" s="22">
        <f>F332*(1+Assumptions!$B$8+IF(D332="Yes",Assumptions!$C$8,0))</f>
        <v>141163.04389999999</v>
      </c>
    </row>
    <row r="333" spans="1:10" ht="15">
      <c r="A333" s="21">
        <v>40942</v>
      </c>
      <c r="B333" s="21">
        <v>40940</v>
      </c>
      <c r="C333" s="17">
        <v>31</v>
      </c>
      <c r="D333" s="17" t="s">
        <v>91</v>
      </c>
      <c r="E333" s="14">
        <v>64646.81</v>
      </c>
      <c r="F333" s="14">
        <v>91198.48</v>
      </c>
      <c r="G333" s="14">
        <v>91198.48</v>
      </c>
      <c r="H333" s="22">
        <f>F333*(1+Assumptions!$B$6+IF(D333="Yes",Assumptions!$C$6,0))</f>
        <v>93934.434399999998</v>
      </c>
      <c r="I333" s="22">
        <f>F333*(1+Assumptions!$B$7+IF(D333="Yes",Assumptions!$C$7,0))</f>
        <v>95758.403999999995</v>
      </c>
      <c r="J333" s="22">
        <f>F333*(1+Assumptions!$B$8+IF(D333="Yes",Assumptions!$C$8,0))</f>
        <v>92110.464800000002</v>
      </c>
    </row>
    <row r="334" spans="1:10" ht="15">
      <c r="A334" s="21">
        <v>40942</v>
      </c>
      <c r="B334" s="21">
        <v>40940</v>
      </c>
      <c r="C334" s="17">
        <v>32</v>
      </c>
      <c r="D334" s="17" t="s">
        <v>91</v>
      </c>
      <c r="E334" s="14">
        <v>236212.45</v>
      </c>
      <c r="F334" s="14">
        <v>241785.35</v>
      </c>
      <c r="G334" s="14">
        <v>241785.35</v>
      </c>
      <c r="H334" s="22">
        <f>F334*(1+Assumptions!$B$6+IF(D334="Yes",Assumptions!$C$6,0))</f>
        <v>249038.9105</v>
      </c>
      <c r="I334" s="22">
        <f>F334*(1+Assumptions!$B$7+IF(D334="Yes",Assumptions!$C$7,0))</f>
        <v>253874.61750000002</v>
      </c>
      <c r="J334" s="22">
        <f>F334*(1+Assumptions!$B$8+IF(D334="Yes",Assumptions!$C$8,0))</f>
        <v>244203.2035</v>
      </c>
    </row>
    <row r="335" spans="1:10" ht="15">
      <c r="A335" s="21">
        <v>40942</v>
      </c>
      <c r="B335" s="21">
        <v>40940</v>
      </c>
      <c r="C335" s="17">
        <v>33</v>
      </c>
      <c r="D335" s="17" t="s">
        <v>91</v>
      </c>
      <c r="E335" s="14">
        <v>183509.41</v>
      </c>
      <c r="F335" s="14">
        <v>220925.12</v>
      </c>
      <c r="G335" s="14">
        <v>220925.12</v>
      </c>
      <c r="H335" s="22">
        <f>F335*(1+Assumptions!$B$6+IF(D335="Yes",Assumptions!$C$6,0))</f>
        <v>227552.87359999999</v>
      </c>
      <c r="I335" s="22">
        <f>F335*(1+Assumptions!$B$7+IF(D335="Yes",Assumptions!$C$7,0))</f>
        <v>231971.37600000002</v>
      </c>
      <c r="J335" s="22">
        <f>F335*(1+Assumptions!$B$8+IF(D335="Yes",Assumptions!$C$8,0))</f>
        <v>223134.37119999999</v>
      </c>
    </row>
    <row r="336" spans="1:10" ht="15">
      <c r="A336" s="21">
        <v>40942</v>
      </c>
      <c r="B336" s="21">
        <v>40940</v>
      </c>
      <c r="C336" s="17">
        <v>34</v>
      </c>
      <c r="D336" s="17" t="s">
        <v>91</v>
      </c>
      <c r="E336" s="14">
        <v>461026.64</v>
      </c>
      <c r="F336" s="14">
        <v>462498.65</v>
      </c>
      <c r="G336" s="14">
        <v>462498.65</v>
      </c>
      <c r="H336" s="22">
        <f>F336*(1+Assumptions!$B$6+IF(D336="Yes",Assumptions!$C$6,0))</f>
        <v>476373.60950000002</v>
      </c>
      <c r="I336" s="22">
        <f>F336*(1+Assumptions!$B$7+IF(D336="Yes",Assumptions!$C$7,0))</f>
        <v>485623.58250000002</v>
      </c>
      <c r="J336" s="22">
        <f>F336*(1+Assumptions!$B$8+IF(D336="Yes",Assumptions!$C$8,0))</f>
        <v>467123.63650000002</v>
      </c>
    </row>
    <row r="337" spans="1:10" ht="15">
      <c r="A337" s="21">
        <v>40942</v>
      </c>
      <c r="B337" s="21">
        <v>40940</v>
      </c>
      <c r="C337" s="17">
        <v>35</v>
      </c>
      <c r="D337" s="17" t="s">
        <v>91</v>
      </c>
      <c r="E337" s="14">
        <v>91760.21</v>
      </c>
      <c r="F337" s="14">
        <v>82505.210000000006</v>
      </c>
      <c r="G337" s="14">
        <v>82505.210000000006</v>
      </c>
      <c r="H337" s="22">
        <f>F337*(1+Assumptions!$B$6+IF(D337="Yes",Assumptions!$C$6,0))</f>
        <v>84980.366300000009</v>
      </c>
      <c r="I337" s="22">
        <f>F337*(1+Assumptions!$B$7+IF(D337="Yes",Assumptions!$C$7,0))</f>
        <v>86630.47050000001</v>
      </c>
      <c r="J337" s="22">
        <f>F337*(1+Assumptions!$B$8+IF(D337="Yes",Assumptions!$C$8,0))</f>
        <v>83330.262100000007</v>
      </c>
    </row>
    <row r="338" spans="1:10" ht="15">
      <c r="A338" s="21">
        <v>40942</v>
      </c>
      <c r="B338" s="21">
        <v>40940</v>
      </c>
      <c r="C338" s="17">
        <v>36</v>
      </c>
      <c r="D338" s="17" t="s">
        <v>91</v>
      </c>
      <c r="E338" s="14">
        <v>56555.71</v>
      </c>
      <c r="F338" s="14">
        <v>63505.84</v>
      </c>
      <c r="G338" s="14">
        <v>63505.84</v>
      </c>
      <c r="H338" s="22">
        <f>F338*(1+Assumptions!$B$6+IF(D338="Yes",Assumptions!$C$6,0))</f>
        <v>65411.015200000002</v>
      </c>
      <c r="I338" s="22">
        <f>F338*(1+Assumptions!$B$7+IF(D338="Yes",Assumptions!$C$7,0))</f>
        <v>66681.131999999998</v>
      </c>
      <c r="J338" s="22">
        <f>F338*(1+Assumptions!$B$8+IF(D338="Yes",Assumptions!$C$8,0))</f>
        <v>64140.898399999998</v>
      </c>
    </row>
    <row r="339" spans="1:10" ht="15">
      <c r="A339" s="21">
        <v>40942</v>
      </c>
      <c r="B339" s="21">
        <v>40940</v>
      </c>
      <c r="C339" s="17">
        <v>37</v>
      </c>
      <c r="D339" s="17" t="s">
        <v>91</v>
      </c>
      <c r="E339" s="14">
        <v>54175.040000000001</v>
      </c>
      <c r="F339" s="14">
        <v>51450.55</v>
      </c>
      <c r="G339" s="14">
        <v>51450.55</v>
      </c>
      <c r="H339" s="22">
        <f>F339*(1+Assumptions!$B$6+IF(D339="Yes",Assumptions!$C$6,0))</f>
        <v>52994.066500000001</v>
      </c>
      <c r="I339" s="22">
        <f>F339*(1+Assumptions!$B$7+IF(D339="Yes",Assumptions!$C$7,0))</f>
        <v>54023.077500000007</v>
      </c>
      <c r="J339" s="22">
        <f>F339*(1+Assumptions!$B$8+IF(D339="Yes",Assumptions!$C$8,0))</f>
        <v>51965.055500000002</v>
      </c>
    </row>
    <row r="340" spans="1:10" ht="15">
      <c r="A340" s="21">
        <v>40942</v>
      </c>
      <c r="B340" s="21">
        <v>40940</v>
      </c>
      <c r="C340" s="17">
        <v>38</v>
      </c>
      <c r="D340" s="17" t="s">
        <v>91</v>
      </c>
      <c r="E340" s="14">
        <v>3121192.96</v>
      </c>
      <c r="F340" s="14">
        <v>2799323.71</v>
      </c>
      <c r="G340" s="14">
        <v>2799323.71</v>
      </c>
      <c r="H340" s="22">
        <f>F340*(1+Assumptions!$B$6+IF(D340="Yes",Assumptions!$C$6,0))</f>
        <v>2883303.4213</v>
      </c>
      <c r="I340" s="22">
        <f>F340*(1+Assumptions!$B$7+IF(D340="Yes",Assumptions!$C$7,0))</f>
        <v>2939289.8955000001</v>
      </c>
      <c r="J340" s="22">
        <f>F340*(1+Assumptions!$B$8+IF(D340="Yes",Assumptions!$C$8,0))</f>
        <v>2827316.9471</v>
      </c>
    </row>
    <row r="341" spans="1:10" ht="15">
      <c r="A341" s="21">
        <v>40942</v>
      </c>
      <c r="B341" s="21">
        <v>40940</v>
      </c>
      <c r="C341" s="17">
        <v>40</v>
      </c>
      <c r="D341" s="17" t="s">
        <v>91</v>
      </c>
      <c r="E341" s="14">
        <v>2192252.31</v>
      </c>
      <c r="F341" s="14">
        <v>2086969.45</v>
      </c>
      <c r="G341" s="14">
        <v>2086969.45</v>
      </c>
      <c r="H341" s="22">
        <f>F341*(1+Assumptions!$B$6+IF(D341="Yes",Assumptions!$C$6,0))</f>
        <v>2149578.5334999999</v>
      </c>
      <c r="I341" s="22">
        <f>F341*(1+Assumptions!$B$7+IF(D341="Yes",Assumptions!$C$7,0))</f>
        <v>2191317.9224999999</v>
      </c>
      <c r="J341" s="22">
        <f>F341*(1+Assumptions!$B$8+IF(D341="Yes",Assumptions!$C$8,0))</f>
        <v>2107839.1444999999</v>
      </c>
    </row>
    <row r="342" spans="1:10" ht="15">
      <c r="A342" s="21">
        <v>40942</v>
      </c>
      <c r="B342" s="21">
        <v>40940</v>
      </c>
      <c r="C342" s="17">
        <v>41</v>
      </c>
      <c r="D342" s="17" t="s">
        <v>91</v>
      </c>
      <c r="E342" s="14">
        <v>54930.89</v>
      </c>
      <c r="F342" s="14">
        <v>107132.31</v>
      </c>
      <c r="G342" s="14">
        <v>107132.31</v>
      </c>
      <c r="H342" s="22">
        <f>F342*(1+Assumptions!$B$6+IF(D342="Yes",Assumptions!$C$6,0))</f>
        <v>110346.27929999999</v>
      </c>
      <c r="I342" s="22">
        <f>F342*(1+Assumptions!$B$7+IF(D342="Yes",Assumptions!$C$7,0))</f>
        <v>112488.9255</v>
      </c>
      <c r="J342" s="22">
        <f>F342*(1+Assumptions!$B$8+IF(D342="Yes",Assumptions!$C$8,0))</f>
        <v>108203.63309999999</v>
      </c>
    </row>
    <row r="343" spans="1:10" ht="15">
      <c r="A343" s="21">
        <v>40942</v>
      </c>
      <c r="B343" s="21">
        <v>40940</v>
      </c>
      <c r="C343" s="17">
        <v>42</v>
      </c>
      <c r="D343" s="17" t="s">
        <v>91</v>
      </c>
      <c r="E343" s="14">
        <v>237701.9</v>
      </c>
      <c r="F343" s="14">
        <v>191534.52</v>
      </c>
      <c r="G343" s="14">
        <v>191534.52</v>
      </c>
      <c r="H343" s="22">
        <f>F343*(1+Assumptions!$B$6+IF(D343="Yes",Assumptions!$C$6,0))</f>
        <v>197280.55559999999</v>
      </c>
      <c r="I343" s="22">
        <f>F343*(1+Assumptions!$B$7+IF(D343="Yes",Assumptions!$C$7,0))</f>
        <v>201111.24599999998</v>
      </c>
      <c r="J343" s="22">
        <f>F343*(1+Assumptions!$B$8+IF(D343="Yes",Assumptions!$C$8,0))</f>
        <v>193449.8652</v>
      </c>
    </row>
    <row r="344" spans="1:10" ht="15">
      <c r="A344" s="21">
        <v>40942</v>
      </c>
      <c r="B344" s="21">
        <v>40940</v>
      </c>
      <c r="C344" s="17">
        <v>44</v>
      </c>
      <c r="D344" s="17" t="s">
        <v>91</v>
      </c>
      <c r="E344" s="14">
        <v>182078.78</v>
      </c>
      <c r="F344" s="14">
        <v>164734</v>
      </c>
      <c r="G344" s="14">
        <v>164734</v>
      </c>
      <c r="H344" s="22">
        <f>F344*(1+Assumptions!$B$6+IF(D344="Yes",Assumptions!$C$6,0))</f>
        <v>169676.02000000002</v>
      </c>
      <c r="I344" s="22">
        <f>F344*(1+Assumptions!$B$7+IF(D344="Yes",Assumptions!$C$7,0))</f>
        <v>172970.7</v>
      </c>
      <c r="J344" s="22">
        <f>F344*(1+Assumptions!$B$8+IF(D344="Yes",Assumptions!$C$8,0))</f>
        <v>166381.34</v>
      </c>
    </row>
    <row r="345" spans="1:10" ht="15">
      <c r="A345" s="21">
        <v>40942</v>
      </c>
      <c r="B345" s="21">
        <v>40940</v>
      </c>
      <c r="C345" s="17">
        <v>45</v>
      </c>
      <c r="D345" s="17" t="s">
        <v>91</v>
      </c>
      <c r="E345" s="14">
        <v>77.790000000000006</v>
      </c>
      <c r="F345" s="14">
        <v>32.379999999999995</v>
      </c>
      <c r="G345" s="14">
        <v>32.379999999999995</v>
      </c>
      <c r="H345" s="22">
        <f>F345*(1+Assumptions!$B$6+IF(D345="Yes",Assumptions!$C$6,0))</f>
        <v>33.351399999999998</v>
      </c>
      <c r="I345" s="22">
        <f>F345*(1+Assumptions!$B$7+IF(D345="Yes",Assumptions!$C$7,0))</f>
        <v>33.998999999999995</v>
      </c>
      <c r="J345" s="22">
        <f>F345*(1+Assumptions!$B$8+IF(D345="Yes",Assumptions!$C$8,0))</f>
        <v>32.703799999999994</v>
      </c>
    </row>
    <row r="346" spans="1:10" ht="15">
      <c r="A346" s="21">
        <v>40942</v>
      </c>
      <c r="B346" s="21">
        <v>40940</v>
      </c>
      <c r="C346" s="17">
        <v>46</v>
      </c>
      <c r="D346" s="17" t="s">
        <v>91</v>
      </c>
      <c r="E346" s="14">
        <v>862002.52</v>
      </c>
      <c r="F346" s="14">
        <v>800783.02</v>
      </c>
      <c r="G346" s="14">
        <v>800783.02</v>
      </c>
      <c r="H346" s="22">
        <f>F346*(1+Assumptions!$B$6+IF(D346="Yes",Assumptions!$C$6,0))</f>
        <v>824806.51060000004</v>
      </c>
      <c r="I346" s="22">
        <f>F346*(1+Assumptions!$B$7+IF(D346="Yes",Assumptions!$C$7,0))</f>
        <v>840822.17100000009</v>
      </c>
      <c r="J346" s="22">
        <f>F346*(1+Assumptions!$B$8+IF(D346="Yes",Assumptions!$C$8,0))</f>
        <v>808790.85019999999</v>
      </c>
    </row>
    <row r="347" spans="1:10" ht="15">
      <c r="A347" s="21">
        <v>40942</v>
      </c>
      <c r="B347" s="21">
        <v>40940</v>
      </c>
      <c r="C347" s="17">
        <v>47</v>
      </c>
      <c r="D347" s="17" t="s">
        <v>91</v>
      </c>
      <c r="E347" s="14">
        <v>316</v>
      </c>
      <c r="F347" s="14">
        <v>-106.86</v>
      </c>
      <c r="G347" s="14">
        <v>-106.86</v>
      </c>
      <c r="H347" s="22">
        <f>F347*(1+Assumptions!$B$6+IF(D347="Yes",Assumptions!$C$6,0))</f>
        <v>-110.0658</v>
      </c>
      <c r="I347" s="22">
        <f>F347*(1+Assumptions!$B$7+IF(D347="Yes",Assumptions!$C$7,0))</f>
        <v>-112.203</v>
      </c>
      <c r="J347" s="22">
        <f>F347*(1+Assumptions!$B$8+IF(D347="Yes",Assumptions!$C$8,0))</f>
        <v>-107.9286</v>
      </c>
    </row>
    <row r="348" spans="1:10" ht="15">
      <c r="A348" s="21">
        <v>40942</v>
      </c>
      <c r="B348" s="21">
        <v>40940</v>
      </c>
      <c r="C348" s="17">
        <v>48</v>
      </c>
      <c r="D348" s="17" t="s">
        <v>91</v>
      </c>
      <c r="E348" s="14">
        <v>13461.05</v>
      </c>
      <c r="F348" s="14">
        <v>10486</v>
      </c>
      <c r="G348" s="14">
        <v>10486</v>
      </c>
      <c r="H348" s="22">
        <f>F348*(1+Assumptions!$B$6+IF(D348="Yes",Assumptions!$C$6,0))</f>
        <v>10800.58</v>
      </c>
      <c r="I348" s="22">
        <f>F348*(1+Assumptions!$B$7+IF(D348="Yes",Assumptions!$C$7,0))</f>
        <v>11010.300000000001</v>
      </c>
      <c r="J348" s="22">
        <f>F348*(1+Assumptions!$B$8+IF(D348="Yes",Assumptions!$C$8,0))</f>
        <v>10590.86</v>
      </c>
    </row>
    <row r="349" spans="1:10" ht="15">
      <c r="A349" s="21">
        <v>40942</v>
      </c>
      <c r="B349" s="21">
        <v>40940</v>
      </c>
      <c r="C349" s="17">
        <v>49</v>
      </c>
      <c r="D349" s="17" t="s">
        <v>91</v>
      </c>
      <c r="E349" s="14">
        <v>270630.42</v>
      </c>
      <c r="F349" s="14">
        <v>229735.61</v>
      </c>
      <c r="G349" s="14">
        <v>229735.61</v>
      </c>
      <c r="H349" s="22">
        <f>F349*(1+Assumptions!$B$6+IF(D349="Yes",Assumptions!$C$6,0))</f>
        <v>236627.6783</v>
      </c>
      <c r="I349" s="22">
        <f>F349*(1+Assumptions!$B$7+IF(D349="Yes",Assumptions!$C$7,0))</f>
        <v>241222.39050000001</v>
      </c>
      <c r="J349" s="22">
        <f>F349*(1+Assumptions!$B$8+IF(D349="Yes",Assumptions!$C$8,0))</f>
        <v>232032.96609999999</v>
      </c>
    </row>
    <row r="350" spans="1:10" ht="15">
      <c r="A350" s="21">
        <v>40942</v>
      </c>
      <c r="B350" s="21">
        <v>40940</v>
      </c>
      <c r="C350" s="17">
        <v>50</v>
      </c>
      <c r="D350" s="17" t="s">
        <v>91</v>
      </c>
      <c r="E350" s="14">
        <v>30378.5</v>
      </c>
      <c r="F350" s="14">
        <v>27282.35</v>
      </c>
      <c r="G350" s="14">
        <v>27282.35</v>
      </c>
      <c r="H350" s="22">
        <f>F350*(1+Assumptions!$B$6+IF(D350="Yes",Assumptions!$C$6,0))</f>
        <v>28100.820499999998</v>
      </c>
      <c r="I350" s="22">
        <f>F350*(1+Assumptions!$B$7+IF(D350="Yes",Assumptions!$C$7,0))</f>
        <v>28646.467499999999</v>
      </c>
      <c r="J350" s="22">
        <f>F350*(1+Assumptions!$B$8+IF(D350="Yes",Assumptions!$C$8,0))</f>
        <v>27555.173499999997</v>
      </c>
    </row>
    <row r="351" spans="1:10" ht="15">
      <c r="A351" s="21">
        <v>40942</v>
      </c>
      <c r="B351" s="21">
        <v>40940</v>
      </c>
      <c r="C351" s="17">
        <v>52</v>
      </c>
      <c r="D351" s="17" t="s">
        <v>91</v>
      </c>
      <c r="E351" s="14">
        <v>78091.599999999991</v>
      </c>
      <c r="F351" s="14">
        <v>65826.44</v>
      </c>
      <c r="G351" s="14">
        <v>65826.44</v>
      </c>
      <c r="H351" s="22">
        <f>F351*(1+Assumptions!$B$6+IF(D351="Yes",Assumptions!$C$6,0))</f>
        <v>67801.233200000002</v>
      </c>
      <c r="I351" s="22">
        <f>F351*(1+Assumptions!$B$7+IF(D351="Yes",Assumptions!$C$7,0))</f>
        <v>69117.762000000002</v>
      </c>
      <c r="J351" s="22">
        <f>F351*(1+Assumptions!$B$8+IF(D351="Yes",Assumptions!$C$8,0))</f>
        <v>66484.704400000002</v>
      </c>
    </row>
    <row r="352" spans="1:10" ht="15">
      <c r="A352" s="21">
        <v>40942</v>
      </c>
      <c r="B352" s="21">
        <v>40940</v>
      </c>
      <c r="C352" s="17">
        <v>54</v>
      </c>
      <c r="D352" s="17" t="s">
        <v>91</v>
      </c>
      <c r="E352" s="14">
        <v>1392.46</v>
      </c>
      <c r="F352" s="14">
        <v>1624.6000000000001</v>
      </c>
      <c r="G352" s="14">
        <v>1624.6000000000001</v>
      </c>
      <c r="H352" s="22">
        <f>F352*(1+Assumptions!$B$6+IF(D352="Yes",Assumptions!$C$6,0))</f>
        <v>1673.3380000000002</v>
      </c>
      <c r="I352" s="22">
        <f>F352*(1+Assumptions!$B$7+IF(D352="Yes",Assumptions!$C$7,0))</f>
        <v>1705.8300000000002</v>
      </c>
      <c r="J352" s="22">
        <f>F352*(1+Assumptions!$B$8+IF(D352="Yes",Assumptions!$C$8,0))</f>
        <v>1640.8460000000002</v>
      </c>
    </row>
    <row r="353" spans="1:10" ht="15">
      <c r="A353" s="21">
        <v>40942</v>
      </c>
      <c r="B353" s="21">
        <v>40940</v>
      </c>
      <c r="C353" s="17">
        <v>55</v>
      </c>
      <c r="D353" s="17" t="s">
        <v>91</v>
      </c>
      <c r="E353" s="14">
        <v>353921.68</v>
      </c>
      <c r="F353" s="14">
        <v>406987.11</v>
      </c>
      <c r="G353" s="14">
        <v>406987.11</v>
      </c>
      <c r="H353" s="22">
        <f>F353*(1+Assumptions!$B$6+IF(D353="Yes",Assumptions!$C$6,0))</f>
        <v>419196.72330000001</v>
      </c>
      <c r="I353" s="22">
        <f>F353*(1+Assumptions!$B$7+IF(D353="Yes",Assumptions!$C$7,0))</f>
        <v>427336.46549999999</v>
      </c>
      <c r="J353" s="22">
        <f>F353*(1+Assumptions!$B$8+IF(D353="Yes",Assumptions!$C$8,0))</f>
        <v>411056.98109999998</v>
      </c>
    </row>
    <row r="354" spans="1:10" ht="15">
      <c r="A354" s="21">
        <v>40942</v>
      </c>
      <c r="B354" s="21">
        <v>40940</v>
      </c>
      <c r="C354" s="17">
        <v>56</v>
      </c>
      <c r="D354" s="17" t="s">
        <v>91</v>
      </c>
      <c r="E354" s="14">
        <v>40056.89</v>
      </c>
      <c r="F354" s="14">
        <v>26896.79</v>
      </c>
      <c r="G354" s="14">
        <v>26896.79</v>
      </c>
      <c r="H354" s="22">
        <f>F354*(1+Assumptions!$B$6+IF(D354="Yes",Assumptions!$C$6,0))</f>
        <v>27703.6937</v>
      </c>
      <c r="I354" s="22">
        <f>F354*(1+Assumptions!$B$7+IF(D354="Yes",Assumptions!$C$7,0))</f>
        <v>28241.629500000003</v>
      </c>
      <c r="J354" s="22">
        <f>F354*(1+Assumptions!$B$8+IF(D354="Yes",Assumptions!$C$8,0))</f>
        <v>27165.757900000001</v>
      </c>
    </row>
    <row r="355" spans="1:10" ht="15">
      <c r="A355" s="21">
        <v>40942</v>
      </c>
      <c r="B355" s="21">
        <v>40940</v>
      </c>
      <c r="C355" s="17">
        <v>58</v>
      </c>
      <c r="D355" s="17" t="s">
        <v>91</v>
      </c>
      <c r="E355" s="14">
        <v>96337</v>
      </c>
      <c r="F355" s="14">
        <v>105298</v>
      </c>
      <c r="G355" s="14">
        <v>105298</v>
      </c>
      <c r="H355" s="22">
        <f>F355*(1+Assumptions!$B$6+IF(D355="Yes",Assumptions!$C$6,0))</f>
        <v>108456.94</v>
      </c>
      <c r="I355" s="22">
        <f>F355*(1+Assumptions!$B$7+IF(D355="Yes",Assumptions!$C$7,0))</f>
        <v>110562.90000000001</v>
      </c>
      <c r="J355" s="22">
        <f>F355*(1+Assumptions!$B$8+IF(D355="Yes",Assumptions!$C$8,0))</f>
        <v>106350.98</v>
      </c>
    </row>
    <row r="356" spans="1:10" ht="15">
      <c r="A356" s="21">
        <v>40942</v>
      </c>
      <c r="B356" s="21">
        <v>40940</v>
      </c>
      <c r="C356" s="17">
        <v>59</v>
      </c>
      <c r="D356" s="17" t="s">
        <v>91</v>
      </c>
      <c r="E356" s="14">
        <v>10063</v>
      </c>
      <c r="F356" s="14">
        <v>17742.55</v>
      </c>
      <c r="G356" s="14">
        <v>17742.55</v>
      </c>
      <c r="H356" s="22">
        <f>F356*(1+Assumptions!$B$6+IF(D356="Yes",Assumptions!$C$6,0))</f>
        <v>18274.826499999999</v>
      </c>
      <c r="I356" s="22">
        <f>F356*(1+Assumptions!$B$7+IF(D356="Yes",Assumptions!$C$7,0))</f>
        <v>18629.677500000002</v>
      </c>
      <c r="J356" s="22">
        <f>F356*(1+Assumptions!$B$8+IF(D356="Yes",Assumptions!$C$8,0))</f>
        <v>17919.9755</v>
      </c>
    </row>
    <row r="357" spans="1:10" ht="15">
      <c r="A357" s="21">
        <v>40942</v>
      </c>
      <c r="B357" s="21">
        <v>40940</v>
      </c>
      <c r="C357" s="17">
        <v>60</v>
      </c>
      <c r="D357" s="17" t="s">
        <v>91</v>
      </c>
      <c r="E357" s="14">
        <v>15088.6</v>
      </c>
      <c r="F357" s="14">
        <v>14762</v>
      </c>
      <c r="G357" s="14">
        <v>14762</v>
      </c>
      <c r="H357" s="22">
        <f>F357*(1+Assumptions!$B$6+IF(D357="Yes",Assumptions!$C$6,0))</f>
        <v>15204.86</v>
      </c>
      <c r="I357" s="22">
        <f>F357*(1+Assumptions!$B$7+IF(D357="Yes",Assumptions!$C$7,0))</f>
        <v>15500.1</v>
      </c>
      <c r="J357" s="22">
        <f>F357*(1+Assumptions!$B$8+IF(D357="Yes",Assumptions!$C$8,0))</f>
        <v>14909.62</v>
      </c>
    </row>
    <row r="358" spans="1:10" ht="15">
      <c r="A358" s="21">
        <v>40942</v>
      </c>
      <c r="B358" s="21">
        <v>40940</v>
      </c>
      <c r="C358" s="17">
        <v>65</v>
      </c>
      <c r="D358" s="17" t="s">
        <v>91</v>
      </c>
      <c r="E358" s="14">
        <v>38837.870000000003</v>
      </c>
      <c r="F358" s="14">
        <v>42783.38</v>
      </c>
      <c r="G358" s="14">
        <v>42783.38</v>
      </c>
      <c r="H358" s="22">
        <f>F358*(1+Assumptions!$B$6+IF(D358="Yes",Assumptions!$C$6,0))</f>
        <v>44066.881399999998</v>
      </c>
      <c r="I358" s="22">
        <f>F358*(1+Assumptions!$B$7+IF(D358="Yes",Assumptions!$C$7,0))</f>
        <v>44922.548999999999</v>
      </c>
      <c r="J358" s="22">
        <f>F358*(1+Assumptions!$B$8+IF(D358="Yes",Assumptions!$C$8,0))</f>
        <v>43211.213799999998</v>
      </c>
    </row>
    <row r="359" spans="1:10" ht="15">
      <c r="A359" s="21">
        <v>40942</v>
      </c>
      <c r="B359" s="21">
        <v>40940</v>
      </c>
      <c r="C359" s="17">
        <v>67</v>
      </c>
      <c r="D359" s="17" t="s">
        <v>91</v>
      </c>
      <c r="E359" s="14">
        <v>338595.83</v>
      </c>
      <c r="F359" s="14">
        <v>309212.82</v>
      </c>
      <c r="G359" s="14">
        <v>309212.82</v>
      </c>
      <c r="H359" s="22">
        <f>F359*(1+Assumptions!$B$6+IF(D359="Yes",Assumptions!$C$6,0))</f>
        <v>318489.2046</v>
      </c>
      <c r="I359" s="22">
        <f>F359*(1+Assumptions!$B$7+IF(D359="Yes",Assumptions!$C$7,0))</f>
        <v>324673.46100000001</v>
      </c>
      <c r="J359" s="22">
        <f>F359*(1+Assumptions!$B$8+IF(D359="Yes",Assumptions!$C$8,0))</f>
        <v>312304.94819999998</v>
      </c>
    </row>
    <row r="360" spans="1:10" ht="15">
      <c r="A360" s="21">
        <v>40942</v>
      </c>
      <c r="B360" s="21">
        <v>40940</v>
      </c>
      <c r="C360" s="17">
        <v>71</v>
      </c>
      <c r="D360" s="17" t="s">
        <v>91</v>
      </c>
      <c r="E360" s="14">
        <v>236021.14</v>
      </c>
      <c r="F360" s="14">
        <v>249958.24</v>
      </c>
      <c r="G360" s="14">
        <v>249958.24</v>
      </c>
      <c r="H360" s="22">
        <f>F360*(1+Assumptions!$B$6+IF(D360="Yes",Assumptions!$C$6,0))</f>
        <v>257456.9872</v>
      </c>
      <c r="I360" s="22">
        <f>F360*(1+Assumptions!$B$7+IF(D360="Yes",Assumptions!$C$7,0))</f>
        <v>262456.152</v>
      </c>
      <c r="J360" s="22">
        <f>F360*(1+Assumptions!$B$8+IF(D360="Yes",Assumptions!$C$8,0))</f>
        <v>252457.8224</v>
      </c>
    </row>
    <row r="361" spans="1:10" ht="15">
      <c r="A361" s="21">
        <v>40942</v>
      </c>
      <c r="B361" s="21">
        <v>40940</v>
      </c>
      <c r="C361" s="17">
        <v>72</v>
      </c>
      <c r="D361" s="17" t="s">
        <v>91</v>
      </c>
      <c r="E361" s="14">
        <v>2548988.12</v>
      </c>
      <c r="F361" s="14">
        <v>2702463.45</v>
      </c>
      <c r="G361" s="14">
        <v>2702463.45</v>
      </c>
      <c r="H361" s="22">
        <f>F361*(1+Assumptions!$B$6+IF(D361="Yes",Assumptions!$C$6,0))</f>
        <v>2783537.3535000002</v>
      </c>
      <c r="I361" s="22">
        <f>F361*(1+Assumptions!$B$7+IF(D361="Yes",Assumptions!$C$7,0))</f>
        <v>2837586.6225000005</v>
      </c>
      <c r="J361" s="22">
        <f>F361*(1+Assumptions!$B$8+IF(D361="Yes",Assumptions!$C$8,0))</f>
        <v>2729488.0845000003</v>
      </c>
    </row>
    <row r="362" spans="1:10" ht="15">
      <c r="A362" s="21">
        <v>40942</v>
      </c>
      <c r="B362" s="21">
        <v>40940</v>
      </c>
      <c r="C362" s="17">
        <v>74</v>
      </c>
      <c r="D362" s="17" t="s">
        <v>91</v>
      </c>
      <c r="E362" s="14">
        <v>605897.09</v>
      </c>
      <c r="F362" s="14">
        <v>570359.86</v>
      </c>
      <c r="G362" s="14">
        <v>570359.86</v>
      </c>
      <c r="H362" s="22">
        <f>F362*(1+Assumptions!$B$6+IF(D362="Yes",Assumptions!$C$6,0))</f>
        <v>587470.65579999995</v>
      </c>
      <c r="I362" s="22">
        <f>F362*(1+Assumptions!$B$7+IF(D362="Yes",Assumptions!$C$7,0))</f>
        <v>598877.853</v>
      </c>
      <c r="J362" s="22">
        <f>F362*(1+Assumptions!$B$8+IF(D362="Yes",Assumptions!$C$8,0))</f>
        <v>576063.45860000001</v>
      </c>
    </row>
    <row r="363" spans="1:10" ht="15">
      <c r="A363" s="21">
        <v>40942</v>
      </c>
      <c r="B363" s="21">
        <v>40940</v>
      </c>
      <c r="C363" s="17">
        <v>79</v>
      </c>
      <c r="D363" s="17" t="s">
        <v>91</v>
      </c>
      <c r="E363" s="14">
        <v>1105531.3799999999</v>
      </c>
      <c r="F363" s="14">
        <v>1063211.8</v>
      </c>
      <c r="G363" s="14">
        <v>1063211.8</v>
      </c>
      <c r="H363" s="22">
        <f>F363*(1+Assumptions!$B$6+IF(D363="Yes",Assumptions!$C$6,0))</f>
        <v>1095108.1540000001</v>
      </c>
      <c r="I363" s="22">
        <f>F363*(1+Assumptions!$B$7+IF(D363="Yes",Assumptions!$C$7,0))</f>
        <v>1116372.3900000001</v>
      </c>
      <c r="J363" s="22">
        <f>F363*(1+Assumptions!$B$8+IF(D363="Yes",Assumptions!$C$8,0))</f>
        <v>1073843.9180000001</v>
      </c>
    </row>
    <row r="364" spans="1:10" ht="15">
      <c r="A364" s="21">
        <v>40942</v>
      </c>
      <c r="B364" s="21">
        <v>40940</v>
      </c>
      <c r="C364" s="17">
        <v>80</v>
      </c>
      <c r="D364" s="17" t="s">
        <v>91</v>
      </c>
      <c r="E364" s="14">
        <v>516601.9</v>
      </c>
      <c r="F364" s="14">
        <v>510838.6</v>
      </c>
      <c r="G364" s="14">
        <v>510838.6</v>
      </c>
      <c r="H364" s="22">
        <f>F364*(1+Assumptions!$B$6+IF(D364="Yes",Assumptions!$C$6,0))</f>
        <v>526163.75800000003</v>
      </c>
      <c r="I364" s="22">
        <f>F364*(1+Assumptions!$B$7+IF(D364="Yes",Assumptions!$C$7,0))</f>
        <v>536380.53</v>
      </c>
      <c r="J364" s="22">
        <f>F364*(1+Assumptions!$B$8+IF(D364="Yes",Assumptions!$C$8,0))</f>
        <v>515946.98599999998</v>
      </c>
    </row>
    <row r="365" spans="1:10" ht="15">
      <c r="A365" s="21">
        <v>40942</v>
      </c>
      <c r="B365" s="21">
        <v>40940</v>
      </c>
      <c r="C365" s="17">
        <v>81</v>
      </c>
      <c r="D365" s="17" t="s">
        <v>91</v>
      </c>
      <c r="E365" s="14">
        <v>720506.36</v>
      </c>
      <c r="F365" s="14">
        <v>755534.5</v>
      </c>
      <c r="G365" s="14">
        <v>755534.5</v>
      </c>
      <c r="H365" s="22">
        <f>F365*(1+Assumptions!$B$6+IF(D365="Yes",Assumptions!$C$6,0))</f>
        <v>778200.53500000003</v>
      </c>
      <c r="I365" s="22">
        <f>F365*(1+Assumptions!$B$7+IF(D365="Yes",Assumptions!$C$7,0))</f>
        <v>793311.22499999998</v>
      </c>
      <c r="J365" s="22">
        <f>F365*(1+Assumptions!$B$8+IF(D365="Yes",Assumptions!$C$8,0))</f>
        <v>763089.84499999997</v>
      </c>
    </row>
    <row r="366" spans="1:10" ht="15">
      <c r="A366" s="21">
        <v>40942</v>
      </c>
      <c r="B366" s="21">
        <v>40940</v>
      </c>
      <c r="C366" s="17">
        <v>82</v>
      </c>
      <c r="D366" s="17" t="s">
        <v>91</v>
      </c>
      <c r="E366" s="14">
        <v>602396.34</v>
      </c>
      <c r="F366" s="14">
        <v>635956.84</v>
      </c>
      <c r="G366" s="14">
        <v>635956.84</v>
      </c>
      <c r="H366" s="22">
        <f>F366*(1+Assumptions!$B$6+IF(D366="Yes",Assumptions!$C$6,0))</f>
        <v>655035.54519999993</v>
      </c>
      <c r="I366" s="22">
        <f>F366*(1+Assumptions!$B$7+IF(D366="Yes",Assumptions!$C$7,0))</f>
        <v>667754.68200000003</v>
      </c>
      <c r="J366" s="22">
        <f>F366*(1+Assumptions!$B$8+IF(D366="Yes",Assumptions!$C$8,0))</f>
        <v>642316.40839999996</v>
      </c>
    </row>
    <row r="367" spans="1:10" ht="15">
      <c r="A367" s="21">
        <v>40942</v>
      </c>
      <c r="B367" s="21">
        <v>40940</v>
      </c>
      <c r="C367" s="17">
        <v>83</v>
      </c>
      <c r="D367" s="17" t="s">
        <v>91</v>
      </c>
      <c r="E367" s="14">
        <v>143960.32000000001</v>
      </c>
      <c r="F367" s="14">
        <v>155181.01</v>
      </c>
      <c r="G367" s="14">
        <v>155181.01</v>
      </c>
      <c r="H367" s="22">
        <f>F367*(1+Assumptions!$B$6+IF(D367="Yes",Assumptions!$C$6,0))</f>
        <v>159836.44030000002</v>
      </c>
      <c r="I367" s="22">
        <f>F367*(1+Assumptions!$B$7+IF(D367="Yes",Assumptions!$C$7,0))</f>
        <v>162940.06050000002</v>
      </c>
      <c r="J367" s="22">
        <f>F367*(1+Assumptions!$B$8+IF(D367="Yes",Assumptions!$C$8,0))</f>
        <v>156732.82010000001</v>
      </c>
    </row>
    <row r="368" spans="1:10" ht="15">
      <c r="A368" s="21">
        <v>40942</v>
      </c>
      <c r="B368" s="21">
        <v>40940</v>
      </c>
      <c r="C368" s="17">
        <v>85</v>
      </c>
      <c r="D368" s="17" t="s">
        <v>91</v>
      </c>
      <c r="E368" s="14">
        <v>69191.31</v>
      </c>
      <c r="F368" s="14">
        <v>67300.36</v>
      </c>
      <c r="G368" s="14">
        <v>67300.36</v>
      </c>
      <c r="H368" s="22">
        <f>F368*(1+Assumptions!$B$6+IF(D368="Yes",Assumptions!$C$6,0))</f>
        <v>69319.370800000004</v>
      </c>
      <c r="I368" s="22">
        <f>F368*(1+Assumptions!$B$7+IF(D368="Yes",Assumptions!$C$7,0))</f>
        <v>70665.377999999997</v>
      </c>
      <c r="J368" s="22">
        <f>F368*(1+Assumptions!$B$8+IF(D368="Yes",Assumptions!$C$8,0))</f>
        <v>67973.363599999997</v>
      </c>
    </row>
    <row r="369" spans="1:10" ht="15">
      <c r="A369" s="21">
        <v>40942</v>
      </c>
      <c r="B369" s="21">
        <v>40940</v>
      </c>
      <c r="C369" s="17">
        <v>87</v>
      </c>
      <c r="D369" s="17" t="s">
        <v>91</v>
      </c>
      <c r="E369" s="14">
        <v>788321.04</v>
      </c>
      <c r="F369" s="14">
        <v>659362.04</v>
      </c>
      <c r="G369" s="14">
        <v>659362.04</v>
      </c>
      <c r="H369" s="22">
        <f>F369*(1+Assumptions!$B$6+IF(D369="Yes",Assumptions!$C$6,0))</f>
        <v>679142.90120000008</v>
      </c>
      <c r="I369" s="22">
        <f>F369*(1+Assumptions!$B$7+IF(D369="Yes",Assumptions!$C$7,0))</f>
        <v>692330.14200000011</v>
      </c>
      <c r="J369" s="22">
        <f>F369*(1+Assumptions!$B$8+IF(D369="Yes",Assumptions!$C$8,0))</f>
        <v>665955.66040000005</v>
      </c>
    </row>
    <row r="370" spans="1:10" ht="15">
      <c r="A370" s="21">
        <v>40942</v>
      </c>
      <c r="B370" s="21">
        <v>40940</v>
      </c>
      <c r="C370" s="17">
        <v>90</v>
      </c>
      <c r="D370" s="17" t="s">
        <v>91</v>
      </c>
      <c r="E370" s="14">
        <v>2229493.39</v>
      </c>
      <c r="F370" s="14">
        <v>2205891.0099999998</v>
      </c>
      <c r="G370" s="14">
        <v>2205891.0099999998</v>
      </c>
      <c r="H370" s="22">
        <f>F370*(1+Assumptions!$B$6+IF(D370="Yes",Assumptions!$C$6,0))</f>
        <v>2272067.7402999997</v>
      </c>
      <c r="I370" s="22">
        <f>F370*(1+Assumptions!$B$7+IF(D370="Yes",Assumptions!$C$7,0))</f>
        <v>2316185.5604999997</v>
      </c>
      <c r="J370" s="22">
        <f>F370*(1+Assumptions!$B$8+IF(D370="Yes",Assumptions!$C$8,0))</f>
        <v>2227949.9200999998</v>
      </c>
    </row>
    <row r="371" spans="1:10" ht="15">
      <c r="A371" s="21">
        <v>40942</v>
      </c>
      <c r="B371" s="21">
        <v>40940</v>
      </c>
      <c r="C371" s="17">
        <v>91</v>
      </c>
      <c r="D371" s="17" t="s">
        <v>91</v>
      </c>
      <c r="E371" s="14">
        <v>1660745.68</v>
      </c>
      <c r="F371" s="14">
        <v>1740506.44</v>
      </c>
      <c r="G371" s="14">
        <v>1740506.44</v>
      </c>
      <c r="H371" s="22">
        <f>F371*(1+Assumptions!$B$6+IF(D371="Yes",Assumptions!$C$6,0))</f>
        <v>1792721.6332</v>
      </c>
      <c r="I371" s="22">
        <f>F371*(1+Assumptions!$B$7+IF(D371="Yes",Assumptions!$C$7,0))</f>
        <v>1827531.7620000001</v>
      </c>
      <c r="J371" s="22">
        <f>F371*(1+Assumptions!$B$8+IF(D371="Yes",Assumptions!$C$8,0))</f>
        <v>1757911.5044</v>
      </c>
    </row>
    <row r="372" spans="1:10" ht="15">
      <c r="A372" s="21">
        <v>40942</v>
      </c>
      <c r="B372" s="21">
        <v>40940</v>
      </c>
      <c r="C372" s="17">
        <v>92</v>
      </c>
      <c r="D372" s="17" t="s">
        <v>91</v>
      </c>
      <c r="E372" s="14">
        <v>3746408.7199999997</v>
      </c>
      <c r="F372" s="14">
        <v>3672861.96</v>
      </c>
      <c r="G372" s="14">
        <v>3672861.96</v>
      </c>
      <c r="H372" s="22">
        <f>F372*(1+Assumptions!$B$6+IF(D372="Yes",Assumptions!$C$6,0))</f>
        <v>3783047.8188</v>
      </c>
      <c r="I372" s="22">
        <f>F372*(1+Assumptions!$B$7+IF(D372="Yes",Assumptions!$C$7,0))</f>
        <v>3856505.0580000002</v>
      </c>
      <c r="J372" s="22">
        <f>F372*(1+Assumptions!$B$8+IF(D372="Yes",Assumptions!$C$8,0))</f>
        <v>3709590.5795999998</v>
      </c>
    </row>
    <row r="373" spans="1:10" ht="15">
      <c r="A373" s="21">
        <v>40942</v>
      </c>
      <c r="B373" s="21">
        <v>40940</v>
      </c>
      <c r="C373" s="17">
        <v>93</v>
      </c>
      <c r="D373" s="17" t="s">
        <v>91</v>
      </c>
      <c r="E373" s="14">
        <v>1149229.24</v>
      </c>
      <c r="F373" s="14">
        <v>1218563.96</v>
      </c>
      <c r="G373" s="14">
        <v>1218563.96</v>
      </c>
      <c r="H373" s="22">
        <f>F373*(1+Assumptions!$B$6+IF(D373="Yes",Assumptions!$C$6,0))</f>
        <v>1255120.8788000001</v>
      </c>
      <c r="I373" s="22">
        <f>F373*(1+Assumptions!$B$7+IF(D373="Yes",Assumptions!$C$7,0))</f>
        <v>1279492.1580000001</v>
      </c>
      <c r="J373" s="22">
        <f>F373*(1+Assumptions!$B$8+IF(D373="Yes",Assumptions!$C$8,0))</f>
        <v>1230749.5996000001</v>
      </c>
    </row>
    <row r="374" spans="1:10" ht="15">
      <c r="A374" s="21">
        <v>40942</v>
      </c>
      <c r="B374" s="21">
        <v>40940</v>
      </c>
      <c r="C374" s="17">
        <v>94</v>
      </c>
      <c r="D374" s="17" t="s">
        <v>91</v>
      </c>
      <c r="E374" s="14">
        <v>1294680.99</v>
      </c>
      <c r="F374" s="14">
        <v>1299140.8400000001</v>
      </c>
      <c r="G374" s="14">
        <v>1299140.8400000001</v>
      </c>
      <c r="H374" s="22">
        <f>F374*(1+Assumptions!$B$6+IF(D374="Yes",Assumptions!$C$6,0))</f>
        <v>1338115.0652000001</v>
      </c>
      <c r="I374" s="22">
        <f>F374*(1+Assumptions!$B$7+IF(D374="Yes",Assumptions!$C$7,0))</f>
        <v>1364097.8820000002</v>
      </c>
      <c r="J374" s="22">
        <f>F374*(1+Assumptions!$B$8+IF(D374="Yes",Assumptions!$C$8,0))</f>
        <v>1312132.2484000002</v>
      </c>
    </row>
    <row r="375" spans="1:10" ht="15">
      <c r="A375" s="21">
        <v>40942</v>
      </c>
      <c r="B375" s="21">
        <v>40940</v>
      </c>
      <c r="C375" s="17">
        <v>95</v>
      </c>
      <c r="D375" s="17" t="s">
        <v>91</v>
      </c>
      <c r="E375" s="14">
        <v>3066161.29</v>
      </c>
      <c r="F375" s="14">
        <v>3111786.4</v>
      </c>
      <c r="G375" s="14">
        <v>3111786.4</v>
      </c>
      <c r="H375" s="22">
        <f>F375*(1+Assumptions!$B$6+IF(D375="Yes",Assumptions!$C$6,0))</f>
        <v>3205139.9920000001</v>
      </c>
      <c r="I375" s="22">
        <f>F375*(1+Assumptions!$B$7+IF(D375="Yes",Assumptions!$C$7,0))</f>
        <v>3267375.72</v>
      </c>
      <c r="J375" s="22">
        <f>F375*(1+Assumptions!$B$8+IF(D375="Yes",Assumptions!$C$8,0))</f>
        <v>3142904.264</v>
      </c>
    </row>
    <row r="376" spans="1:10" ht="15">
      <c r="A376" s="21">
        <v>40942</v>
      </c>
      <c r="B376" s="21">
        <v>40940</v>
      </c>
      <c r="C376" s="17">
        <v>96</v>
      </c>
      <c r="D376" s="17" t="s">
        <v>91</v>
      </c>
      <c r="E376" s="14">
        <v>479356.02</v>
      </c>
      <c r="F376" s="14">
        <v>471531.17</v>
      </c>
      <c r="G376" s="14">
        <v>471531.17</v>
      </c>
      <c r="H376" s="22">
        <f>F376*(1+Assumptions!$B$6+IF(D376="Yes",Assumptions!$C$6,0))</f>
        <v>485677.10509999999</v>
      </c>
      <c r="I376" s="22">
        <f>F376*(1+Assumptions!$B$7+IF(D376="Yes",Assumptions!$C$7,0))</f>
        <v>495107.72850000003</v>
      </c>
      <c r="J376" s="22">
        <f>F376*(1+Assumptions!$B$8+IF(D376="Yes",Assumptions!$C$8,0))</f>
        <v>476246.4817</v>
      </c>
    </row>
    <row r="377" spans="1:10" ht="15">
      <c r="A377" s="21">
        <v>40942</v>
      </c>
      <c r="B377" s="21">
        <v>40940</v>
      </c>
      <c r="C377" s="17">
        <v>97</v>
      </c>
      <c r="D377" s="17" t="s">
        <v>91</v>
      </c>
      <c r="E377" s="14">
        <v>631234.6</v>
      </c>
      <c r="F377" s="14">
        <v>676917.39</v>
      </c>
      <c r="G377" s="14">
        <v>676917.39</v>
      </c>
      <c r="H377" s="22">
        <f>F377*(1+Assumptions!$B$6+IF(D377="Yes",Assumptions!$C$6,0))</f>
        <v>697224.91170000006</v>
      </c>
      <c r="I377" s="22">
        <f>F377*(1+Assumptions!$B$7+IF(D377="Yes",Assumptions!$C$7,0))</f>
        <v>710763.25950000004</v>
      </c>
      <c r="J377" s="22">
        <f>F377*(1+Assumptions!$B$8+IF(D377="Yes",Assumptions!$C$8,0))</f>
        <v>683686.56390000007</v>
      </c>
    </row>
    <row r="378" spans="1:10" ht="15">
      <c r="A378" s="21">
        <v>40942</v>
      </c>
      <c r="B378" s="21">
        <v>40940</v>
      </c>
      <c r="C378" s="17">
        <v>98</v>
      </c>
      <c r="D378" s="17" t="s">
        <v>91</v>
      </c>
      <c r="E378" s="14">
        <v>276968.2</v>
      </c>
      <c r="F378" s="14">
        <v>270099.92</v>
      </c>
      <c r="G378" s="14">
        <v>270099.92</v>
      </c>
      <c r="H378" s="22">
        <f>F378*(1+Assumptions!$B$6+IF(D378="Yes",Assumptions!$C$6,0))</f>
        <v>278202.91759999999</v>
      </c>
      <c r="I378" s="22">
        <f>F378*(1+Assumptions!$B$7+IF(D378="Yes",Assumptions!$C$7,0))</f>
        <v>283604.91599999997</v>
      </c>
      <c r="J378" s="22">
        <f>F378*(1+Assumptions!$B$8+IF(D378="Yes",Assumptions!$C$8,0))</f>
        <v>272800.9192</v>
      </c>
    </row>
    <row r="379" spans="1:10" ht="15">
      <c r="A379" s="21">
        <v>40949</v>
      </c>
      <c r="B379" s="21">
        <v>40940</v>
      </c>
      <c r="C379" s="17">
        <v>1</v>
      </c>
      <c r="D379" s="17" t="s">
        <v>94</v>
      </c>
      <c r="E379" s="14">
        <v>1130450.1000000001</v>
      </c>
      <c r="F379" s="14">
        <v>1212377.1499999999</v>
      </c>
      <c r="G379" s="14">
        <v>1212377.1499999999</v>
      </c>
      <c r="H379" s="22">
        <f>F379*(1+Assumptions!$B$6+IF(D379="Yes",Assumptions!$C$6,0))</f>
        <v>1248748.4645</v>
      </c>
      <c r="I379" s="22">
        <f>F379*(1+Assumptions!$B$7+IF(D379="Yes",Assumptions!$C$7,0))</f>
        <v>1285119.7789999999</v>
      </c>
      <c r="J379" s="22">
        <f>F379*(1+Assumptions!$B$8+IF(D379="Yes",Assumptions!$C$8,0))</f>
        <v>1212377.1499999999</v>
      </c>
    </row>
    <row r="380" spans="1:10" ht="15">
      <c r="A380" s="21">
        <v>40949</v>
      </c>
      <c r="B380" s="21">
        <v>40940</v>
      </c>
      <c r="C380" s="17">
        <v>2</v>
      </c>
      <c r="D380" s="17" t="s">
        <v>94</v>
      </c>
      <c r="E380" s="14">
        <v>2037945.86</v>
      </c>
      <c r="F380" s="14">
        <v>1904078.62</v>
      </c>
      <c r="G380" s="14">
        <v>1904078.62</v>
      </c>
      <c r="H380" s="22">
        <f>F380*(1+Assumptions!$B$6+IF(D380="Yes",Assumptions!$C$6,0))</f>
        <v>1961200.9786000003</v>
      </c>
      <c r="I380" s="22">
        <f>F380*(1+Assumptions!$B$7+IF(D380="Yes",Assumptions!$C$7,0))</f>
        <v>2018323.3372000002</v>
      </c>
      <c r="J380" s="22">
        <f>F380*(1+Assumptions!$B$8+IF(D380="Yes",Assumptions!$C$8,0))</f>
        <v>1904078.62</v>
      </c>
    </row>
    <row r="381" spans="1:10" ht="15">
      <c r="A381" s="21">
        <v>40949</v>
      </c>
      <c r="B381" s="21">
        <v>40940</v>
      </c>
      <c r="C381" s="17">
        <v>3</v>
      </c>
      <c r="D381" s="17" t="s">
        <v>94</v>
      </c>
      <c r="E381" s="14">
        <v>455155.94</v>
      </c>
      <c r="F381" s="14">
        <v>419325.96</v>
      </c>
      <c r="G381" s="14">
        <v>419325.96</v>
      </c>
      <c r="H381" s="22">
        <f>F381*(1+Assumptions!$B$6+IF(D381="Yes",Assumptions!$C$6,0))</f>
        <v>431905.73880000005</v>
      </c>
      <c r="I381" s="22">
        <f>F381*(1+Assumptions!$B$7+IF(D381="Yes",Assumptions!$C$7,0))</f>
        <v>444485.51760000002</v>
      </c>
      <c r="J381" s="22">
        <f>F381*(1+Assumptions!$B$8+IF(D381="Yes",Assumptions!$C$8,0))</f>
        <v>419325.96</v>
      </c>
    </row>
    <row r="382" spans="1:10" ht="15">
      <c r="A382" s="21">
        <v>40949</v>
      </c>
      <c r="B382" s="21">
        <v>40940</v>
      </c>
      <c r="C382" s="17">
        <v>4</v>
      </c>
      <c r="D382" s="17" t="s">
        <v>94</v>
      </c>
      <c r="E382" s="14">
        <v>1198930.07</v>
      </c>
      <c r="F382" s="14">
        <v>1127758.53</v>
      </c>
      <c r="G382" s="14">
        <v>1127758.53</v>
      </c>
      <c r="H382" s="22">
        <f>F382*(1+Assumptions!$B$6+IF(D382="Yes",Assumptions!$C$6,0))</f>
        <v>1161591.2859</v>
      </c>
      <c r="I382" s="22">
        <f>F382*(1+Assumptions!$B$7+IF(D382="Yes",Assumptions!$C$7,0))</f>
        <v>1195424.0418</v>
      </c>
      <c r="J382" s="22">
        <f>F382*(1+Assumptions!$B$8+IF(D382="Yes",Assumptions!$C$8,0))</f>
        <v>1127758.53</v>
      </c>
    </row>
    <row r="383" spans="1:10" ht="15">
      <c r="A383" s="21">
        <v>40949</v>
      </c>
      <c r="B383" s="21">
        <v>40940</v>
      </c>
      <c r="C383" s="17">
        <v>5</v>
      </c>
      <c r="D383" s="17" t="s">
        <v>94</v>
      </c>
      <c r="E383" s="14">
        <v>1045247.97</v>
      </c>
      <c r="F383" s="14">
        <v>1062798.23</v>
      </c>
      <c r="G383" s="14">
        <v>1062798.23</v>
      </c>
      <c r="H383" s="22">
        <f>F383*(1+Assumptions!$B$6+IF(D383="Yes",Assumptions!$C$6,0))</f>
        <v>1094682.1769000001</v>
      </c>
      <c r="I383" s="22">
        <f>F383*(1+Assumptions!$B$7+IF(D383="Yes",Assumptions!$C$7,0))</f>
        <v>1126566.1237999999</v>
      </c>
      <c r="J383" s="22">
        <f>F383*(1+Assumptions!$B$8+IF(D383="Yes",Assumptions!$C$8,0))</f>
        <v>1062798.23</v>
      </c>
    </row>
    <row r="384" spans="1:10" ht="15">
      <c r="A384" s="21">
        <v>40949</v>
      </c>
      <c r="B384" s="21">
        <v>40940</v>
      </c>
      <c r="C384" s="17">
        <v>6</v>
      </c>
      <c r="D384" s="17" t="s">
        <v>94</v>
      </c>
      <c r="E384" s="14">
        <v>152719.84</v>
      </c>
      <c r="F384" s="14">
        <v>172597.4</v>
      </c>
      <c r="G384" s="14">
        <v>172597.4</v>
      </c>
      <c r="H384" s="22">
        <f>F384*(1+Assumptions!$B$6+IF(D384="Yes",Assumptions!$C$6,0))</f>
        <v>177775.32199999999</v>
      </c>
      <c r="I384" s="22">
        <f>F384*(1+Assumptions!$B$7+IF(D384="Yes",Assumptions!$C$7,0))</f>
        <v>182953.24400000001</v>
      </c>
      <c r="J384" s="22">
        <f>F384*(1+Assumptions!$B$8+IF(D384="Yes",Assumptions!$C$8,0))</f>
        <v>172597.4</v>
      </c>
    </row>
    <row r="385" spans="1:10" ht="15">
      <c r="A385" s="21">
        <v>40949</v>
      </c>
      <c r="B385" s="21">
        <v>40940</v>
      </c>
      <c r="C385" s="17">
        <v>7</v>
      </c>
      <c r="D385" s="17" t="s">
        <v>94</v>
      </c>
      <c r="E385" s="14">
        <v>754054.95</v>
      </c>
      <c r="F385" s="14">
        <v>701167.15</v>
      </c>
      <c r="G385" s="14">
        <v>701167.15</v>
      </c>
      <c r="H385" s="22">
        <f>F385*(1+Assumptions!$B$6+IF(D385="Yes",Assumptions!$C$6,0))</f>
        <v>722202.16450000007</v>
      </c>
      <c r="I385" s="22">
        <f>F385*(1+Assumptions!$B$7+IF(D385="Yes",Assumptions!$C$7,0))</f>
        <v>743237.17900000012</v>
      </c>
      <c r="J385" s="22">
        <f>F385*(1+Assumptions!$B$8+IF(D385="Yes",Assumptions!$C$8,0))</f>
        <v>701167.15</v>
      </c>
    </row>
    <row r="386" spans="1:10" ht="15">
      <c r="A386" s="21">
        <v>40949</v>
      </c>
      <c r="B386" s="21">
        <v>40940</v>
      </c>
      <c r="C386" s="17">
        <v>8</v>
      </c>
      <c r="D386" s="17" t="s">
        <v>94</v>
      </c>
      <c r="E386" s="14">
        <v>1403521.21</v>
      </c>
      <c r="F386" s="14">
        <v>1355507.07</v>
      </c>
      <c r="G386" s="14">
        <v>1355507.07</v>
      </c>
      <c r="H386" s="22">
        <f>F386*(1+Assumptions!$B$6+IF(D386="Yes",Assumptions!$C$6,0))</f>
        <v>1396172.2821000002</v>
      </c>
      <c r="I386" s="22">
        <f>F386*(1+Assumptions!$B$7+IF(D386="Yes",Assumptions!$C$7,0))</f>
        <v>1436837.4942000001</v>
      </c>
      <c r="J386" s="22">
        <f>F386*(1+Assumptions!$B$8+IF(D386="Yes",Assumptions!$C$8,0))</f>
        <v>1355507.07</v>
      </c>
    </row>
    <row r="387" spans="1:10" ht="15">
      <c r="A387" s="21">
        <v>40949</v>
      </c>
      <c r="B387" s="21">
        <v>40940</v>
      </c>
      <c r="C387" s="17">
        <v>9</v>
      </c>
      <c r="D387" s="17" t="s">
        <v>94</v>
      </c>
      <c r="E387" s="14">
        <v>584340.98</v>
      </c>
      <c r="F387" s="14">
        <v>490554.6</v>
      </c>
      <c r="G387" s="14">
        <v>490554.6</v>
      </c>
      <c r="H387" s="22">
        <f>F387*(1+Assumptions!$B$6+IF(D387="Yes",Assumptions!$C$6,0))</f>
        <v>505271.23800000001</v>
      </c>
      <c r="I387" s="22">
        <f>F387*(1+Assumptions!$B$7+IF(D387="Yes",Assumptions!$C$7,0))</f>
        <v>519987.87599999999</v>
      </c>
      <c r="J387" s="22">
        <f>F387*(1+Assumptions!$B$8+IF(D387="Yes",Assumptions!$C$8,0))</f>
        <v>490554.6</v>
      </c>
    </row>
    <row r="388" spans="1:10" ht="15">
      <c r="A388" s="21">
        <v>40949</v>
      </c>
      <c r="B388" s="21">
        <v>40940</v>
      </c>
      <c r="C388" s="17">
        <v>10</v>
      </c>
      <c r="D388" s="17" t="s">
        <v>94</v>
      </c>
      <c r="E388" s="14">
        <v>788909.04</v>
      </c>
      <c r="F388" s="14">
        <v>795870.97</v>
      </c>
      <c r="G388" s="14">
        <v>795870.97</v>
      </c>
      <c r="H388" s="22">
        <f>F388*(1+Assumptions!$B$6+IF(D388="Yes",Assumptions!$C$6,0))</f>
        <v>819747.09909999999</v>
      </c>
      <c r="I388" s="22">
        <f>F388*(1+Assumptions!$B$7+IF(D388="Yes",Assumptions!$C$7,0))</f>
        <v>843623.22820000001</v>
      </c>
      <c r="J388" s="22">
        <f>F388*(1+Assumptions!$B$8+IF(D388="Yes",Assumptions!$C$8,0))</f>
        <v>795870.97</v>
      </c>
    </row>
    <row r="389" spans="1:10" ht="15">
      <c r="A389" s="21">
        <v>40949</v>
      </c>
      <c r="B389" s="21">
        <v>40940</v>
      </c>
      <c r="C389" s="17">
        <v>11</v>
      </c>
      <c r="D389" s="17" t="s">
        <v>94</v>
      </c>
      <c r="E389" s="14">
        <v>587181.77</v>
      </c>
      <c r="F389" s="14">
        <v>537374.16</v>
      </c>
      <c r="G389" s="14">
        <v>537374.16</v>
      </c>
      <c r="H389" s="22">
        <f>F389*(1+Assumptions!$B$6+IF(D389="Yes",Assumptions!$C$6,0))</f>
        <v>553495.3848</v>
      </c>
      <c r="I389" s="22">
        <f>F389*(1+Assumptions!$B$7+IF(D389="Yes",Assumptions!$C$7,0))</f>
        <v>569616.60960000008</v>
      </c>
      <c r="J389" s="22">
        <f>F389*(1+Assumptions!$B$8+IF(D389="Yes",Assumptions!$C$8,0))</f>
        <v>537374.16</v>
      </c>
    </row>
    <row r="390" spans="1:10" ht="15">
      <c r="A390" s="21">
        <v>40949</v>
      </c>
      <c r="B390" s="21">
        <v>40940</v>
      </c>
      <c r="C390" s="17">
        <v>12</v>
      </c>
      <c r="D390" s="17" t="s">
        <v>94</v>
      </c>
      <c r="E390" s="14">
        <v>153809.57</v>
      </c>
      <c r="F390" s="14">
        <v>136057.76999999999</v>
      </c>
      <c r="G390" s="14">
        <v>136057.76999999999</v>
      </c>
      <c r="H390" s="22">
        <f>F390*(1+Assumptions!$B$6+IF(D390="Yes",Assumptions!$C$6,0))</f>
        <v>140139.5031</v>
      </c>
      <c r="I390" s="22">
        <f>F390*(1+Assumptions!$B$7+IF(D390="Yes",Assumptions!$C$7,0))</f>
        <v>144221.23619999998</v>
      </c>
      <c r="J390" s="22">
        <f>F390*(1+Assumptions!$B$8+IF(D390="Yes",Assumptions!$C$8,0))</f>
        <v>136057.76999999999</v>
      </c>
    </row>
    <row r="391" spans="1:10" ht="15">
      <c r="A391" s="21">
        <v>40949</v>
      </c>
      <c r="B391" s="21">
        <v>40940</v>
      </c>
      <c r="C391" s="17">
        <v>13</v>
      </c>
      <c r="D391" s="17" t="s">
        <v>94</v>
      </c>
      <c r="E391" s="14">
        <v>1391368.42</v>
      </c>
      <c r="F391" s="14">
        <v>1313155.8799999999</v>
      </c>
      <c r="G391" s="14">
        <v>1313155.8799999999</v>
      </c>
      <c r="H391" s="22">
        <f>F391*(1+Assumptions!$B$6+IF(D391="Yes",Assumptions!$C$6,0))</f>
        <v>1352550.5563999999</v>
      </c>
      <c r="I391" s="22">
        <f>F391*(1+Assumptions!$B$7+IF(D391="Yes",Assumptions!$C$7,0))</f>
        <v>1391945.2327999999</v>
      </c>
      <c r="J391" s="22">
        <f>F391*(1+Assumptions!$B$8+IF(D391="Yes",Assumptions!$C$8,0))</f>
        <v>1313155.8799999999</v>
      </c>
    </row>
    <row r="392" spans="1:10" ht="15">
      <c r="A392" s="21">
        <v>40949</v>
      </c>
      <c r="B392" s="21">
        <v>40940</v>
      </c>
      <c r="C392" s="17">
        <v>14</v>
      </c>
      <c r="D392" s="17" t="s">
        <v>94</v>
      </c>
      <c r="E392" s="14">
        <v>701113.55</v>
      </c>
      <c r="F392" s="14">
        <v>673953.15</v>
      </c>
      <c r="G392" s="14">
        <v>673953.15</v>
      </c>
      <c r="H392" s="22">
        <f>F392*(1+Assumptions!$B$6+IF(D392="Yes",Assumptions!$C$6,0))</f>
        <v>694171.74450000003</v>
      </c>
      <c r="I392" s="22">
        <f>F392*(1+Assumptions!$B$7+IF(D392="Yes",Assumptions!$C$7,0))</f>
        <v>714390.33900000004</v>
      </c>
      <c r="J392" s="22">
        <f>F392*(1+Assumptions!$B$8+IF(D392="Yes",Assumptions!$C$8,0))</f>
        <v>673953.15</v>
      </c>
    </row>
    <row r="393" spans="1:10" ht="15">
      <c r="A393" s="21">
        <v>40949</v>
      </c>
      <c r="B393" s="21">
        <v>40940</v>
      </c>
      <c r="C393" s="17">
        <v>16</v>
      </c>
      <c r="D393" s="17" t="s">
        <v>94</v>
      </c>
      <c r="E393" s="14">
        <v>235103.41</v>
      </c>
      <c r="F393" s="14">
        <v>215987.13999999998</v>
      </c>
      <c r="G393" s="14">
        <v>215987.13999999998</v>
      </c>
      <c r="H393" s="22">
        <f>F393*(1+Assumptions!$B$6+IF(D393="Yes",Assumptions!$C$6,0))</f>
        <v>222466.7542</v>
      </c>
      <c r="I393" s="22">
        <f>F393*(1+Assumptions!$B$7+IF(D393="Yes",Assumptions!$C$7,0))</f>
        <v>228946.36840000001</v>
      </c>
      <c r="J393" s="22">
        <f>F393*(1+Assumptions!$B$8+IF(D393="Yes",Assumptions!$C$8,0))</f>
        <v>215987.13999999998</v>
      </c>
    </row>
    <row r="394" spans="1:10" ht="15">
      <c r="A394" s="21">
        <v>40949</v>
      </c>
      <c r="B394" s="21">
        <v>40940</v>
      </c>
      <c r="C394" s="17">
        <v>17</v>
      </c>
      <c r="D394" s="17" t="s">
        <v>94</v>
      </c>
      <c r="E394" s="14">
        <v>492359.92</v>
      </c>
      <c r="F394" s="14">
        <v>457927.1</v>
      </c>
      <c r="G394" s="14">
        <v>457927.1</v>
      </c>
      <c r="H394" s="22">
        <f>F394*(1+Assumptions!$B$6+IF(D394="Yes",Assumptions!$C$6,0))</f>
        <v>471664.913</v>
      </c>
      <c r="I394" s="22">
        <f>F394*(1+Assumptions!$B$7+IF(D394="Yes",Assumptions!$C$7,0))</f>
        <v>485402.72600000002</v>
      </c>
      <c r="J394" s="22">
        <f>F394*(1+Assumptions!$B$8+IF(D394="Yes",Assumptions!$C$8,0))</f>
        <v>457927.1</v>
      </c>
    </row>
    <row r="395" spans="1:10" ht="15">
      <c r="A395" s="21">
        <v>40949</v>
      </c>
      <c r="B395" s="21">
        <v>40940</v>
      </c>
      <c r="C395" s="17">
        <v>18</v>
      </c>
      <c r="D395" s="17" t="s">
        <v>94</v>
      </c>
      <c r="E395" s="14">
        <v>259839.81</v>
      </c>
      <c r="F395" s="14">
        <v>344116.3</v>
      </c>
      <c r="G395" s="14">
        <v>344116.3</v>
      </c>
      <c r="H395" s="22">
        <f>F395*(1+Assumptions!$B$6+IF(D395="Yes",Assumptions!$C$6,0))</f>
        <v>354439.78899999999</v>
      </c>
      <c r="I395" s="22">
        <f>F395*(1+Assumptions!$B$7+IF(D395="Yes",Assumptions!$C$7,0))</f>
        <v>364763.27799999999</v>
      </c>
      <c r="J395" s="22">
        <f>F395*(1+Assumptions!$B$8+IF(D395="Yes",Assumptions!$C$8,0))</f>
        <v>344116.3</v>
      </c>
    </row>
    <row r="396" spans="1:10" ht="15">
      <c r="A396" s="21">
        <v>40949</v>
      </c>
      <c r="B396" s="21">
        <v>40940</v>
      </c>
      <c r="C396" s="17">
        <v>19</v>
      </c>
      <c r="D396" s="17" t="s">
        <v>94</v>
      </c>
      <c r="E396" s="14">
        <v>45910.32</v>
      </c>
      <c r="F396" s="14">
        <v>50950.28</v>
      </c>
      <c r="G396" s="14">
        <v>50950.28</v>
      </c>
      <c r="H396" s="22">
        <f>F396*(1+Assumptions!$B$6+IF(D396="Yes",Assumptions!$C$6,0))</f>
        <v>52478.788399999998</v>
      </c>
      <c r="I396" s="22">
        <f>F396*(1+Assumptions!$B$7+IF(D396="Yes",Assumptions!$C$7,0))</f>
        <v>54007.296800000004</v>
      </c>
      <c r="J396" s="22">
        <f>F396*(1+Assumptions!$B$8+IF(D396="Yes",Assumptions!$C$8,0))</f>
        <v>50950.28</v>
      </c>
    </row>
    <row r="397" spans="1:10" ht="15">
      <c r="A397" s="21">
        <v>40949</v>
      </c>
      <c r="B397" s="21">
        <v>40940</v>
      </c>
      <c r="C397" s="17">
        <v>20</v>
      </c>
      <c r="D397" s="17" t="s">
        <v>94</v>
      </c>
      <c r="E397" s="14">
        <v>252262.19</v>
      </c>
      <c r="F397" s="14">
        <v>218174.44</v>
      </c>
      <c r="G397" s="14">
        <v>218174.44</v>
      </c>
      <c r="H397" s="22">
        <f>F397*(1+Assumptions!$B$6+IF(D397="Yes",Assumptions!$C$6,0))</f>
        <v>224719.67320000002</v>
      </c>
      <c r="I397" s="22">
        <f>F397*(1+Assumptions!$B$7+IF(D397="Yes",Assumptions!$C$7,0))</f>
        <v>231264.90640000001</v>
      </c>
      <c r="J397" s="22">
        <f>F397*(1+Assumptions!$B$8+IF(D397="Yes",Assumptions!$C$8,0))</f>
        <v>218174.44</v>
      </c>
    </row>
    <row r="398" spans="1:10" ht="15">
      <c r="A398" s="21">
        <v>40949</v>
      </c>
      <c r="B398" s="21">
        <v>40940</v>
      </c>
      <c r="C398" s="17">
        <v>21</v>
      </c>
      <c r="D398" s="17" t="s">
        <v>94</v>
      </c>
      <c r="E398" s="14">
        <v>209669.54</v>
      </c>
      <c r="F398" s="14">
        <v>214509.71</v>
      </c>
      <c r="G398" s="14">
        <v>214509.71</v>
      </c>
      <c r="H398" s="22">
        <f>F398*(1+Assumptions!$B$6+IF(D398="Yes",Assumptions!$C$6,0))</f>
        <v>220945.0013</v>
      </c>
      <c r="I398" s="22">
        <f>F398*(1+Assumptions!$B$7+IF(D398="Yes",Assumptions!$C$7,0))</f>
        <v>227380.29260000002</v>
      </c>
      <c r="J398" s="22">
        <f>F398*(1+Assumptions!$B$8+IF(D398="Yes",Assumptions!$C$8,0))</f>
        <v>214509.71</v>
      </c>
    </row>
    <row r="399" spans="1:10" ht="15">
      <c r="A399" s="21">
        <v>40949</v>
      </c>
      <c r="B399" s="21">
        <v>40940</v>
      </c>
      <c r="C399" s="17">
        <v>22</v>
      </c>
      <c r="D399" s="17" t="s">
        <v>94</v>
      </c>
      <c r="E399" s="14">
        <v>527753.54999999993</v>
      </c>
      <c r="F399" s="14">
        <v>472734.36</v>
      </c>
      <c r="G399" s="14">
        <v>472734.36</v>
      </c>
      <c r="H399" s="22">
        <f>F399*(1+Assumptions!$B$6+IF(D399="Yes",Assumptions!$C$6,0))</f>
        <v>486916.39079999999</v>
      </c>
      <c r="I399" s="22">
        <f>F399*(1+Assumptions!$B$7+IF(D399="Yes",Assumptions!$C$7,0))</f>
        <v>501098.4216</v>
      </c>
      <c r="J399" s="22">
        <f>F399*(1+Assumptions!$B$8+IF(D399="Yes",Assumptions!$C$8,0))</f>
        <v>472734.36</v>
      </c>
    </row>
    <row r="400" spans="1:10" ht="15">
      <c r="A400" s="21">
        <v>40949</v>
      </c>
      <c r="B400" s="21">
        <v>40940</v>
      </c>
      <c r="C400" s="17">
        <v>23</v>
      </c>
      <c r="D400" s="17" t="s">
        <v>94</v>
      </c>
      <c r="E400" s="14">
        <v>927990.51</v>
      </c>
      <c r="F400" s="14">
        <v>864446.9</v>
      </c>
      <c r="G400" s="14">
        <v>864446.9</v>
      </c>
      <c r="H400" s="22">
        <f>F400*(1+Assumptions!$B$6+IF(D400="Yes",Assumptions!$C$6,0))</f>
        <v>890380.30700000003</v>
      </c>
      <c r="I400" s="22">
        <f>F400*(1+Assumptions!$B$7+IF(D400="Yes",Assumptions!$C$7,0))</f>
        <v>916313.71400000004</v>
      </c>
      <c r="J400" s="22">
        <f>F400*(1+Assumptions!$B$8+IF(D400="Yes",Assumptions!$C$8,0))</f>
        <v>864446.9</v>
      </c>
    </row>
    <row r="401" spans="1:10" ht="15">
      <c r="A401" s="21">
        <v>40949</v>
      </c>
      <c r="B401" s="21">
        <v>40940</v>
      </c>
      <c r="C401" s="17">
        <v>24</v>
      </c>
      <c r="D401" s="17" t="s">
        <v>94</v>
      </c>
      <c r="E401" s="14">
        <v>229810.64</v>
      </c>
      <c r="F401" s="14">
        <v>212851.51</v>
      </c>
      <c r="G401" s="14">
        <v>212851.51</v>
      </c>
      <c r="H401" s="22">
        <f>F401*(1+Assumptions!$B$6+IF(D401="Yes",Assumptions!$C$6,0))</f>
        <v>219237.05530000001</v>
      </c>
      <c r="I401" s="22">
        <f>F401*(1+Assumptions!$B$7+IF(D401="Yes",Assumptions!$C$7,0))</f>
        <v>225622.60060000003</v>
      </c>
      <c r="J401" s="22">
        <f>F401*(1+Assumptions!$B$8+IF(D401="Yes",Assumptions!$C$8,0))</f>
        <v>212851.51</v>
      </c>
    </row>
    <row r="402" spans="1:10" ht="15">
      <c r="A402" s="21">
        <v>40949</v>
      </c>
      <c r="B402" s="21">
        <v>40940</v>
      </c>
      <c r="C402" s="17">
        <v>25</v>
      </c>
      <c r="D402" s="17" t="s">
        <v>94</v>
      </c>
      <c r="E402" s="14">
        <v>356268.54</v>
      </c>
      <c r="F402" s="14">
        <v>344537.05</v>
      </c>
      <c r="G402" s="14">
        <v>344537.05</v>
      </c>
      <c r="H402" s="22">
        <f>F402*(1+Assumptions!$B$6+IF(D402="Yes",Assumptions!$C$6,0))</f>
        <v>354873.16149999999</v>
      </c>
      <c r="I402" s="22">
        <f>F402*(1+Assumptions!$B$7+IF(D402="Yes",Assumptions!$C$7,0))</f>
        <v>365209.27299999999</v>
      </c>
      <c r="J402" s="22">
        <f>F402*(1+Assumptions!$B$8+IF(D402="Yes",Assumptions!$C$8,0))</f>
        <v>344537.05</v>
      </c>
    </row>
    <row r="403" spans="1:10" ht="15">
      <c r="A403" s="21">
        <v>40949</v>
      </c>
      <c r="B403" s="21">
        <v>40940</v>
      </c>
      <c r="C403" s="17">
        <v>26</v>
      </c>
      <c r="D403" s="17" t="s">
        <v>94</v>
      </c>
      <c r="E403" s="14">
        <v>349593.44</v>
      </c>
      <c r="F403" s="14">
        <v>324591.74</v>
      </c>
      <c r="G403" s="14">
        <v>324591.74</v>
      </c>
      <c r="H403" s="22">
        <f>F403*(1+Assumptions!$B$6+IF(D403="Yes",Assumptions!$C$6,0))</f>
        <v>334329.49219999998</v>
      </c>
      <c r="I403" s="22">
        <f>F403*(1+Assumptions!$B$7+IF(D403="Yes",Assumptions!$C$7,0))</f>
        <v>344067.24440000003</v>
      </c>
      <c r="J403" s="22">
        <f>F403*(1+Assumptions!$B$8+IF(D403="Yes",Assumptions!$C$8,0))</f>
        <v>324591.74</v>
      </c>
    </row>
    <row r="404" spans="1:10" ht="15">
      <c r="A404" s="21">
        <v>40949</v>
      </c>
      <c r="B404" s="21">
        <v>40940</v>
      </c>
      <c r="C404" s="17">
        <v>27</v>
      </c>
      <c r="D404" s="17" t="s">
        <v>94</v>
      </c>
      <c r="E404" s="14">
        <v>78090.52</v>
      </c>
      <c r="F404" s="14">
        <v>73019.759999999995</v>
      </c>
      <c r="G404" s="14">
        <v>73019.759999999995</v>
      </c>
      <c r="H404" s="22">
        <f>F404*(1+Assumptions!$B$6+IF(D404="Yes",Assumptions!$C$6,0))</f>
        <v>75210.352799999993</v>
      </c>
      <c r="I404" s="22">
        <f>F404*(1+Assumptions!$B$7+IF(D404="Yes",Assumptions!$C$7,0))</f>
        <v>77400.945599999992</v>
      </c>
      <c r="J404" s="22">
        <f>F404*(1+Assumptions!$B$8+IF(D404="Yes",Assumptions!$C$8,0))</f>
        <v>73019.759999999995</v>
      </c>
    </row>
    <row r="405" spans="1:10" ht="15">
      <c r="A405" s="21">
        <v>40949</v>
      </c>
      <c r="B405" s="21">
        <v>40940</v>
      </c>
      <c r="C405" s="17">
        <v>28</v>
      </c>
      <c r="D405" s="17" t="s">
        <v>94</v>
      </c>
      <c r="E405" s="14">
        <v>32270.77</v>
      </c>
      <c r="F405" s="14">
        <v>30809.84</v>
      </c>
      <c r="G405" s="14">
        <v>30809.84</v>
      </c>
      <c r="H405" s="22">
        <f>F405*(1+Assumptions!$B$6+IF(D405="Yes",Assumptions!$C$6,0))</f>
        <v>31734.135200000001</v>
      </c>
      <c r="I405" s="22">
        <f>F405*(1+Assumptions!$B$7+IF(D405="Yes",Assumptions!$C$7,0))</f>
        <v>32658.430400000001</v>
      </c>
      <c r="J405" s="22">
        <f>F405*(1+Assumptions!$B$8+IF(D405="Yes",Assumptions!$C$8,0))</f>
        <v>30809.84</v>
      </c>
    </row>
    <row r="406" spans="1:10" ht="15">
      <c r="A406" s="21">
        <v>40949</v>
      </c>
      <c r="B406" s="21">
        <v>40940</v>
      </c>
      <c r="C406" s="17">
        <v>29</v>
      </c>
      <c r="D406" s="17" t="s">
        <v>94</v>
      </c>
      <c r="E406" s="14">
        <v>253691.62</v>
      </c>
      <c r="F406" s="14">
        <v>244100.57</v>
      </c>
      <c r="G406" s="14">
        <v>244100.57</v>
      </c>
      <c r="H406" s="22">
        <f>F406*(1+Assumptions!$B$6+IF(D406="Yes",Assumptions!$C$6,0))</f>
        <v>251423.5871</v>
      </c>
      <c r="I406" s="22">
        <f>F406*(1+Assumptions!$B$7+IF(D406="Yes",Assumptions!$C$7,0))</f>
        <v>258746.60420000003</v>
      </c>
      <c r="J406" s="22">
        <f>F406*(1+Assumptions!$B$8+IF(D406="Yes",Assumptions!$C$8,0))</f>
        <v>244100.57</v>
      </c>
    </row>
    <row r="407" spans="1:10" ht="15">
      <c r="A407" s="21">
        <v>40949</v>
      </c>
      <c r="B407" s="21">
        <v>40940</v>
      </c>
      <c r="C407" s="17">
        <v>30</v>
      </c>
      <c r="D407" s="17" t="s">
        <v>94</v>
      </c>
      <c r="E407" s="14">
        <v>161360.11000000002</v>
      </c>
      <c r="F407" s="14">
        <v>163146.72</v>
      </c>
      <c r="G407" s="14">
        <v>163146.72</v>
      </c>
      <c r="H407" s="22">
        <f>F407*(1+Assumptions!$B$6+IF(D407="Yes",Assumptions!$C$6,0))</f>
        <v>168041.12160000001</v>
      </c>
      <c r="I407" s="22">
        <f>F407*(1+Assumptions!$B$7+IF(D407="Yes",Assumptions!$C$7,0))</f>
        <v>172935.5232</v>
      </c>
      <c r="J407" s="22">
        <f>F407*(1+Assumptions!$B$8+IF(D407="Yes",Assumptions!$C$8,0))</f>
        <v>163146.72</v>
      </c>
    </row>
    <row r="408" spans="1:10" ht="15">
      <c r="A408" s="21">
        <v>40949</v>
      </c>
      <c r="B408" s="21">
        <v>40940</v>
      </c>
      <c r="C408" s="17">
        <v>31</v>
      </c>
      <c r="D408" s="17" t="s">
        <v>94</v>
      </c>
      <c r="E408" s="14">
        <v>73434.429999999993</v>
      </c>
      <c r="F408" s="14">
        <v>82111.59</v>
      </c>
      <c r="G408" s="14">
        <v>82111.59</v>
      </c>
      <c r="H408" s="22">
        <f>F408*(1+Assumptions!$B$6+IF(D408="Yes",Assumptions!$C$6,0))</f>
        <v>84574.937699999995</v>
      </c>
      <c r="I408" s="22">
        <f>F408*(1+Assumptions!$B$7+IF(D408="Yes",Assumptions!$C$7,0))</f>
        <v>87038.285400000008</v>
      </c>
      <c r="J408" s="22">
        <f>F408*(1+Assumptions!$B$8+IF(D408="Yes",Assumptions!$C$8,0))</f>
        <v>82111.59</v>
      </c>
    </row>
    <row r="409" spans="1:10" ht="15">
      <c r="A409" s="21">
        <v>40949</v>
      </c>
      <c r="B409" s="21">
        <v>40940</v>
      </c>
      <c r="C409" s="17">
        <v>32</v>
      </c>
      <c r="D409" s="17" t="s">
        <v>94</v>
      </c>
      <c r="E409" s="14">
        <v>347561.3</v>
      </c>
      <c r="F409" s="14">
        <v>353944.01</v>
      </c>
      <c r="G409" s="14">
        <v>353944.01</v>
      </c>
      <c r="H409" s="22">
        <f>F409*(1+Assumptions!$B$6+IF(D409="Yes",Assumptions!$C$6,0))</f>
        <v>364562.33030000003</v>
      </c>
      <c r="I409" s="22">
        <f>F409*(1+Assumptions!$B$7+IF(D409="Yes",Assumptions!$C$7,0))</f>
        <v>375180.65060000005</v>
      </c>
      <c r="J409" s="22">
        <f>F409*(1+Assumptions!$B$8+IF(D409="Yes",Assumptions!$C$8,0))</f>
        <v>353944.01</v>
      </c>
    </row>
    <row r="410" spans="1:10" ht="15">
      <c r="A410" s="21">
        <v>40949</v>
      </c>
      <c r="B410" s="21">
        <v>40940</v>
      </c>
      <c r="C410" s="17">
        <v>33</v>
      </c>
      <c r="D410" s="17" t="s">
        <v>94</v>
      </c>
      <c r="E410" s="14">
        <v>250507.12</v>
      </c>
      <c r="F410" s="14">
        <v>246533.97</v>
      </c>
      <c r="G410" s="14">
        <v>246533.97</v>
      </c>
      <c r="H410" s="22">
        <f>F410*(1+Assumptions!$B$6+IF(D410="Yes",Assumptions!$C$6,0))</f>
        <v>253929.98910000001</v>
      </c>
      <c r="I410" s="22">
        <f>F410*(1+Assumptions!$B$7+IF(D410="Yes",Assumptions!$C$7,0))</f>
        <v>261326.00820000001</v>
      </c>
      <c r="J410" s="22">
        <f>F410*(1+Assumptions!$B$8+IF(D410="Yes",Assumptions!$C$8,0))</f>
        <v>246533.97</v>
      </c>
    </row>
    <row r="411" spans="1:10" ht="15">
      <c r="A411" s="21">
        <v>40949</v>
      </c>
      <c r="B411" s="21">
        <v>40940</v>
      </c>
      <c r="C411" s="17">
        <v>34</v>
      </c>
      <c r="D411" s="17" t="s">
        <v>94</v>
      </c>
      <c r="E411" s="14">
        <v>580737.35</v>
      </c>
      <c r="F411" s="14">
        <v>519733.14</v>
      </c>
      <c r="G411" s="14">
        <v>519733.14</v>
      </c>
      <c r="H411" s="22">
        <f>F411*(1+Assumptions!$B$6+IF(D411="Yes",Assumptions!$C$6,0))</f>
        <v>535325.13419999997</v>
      </c>
      <c r="I411" s="22">
        <f>F411*(1+Assumptions!$B$7+IF(D411="Yes",Assumptions!$C$7,0))</f>
        <v>550917.12840000005</v>
      </c>
      <c r="J411" s="22">
        <f>F411*(1+Assumptions!$B$8+IF(D411="Yes",Assumptions!$C$8,0))</f>
        <v>519733.14</v>
      </c>
    </row>
    <row r="412" spans="1:10" ht="15">
      <c r="A412" s="21">
        <v>40949</v>
      </c>
      <c r="B412" s="21">
        <v>40940</v>
      </c>
      <c r="C412" s="17">
        <v>35</v>
      </c>
      <c r="D412" s="17" t="s">
        <v>94</v>
      </c>
      <c r="E412" s="14">
        <v>116805.57</v>
      </c>
      <c r="F412" s="14">
        <v>98365.48</v>
      </c>
      <c r="G412" s="14">
        <v>98365.48</v>
      </c>
      <c r="H412" s="22">
        <f>F412*(1+Assumptions!$B$6+IF(D412="Yes",Assumptions!$C$6,0))</f>
        <v>101316.44439999999</v>
      </c>
      <c r="I412" s="22">
        <f>F412*(1+Assumptions!$B$7+IF(D412="Yes",Assumptions!$C$7,0))</f>
        <v>104267.4088</v>
      </c>
      <c r="J412" s="22">
        <f>F412*(1+Assumptions!$B$8+IF(D412="Yes",Assumptions!$C$8,0))</f>
        <v>98365.48</v>
      </c>
    </row>
    <row r="413" spans="1:10" ht="15">
      <c r="A413" s="21">
        <v>40949</v>
      </c>
      <c r="B413" s="21">
        <v>40940</v>
      </c>
      <c r="C413" s="17">
        <v>36</v>
      </c>
      <c r="D413" s="17" t="s">
        <v>94</v>
      </c>
      <c r="E413" s="14">
        <v>80435.27</v>
      </c>
      <c r="F413" s="14">
        <v>39294.370000000003</v>
      </c>
      <c r="G413" s="14">
        <v>39294.370000000003</v>
      </c>
      <c r="H413" s="22">
        <f>F413*(1+Assumptions!$B$6+IF(D413="Yes",Assumptions!$C$6,0))</f>
        <v>40473.201100000006</v>
      </c>
      <c r="I413" s="22">
        <f>F413*(1+Assumptions!$B$7+IF(D413="Yes",Assumptions!$C$7,0))</f>
        <v>41652.032200000001</v>
      </c>
      <c r="J413" s="22">
        <f>F413*(1+Assumptions!$B$8+IF(D413="Yes",Assumptions!$C$8,0))</f>
        <v>39294.370000000003</v>
      </c>
    </row>
    <row r="414" spans="1:10" ht="15">
      <c r="A414" s="21">
        <v>40949</v>
      </c>
      <c r="B414" s="21">
        <v>40940</v>
      </c>
      <c r="C414" s="17">
        <v>37</v>
      </c>
      <c r="D414" s="17" t="s">
        <v>94</v>
      </c>
      <c r="E414" s="14">
        <v>60196.08</v>
      </c>
      <c r="F414" s="14">
        <v>58105.840000000004</v>
      </c>
      <c r="G414" s="14">
        <v>58105.840000000004</v>
      </c>
      <c r="H414" s="22">
        <f>F414*(1+Assumptions!$B$6+IF(D414="Yes",Assumptions!$C$6,0))</f>
        <v>59849.015200000009</v>
      </c>
      <c r="I414" s="22">
        <f>F414*(1+Assumptions!$B$7+IF(D414="Yes",Assumptions!$C$7,0))</f>
        <v>61592.190400000007</v>
      </c>
      <c r="J414" s="22">
        <f>F414*(1+Assumptions!$B$8+IF(D414="Yes",Assumptions!$C$8,0))</f>
        <v>58105.840000000004</v>
      </c>
    </row>
    <row r="415" spans="1:10" ht="15">
      <c r="A415" s="21">
        <v>40949</v>
      </c>
      <c r="B415" s="21">
        <v>40940</v>
      </c>
      <c r="C415" s="17">
        <v>38</v>
      </c>
      <c r="D415" s="17" t="s">
        <v>94</v>
      </c>
      <c r="E415" s="14">
        <v>2972930.77</v>
      </c>
      <c r="F415" s="14">
        <v>2854532.3</v>
      </c>
      <c r="G415" s="14">
        <v>2854532.3</v>
      </c>
      <c r="H415" s="22">
        <f>F415*(1+Assumptions!$B$6+IF(D415="Yes",Assumptions!$C$6,0))</f>
        <v>2940168.2689999999</v>
      </c>
      <c r="I415" s="22">
        <f>F415*(1+Assumptions!$B$7+IF(D415="Yes",Assumptions!$C$7,0))</f>
        <v>3025804.2379999999</v>
      </c>
      <c r="J415" s="22">
        <f>F415*(1+Assumptions!$B$8+IF(D415="Yes",Assumptions!$C$8,0))</f>
        <v>2854532.3</v>
      </c>
    </row>
    <row r="416" spans="1:10" ht="15">
      <c r="A416" s="21">
        <v>40949</v>
      </c>
      <c r="B416" s="21">
        <v>40940</v>
      </c>
      <c r="C416" s="17">
        <v>40</v>
      </c>
      <c r="D416" s="17" t="s">
        <v>94</v>
      </c>
      <c r="E416" s="14">
        <v>2209307.63</v>
      </c>
      <c r="F416" s="14">
        <v>2151852</v>
      </c>
      <c r="G416" s="14">
        <v>2151852</v>
      </c>
      <c r="H416" s="22">
        <f>F416*(1+Assumptions!$B$6+IF(D416="Yes",Assumptions!$C$6,0))</f>
        <v>2216407.56</v>
      </c>
      <c r="I416" s="22">
        <f>F416*(1+Assumptions!$B$7+IF(D416="Yes",Assumptions!$C$7,0))</f>
        <v>2280963.12</v>
      </c>
      <c r="J416" s="22">
        <f>F416*(1+Assumptions!$B$8+IF(D416="Yes",Assumptions!$C$8,0))</f>
        <v>2151852</v>
      </c>
    </row>
    <row r="417" spans="1:10" ht="15">
      <c r="A417" s="21">
        <v>40949</v>
      </c>
      <c r="B417" s="21">
        <v>40940</v>
      </c>
      <c r="C417" s="17">
        <v>41</v>
      </c>
      <c r="D417" s="17" t="s">
        <v>94</v>
      </c>
      <c r="E417" s="14">
        <v>66803.73</v>
      </c>
      <c r="F417" s="14">
        <v>85042.17</v>
      </c>
      <c r="G417" s="14">
        <v>85042.17</v>
      </c>
      <c r="H417" s="22">
        <f>F417*(1+Assumptions!$B$6+IF(D417="Yes",Assumptions!$C$6,0))</f>
        <v>87593.435100000002</v>
      </c>
      <c r="I417" s="22">
        <f>F417*(1+Assumptions!$B$7+IF(D417="Yes",Assumptions!$C$7,0))</f>
        <v>90144.700200000007</v>
      </c>
      <c r="J417" s="22">
        <f>F417*(1+Assumptions!$B$8+IF(D417="Yes",Assumptions!$C$8,0))</f>
        <v>85042.17</v>
      </c>
    </row>
    <row r="418" spans="1:10" ht="15">
      <c r="A418" s="21">
        <v>40949</v>
      </c>
      <c r="B418" s="21">
        <v>40940</v>
      </c>
      <c r="C418" s="17">
        <v>42</v>
      </c>
      <c r="D418" s="17" t="s">
        <v>94</v>
      </c>
      <c r="E418" s="14">
        <v>230767.03</v>
      </c>
      <c r="F418" s="14">
        <v>205741.13</v>
      </c>
      <c r="G418" s="14">
        <v>205741.13</v>
      </c>
      <c r="H418" s="22">
        <f>F418*(1+Assumptions!$B$6+IF(D418="Yes",Assumptions!$C$6,0))</f>
        <v>211913.3639</v>
      </c>
      <c r="I418" s="22">
        <f>F418*(1+Assumptions!$B$7+IF(D418="Yes",Assumptions!$C$7,0))</f>
        <v>218085.59780000002</v>
      </c>
      <c r="J418" s="22">
        <f>F418*(1+Assumptions!$B$8+IF(D418="Yes",Assumptions!$C$8,0))</f>
        <v>205741.13</v>
      </c>
    </row>
    <row r="419" spans="1:10" ht="15">
      <c r="A419" s="21">
        <v>40949</v>
      </c>
      <c r="B419" s="21">
        <v>40940</v>
      </c>
      <c r="C419" s="17">
        <v>44</v>
      </c>
      <c r="D419" s="17" t="s">
        <v>94</v>
      </c>
      <c r="E419" s="14">
        <v>200431.13</v>
      </c>
      <c r="F419" s="14">
        <v>184307.68</v>
      </c>
      <c r="G419" s="14">
        <v>184307.68</v>
      </c>
      <c r="H419" s="22">
        <f>F419*(1+Assumptions!$B$6+IF(D419="Yes",Assumptions!$C$6,0))</f>
        <v>189836.91039999999</v>
      </c>
      <c r="I419" s="22">
        <f>F419*(1+Assumptions!$B$7+IF(D419="Yes",Assumptions!$C$7,0))</f>
        <v>195366.14079999999</v>
      </c>
      <c r="J419" s="22">
        <f>F419*(1+Assumptions!$B$8+IF(D419="Yes",Assumptions!$C$8,0))</f>
        <v>184307.68</v>
      </c>
    </row>
    <row r="420" spans="1:10" ht="15">
      <c r="A420" s="21">
        <v>40949</v>
      </c>
      <c r="B420" s="21">
        <v>40940</v>
      </c>
      <c r="C420" s="17">
        <v>45</v>
      </c>
      <c r="D420" s="17" t="s">
        <v>94</v>
      </c>
      <c r="E420" s="14">
        <v>164.58</v>
      </c>
      <c r="F420" s="14">
        <v>146.46</v>
      </c>
      <c r="G420" s="14">
        <v>146.46</v>
      </c>
      <c r="H420" s="22">
        <f>F420*(1+Assumptions!$B$6+IF(D420="Yes",Assumptions!$C$6,0))</f>
        <v>150.85380000000001</v>
      </c>
      <c r="I420" s="22">
        <f>F420*(1+Assumptions!$B$7+IF(D420="Yes",Assumptions!$C$7,0))</f>
        <v>155.24760000000001</v>
      </c>
      <c r="J420" s="22">
        <f>F420*(1+Assumptions!$B$8+IF(D420="Yes",Assumptions!$C$8,0))</f>
        <v>146.46</v>
      </c>
    </row>
    <row r="421" spans="1:10" ht="15">
      <c r="A421" s="21">
        <v>40949</v>
      </c>
      <c r="B421" s="21">
        <v>40940</v>
      </c>
      <c r="C421" s="17">
        <v>46</v>
      </c>
      <c r="D421" s="17" t="s">
        <v>94</v>
      </c>
      <c r="E421" s="14">
        <v>903745.17</v>
      </c>
      <c r="F421" s="14">
        <v>866420.17</v>
      </c>
      <c r="G421" s="14">
        <v>866420.17</v>
      </c>
      <c r="H421" s="22">
        <f>F421*(1+Assumptions!$B$6+IF(D421="Yes",Assumptions!$C$6,0))</f>
        <v>892412.77510000009</v>
      </c>
      <c r="I421" s="22">
        <f>F421*(1+Assumptions!$B$7+IF(D421="Yes",Assumptions!$C$7,0))</f>
        <v>918405.38020000013</v>
      </c>
      <c r="J421" s="22">
        <f>F421*(1+Assumptions!$B$8+IF(D421="Yes",Assumptions!$C$8,0))</f>
        <v>866420.17</v>
      </c>
    </row>
    <row r="422" spans="1:10" ht="15">
      <c r="A422" s="21">
        <v>40949</v>
      </c>
      <c r="B422" s="21">
        <v>40940</v>
      </c>
      <c r="C422" s="17">
        <v>47</v>
      </c>
      <c r="D422" s="17" t="s">
        <v>94</v>
      </c>
      <c r="E422" s="14">
        <v>34</v>
      </c>
      <c r="F422" s="14">
        <v>1098</v>
      </c>
      <c r="G422" s="14">
        <v>1098</v>
      </c>
      <c r="H422" s="22">
        <f>F422*(1+Assumptions!$B$6+IF(D422="Yes",Assumptions!$C$6,0))</f>
        <v>1130.94</v>
      </c>
      <c r="I422" s="22">
        <f>F422*(1+Assumptions!$B$7+IF(D422="Yes",Assumptions!$C$7,0))</f>
        <v>1163.8800000000001</v>
      </c>
      <c r="J422" s="22">
        <f>F422*(1+Assumptions!$B$8+IF(D422="Yes",Assumptions!$C$8,0))</f>
        <v>1098</v>
      </c>
    </row>
    <row r="423" spans="1:10" ht="15">
      <c r="A423" s="21">
        <v>40949</v>
      </c>
      <c r="B423" s="21">
        <v>40940</v>
      </c>
      <c r="C423" s="17">
        <v>48</v>
      </c>
      <c r="D423" s="17" t="s">
        <v>94</v>
      </c>
      <c r="E423" s="14">
        <v>19267.3</v>
      </c>
      <c r="F423" s="14">
        <v>11339.99</v>
      </c>
      <c r="G423" s="14">
        <v>11339.99</v>
      </c>
      <c r="H423" s="22">
        <f>F423*(1+Assumptions!$B$6+IF(D423="Yes",Assumptions!$C$6,0))</f>
        <v>11680.189700000001</v>
      </c>
      <c r="I423" s="22">
        <f>F423*(1+Assumptions!$B$7+IF(D423="Yes",Assumptions!$C$7,0))</f>
        <v>12020.3894</v>
      </c>
      <c r="J423" s="22">
        <f>F423*(1+Assumptions!$B$8+IF(D423="Yes",Assumptions!$C$8,0))</f>
        <v>11339.99</v>
      </c>
    </row>
    <row r="424" spans="1:10" ht="15">
      <c r="A424" s="21">
        <v>40949</v>
      </c>
      <c r="B424" s="21">
        <v>40940</v>
      </c>
      <c r="C424" s="17">
        <v>49</v>
      </c>
      <c r="D424" s="17" t="s">
        <v>94</v>
      </c>
      <c r="E424" s="14">
        <v>301556.13</v>
      </c>
      <c r="F424" s="14">
        <v>280257</v>
      </c>
      <c r="G424" s="14">
        <v>280257</v>
      </c>
      <c r="H424" s="22">
        <f>F424*(1+Assumptions!$B$6+IF(D424="Yes",Assumptions!$C$6,0))</f>
        <v>288664.71000000002</v>
      </c>
      <c r="I424" s="22">
        <f>F424*(1+Assumptions!$B$7+IF(D424="Yes",Assumptions!$C$7,0))</f>
        <v>297072.42000000004</v>
      </c>
      <c r="J424" s="22">
        <f>F424*(1+Assumptions!$B$8+IF(D424="Yes",Assumptions!$C$8,0))</f>
        <v>280257</v>
      </c>
    </row>
    <row r="425" spans="1:10" ht="15">
      <c r="A425" s="21">
        <v>40949</v>
      </c>
      <c r="B425" s="21">
        <v>40940</v>
      </c>
      <c r="C425" s="17">
        <v>50</v>
      </c>
      <c r="D425" s="17" t="s">
        <v>94</v>
      </c>
      <c r="E425" s="14">
        <v>33242</v>
      </c>
      <c r="F425" s="14">
        <v>32538.57</v>
      </c>
      <c r="G425" s="14">
        <v>32538.57</v>
      </c>
      <c r="H425" s="22">
        <f>F425*(1+Assumptions!$B$6+IF(D425="Yes",Assumptions!$C$6,0))</f>
        <v>33514.727100000004</v>
      </c>
      <c r="I425" s="22">
        <f>F425*(1+Assumptions!$B$7+IF(D425="Yes",Assumptions!$C$7,0))</f>
        <v>34490.8842</v>
      </c>
      <c r="J425" s="22">
        <f>F425*(1+Assumptions!$B$8+IF(D425="Yes",Assumptions!$C$8,0))</f>
        <v>32538.57</v>
      </c>
    </row>
    <row r="426" spans="1:10" ht="15">
      <c r="A426" s="21">
        <v>40949</v>
      </c>
      <c r="B426" s="21">
        <v>40940</v>
      </c>
      <c r="C426" s="17">
        <v>52</v>
      </c>
      <c r="D426" s="17" t="s">
        <v>94</v>
      </c>
      <c r="E426" s="14">
        <v>84226.62</v>
      </c>
      <c r="F426" s="14">
        <v>79135.64</v>
      </c>
      <c r="G426" s="14">
        <v>79135.64</v>
      </c>
      <c r="H426" s="22">
        <f>F426*(1+Assumptions!$B$6+IF(D426="Yes",Assumptions!$C$6,0))</f>
        <v>81509.709199999998</v>
      </c>
      <c r="I426" s="22">
        <f>F426*(1+Assumptions!$B$7+IF(D426="Yes",Assumptions!$C$7,0))</f>
        <v>83883.77840000001</v>
      </c>
      <c r="J426" s="22">
        <f>F426*(1+Assumptions!$B$8+IF(D426="Yes",Assumptions!$C$8,0))</f>
        <v>79135.64</v>
      </c>
    </row>
    <row r="427" spans="1:10" ht="15">
      <c r="A427" s="21">
        <v>40949</v>
      </c>
      <c r="B427" s="21">
        <v>40940</v>
      </c>
      <c r="C427" s="17">
        <v>54</v>
      </c>
      <c r="D427" s="17" t="s">
        <v>94</v>
      </c>
      <c r="E427" s="14">
        <v>1636.62</v>
      </c>
      <c r="F427" s="14">
        <v>2240.2399999999998</v>
      </c>
      <c r="G427" s="14">
        <v>2240.2399999999998</v>
      </c>
      <c r="H427" s="22">
        <f>F427*(1+Assumptions!$B$6+IF(D427="Yes",Assumptions!$C$6,0))</f>
        <v>2307.4471999999996</v>
      </c>
      <c r="I427" s="22">
        <f>F427*(1+Assumptions!$B$7+IF(D427="Yes",Assumptions!$C$7,0))</f>
        <v>2374.6543999999999</v>
      </c>
      <c r="J427" s="22">
        <f>F427*(1+Assumptions!$B$8+IF(D427="Yes",Assumptions!$C$8,0))</f>
        <v>2240.2399999999998</v>
      </c>
    </row>
    <row r="428" spans="1:10" ht="15">
      <c r="A428" s="21">
        <v>40949</v>
      </c>
      <c r="B428" s="21">
        <v>40940</v>
      </c>
      <c r="C428" s="17">
        <v>55</v>
      </c>
      <c r="D428" s="17" t="s">
        <v>94</v>
      </c>
      <c r="E428" s="14">
        <v>435046.7</v>
      </c>
      <c r="F428" s="14">
        <v>427477.74</v>
      </c>
      <c r="G428" s="14">
        <v>427477.74</v>
      </c>
      <c r="H428" s="22">
        <f>F428*(1+Assumptions!$B$6+IF(D428="Yes",Assumptions!$C$6,0))</f>
        <v>440302.0722</v>
      </c>
      <c r="I428" s="22">
        <f>F428*(1+Assumptions!$B$7+IF(D428="Yes",Assumptions!$C$7,0))</f>
        <v>453126.4044</v>
      </c>
      <c r="J428" s="22">
        <f>F428*(1+Assumptions!$B$8+IF(D428="Yes",Assumptions!$C$8,0))</f>
        <v>427477.74</v>
      </c>
    </row>
    <row r="429" spans="1:10" ht="15">
      <c r="A429" s="21">
        <v>40949</v>
      </c>
      <c r="B429" s="21">
        <v>40940</v>
      </c>
      <c r="C429" s="17">
        <v>56</v>
      </c>
      <c r="D429" s="17" t="s">
        <v>94</v>
      </c>
      <c r="E429" s="14">
        <v>60349.4</v>
      </c>
      <c r="F429" s="14">
        <v>43342.59</v>
      </c>
      <c r="G429" s="14">
        <v>43342.59</v>
      </c>
      <c r="H429" s="22">
        <f>F429*(1+Assumptions!$B$6+IF(D429="Yes",Assumptions!$C$6,0))</f>
        <v>44642.867699999995</v>
      </c>
      <c r="I429" s="22">
        <f>F429*(1+Assumptions!$B$7+IF(D429="Yes",Assumptions!$C$7,0))</f>
        <v>45943.145400000001</v>
      </c>
      <c r="J429" s="22">
        <f>F429*(1+Assumptions!$B$8+IF(D429="Yes",Assumptions!$C$8,0))</f>
        <v>43342.59</v>
      </c>
    </row>
    <row r="430" spans="1:10" ht="15">
      <c r="A430" s="21">
        <v>40949</v>
      </c>
      <c r="B430" s="21">
        <v>40940</v>
      </c>
      <c r="C430" s="17">
        <v>58</v>
      </c>
      <c r="D430" s="17" t="s">
        <v>94</v>
      </c>
      <c r="E430" s="14">
        <v>107429</v>
      </c>
      <c r="F430" s="14">
        <v>104059</v>
      </c>
      <c r="G430" s="14">
        <v>104059</v>
      </c>
      <c r="H430" s="22">
        <f>F430*(1+Assumptions!$B$6+IF(D430="Yes",Assumptions!$C$6,0))</f>
        <v>107180.77</v>
      </c>
      <c r="I430" s="22">
        <f>F430*(1+Assumptions!$B$7+IF(D430="Yes",Assumptions!$C$7,0))</f>
        <v>110302.54000000001</v>
      </c>
      <c r="J430" s="22">
        <f>F430*(1+Assumptions!$B$8+IF(D430="Yes",Assumptions!$C$8,0))</f>
        <v>104059</v>
      </c>
    </row>
    <row r="431" spans="1:10" ht="15">
      <c r="A431" s="21">
        <v>40949</v>
      </c>
      <c r="B431" s="21">
        <v>40940</v>
      </c>
      <c r="C431" s="17">
        <v>59</v>
      </c>
      <c r="D431" s="17" t="s">
        <v>94</v>
      </c>
      <c r="E431" s="14">
        <v>11844.99</v>
      </c>
      <c r="F431" s="14">
        <v>18473.8</v>
      </c>
      <c r="G431" s="14">
        <v>18473.8</v>
      </c>
      <c r="H431" s="22">
        <f>F431*(1+Assumptions!$B$6+IF(D431="Yes",Assumptions!$C$6,0))</f>
        <v>19028.013999999999</v>
      </c>
      <c r="I431" s="22">
        <f>F431*(1+Assumptions!$B$7+IF(D431="Yes",Assumptions!$C$7,0))</f>
        <v>19582.227999999999</v>
      </c>
      <c r="J431" s="22">
        <f>F431*(1+Assumptions!$B$8+IF(D431="Yes",Assumptions!$C$8,0))</f>
        <v>18473.8</v>
      </c>
    </row>
    <row r="432" spans="1:10" ht="15">
      <c r="A432" s="21">
        <v>40949</v>
      </c>
      <c r="B432" s="21">
        <v>40940</v>
      </c>
      <c r="C432" s="17">
        <v>60</v>
      </c>
      <c r="D432" s="17" t="s">
        <v>94</v>
      </c>
      <c r="E432" s="14">
        <v>14955.4</v>
      </c>
      <c r="F432" s="14">
        <v>15823.8</v>
      </c>
      <c r="G432" s="14">
        <v>15823.8</v>
      </c>
      <c r="H432" s="22">
        <f>F432*(1+Assumptions!$B$6+IF(D432="Yes",Assumptions!$C$6,0))</f>
        <v>16298.513999999999</v>
      </c>
      <c r="I432" s="22">
        <f>F432*(1+Assumptions!$B$7+IF(D432="Yes",Assumptions!$C$7,0))</f>
        <v>16773.227999999999</v>
      </c>
      <c r="J432" s="22">
        <f>F432*(1+Assumptions!$B$8+IF(D432="Yes",Assumptions!$C$8,0))</f>
        <v>15823.8</v>
      </c>
    </row>
    <row r="433" spans="1:10" ht="15">
      <c r="A433" s="21">
        <v>40949</v>
      </c>
      <c r="B433" s="21">
        <v>40940</v>
      </c>
      <c r="C433" s="17">
        <v>65</v>
      </c>
      <c r="D433" s="17" t="s">
        <v>94</v>
      </c>
      <c r="E433" s="14">
        <v>39283.879999999997</v>
      </c>
      <c r="F433" s="14">
        <v>46268.29</v>
      </c>
      <c r="G433" s="14">
        <v>46268.29</v>
      </c>
      <c r="H433" s="22">
        <f>F433*(1+Assumptions!$B$6+IF(D433="Yes",Assumptions!$C$6,0))</f>
        <v>47656.3387</v>
      </c>
      <c r="I433" s="22">
        <f>F433*(1+Assumptions!$B$7+IF(D433="Yes",Assumptions!$C$7,0))</f>
        <v>49044.387400000007</v>
      </c>
      <c r="J433" s="22">
        <f>F433*(1+Assumptions!$B$8+IF(D433="Yes",Assumptions!$C$8,0))</f>
        <v>46268.29</v>
      </c>
    </row>
    <row r="434" spans="1:10" ht="15">
      <c r="A434" s="21">
        <v>40949</v>
      </c>
      <c r="B434" s="21">
        <v>40940</v>
      </c>
      <c r="C434" s="17">
        <v>67</v>
      </c>
      <c r="D434" s="17" t="s">
        <v>94</v>
      </c>
      <c r="E434" s="14">
        <v>509119.5</v>
      </c>
      <c r="F434" s="14">
        <v>564993.22</v>
      </c>
      <c r="G434" s="14">
        <v>564993.22</v>
      </c>
      <c r="H434" s="22">
        <f>F434*(1+Assumptions!$B$6+IF(D434="Yes",Assumptions!$C$6,0))</f>
        <v>581943.01659999997</v>
      </c>
      <c r="I434" s="22">
        <f>F434*(1+Assumptions!$B$7+IF(D434="Yes",Assumptions!$C$7,0))</f>
        <v>598892.81319999998</v>
      </c>
      <c r="J434" s="22">
        <f>F434*(1+Assumptions!$B$8+IF(D434="Yes",Assumptions!$C$8,0))</f>
        <v>564993.22</v>
      </c>
    </row>
    <row r="435" spans="1:10" ht="15">
      <c r="A435" s="21">
        <v>40949</v>
      </c>
      <c r="B435" s="21">
        <v>40940</v>
      </c>
      <c r="C435" s="17">
        <v>71</v>
      </c>
      <c r="D435" s="17" t="s">
        <v>94</v>
      </c>
      <c r="E435" s="14">
        <v>314375.28999999998</v>
      </c>
      <c r="F435" s="14">
        <v>269164.7</v>
      </c>
      <c r="G435" s="14">
        <v>269164.7</v>
      </c>
      <c r="H435" s="22">
        <f>F435*(1+Assumptions!$B$6+IF(D435="Yes",Assumptions!$C$6,0))</f>
        <v>277239.641</v>
      </c>
      <c r="I435" s="22">
        <f>F435*(1+Assumptions!$B$7+IF(D435="Yes",Assumptions!$C$7,0))</f>
        <v>285314.58200000005</v>
      </c>
      <c r="J435" s="22">
        <f>F435*(1+Assumptions!$B$8+IF(D435="Yes",Assumptions!$C$8,0))</f>
        <v>269164.7</v>
      </c>
    </row>
    <row r="436" spans="1:10" ht="15">
      <c r="A436" s="21">
        <v>40949</v>
      </c>
      <c r="B436" s="21">
        <v>40940</v>
      </c>
      <c r="C436" s="17">
        <v>72</v>
      </c>
      <c r="D436" s="17" t="s">
        <v>94</v>
      </c>
      <c r="E436" s="14">
        <v>3234457.9</v>
      </c>
      <c r="F436" s="14">
        <v>2889704</v>
      </c>
      <c r="G436" s="14">
        <v>2889704</v>
      </c>
      <c r="H436" s="22">
        <f>F436*(1+Assumptions!$B$6+IF(D436="Yes",Assumptions!$C$6,0))</f>
        <v>2976395.12</v>
      </c>
      <c r="I436" s="22">
        <f>F436*(1+Assumptions!$B$7+IF(D436="Yes",Assumptions!$C$7,0))</f>
        <v>3063086.24</v>
      </c>
      <c r="J436" s="22">
        <f>F436*(1+Assumptions!$B$8+IF(D436="Yes",Assumptions!$C$8,0))</f>
        <v>2889704</v>
      </c>
    </row>
    <row r="437" spans="1:10" ht="15">
      <c r="A437" s="21">
        <v>40949</v>
      </c>
      <c r="B437" s="21">
        <v>40940</v>
      </c>
      <c r="C437" s="17">
        <v>74</v>
      </c>
      <c r="D437" s="17" t="s">
        <v>94</v>
      </c>
      <c r="E437" s="14">
        <v>666327.13</v>
      </c>
      <c r="F437" s="14">
        <v>604334.34</v>
      </c>
      <c r="G437" s="14">
        <v>604334.34</v>
      </c>
      <c r="H437" s="22">
        <f>F437*(1+Assumptions!$B$6+IF(D437="Yes",Assumptions!$C$6,0))</f>
        <v>622464.3702</v>
      </c>
      <c r="I437" s="22">
        <f>F437*(1+Assumptions!$B$7+IF(D437="Yes",Assumptions!$C$7,0))</f>
        <v>640594.40040000004</v>
      </c>
      <c r="J437" s="22">
        <f>F437*(1+Assumptions!$B$8+IF(D437="Yes",Assumptions!$C$8,0))</f>
        <v>604334.34</v>
      </c>
    </row>
    <row r="438" spans="1:10" ht="15">
      <c r="A438" s="21">
        <v>40949</v>
      </c>
      <c r="B438" s="21">
        <v>40940</v>
      </c>
      <c r="C438" s="17">
        <v>79</v>
      </c>
      <c r="D438" s="17" t="s">
        <v>94</v>
      </c>
      <c r="E438" s="14">
        <v>1127513.92</v>
      </c>
      <c r="F438" s="14">
        <v>1038282.9</v>
      </c>
      <c r="G438" s="14">
        <v>1038282.9</v>
      </c>
      <c r="H438" s="22">
        <f>F438*(1+Assumptions!$B$6+IF(D438="Yes",Assumptions!$C$6,0))</f>
        <v>1069431.3870000001</v>
      </c>
      <c r="I438" s="22">
        <f>F438*(1+Assumptions!$B$7+IF(D438="Yes",Assumptions!$C$7,0))</f>
        <v>1100579.8740000001</v>
      </c>
      <c r="J438" s="22">
        <f>F438*(1+Assumptions!$B$8+IF(D438="Yes",Assumptions!$C$8,0))</f>
        <v>1038282.9</v>
      </c>
    </row>
    <row r="439" spans="1:10" ht="15">
      <c r="A439" s="21">
        <v>40949</v>
      </c>
      <c r="B439" s="21">
        <v>40940</v>
      </c>
      <c r="C439" s="17">
        <v>80</v>
      </c>
      <c r="D439" s="17" t="s">
        <v>94</v>
      </c>
      <c r="E439" s="14">
        <v>555913.92999999993</v>
      </c>
      <c r="F439" s="14">
        <v>527387.5</v>
      </c>
      <c r="G439" s="14">
        <v>527387.5</v>
      </c>
      <c r="H439" s="22">
        <f>F439*(1+Assumptions!$B$6+IF(D439="Yes",Assumptions!$C$6,0))</f>
        <v>543209.125</v>
      </c>
      <c r="I439" s="22">
        <f>F439*(1+Assumptions!$B$7+IF(D439="Yes",Assumptions!$C$7,0))</f>
        <v>559030.75</v>
      </c>
      <c r="J439" s="22">
        <f>F439*(1+Assumptions!$B$8+IF(D439="Yes",Assumptions!$C$8,0))</f>
        <v>527387.5</v>
      </c>
    </row>
    <row r="440" spans="1:10" ht="15">
      <c r="A440" s="21">
        <v>40949</v>
      </c>
      <c r="B440" s="21">
        <v>40940</v>
      </c>
      <c r="C440" s="17">
        <v>81</v>
      </c>
      <c r="D440" s="17" t="s">
        <v>94</v>
      </c>
      <c r="E440" s="14">
        <v>723757.32</v>
      </c>
      <c r="F440" s="14">
        <v>702553.08</v>
      </c>
      <c r="G440" s="14">
        <v>702553.08</v>
      </c>
      <c r="H440" s="22">
        <f>F440*(1+Assumptions!$B$6+IF(D440="Yes",Assumptions!$C$6,0))</f>
        <v>723629.67239999992</v>
      </c>
      <c r="I440" s="22">
        <f>F440*(1+Assumptions!$B$7+IF(D440="Yes",Assumptions!$C$7,0))</f>
        <v>744706.2648</v>
      </c>
      <c r="J440" s="22">
        <f>F440*(1+Assumptions!$B$8+IF(D440="Yes",Assumptions!$C$8,0))</f>
        <v>702553.08</v>
      </c>
    </row>
    <row r="441" spans="1:10" ht="15">
      <c r="A441" s="21">
        <v>40949</v>
      </c>
      <c r="B441" s="21">
        <v>40940</v>
      </c>
      <c r="C441" s="17">
        <v>82</v>
      </c>
      <c r="D441" s="17" t="s">
        <v>94</v>
      </c>
      <c r="E441" s="14">
        <v>696106.58</v>
      </c>
      <c r="F441" s="14">
        <v>670927.14</v>
      </c>
      <c r="G441" s="14">
        <v>670927.14</v>
      </c>
      <c r="H441" s="22">
        <f>F441*(1+Assumptions!$B$6+IF(D441="Yes",Assumptions!$C$6,0))</f>
        <v>691054.95420000004</v>
      </c>
      <c r="I441" s="22">
        <f>F441*(1+Assumptions!$B$7+IF(D441="Yes",Assumptions!$C$7,0))</f>
        <v>711182.76840000006</v>
      </c>
      <c r="J441" s="22">
        <f>F441*(1+Assumptions!$B$8+IF(D441="Yes",Assumptions!$C$8,0))</f>
        <v>670927.14</v>
      </c>
    </row>
    <row r="442" spans="1:10" ht="15">
      <c r="A442" s="21">
        <v>40949</v>
      </c>
      <c r="B442" s="21">
        <v>40940</v>
      </c>
      <c r="C442" s="17">
        <v>83</v>
      </c>
      <c r="D442" s="17" t="s">
        <v>94</v>
      </c>
      <c r="E442" s="14">
        <v>161634.06</v>
      </c>
      <c r="F442" s="14">
        <v>159644.5</v>
      </c>
      <c r="G442" s="14">
        <v>159644.5</v>
      </c>
      <c r="H442" s="22">
        <f>F442*(1+Assumptions!$B$6+IF(D442="Yes",Assumptions!$C$6,0))</f>
        <v>164433.83499999999</v>
      </c>
      <c r="I442" s="22">
        <f>F442*(1+Assumptions!$B$7+IF(D442="Yes",Assumptions!$C$7,0))</f>
        <v>169223.17</v>
      </c>
      <c r="J442" s="22">
        <f>F442*(1+Assumptions!$B$8+IF(D442="Yes",Assumptions!$C$8,0))</f>
        <v>159644.5</v>
      </c>
    </row>
    <row r="443" spans="1:10" ht="15">
      <c r="A443" s="21">
        <v>40949</v>
      </c>
      <c r="B443" s="21">
        <v>40940</v>
      </c>
      <c r="C443" s="17">
        <v>85</v>
      </c>
      <c r="D443" s="17" t="s">
        <v>94</v>
      </c>
      <c r="E443" s="14">
        <v>73221.84</v>
      </c>
      <c r="F443" s="14">
        <v>75968.62</v>
      </c>
      <c r="G443" s="14">
        <v>75968.62</v>
      </c>
      <c r="H443" s="22">
        <f>F443*(1+Assumptions!$B$6+IF(D443="Yes",Assumptions!$C$6,0))</f>
        <v>78247.678599999999</v>
      </c>
      <c r="I443" s="22">
        <f>F443*(1+Assumptions!$B$7+IF(D443="Yes",Assumptions!$C$7,0))</f>
        <v>80526.737200000003</v>
      </c>
      <c r="J443" s="22">
        <f>F443*(1+Assumptions!$B$8+IF(D443="Yes",Assumptions!$C$8,0))</f>
        <v>75968.62</v>
      </c>
    </row>
    <row r="444" spans="1:10" ht="15">
      <c r="A444" s="21">
        <v>40949</v>
      </c>
      <c r="B444" s="21">
        <v>40940</v>
      </c>
      <c r="C444" s="17">
        <v>87</v>
      </c>
      <c r="D444" s="17" t="s">
        <v>94</v>
      </c>
      <c r="E444" s="14">
        <v>778937.84</v>
      </c>
      <c r="F444" s="14">
        <v>618463.28</v>
      </c>
      <c r="G444" s="14">
        <v>618463.28</v>
      </c>
      <c r="H444" s="22">
        <f>F444*(1+Assumptions!$B$6+IF(D444="Yes",Assumptions!$C$6,0))</f>
        <v>637017.17840000009</v>
      </c>
      <c r="I444" s="22">
        <f>F444*(1+Assumptions!$B$7+IF(D444="Yes",Assumptions!$C$7,0))</f>
        <v>655571.07680000004</v>
      </c>
      <c r="J444" s="22">
        <f>F444*(1+Assumptions!$B$8+IF(D444="Yes",Assumptions!$C$8,0))</f>
        <v>618463.28</v>
      </c>
    </row>
    <row r="445" spans="1:10" ht="15">
      <c r="A445" s="21">
        <v>40949</v>
      </c>
      <c r="B445" s="21">
        <v>40940</v>
      </c>
      <c r="C445" s="17">
        <v>90</v>
      </c>
      <c r="D445" s="17" t="s">
        <v>94</v>
      </c>
      <c r="E445" s="14">
        <v>2261271.4500000002</v>
      </c>
      <c r="F445" s="14">
        <v>2077707.91</v>
      </c>
      <c r="G445" s="14">
        <v>2077707.91</v>
      </c>
      <c r="H445" s="22">
        <f>F445*(1+Assumptions!$B$6+IF(D445="Yes",Assumptions!$C$6,0))</f>
        <v>2140039.1472999998</v>
      </c>
      <c r="I445" s="22">
        <f>F445*(1+Assumptions!$B$7+IF(D445="Yes",Assumptions!$C$7,0))</f>
        <v>2202370.3846</v>
      </c>
      <c r="J445" s="22">
        <f>F445*(1+Assumptions!$B$8+IF(D445="Yes",Assumptions!$C$8,0))</f>
        <v>2077707.91</v>
      </c>
    </row>
    <row r="446" spans="1:10" ht="15">
      <c r="A446" s="21">
        <v>40949</v>
      </c>
      <c r="B446" s="21">
        <v>40940</v>
      </c>
      <c r="C446" s="17">
        <v>91</v>
      </c>
      <c r="D446" s="17" t="s">
        <v>94</v>
      </c>
      <c r="E446" s="14">
        <v>1752918.02</v>
      </c>
      <c r="F446" s="14">
        <v>1678446.04</v>
      </c>
      <c r="G446" s="14">
        <v>1678446.04</v>
      </c>
      <c r="H446" s="22">
        <f>F446*(1+Assumptions!$B$6+IF(D446="Yes",Assumptions!$C$6,0))</f>
        <v>1728799.4212</v>
      </c>
      <c r="I446" s="22">
        <f>F446*(1+Assumptions!$B$7+IF(D446="Yes",Assumptions!$C$7,0))</f>
        <v>1779152.8024000002</v>
      </c>
      <c r="J446" s="22">
        <f>F446*(1+Assumptions!$B$8+IF(D446="Yes",Assumptions!$C$8,0))</f>
        <v>1678446.04</v>
      </c>
    </row>
    <row r="447" spans="1:10" ht="15">
      <c r="A447" s="21">
        <v>40949</v>
      </c>
      <c r="B447" s="21">
        <v>40940</v>
      </c>
      <c r="C447" s="17">
        <v>92</v>
      </c>
      <c r="D447" s="17" t="s">
        <v>94</v>
      </c>
      <c r="E447" s="14">
        <v>3910737.18</v>
      </c>
      <c r="F447" s="14">
        <v>3538141.62</v>
      </c>
      <c r="G447" s="14">
        <v>3538141.62</v>
      </c>
      <c r="H447" s="22">
        <f>F447*(1+Assumptions!$B$6+IF(D447="Yes",Assumptions!$C$6,0))</f>
        <v>3644285.8686000002</v>
      </c>
      <c r="I447" s="22">
        <f>F447*(1+Assumptions!$B$7+IF(D447="Yes",Assumptions!$C$7,0))</f>
        <v>3750430.1172000002</v>
      </c>
      <c r="J447" s="22">
        <f>F447*(1+Assumptions!$B$8+IF(D447="Yes",Assumptions!$C$8,0))</f>
        <v>3538141.62</v>
      </c>
    </row>
    <row r="448" spans="1:10" ht="15">
      <c r="A448" s="21">
        <v>40949</v>
      </c>
      <c r="B448" s="21">
        <v>40940</v>
      </c>
      <c r="C448" s="17">
        <v>93</v>
      </c>
      <c r="D448" s="17" t="s">
        <v>94</v>
      </c>
      <c r="E448" s="14">
        <v>1212754.52</v>
      </c>
      <c r="F448" s="14">
        <v>1141295.1499999999</v>
      </c>
      <c r="G448" s="14">
        <v>1141295.1499999999</v>
      </c>
      <c r="H448" s="22">
        <f>F448*(1+Assumptions!$B$6+IF(D448="Yes",Assumptions!$C$6,0))</f>
        <v>1175534.0045</v>
      </c>
      <c r="I448" s="22">
        <f>F448*(1+Assumptions!$B$7+IF(D448="Yes",Assumptions!$C$7,0))</f>
        <v>1209772.8589999999</v>
      </c>
      <c r="J448" s="22">
        <f>F448*(1+Assumptions!$B$8+IF(D448="Yes",Assumptions!$C$8,0))</f>
        <v>1141295.1499999999</v>
      </c>
    </row>
    <row r="449" spans="1:10" ht="15">
      <c r="A449" s="21">
        <v>40949</v>
      </c>
      <c r="B449" s="21">
        <v>40940</v>
      </c>
      <c r="C449" s="17">
        <v>94</v>
      </c>
      <c r="D449" s="17" t="s">
        <v>94</v>
      </c>
      <c r="E449" s="14">
        <v>1312208.04</v>
      </c>
      <c r="F449" s="14">
        <v>1292011.46</v>
      </c>
      <c r="G449" s="14">
        <v>1292011.46</v>
      </c>
      <c r="H449" s="22">
        <f>F449*(1+Assumptions!$B$6+IF(D449="Yes",Assumptions!$C$6,0))</f>
        <v>1330771.8038000001</v>
      </c>
      <c r="I449" s="22">
        <f>F449*(1+Assumptions!$B$7+IF(D449="Yes",Assumptions!$C$7,0))</f>
        <v>1369532.1476</v>
      </c>
      <c r="J449" s="22">
        <f>F449*(1+Assumptions!$B$8+IF(D449="Yes",Assumptions!$C$8,0))</f>
        <v>1292011.46</v>
      </c>
    </row>
    <row r="450" spans="1:10" ht="15">
      <c r="A450" s="21">
        <v>40949</v>
      </c>
      <c r="B450" s="21">
        <v>40940</v>
      </c>
      <c r="C450" s="17">
        <v>95</v>
      </c>
      <c r="D450" s="17" t="s">
        <v>94</v>
      </c>
      <c r="E450" s="14">
        <v>3161814.72</v>
      </c>
      <c r="F450" s="14">
        <v>3079634.68</v>
      </c>
      <c r="G450" s="14">
        <v>3079634.68</v>
      </c>
      <c r="H450" s="22">
        <f>F450*(1+Assumptions!$B$6+IF(D450="Yes",Assumptions!$C$6,0))</f>
        <v>3172023.7204000005</v>
      </c>
      <c r="I450" s="22">
        <f>F450*(1+Assumptions!$B$7+IF(D450="Yes",Assumptions!$C$7,0))</f>
        <v>3264412.7608000003</v>
      </c>
      <c r="J450" s="22">
        <f>F450*(1+Assumptions!$B$8+IF(D450="Yes",Assumptions!$C$8,0))</f>
        <v>3079634.68</v>
      </c>
    </row>
    <row r="451" spans="1:10" ht="15">
      <c r="A451" s="21">
        <v>40949</v>
      </c>
      <c r="B451" s="21">
        <v>40940</v>
      </c>
      <c r="C451" s="17">
        <v>96</v>
      </c>
      <c r="D451" s="17" t="s">
        <v>94</v>
      </c>
      <c r="E451" s="14">
        <v>520181.75</v>
      </c>
      <c r="F451" s="14">
        <v>492868.21</v>
      </c>
      <c r="G451" s="14">
        <v>492868.21</v>
      </c>
      <c r="H451" s="22">
        <f>F451*(1+Assumptions!$B$6+IF(D451="Yes",Assumptions!$C$6,0))</f>
        <v>507654.25630000001</v>
      </c>
      <c r="I451" s="22">
        <f>F451*(1+Assumptions!$B$7+IF(D451="Yes",Assumptions!$C$7,0))</f>
        <v>522440.30260000005</v>
      </c>
      <c r="J451" s="22">
        <f>F451*(1+Assumptions!$B$8+IF(D451="Yes",Assumptions!$C$8,0))</f>
        <v>492868.21</v>
      </c>
    </row>
    <row r="452" spans="1:10" ht="15">
      <c r="A452" s="21">
        <v>40949</v>
      </c>
      <c r="B452" s="21">
        <v>40940</v>
      </c>
      <c r="C452" s="17">
        <v>97</v>
      </c>
      <c r="D452" s="17" t="s">
        <v>94</v>
      </c>
      <c r="E452" s="14">
        <v>661655.11</v>
      </c>
      <c r="F452" s="14">
        <v>631128.28</v>
      </c>
      <c r="G452" s="14">
        <v>631128.28</v>
      </c>
      <c r="H452" s="22">
        <f>F452*(1+Assumptions!$B$6+IF(D452="Yes",Assumptions!$C$6,0))</f>
        <v>650062.12840000005</v>
      </c>
      <c r="I452" s="22">
        <f>F452*(1+Assumptions!$B$7+IF(D452="Yes",Assumptions!$C$7,0))</f>
        <v>668995.97680000006</v>
      </c>
      <c r="J452" s="22">
        <f>F452*(1+Assumptions!$B$8+IF(D452="Yes",Assumptions!$C$8,0))</f>
        <v>631128.28</v>
      </c>
    </row>
    <row r="453" spans="1:10" ht="15">
      <c r="A453" s="21">
        <v>40949</v>
      </c>
      <c r="B453" s="21">
        <v>40940</v>
      </c>
      <c r="C453" s="17">
        <v>98</v>
      </c>
      <c r="D453" s="17" t="s">
        <v>94</v>
      </c>
      <c r="E453" s="14">
        <v>325664.87</v>
      </c>
      <c r="F453" s="14">
        <v>333539.02999999997</v>
      </c>
      <c r="G453" s="14">
        <v>333539.02999999997</v>
      </c>
      <c r="H453" s="22">
        <f>F453*(1+Assumptions!$B$6+IF(D453="Yes",Assumptions!$C$6,0))</f>
        <v>343545.2009</v>
      </c>
      <c r="I453" s="22">
        <f>F453*(1+Assumptions!$B$7+IF(D453="Yes",Assumptions!$C$7,0))</f>
        <v>353551.37179999996</v>
      </c>
      <c r="J453" s="22">
        <f>F453*(1+Assumptions!$B$8+IF(D453="Yes",Assumptions!$C$8,0))</f>
        <v>333539.02999999997</v>
      </c>
    </row>
    <row r="454" spans="1:10" ht="15">
      <c r="A454" s="21">
        <v>40956</v>
      </c>
      <c r="B454" s="21">
        <v>40940</v>
      </c>
      <c r="C454" s="17">
        <v>1</v>
      </c>
      <c r="D454" s="17" t="s">
        <v>91</v>
      </c>
      <c r="E454" s="14">
        <v>1779316.01</v>
      </c>
      <c r="F454" s="14">
        <v>1461194.84</v>
      </c>
      <c r="G454" s="14">
        <v>1461194.84</v>
      </c>
      <c r="H454" s="22">
        <f>F454*(1+Assumptions!$B$6+IF(D454="Yes",Assumptions!$C$6,0))</f>
        <v>1505030.6852000002</v>
      </c>
      <c r="I454" s="22">
        <f>F454*(1+Assumptions!$B$7+IF(D454="Yes",Assumptions!$C$7,0))</f>
        <v>1534254.5820000002</v>
      </c>
      <c r="J454" s="22">
        <f>F454*(1+Assumptions!$B$8+IF(D454="Yes",Assumptions!$C$8,0))</f>
        <v>1475806.7884000002</v>
      </c>
    </row>
    <row r="455" spans="1:10" ht="15">
      <c r="A455" s="21">
        <v>40956</v>
      </c>
      <c r="B455" s="21">
        <v>40940</v>
      </c>
      <c r="C455" s="17">
        <v>2</v>
      </c>
      <c r="D455" s="17" t="s">
        <v>91</v>
      </c>
      <c r="E455" s="14">
        <v>1976676.22</v>
      </c>
      <c r="F455" s="14">
        <v>1995935.46</v>
      </c>
      <c r="G455" s="14">
        <v>1995935.46</v>
      </c>
      <c r="H455" s="22">
        <f>F455*(1+Assumptions!$B$6+IF(D455="Yes",Assumptions!$C$6,0))</f>
        <v>2055813.5238000001</v>
      </c>
      <c r="I455" s="22">
        <f>F455*(1+Assumptions!$B$7+IF(D455="Yes",Assumptions!$C$7,0))</f>
        <v>2095732.233</v>
      </c>
      <c r="J455" s="22">
        <f>F455*(1+Assumptions!$B$8+IF(D455="Yes",Assumptions!$C$8,0))</f>
        <v>2015894.8145999999</v>
      </c>
    </row>
    <row r="456" spans="1:10" ht="15">
      <c r="A456" s="21">
        <v>40956</v>
      </c>
      <c r="B456" s="21">
        <v>40940</v>
      </c>
      <c r="C456" s="17">
        <v>3</v>
      </c>
      <c r="D456" s="17" t="s">
        <v>91</v>
      </c>
      <c r="E456" s="14">
        <v>429306.38</v>
      </c>
      <c r="F456" s="14">
        <v>406189.5</v>
      </c>
      <c r="G456" s="14">
        <v>406189.5</v>
      </c>
      <c r="H456" s="22">
        <f>F456*(1+Assumptions!$B$6+IF(D456="Yes",Assumptions!$C$6,0))</f>
        <v>418375.185</v>
      </c>
      <c r="I456" s="22">
        <f>F456*(1+Assumptions!$B$7+IF(D456="Yes",Assumptions!$C$7,0))</f>
        <v>426498.97500000003</v>
      </c>
      <c r="J456" s="22">
        <f>F456*(1+Assumptions!$B$8+IF(D456="Yes",Assumptions!$C$8,0))</f>
        <v>410251.39500000002</v>
      </c>
    </row>
    <row r="457" spans="1:10" ht="15">
      <c r="A457" s="21">
        <v>40956</v>
      </c>
      <c r="B457" s="21">
        <v>40940</v>
      </c>
      <c r="C457" s="17">
        <v>4</v>
      </c>
      <c r="D457" s="17" t="s">
        <v>91</v>
      </c>
      <c r="E457" s="14">
        <v>1130725.6300000001</v>
      </c>
      <c r="F457" s="14">
        <v>1119242.8999999999</v>
      </c>
      <c r="G457" s="14">
        <v>1119242.8999999999</v>
      </c>
      <c r="H457" s="22">
        <f>F457*(1+Assumptions!$B$6+IF(D457="Yes",Assumptions!$C$6,0))</f>
        <v>1152820.1869999999</v>
      </c>
      <c r="I457" s="22">
        <f>F457*(1+Assumptions!$B$7+IF(D457="Yes",Assumptions!$C$7,0))</f>
        <v>1175205.0449999999</v>
      </c>
      <c r="J457" s="22">
        <f>F457*(1+Assumptions!$B$8+IF(D457="Yes",Assumptions!$C$8,0))</f>
        <v>1130435.3289999999</v>
      </c>
    </row>
    <row r="458" spans="1:10" ht="15">
      <c r="A458" s="21">
        <v>40956</v>
      </c>
      <c r="B458" s="21">
        <v>40940</v>
      </c>
      <c r="C458" s="17">
        <v>5</v>
      </c>
      <c r="D458" s="17" t="s">
        <v>91</v>
      </c>
      <c r="E458" s="14">
        <v>1449480.57</v>
      </c>
      <c r="F458" s="14">
        <v>1082621.93</v>
      </c>
      <c r="G458" s="14">
        <v>1082621.93</v>
      </c>
      <c r="H458" s="22">
        <f>F458*(1+Assumptions!$B$6+IF(D458="Yes",Assumptions!$C$6,0))</f>
        <v>1115100.5878999999</v>
      </c>
      <c r="I458" s="22">
        <f>F458*(1+Assumptions!$B$7+IF(D458="Yes",Assumptions!$C$7,0))</f>
        <v>1136753.0264999999</v>
      </c>
      <c r="J458" s="22">
        <f>F458*(1+Assumptions!$B$8+IF(D458="Yes",Assumptions!$C$8,0))</f>
        <v>1093448.1492999999</v>
      </c>
    </row>
    <row r="459" spans="1:10" ht="15">
      <c r="A459" s="21">
        <v>40956</v>
      </c>
      <c r="B459" s="21">
        <v>40940</v>
      </c>
      <c r="C459" s="17">
        <v>6</v>
      </c>
      <c r="D459" s="17" t="s">
        <v>91</v>
      </c>
      <c r="E459" s="14">
        <v>168276.51</v>
      </c>
      <c r="F459" s="14">
        <v>189277.99</v>
      </c>
      <c r="G459" s="14">
        <v>189277.99</v>
      </c>
      <c r="H459" s="22">
        <f>F459*(1+Assumptions!$B$6+IF(D459="Yes",Assumptions!$C$6,0))</f>
        <v>194956.3297</v>
      </c>
      <c r="I459" s="22">
        <f>F459*(1+Assumptions!$B$7+IF(D459="Yes",Assumptions!$C$7,0))</f>
        <v>198741.88949999999</v>
      </c>
      <c r="J459" s="22">
        <f>F459*(1+Assumptions!$B$8+IF(D459="Yes",Assumptions!$C$8,0))</f>
        <v>191170.76989999998</v>
      </c>
    </row>
    <row r="460" spans="1:10" ht="15">
      <c r="A460" s="21">
        <v>40956</v>
      </c>
      <c r="B460" s="21">
        <v>40940</v>
      </c>
      <c r="C460" s="17">
        <v>7</v>
      </c>
      <c r="D460" s="17" t="s">
        <v>91</v>
      </c>
      <c r="E460" s="14">
        <v>776809.29</v>
      </c>
      <c r="F460" s="14">
        <v>820553.94</v>
      </c>
      <c r="G460" s="14">
        <v>820553.94</v>
      </c>
      <c r="H460" s="22">
        <f>F460*(1+Assumptions!$B$6+IF(D460="Yes",Assumptions!$C$6,0))</f>
        <v>845170.55819999997</v>
      </c>
      <c r="I460" s="22">
        <f>F460*(1+Assumptions!$B$7+IF(D460="Yes",Assumptions!$C$7,0))</f>
        <v>861581.63699999999</v>
      </c>
      <c r="J460" s="22">
        <f>F460*(1+Assumptions!$B$8+IF(D460="Yes",Assumptions!$C$8,0))</f>
        <v>828759.47939999995</v>
      </c>
    </row>
    <row r="461" spans="1:10" ht="15">
      <c r="A461" s="21">
        <v>40956</v>
      </c>
      <c r="B461" s="21">
        <v>40940</v>
      </c>
      <c r="C461" s="17">
        <v>8</v>
      </c>
      <c r="D461" s="17" t="s">
        <v>91</v>
      </c>
      <c r="E461" s="14">
        <v>1364216.22</v>
      </c>
      <c r="F461" s="14">
        <v>1369308.75</v>
      </c>
      <c r="G461" s="14">
        <v>1369308.75</v>
      </c>
      <c r="H461" s="22">
        <f>F461*(1+Assumptions!$B$6+IF(D461="Yes",Assumptions!$C$6,0))</f>
        <v>1410388.0125</v>
      </c>
      <c r="I461" s="22">
        <f>F461*(1+Assumptions!$B$7+IF(D461="Yes",Assumptions!$C$7,0))</f>
        <v>1437774.1875</v>
      </c>
      <c r="J461" s="22">
        <f>F461*(1+Assumptions!$B$8+IF(D461="Yes",Assumptions!$C$8,0))</f>
        <v>1383001.8374999999</v>
      </c>
    </row>
    <row r="462" spans="1:10" ht="15">
      <c r="A462" s="21">
        <v>40956</v>
      </c>
      <c r="B462" s="21">
        <v>40940</v>
      </c>
      <c r="C462" s="17">
        <v>9</v>
      </c>
      <c r="D462" s="17" t="s">
        <v>91</v>
      </c>
      <c r="E462" s="14">
        <v>614811.03</v>
      </c>
      <c r="F462" s="14">
        <v>589708.59</v>
      </c>
      <c r="G462" s="14">
        <v>589708.59</v>
      </c>
      <c r="H462" s="22">
        <f>F462*(1+Assumptions!$B$6+IF(D462="Yes",Assumptions!$C$6,0))</f>
        <v>607399.84769999993</v>
      </c>
      <c r="I462" s="22">
        <f>F462*(1+Assumptions!$B$7+IF(D462="Yes",Assumptions!$C$7,0))</f>
        <v>619194.01949999994</v>
      </c>
      <c r="J462" s="22">
        <f>F462*(1+Assumptions!$B$8+IF(D462="Yes",Assumptions!$C$8,0))</f>
        <v>595605.67589999991</v>
      </c>
    </row>
    <row r="463" spans="1:10" ht="15">
      <c r="A463" s="21">
        <v>40956</v>
      </c>
      <c r="B463" s="21">
        <v>40940</v>
      </c>
      <c r="C463" s="17">
        <v>10</v>
      </c>
      <c r="D463" s="17" t="s">
        <v>91</v>
      </c>
      <c r="E463" s="14">
        <v>819120.9</v>
      </c>
      <c r="F463" s="14">
        <v>818762.05999999994</v>
      </c>
      <c r="G463" s="14">
        <v>818762.05999999994</v>
      </c>
      <c r="H463" s="22">
        <f>F463*(1+Assumptions!$B$6+IF(D463="Yes",Assumptions!$C$6,0))</f>
        <v>843324.92180000001</v>
      </c>
      <c r="I463" s="22">
        <f>F463*(1+Assumptions!$B$7+IF(D463="Yes",Assumptions!$C$7,0))</f>
        <v>859700.16299999994</v>
      </c>
      <c r="J463" s="22">
        <f>F463*(1+Assumptions!$B$8+IF(D463="Yes",Assumptions!$C$8,0))</f>
        <v>826949.68059999996</v>
      </c>
    </row>
    <row r="464" spans="1:10" ht="15">
      <c r="A464" s="21">
        <v>40956</v>
      </c>
      <c r="B464" s="21">
        <v>40940</v>
      </c>
      <c r="C464" s="17">
        <v>11</v>
      </c>
      <c r="D464" s="17" t="s">
        <v>91</v>
      </c>
      <c r="E464" s="14">
        <v>573275.11</v>
      </c>
      <c r="F464" s="14">
        <v>513511.31</v>
      </c>
      <c r="G464" s="14">
        <v>513511.31</v>
      </c>
      <c r="H464" s="22">
        <f>F464*(1+Assumptions!$B$6+IF(D464="Yes",Assumptions!$C$6,0))</f>
        <v>528916.64930000005</v>
      </c>
      <c r="I464" s="22">
        <f>F464*(1+Assumptions!$B$7+IF(D464="Yes",Assumptions!$C$7,0))</f>
        <v>539186.87549999997</v>
      </c>
      <c r="J464" s="22">
        <f>F464*(1+Assumptions!$B$8+IF(D464="Yes",Assumptions!$C$8,0))</f>
        <v>518646.42310000001</v>
      </c>
    </row>
    <row r="465" spans="1:10" ht="15">
      <c r="A465" s="21">
        <v>40956</v>
      </c>
      <c r="B465" s="21">
        <v>40940</v>
      </c>
      <c r="C465" s="17">
        <v>12</v>
      </c>
      <c r="D465" s="17" t="s">
        <v>91</v>
      </c>
      <c r="E465" s="14">
        <v>154905.43</v>
      </c>
      <c r="F465" s="14">
        <v>161288.68</v>
      </c>
      <c r="G465" s="14">
        <v>161288.68</v>
      </c>
      <c r="H465" s="22">
        <f>F465*(1+Assumptions!$B$6+IF(D465="Yes",Assumptions!$C$6,0))</f>
        <v>166127.34039999999</v>
      </c>
      <c r="I465" s="22">
        <f>F465*(1+Assumptions!$B$7+IF(D465="Yes",Assumptions!$C$7,0))</f>
        <v>169353.114</v>
      </c>
      <c r="J465" s="22">
        <f>F465*(1+Assumptions!$B$8+IF(D465="Yes",Assumptions!$C$8,0))</f>
        <v>162901.5668</v>
      </c>
    </row>
    <row r="466" spans="1:10" ht="15">
      <c r="A466" s="21">
        <v>40956</v>
      </c>
      <c r="B466" s="21">
        <v>40940</v>
      </c>
      <c r="C466" s="17">
        <v>13</v>
      </c>
      <c r="D466" s="17" t="s">
        <v>91</v>
      </c>
      <c r="E466" s="14">
        <v>1323643.8400000001</v>
      </c>
      <c r="F466" s="14">
        <v>1396695.68</v>
      </c>
      <c r="G466" s="14">
        <v>1396695.68</v>
      </c>
      <c r="H466" s="22">
        <f>F466*(1+Assumptions!$B$6+IF(D466="Yes",Assumptions!$C$6,0))</f>
        <v>1438596.5504000001</v>
      </c>
      <c r="I466" s="22">
        <f>F466*(1+Assumptions!$B$7+IF(D466="Yes",Assumptions!$C$7,0))</f>
        <v>1466530.4639999999</v>
      </c>
      <c r="J466" s="22">
        <f>F466*(1+Assumptions!$B$8+IF(D466="Yes",Assumptions!$C$8,0))</f>
        <v>1410662.6368</v>
      </c>
    </row>
    <row r="467" spans="1:10" ht="15">
      <c r="A467" s="21">
        <v>40956</v>
      </c>
      <c r="B467" s="21">
        <v>40940</v>
      </c>
      <c r="C467" s="17">
        <v>14</v>
      </c>
      <c r="D467" s="17" t="s">
        <v>91</v>
      </c>
      <c r="E467" s="14">
        <v>693978.95</v>
      </c>
      <c r="F467" s="14">
        <v>690691.18</v>
      </c>
      <c r="G467" s="14">
        <v>690691.18</v>
      </c>
      <c r="H467" s="22">
        <f>F467*(1+Assumptions!$B$6+IF(D467="Yes",Assumptions!$C$6,0))</f>
        <v>711411.91540000006</v>
      </c>
      <c r="I467" s="22">
        <f>F467*(1+Assumptions!$B$7+IF(D467="Yes",Assumptions!$C$7,0))</f>
        <v>725225.73900000006</v>
      </c>
      <c r="J467" s="22">
        <f>F467*(1+Assumptions!$B$8+IF(D467="Yes",Assumptions!$C$8,0))</f>
        <v>697598.09180000005</v>
      </c>
    </row>
    <row r="468" spans="1:10" ht="15">
      <c r="A468" s="21">
        <v>40956</v>
      </c>
      <c r="B468" s="21">
        <v>40940</v>
      </c>
      <c r="C468" s="17">
        <v>16</v>
      </c>
      <c r="D468" s="17" t="s">
        <v>91</v>
      </c>
      <c r="E468" s="14">
        <v>220205.57</v>
      </c>
      <c r="F468" s="14">
        <v>258733.80000000002</v>
      </c>
      <c r="G468" s="14">
        <v>258733.80000000002</v>
      </c>
      <c r="H468" s="22">
        <f>F468*(1+Assumptions!$B$6+IF(D468="Yes",Assumptions!$C$6,0))</f>
        <v>266495.81400000001</v>
      </c>
      <c r="I468" s="22">
        <f>F468*(1+Assumptions!$B$7+IF(D468="Yes",Assumptions!$C$7,0))</f>
        <v>271670.49000000005</v>
      </c>
      <c r="J468" s="22">
        <f>F468*(1+Assumptions!$B$8+IF(D468="Yes",Assumptions!$C$8,0))</f>
        <v>261321.13800000001</v>
      </c>
    </row>
    <row r="469" spans="1:10" ht="15">
      <c r="A469" s="21">
        <v>40956</v>
      </c>
      <c r="B469" s="21">
        <v>40940</v>
      </c>
      <c r="C469" s="17">
        <v>17</v>
      </c>
      <c r="D469" s="17" t="s">
        <v>91</v>
      </c>
      <c r="E469" s="14">
        <v>491612.77</v>
      </c>
      <c r="F469" s="14">
        <v>507283.20000000001</v>
      </c>
      <c r="G469" s="14">
        <v>507283.20000000001</v>
      </c>
      <c r="H469" s="22">
        <f>F469*(1+Assumptions!$B$6+IF(D469="Yes",Assumptions!$C$6,0))</f>
        <v>522501.69600000005</v>
      </c>
      <c r="I469" s="22">
        <f>F469*(1+Assumptions!$B$7+IF(D469="Yes",Assumptions!$C$7,0))</f>
        <v>532647.36</v>
      </c>
      <c r="J469" s="22">
        <f>F469*(1+Assumptions!$B$8+IF(D469="Yes",Assumptions!$C$8,0))</f>
        <v>512356.03200000001</v>
      </c>
    </row>
    <row r="470" spans="1:10" ht="15">
      <c r="A470" s="21">
        <v>40956</v>
      </c>
      <c r="B470" s="21">
        <v>40940</v>
      </c>
      <c r="C470" s="17">
        <v>18</v>
      </c>
      <c r="D470" s="17" t="s">
        <v>91</v>
      </c>
      <c r="E470" s="14">
        <v>613345.49</v>
      </c>
      <c r="F470" s="14">
        <v>526577.81000000006</v>
      </c>
      <c r="G470" s="14">
        <v>526577.81000000006</v>
      </c>
      <c r="H470" s="22">
        <f>F470*(1+Assumptions!$B$6+IF(D470="Yes",Assumptions!$C$6,0))</f>
        <v>542375.14430000004</v>
      </c>
      <c r="I470" s="22">
        <f>F470*(1+Assumptions!$B$7+IF(D470="Yes",Assumptions!$C$7,0))</f>
        <v>552906.70050000004</v>
      </c>
      <c r="J470" s="22">
        <f>F470*(1+Assumptions!$B$8+IF(D470="Yes",Assumptions!$C$8,0))</f>
        <v>531843.58810000005</v>
      </c>
    </row>
    <row r="471" spans="1:10" ht="15">
      <c r="A471" s="21">
        <v>40956</v>
      </c>
      <c r="B471" s="21">
        <v>40940</v>
      </c>
      <c r="C471" s="17">
        <v>19</v>
      </c>
      <c r="D471" s="17" t="s">
        <v>91</v>
      </c>
      <c r="E471" s="14">
        <v>42000.61</v>
      </c>
      <c r="F471" s="14">
        <v>49272.23</v>
      </c>
      <c r="G471" s="14">
        <v>49272.23</v>
      </c>
      <c r="H471" s="22">
        <f>F471*(1+Assumptions!$B$6+IF(D471="Yes",Assumptions!$C$6,0))</f>
        <v>50750.396900000007</v>
      </c>
      <c r="I471" s="22">
        <f>F471*(1+Assumptions!$B$7+IF(D471="Yes",Assumptions!$C$7,0))</f>
        <v>51735.841500000002</v>
      </c>
      <c r="J471" s="22">
        <f>F471*(1+Assumptions!$B$8+IF(D471="Yes",Assumptions!$C$8,0))</f>
        <v>49764.952300000004</v>
      </c>
    </row>
    <row r="472" spans="1:10" ht="15">
      <c r="A472" s="21">
        <v>40956</v>
      </c>
      <c r="B472" s="21">
        <v>40940</v>
      </c>
      <c r="C472" s="17">
        <v>20</v>
      </c>
      <c r="D472" s="17" t="s">
        <v>91</v>
      </c>
      <c r="E472" s="14">
        <v>225183.01</v>
      </c>
      <c r="F472" s="14">
        <v>232093.66</v>
      </c>
      <c r="G472" s="14">
        <v>232093.66</v>
      </c>
      <c r="H472" s="22">
        <f>F472*(1+Assumptions!$B$6+IF(D472="Yes",Assumptions!$C$6,0))</f>
        <v>239056.46980000002</v>
      </c>
      <c r="I472" s="22">
        <f>F472*(1+Assumptions!$B$7+IF(D472="Yes",Assumptions!$C$7,0))</f>
        <v>243698.34300000002</v>
      </c>
      <c r="J472" s="22">
        <f>F472*(1+Assumptions!$B$8+IF(D472="Yes",Assumptions!$C$8,0))</f>
        <v>234414.59660000002</v>
      </c>
    </row>
    <row r="473" spans="1:10" ht="15">
      <c r="A473" s="21">
        <v>40956</v>
      </c>
      <c r="B473" s="21">
        <v>40940</v>
      </c>
      <c r="C473" s="17">
        <v>21</v>
      </c>
      <c r="D473" s="17" t="s">
        <v>91</v>
      </c>
      <c r="E473" s="14">
        <v>220269.71</v>
      </c>
      <c r="F473" s="14">
        <v>228281.53</v>
      </c>
      <c r="G473" s="14">
        <v>228281.53</v>
      </c>
      <c r="H473" s="22">
        <f>F473*(1+Assumptions!$B$6+IF(D473="Yes",Assumptions!$C$6,0))</f>
        <v>235129.97589999999</v>
      </c>
      <c r="I473" s="22">
        <f>F473*(1+Assumptions!$B$7+IF(D473="Yes",Assumptions!$C$7,0))</f>
        <v>239695.60649999999</v>
      </c>
      <c r="J473" s="22">
        <f>F473*(1+Assumptions!$B$8+IF(D473="Yes",Assumptions!$C$8,0))</f>
        <v>230564.34529999999</v>
      </c>
    </row>
    <row r="474" spans="1:10" ht="15">
      <c r="A474" s="21">
        <v>40956</v>
      </c>
      <c r="B474" s="21">
        <v>40940</v>
      </c>
      <c r="C474" s="17">
        <v>22</v>
      </c>
      <c r="D474" s="17" t="s">
        <v>91</v>
      </c>
      <c r="E474" s="14">
        <v>519517.46</v>
      </c>
      <c r="F474" s="14">
        <v>516649.56</v>
      </c>
      <c r="G474" s="14">
        <v>516649.56</v>
      </c>
      <c r="H474" s="22">
        <f>F474*(1+Assumptions!$B$6+IF(D474="Yes",Assumptions!$C$6,0))</f>
        <v>532149.04680000001</v>
      </c>
      <c r="I474" s="22">
        <f>F474*(1+Assumptions!$B$7+IF(D474="Yes",Assumptions!$C$7,0))</f>
        <v>542482.03800000006</v>
      </c>
      <c r="J474" s="22">
        <f>F474*(1+Assumptions!$B$8+IF(D474="Yes",Assumptions!$C$8,0))</f>
        <v>521816.05560000002</v>
      </c>
    </row>
    <row r="475" spans="1:10" ht="15">
      <c r="A475" s="21">
        <v>40956</v>
      </c>
      <c r="B475" s="21">
        <v>40940</v>
      </c>
      <c r="C475" s="17">
        <v>23</v>
      </c>
      <c r="D475" s="17" t="s">
        <v>91</v>
      </c>
      <c r="E475" s="14">
        <v>938153.31</v>
      </c>
      <c r="F475" s="14">
        <v>900664.56</v>
      </c>
      <c r="G475" s="14">
        <v>900664.56</v>
      </c>
      <c r="H475" s="22">
        <f>F475*(1+Assumptions!$B$6+IF(D475="Yes",Assumptions!$C$6,0))</f>
        <v>927684.49680000008</v>
      </c>
      <c r="I475" s="22">
        <f>F475*(1+Assumptions!$B$7+IF(D475="Yes",Assumptions!$C$7,0))</f>
        <v>945697.78800000006</v>
      </c>
      <c r="J475" s="22">
        <f>F475*(1+Assumptions!$B$8+IF(D475="Yes",Assumptions!$C$8,0))</f>
        <v>909671.2056000001</v>
      </c>
    </row>
    <row r="476" spans="1:10" ht="15">
      <c r="A476" s="21">
        <v>40956</v>
      </c>
      <c r="B476" s="21">
        <v>40940</v>
      </c>
      <c r="C476" s="17">
        <v>24</v>
      </c>
      <c r="D476" s="17" t="s">
        <v>91</v>
      </c>
      <c r="E476" s="14">
        <v>221649.42</v>
      </c>
      <c r="F476" s="14">
        <v>220708.05</v>
      </c>
      <c r="G476" s="14">
        <v>220708.05</v>
      </c>
      <c r="H476" s="22">
        <f>F476*(1+Assumptions!$B$6+IF(D476="Yes",Assumptions!$C$6,0))</f>
        <v>227329.29149999999</v>
      </c>
      <c r="I476" s="22">
        <f>F476*(1+Assumptions!$B$7+IF(D476="Yes",Assumptions!$C$7,0))</f>
        <v>231743.45249999998</v>
      </c>
      <c r="J476" s="22">
        <f>F476*(1+Assumptions!$B$8+IF(D476="Yes",Assumptions!$C$8,0))</f>
        <v>222915.1305</v>
      </c>
    </row>
    <row r="477" spans="1:10" ht="15">
      <c r="A477" s="21">
        <v>40956</v>
      </c>
      <c r="B477" s="21">
        <v>40940</v>
      </c>
      <c r="C477" s="17">
        <v>25</v>
      </c>
      <c r="D477" s="17" t="s">
        <v>91</v>
      </c>
      <c r="E477" s="14">
        <v>363183.77</v>
      </c>
      <c r="F477" s="14">
        <v>363713.77999999997</v>
      </c>
      <c r="G477" s="14">
        <v>363713.77999999997</v>
      </c>
      <c r="H477" s="22">
        <f>F477*(1+Assumptions!$B$6+IF(D477="Yes",Assumptions!$C$6,0))</f>
        <v>374625.19339999999</v>
      </c>
      <c r="I477" s="22">
        <f>F477*(1+Assumptions!$B$7+IF(D477="Yes",Assumptions!$C$7,0))</f>
        <v>381899.46899999998</v>
      </c>
      <c r="J477" s="22">
        <f>F477*(1+Assumptions!$B$8+IF(D477="Yes",Assumptions!$C$8,0))</f>
        <v>367350.9178</v>
      </c>
    </row>
    <row r="478" spans="1:10" ht="15">
      <c r="A478" s="21">
        <v>40956</v>
      </c>
      <c r="B478" s="21">
        <v>40940</v>
      </c>
      <c r="C478" s="17">
        <v>26</v>
      </c>
      <c r="D478" s="17" t="s">
        <v>91</v>
      </c>
      <c r="E478" s="14">
        <v>315953.62</v>
      </c>
      <c r="F478" s="14">
        <v>334214.32</v>
      </c>
      <c r="G478" s="14">
        <v>334214.32</v>
      </c>
      <c r="H478" s="22">
        <f>F478*(1+Assumptions!$B$6+IF(D478="Yes",Assumptions!$C$6,0))</f>
        <v>344240.74960000004</v>
      </c>
      <c r="I478" s="22">
        <f>F478*(1+Assumptions!$B$7+IF(D478="Yes",Assumptions!$C$7,0))</f>
        <v>350925.03600000002</v>
      </c>
      <c r="J478" s="22">
        <f>F478*(1+Assumptions!$B$8+IF(D478="Yes",Assumptions!$C$8,0))</f>
        <v>337556.4632</v>
      </c>
    </row>
    <row r="479" spans="1:10" ht="15">
      <c r="A479" s="21">
        <v>40956</v>
      </c>
      <c r="B479" s="21">
        <v>40940</v>
      </c>
      <c r="C479" s="17">
        <v>27</v>
      </c>
      <c r="D479" s="17" t="s">
        <v>91</v>
      </c>
      <c r="E479" s="14">
        <v>77768.7</v>
      </c>
      <c r="F479" s="14">
        <v>76216.94</v>
      </c>
      <c r="G479" s="14">
        <v>76216.94</v>
      </c>
      <c r="H479" s="22">
        <f>F479*(1+Assumptions!$B$6+IF(D479="Yes",Assumptions!$C$6,0))</f>
        <v>78503.448199999999</v>
      </c>
      <c r="I479" s="22">
        <f>F479*(1+Assumptions!$B$7+IF(D479="Yes",Assumptions!$C$7,0))</f>
        <v>80027.787000000011</v>
      </c>
      <c r="J479" s="22">
        <f>F479*(1+Assumptions!$B$8+IF(D479="Yes",Assumptions!$C$8,0))</f>
        <v>76979.109400000001</v>
      </c>
    </row>
    <row r="480" spans="1:10" ht="15">
      <c r="A480" s="21">
        <v>40956</v>
      </c>
      <c r="B480" s="21">
        <v>40940</v>
      </c>
      <c r="C480" s="17">
        <v>28</v>
      </c>
      <c r="D480" s="17" t="s">
        <v>91</v>
      </c>
      <c r="E480" s="14">
        <v>30428.11</v>
      </c>
      <c r="F480" s="14">
        <v>33108.019999999997</v>
      </c>
      <c r="G480" s="14">
        <v>33108.019999999997</v>
      </c>
      <c r="H480" s="22">
        <f>F480*(1+Assumptions!$B$6+IF(D480="Yes",Assumptions!$C$6,0))</f>
        <v>34101.260599999994</v>
      </c>
      <c r="I480" s="22">
        <f>F480*(1+Assumptions!$B$7+IF(D480="Yes",Assumptions!$C$7,0))</f>
        <v>34763.420999999995</v>
      </c>
      <c r="J480" s="22">
        <f>F480*(1+Assumptions!$B$8+IF(D480="Yes",Assumptions!$C$8,0))</f>
        <v>33439.100199999993</v>
      </c>
    </row>
    <row r="481" spans="1:10" ht="15">
      <c r="A481" s="21">
        <v>40956</v>
      </c>
      <c r="B481" s="21">
        <v>40940</v>
      </c>
      <c r="C481" s="17">
        <v>29</v>
      </c>
      <c r="D481" s="17" t="s">
        <v>91</v>
      </c>
      <c r="E481" s="14">
        <v>261199.34</v>
      </c>
      <c r="F481" s="14">
        <v>270556.65999999997</v>
      </c>
      <c r="G481" s="14">
        <v>270556.65999999997</v>
      </c>
      <c r="H481" s="22">
        <f>F481*(1+Assumptions!$B$6+IF(D481="Yes",Assumptions!$C$6,0))</f>
        <v>278673.35979999998</v>
      </c>
      <c r="I481" s="22">
        <f>F481*(1+Assumptions!$B$7+IF(D481="Yes",Assumptions!$C$7,0))</f>
        <v>284084.49299999996</v>
      </c>
      <c r="J481" s="22">
        <f>F481*(1+Assumptions!$B$8+IF(D481="Yes",Assumptions!$C$8,0))</f>
        <v>273262.22659999999</v>
      </c>
    </row>
    <row r="482" spans="1:10" ht="15">
      <c r="A482" s="21">
        <v>40956</v>
      </c>
      <c r="B482" s="21">
        <v>40940</v>
      </c>
      <c r="C482" s="17">
        <v>30</v>
      </c>
      <c r="D482" s="17" t="s">
        <v>91</v>
      </c>
      <c r="E482" s="14">
        <v>149973.37</v>
      </c>
      <c r="F482" s="14">
        <v>184265.26</v>
      </c>
      <c r="G482" s="14">
        <v>184265.26</v>
      </c>
      <c r="H482" s="22">
        <f>F482*(1+Assumptions!$B$6+IF(D482="Yes",Assumptions!$C$6,0))</f>
        <v>189793.21780000001</v>
      </c>
      <c r="I482" s="22">
        <f>F482*(1+Assumptions!$B$7+IF(D482="Yes",Assumptions!$C$7,0))</f>
        <v>193478.52300000002</v>
      </c>
      <c r="J482" s="22">
        <f>F482*(1+Assumptions!$B$8+IF(D482="Yes",Assumptions!$C$8,0))</f>
        <v>186107.91260000001</v>
      </c>
    </row>
    <row r="483" spans="1:10" ht="15">
      <c r="A483" s="21">
        <v>40956</v>
      </c>
      <c r="B483" s="21">
        <v>40940</v>
      </c>
      <c r="C483" s="17">
        <v>31</v>
      </c>
      <c r="D483" s="17" t="s">
        <v>91</v>
      </c>
      <c r="E483" s="14">
        <v>81369.67</v>
      </c>
      <c r="F483" s="14">
        <v>82541.009999999995</v>
      </c>
      <c r="G483" s="14">
        <v>82541.009999999995</v>
      </c>
      <c r="H483" s="22">
        <f>F483*(1+Assumptions!$B$6+IF(D483="Yes",Assumptions!$C$6,0))</f>
        <v>85017.24029999999</v>
      </c>
      <c r="I483" s="22">
        <f>F483*(1+Assumptions!$B$7+IF(D483="Yes",Assumptions!$C$7,0))</f>
        <v>86668.060499999992</v>
      </c>
      <c r="J483" s="22">
        <f>F483*(1+Assumptions!$B$8+IF(D483="Yes",Assumptions!$C$8,0))</f>
        <v>83366.420099999988</v>
      </c>
    </row>
    <row r="484" spans="1:10" ht="15">
      <c r="A484" s="21">
        <v>40956</v>
      </c>
      <c r="B484" s="21">
        <v>40940</v>
      </c>
      <c r="C484" s="17">
        <v>32</v>
      </c>
      <c r="D484" s="17" t="s">
        <v>91</v>
      </c>
      <c r="E484" s="14">
        <v>559312.88</v>
      </c>
      <c r="F484" s="14">
        <v>576215.22</v>
      </c>
      <c r="G484" s="14">
        <v>576215.22</v>
      </c>
      <c r="H484" s="22">
        <f>F484*(1+Assumptions!$B$6+IF(D484="Yes",Assumptions!$C$6,0))</f>
        <v>593501.67660000001</v>
      </c>
      <c r="I484" s="22">
        <f>F484*(1+Assumptions!$B$7+IF(D484="Yes",Assumptions!$C$7,0))</f>
        <v>605025.98100000003</v>
      </c>
      <c r="J484" s="22">
        <f>F484*(1+Assumptions!$B$8+IF(D484="Yes",Assumptions!$C$8,0))</f>
        <v>581977.37219999998</v>
      </c>
    </row>
    <row r="485" spans="1:10" ht="15">
      <c r="A485" s="21">
        <v>40956</v>
      </c>
      <c r="B485" s="21">
        <v>40940</v>
      </c>
      <c r="C485" s="17">
        <v>33</v>
      </c>
      <c r="D485" s="17" t="s">
        <v>91</v>
      </c>
      <c r="E485" s="14">
        <v>227294.56</v>
      </c>
      <c r="F485" s="14">
        <v>248461.36000000002</v>
      </c>
      <c r="G485" s="14">
        <v>248461.36000000002</v>
      </c>
      <c r="H485" s="22">
        <f>F485*(1+Assumptions!$B$6+IF(D485="Yes",Assumptions!$C$6,0))</f>
        <v>255915.20080000002</v>
      </c>
      <c r="I485" s="22">
        <f>F485*(1+Assumptions!$B$7+IF(D485="Yes",Assumptions!$C$7,0))</f>
        <v>260884.42800000001</v>
      </c>
      <c r="J485" s="22">
        <f>F485*(1+Assumptions!$B$8+IF(D485="Yes",Assumptions!$C$8,0))</f>
        <v>250945.97360000003</v>
      </c>
    </row>
    <row r="486" spans="1:10" ht="15">
      <c r="A486" s="21">
        <v>40956</v>
      </c>
      <c r="B486" s="21">
        <v>40940</v>
      </c>
      <c r="C486" s="17">
        <v>34</v>
      </c>
      <c r="D486" s="17" t="s">
        <v>91</v>
      </c>
      <c r="E486" s="14">
        <v>555919.87</v>
      </c>
      <c r="F486" s="14">
        <v>567497.65</v>
      </c>
      <c r="G486" s="14">
        <v>567497.65</v>
      </c>
      <c r="H486" s="22">
        <f>F486*(1+Assumptions!$B$6+IF(D486="Yes",Assumptions!$C$6,0))</f>
        <v>584522.57949999999</v>
      </c>
      <c r="I486" s="22">
        <f>F486*(1+Assumptions!$B$7+IF(D486="Yes",Assumptions!$C$7,0))</f>
        <v>595872.53250000009</v>
      </c>
      <c r="J486" s="22">
        <f>F486*(1+Assumptions!$B$8+IF(D486="Yes",Assumptions!$C$8,0))</f>
        <v>573172.62650000001</v>
      </c>
    </row>
    <row r="487" spans="1:10" ht="15">
      <c r="A487" s="21">
        <v>40956</v>
      </c>
      <c r="B487" s="21">
        <v>40940</v>
      </c>
      <c r="C487" s="17">
        <v>35</v>
      </c>
      <c r="D487" s="17" t="s">
        <v>91</v>
      </c>
      <c r="E487" s="14">
        <v>108217.15</v>
      </c>
      <c r="F487" s="14">
        <v>110134.98</v>
      </c>
      <c r="G487" s="14">
        <v>110134.98</v>
      </c>
      <c r="H487" s="22">
        <f>F487*(1+Assumptions!$B$6+IF(D487="Yes",Assumptions!$C$6,0))</f>
        <v>113439.0294</v>
      </c>
      <c r="I487" s="22">
        <f>F487*(1+Assumptions!$B$7+IF(D487="Yes",Assumptions!$C$7,0))</f>
        <v>115641.72900000001</v>
      </c>
      <c r="J487" s="22">
        <f>F487*(1+Assumptions!$B$8+IF(D487="Yes",Assumptions!$C$8,0))</f>
        <v>111236.32979999999</v>
      </c>
    </row>
    <row r="488" spans="1:10" ht="15">
      <c r="A488" s="21">
        <v>40956</v>
      </c>
      <c r="B488" s="21">
        <v>40940</v>
      </c>
      <c r="C488" s="17">
        <v>36</v>
      </c>
      <c r="D488" s="17" t="s">
        <v>91</v>
      </c>
      <c r="E488" s="14">
        <v>66023.740000000005</v>
      </c>
      <c r="F488" s="14">
        <v>33566.25</v>
      </c>
      <c r="G488" s="14">
        <v>33566.25</v>
      </c>
      <c r="H488" s="22">
        <f>F488*(1+Assumptions!$B$6+IF(D488="Yes",Assumptions!$C$6,0))</f>
        <v>34573.237500000003</v>
      </c>
      <c r="I488" s="22">
        <f>F488*(1+Assumptions!$B$7+IF(D488="Yes",Assumptions!$C$7,0))</f>
        <v>35244.5625</v>
      </c>
      <c r="J488" s="22">
        <f>F488*(1+Assumptions!$B$8+IF(D488="Yes",Assumptions!$C$8,0))</f>
        <v>33901.912499999999</v>
      </c>
    </row>
    <row r="489" spans="1:10" ht="15">
      <c r="A489" s="21">
        <v>40956</v>
      </c>
      <c r="B489" s="21">
        <v>40940</v>
      </c>
      <c r="C489" s="17">
        <v>37</v>
      </c>
      <c r="D489" s="17" t="s">
        <v>91</v>
      </c>
      <c r="E489" s="14">
        <v>59783</v>
      </c>
      <c r="F489" s="14">
        <v>65969.38</v>
      </c>
      <c r="G489" s="14">
        <v>65969.38</v>
      </c>
      <c r="H489" s="22">
        <f>F489*(1+Assumptions!$B$6+IF(D489="Yes",Assumptions!$C$6,0))</f>
        <v>67948.4614</v>
      </c>
      <c r="I489" s="22">
        <f>F489*(1+Assumptions!$B$7+IF(D489="Yes",Assumptions!$C$7,0))</f>
        <v>69267.849000000002</v>
      </c>
      <c r="J489" s="22">
        <f>F489*(1+Assumptions!$B$8+IF(D489="Yes",Assumptions!$C$8,0))</f>
        <v>66629.073799999998</v>
      </c>
    </row>
    <row r="490" spans="1:10" ht="15">
      <c r="A490" s="21">
        <v>40956</v>
      </c>
      <c r="B490" s="21">
        <v>40940</v>
      </c>
      <c r="C490" s="17">
        <v>38</v>
      </c>
      <c r="D490" s="17" t="s">
        <v>91</v>
      </c>
      <c r="E490" s="14">
        <v>2974062.82</v>
      </c>
      <c r="F490" s="14">
        <v>2835776.33</v>
      </c>
      <c r="G490" s="14">
        <v>2835776.33</v>
      </c>
      <c r="H490" s="22">
        <f>F490*(1+Assumptions!$B$6+IF(D490="Yes",Assumptions!$C$6,0))</f>
        <v>2920849.6199000003</v>
      </c>
      <c r="I490" s="22">
        <f>F490*(1+Assumptions!$B$7+IF(D490="Yes",Assumptions!$C$7,0))</f>
        <v>2977565.1465000003</v>
      </c>
      <c r="J490" s="22">
        <f>F490*(1+Assumptions!$B$8+IF(D490="Yes",Assumptions!$C$8,0))</f>
        <v>2864134.0933000003</v>
      </c>
    </row>
    <row r="491" spans="1:10" ht="15">
      <c r="A491" s="21">
        <v>40956</v>
      </c>
      <c r="B491" s="21">
        <v>40940</v>
      </c>
      <c r="C491" s="17">
        <v>40</v>
      </c>
      <c r="D491" s="17" t="s">
        <v>91</v>
      </c>
      <c r="E491" s="14">
        <v>2136071</v>
      </c>
      <c r="F491" s="14">
        <v>2156738.52</v>
      </c>
      <c r="G491" s="14">
        <v>2156738.52</v>
      </c>
      <c r="H491" s="22">
        <f>F491*(1+Assumptions!$B$6+IF(D491="Yes",Assumptions!$C$6,0))</f>
        <v>2221440.6756000002</v>
      </c>
      <c r="I491" s="22">
        <f>F491*(1+Assumptions!$B$7+IF(D491="Yes",Assumptions!$C$7,0))</f>
        <v>2264575.446</v>
      </c>
      <c r="J491" s="22">
        <f>F491*(1+Assumptions!$B$8+IF(D491="Yes",Assumptions!$C$8,0))</f>
        <v>2178305.9051999999</v>
      </c>
    </row>
    <row r="492" spans="1:10" ht="15">
      <c r="A492" s="21">
        <v>40956</v>
      </c>
      <c r="B492" s="21">
        <v>40940</v>
      </c>
      <c r="C492" s="17">
        <v>41</v>
      </c>
      <c r="D492" s="17" t="s">
        <v>91</v>
      </c>
      <c r="E492" s="14">
        <v>56695.56</v>
      </c>
      <c r="F492" s="14">
        <v>60333.34</v>
      </c>
      <c r="G492" s="14">
        <v>60333.34</v>
      </c>
      <c r="H492" s="22">
        <f>F492*(1+Assumptions!$B$6+IF(D492="Yes",Assumptions!$C$6,0))</f>
        <v>62143.340199999999</v>
      </c>
      <c r="I492" s="22">
        <f>F492*(1+Assumptions!$B$7+IF(D492="Yes",Assumptions!$C$7,0))</f>
        <v>63350.006999999998</v>
      </c>
      <c r="J492" s="22">
        <f>F492*(1+Assumptions!$B$8+IF(D492="Yes",Assumptions!$C$8,0))</f>
        <v>60936.6734</v>
      </c>
    </row>
    <row r="493" spans="1:10" ht="15">
      <c r="A493" s="21">
        <v>40956</v>
      </c>
      <c r="B493" s="21">
        <v>40940</v>
      </c>
      <c r="C493" s="17">
        <v>42</v>
      </c>
      <c r="D493" s="17" t="s">
        <v>91</v>
      </c>
      <c r="E493" s="14">
        <v>224814.83</v>
      </c>
      <c r="F493" s="14">
        <v>243239.09</v>
      </c>
      <c r="G493" s="14">
        <v>243239.09</v>
      </c>
      <c r="H493" s="22">
        <f>F493*(1+Assumptions!$B$6+IF(D493="Yes",Assumptions!$C$6,0))</f>
        <v>250536.26269999999</v>
      </c>
      <c r="I493" s="22">
        <f>F493*(1+Assumptions!$B$7+IF(D493="Yes",Assumptions!$C$7,0))</f>
        <v>255401.04450000002</v>
      </c>
      <c r="J493" s="22">
        <f>F493*(1+Assumptions!$B$8+IF(D493="Yes",Assumptions!$C$8,0))</f>
        <v>245671.4809</v>
      </c>
    </row>
    <row r="494" spans="1:10" ht="15">
      <c r="A494" s="21">
        <v>40956</v>
      </c>
      <c r="B494" s="21">
        <v>40940</v>
      </c>
      <c r="C494" s="17">
        <v>44</v>
      </c>
      <c r="D494" s="17" t="s">
        <v>91</v>
      </c>
      <c r="E494" s="14">
        <v>192674.19</v>
      </c>
      <c r="F494" s="14">
        <v>177419.8</v>
      </c>
      <c r="G494" s="14">
        <v>177419.8</v>
      </c>
      <c r="H494" s="22">
        <f>F494*(1+Assumptions!$B$6+IF(D494="Yes",Assumptions!$C$6,0))</f>
        <v>182742.394</v>
      </c>
      <c r="I494" s="22">
        <f>F494*(1+Assumptions!$B$7+IF(D494="Yes",Assumptions!$C$7,0))</f>
        <v>186290.79</v>
      </c>
      <c r="J494" s="22">
        <f>F494*(1+Assumptions!$B$8+IF(D494="Yes",Assumptions!$C$8,0))</f>
        <v>179193.99799999999</v>
      </c>
    </row>
    <row r="495" spans="1:10" ht="15">
      <c r="A495" s="21">
        <v>40956</v>
      </c>
      <c r="B495" s="21">
        <v>40940</v>
      </c>
      <c r="C495" s="17">
        <v>45</v>
      </c>
      <c r="D495" s="17" t="s">
        <v>91</v>
      </c>
      <c r="E495" s="14">
        <v>158.52000000000001</v>
      </c>
      <c r="F495" s="14">
        <v>118.57000000000001</v>
      </c>
      <c r="G495" s="14">
        <v>118.57000000000001</v>
      </c>
      <c r="H495" s="22">
        <f>F495*(1+Assumptions!$B$6+IF(D495="Yes",Assumptions!$C$6,0))</f>
        <v>122.12710000000001</v>
      </c>
      <c r="I495" s="22">
        <f>F495*(1+Assumptions!$B$7+IF(D495="Yes",Assumptions!$C$7,0))</f>
        <v>124.49850000000001</v>
      </c>
      <c r="J495" s="22">
        <f>F495*(1+Assumptions!$B$8+IF(D495="Yes",Assumptions!$C$8,0))</f>
        <v>119.7557</v>
      </c>
    </row>
    <row r="496" spans="1:10" ht="15">
      <c r="A496" s="21">
        <v>40956</v>
      </c>
      <c r="B496" s="21">
        <v>40940</v>
      </c>
      <c r="C496" s="17">
        <v>46</v>
      </c>
      <c r="D496" s="17" t="s">
        <v>91</v>
      </c>
      <c r="E496" s="14">
        <v>909109.14</v>
      </c>
      <c r="F496" s="14">
        <v>934107.45</v>
      </c>
      <c r="G496" s="14">
        <v>934107.45</v>
      </c>
      <c r="H496" s="22">
        <f>F496*(1+Assumptions!$B$6+IF(D496="Yes",Assumptions!$C$6,0))</f>
        <v>962130.67350000003</v>
      </c>
      <c r="I496" s="22">
        <f>F496*(1+Assumptions!$B$7+IF(D496="Yes",Assumptions!$C$7,0))</f>
        <v>980812.82250000001</v>
      </c>
      <c r="J496" s="22">
        <f>F496*(1+Assumptions!$B$8+IF(D496="Yes",Assumptions!$C$8,0))</f>
        <v>943448.52449999994</v>
      </c>
    </row>
    <row r="497" spans="1:10" ht="15">
      <c r="A497" s="21">
        <v>40956</v>
      </c>
      <c r="B497" s="21">
        <v>40940</v>
      </c>
      <c r="C497" s="17">
        <v>48</v>
      </c>
      <c r="D497" s="17" t="s">
        <v>91</v>
      </c>
      <c r="E497" s="14">
        <v>19505</v>
      </c>
      <c r="F497" s="14">
        <v>13813.3</v>
      </c>
      <c r="G497" s="14">
        <v>13813.3</v>
      </c>
      <c r="H497" s="22">
        <f>F497*(1+Assumptions!$B$6+IF(D497="Yes",Assumptions!$C$6,0))</f>
        <v>14227.699000000001</v>
      </c>
      <c r="I497" s="22">
        <f>F497*(1+Assumptions!$B$7+IF(D497="Yes",Assumptions!$C$7,0))</f>
        <v>14503.965</v>
      </c>
      <c r="J497" s="22">
        <f>F497*(1+Assumptions!$B$8+IF(D497="Yes",Assumptions!$C$8,0))</f>
        <v>13951.432999999999</v>
      </c>
    </row>
    <row r="498" spans="1:10" ht="15">
      <c r="A498" s="21">
        <v>40956</v>
      </c>
      <c r="B498" s="21">
        <v>40940</v>
      </c>
      <c r="C498" s="17">
        <v>49</v>
      </c>
      <c r="D498" s="17" t="s">
        <v>91</v>
      </c>
      <c r="E498" s="14">
        <v>299885.83</v>
      </c>
      <c r="F498" s="14">
        <v>312430.61</v>
      </c>
      <c r="G498" s="14">
        <v>312430.61</v>
      </c>
      <c r="H498" s="22">
        <f>F498*(1+Assumptions!$B$6+IF(D498="Yes",Assumptions!$C$6,0))</f>
        <v>321803.52830000001</v>
      </c>
      <c r="I498" s="22">
        <f>F498*(1+Assumptions!$B$7+IF(D498="Yes",Assumptions!$C$7,0))</f>
        <v>328052.14049999998</v>
      </c>
      <c r="J498" s="22">
        <f>F498*(1+Assumptions!$B$8+IF(D498="Yes",Assumptions!$C$8,0))</f>
        <v>315554.91609999997</v>
      </c>
    </row>
    <row r="499" spans="1:10" ht="15">
      <c r="A499" s="21">
        <v>40956</v>
      </c>
      <c r="B499" s="21">
        <v>40940</v>
      </c>
      <c r="C499" s="17">
        <v>50</v>
      </c>
      <c r="D499" s="17" t="s">
        <v>91</v>
      </c>
      <c r="E499" s="14">
        <v>31634.400000000001</v>
      </c>
      <c r="F499" s="14">
        <v>33239.72</v>
      </c>
      <c r="G499" s="14">
        <v>33239.72</v>
      </c>
      <c r="H499" s="22">
        <f>F499*(1+Assumptions!$B$6+IF(D499="Yes",Assumptions!$C$6,0))</f>
        <v>34236.911599999999</v>
      </c>
      <c r="I499" s="22">
        <f>F499*(1+Assumptions!$B$7+IF(D499="Yes",Assumptions!$C$7,0))</f>
        <v>34901.706000000006</v>
      </c>
      <c r="J499" s="22">
        <f>F499*(1+Assumptions!$B$8+IF(D499="Yes",Assumptions!$C$8,0))</f>
        <v>33572.117200000001</v>
      </c>
    </row>
    <row r="500" spans="1:10" ht="15">
      <c r="A500" s="21">
        <v>40956</v>
      </c>
      <c r="B500" s="21">
        <v>40940</v>
      </c>
      <c r="C500" s="17">
        <v>52</v>
      </c>
      <c r="D500" s="17" t="s">
        <v>91</v>
      </c>
      <c r="E500" s="14">
        <v>91134.38</v>
      </c>
      <c r="F500" s="14">
        <v>97563.54</v>
      </c>
      <c r="G500" s="14">
        <v>97563.54</v>
      </c>
      <c r="H500" s="22">
        <f>F500*(1+Assumptions!$B$6+IF(D500="Yes",Assumptions!$C$6,0))</f>
        <v>100490.44619999999</v>
      </c>
      <c r="I500" s="22">
        <f>F500*(1+Assumptions!$B$7+IF(D500="Yes",Assumptions!$C$7,0))</f>
        <v>102441.717</v>
      </c>
      <c r="J500" s="22">
        <f>F500*(1+Assumptions!$B$8+IF(D500="Yes",Assumptions!$C$8,0))</f>
        <v>98539.175399999993</v>
      </c>
    </row>
    <row r="501" spans="1:10" ht="15">
      <c r="A501" s="21">
        <v>40956</v>
      </c>
      <c r="B501" s="21">
        <v>40940</v>
      </c>
      <c r="C501" s="17">
        <v>54</v>
      </c>
      <c r="D501" s="17" t="s">
        <v>91</v>
      </c>
      <c r="E501" s="14">
        <v>2629.46</v>
      </c>
      <c r="F501" s="14">
        <v>4059.52</v>
      </c>
      <c r="G501" s="14">
        <v>4059.52</v>
      </c>
      <c r="H501" s="22">
        <f>F501*(1+Assumptions!$B$6+IF(D501="Yes",Assumptions!$C$6,0))</f>
        <v>4181.3055999999997</v>
      </c>
      <c r="I501" s="22">
        <f>F501*(1+Assumptions!$B$7+IF(D501="Yes",Assumptions!$C$7,0))</f>
        <v>4262.4960000000001</v>
      </c>
      <c r="J501" s="22">
        <f>F501*(1+Assumptions!$B$8+IF(D501="Yes",Assumptions!$C$8,0))</f>
        <v>4100.1152000000002</v>
      </c>
    </row>
    <row r="502" spans="1:10" ht="15">
      <c r="A502" s="21">
        <v>40956</v>
      </c>
      <c r="B502" s="21">
        <v>40940</v>
      </c>
      <c r="C502" s="17">
        <v>55</v>
      </c>
      <c r="D502" s="17" t="s">
        <v>91</v>
      </c>
      <c r="E502" s="14">
        <v>486668.62</v>
      </c>
      <c r="F502" s="14">
        <v>533710.63</v>
      </c>
      <c r="G502" s="14">
        <v>533710.63</v>
      </c>
      <c r="H502" s="22">
        <f>F502*(1+Assumptions!$B$6+IF(D502="Yes",Assumptions!$C$6,0))</f>
        <v>549721.94890000008</v>
      </c>
      <c r="I502" s="22">
        <f>F502*(1+Assumptions!$B$7+IF(D502="Yes",Assumptions!$C$7,0))</f>
        <v>560396.16150000005</v>
      </c>
      <c r="J502" s="22">
        <f>F502*(1+Assumptions!$B$8+IF(D502="Yes",Assumptions!$C$8,0))</f>
        <v>539047.73629999999</v>
      </c>
    </row>
    <row r="503" spans="1:10" ht="15">
      <c r="A503" s="21">
        <v>40956</v>
      </c>
      <c r="B503" s="21">
        <v>40940</v>
      </c>
      <c r="C503" s="17">
        <v>56</v>
      </c>
      <c r="D503" s="17" t="s">
        <v>91</v>
      </c>
      <c r="E503" s="14">
        <v>87759.19</v>
      </c>
      <c r="F503" s="14">
        <v>101720.23</v>
      </c>
      <c r="G503" s="14">
        <v>101720.23</v>
      </c>
      <c r="H503" s="22">
        <f>F503*(1+Assumptions!$B$6+IF(D503="Yes",Assumptions!$C$6,0))</f>
        <v>104771.83689999999</v>
      </c>
      <c r="I503" s="22">
        <f>F503*(1+Assumptions!$B$7+IF(D503="Yes",Assumptions!$C$7,0))</f>
        <v>106806.2415</v>
      </c>
      <c r="J503" s="22">
        <f>F503*(1+Assumptions!$B$8+IF(D503="Yes",Assumptions!$C$8,0))</f>
        <v>102737.4323</v>
      </c>
    </row>
    <row r="504" spans="1:10" ht="15">
      <c r="A504" s="21">
        <v>40956</v>
      </c>
      <c r="B504" s="21">
        <v>40940</v>
      </c>
      <c r="C504" s="17">
        <v>58</v>
      </c>
      <c r="D504" s="17" t="s">
        <v>91</v>
      </c>
      <c r="E504" s="14">
        <v>127442</v>
      </c>
      <c r="F504" s="14">
        <v>95785</v>
      </c>
      <c r="G504" s="14">
        <v>95785</v>
      </c>
      <c r="H504" s="22">
        <f>F504*(1+Assumptions!$B$6+IF(D504="Yes",Assumptions!$C$6,0))</f>
        <v>98658.55</v>
      </c>
      <c r="I504" s="22">
        <f>F504*(1+Assumptions!$B$7+IF(D504="Yes",Assumptions!$C$7,0))</f>
        <v>100574.25</v>
      </c>
      <c r="J504" s="22">
        <f>F504*(1+Assumptions!$B$8+IF(D504="Yes",Assumptions!$C$8,0))</f>
        <v>96742.85</v>
      </c>
    </row>
    <row r="505" spans="1:10" ht="15">
      <c r="A505" s="21">
        <v>40956</v>
      </c>
      <c r="B505" s="21">
        <v>40940</v>
      </c>
      <c r="C505" s="17">
        <v>59</v>
      </c>
      <c r="D505" s="17" t="s">
        <v>91</v>
      </c>
      <c r="E505" s="14">
        <v>10626.73</v>
      </c>
      <c r="F505" s="14">
        <v>19197.28</v>
      </c>
      <c r="G505" s="14">
        <v>19197.28</v>
      </c>
      <c r="H505" s="22">
        <f>F505*(1+Assumptions!$B$6+IF(D505="Yes",Assumptions!$C$6,0))</f>
        <v>19773.198400000001</v>
      </c>
      <c r="I505" s="22">
        <f>F505*(1+Assumptions!$B$7+IF(D505="Yes",Assumptions!$C$7,0))</f>
        <v>20157.144</v>
      </c>
      <c r="J505" s="22">
        <f>F505*(1+Assumptions!$B$8+IF(D505="Yes",Assumptions!$C$8,0))</f>
        <v>19389.252799999998</v>
      </c>
    </row>
    <row r="506" spans="1:10" ht="15">
      <c r="A506" s="21">
        <v>40956</v>
      </c>
      <c r="B506" s="21">
        <v>40940</v>
      </c>
      <c r="C506" s="17">
        <v>60</v>
      </c>
      <c r="D506" s="17" t="s">
        <v>91</v>
      </c>
      <c r="E506" s="14">
        <v>12518</v>
      </c>
      <c r="F506" s="14">
        <v>12602.2</v>
      </c>
      <c r="G506" s="14">
        <v>12602.2</v>
      </c>
      <c r="H506" s="22">
        <f>F506*(1+Assumptions!$B$6+IF(D506="Yes",Assumptions!$C$6,0))</f>
        <v>12980.266000000001</v>
      </c>
      <c r="I506" s="22">
        <f>F506*(1+Assumptions!$B$7+IF(D506="Yes",Assumptions!$C$7,0))</f>
        <v>13232.310000000001</v>
      </c>
      <c r="J506" s="22">
        <f>F506*(1+Assumptions!$B$8+IF(D506="Yes",Assumptions!$C$8,0))</f>
        <v>12728.222000000002</v>
      </c>
    </row>
    <row r="507" spans="1:10" ht="15">
      <c r="A507" s="21">
        <v>40956</v>
      </c>
      <c r="B507" s="21">
        <v>40940</v>
      </c>
      <c r="C507" s="17">
        <v>65</v>
      </c>
      <c r="D507" s="17" t="s">
        <v>91</v>
      </c>
      <c r="E507" s="14">
        <v>41589.14</v>
      </c>
      <c r="F507" s="14">
        <v>48701.35</v>
      </c>
      <c r="G507" s="14">
        <v>48701.35</v>
      </c>
      <c r="H507" s="22">
        <f>F507*(1+Assumptions!$B$6+IF(D507="Yes",Assumptions!$C$6,0))</f>
        <v>50162.390500000001</v>
      </c>
      <c r="I507" s="22">
        <f>F507*(1+Assumptions!$B$7+IF(D507="Yes",Assumptions!$C$7,0))</f>
        <v>51136.417500000003</v>
      </c>
      <c r="J507" s="22">
        <f>F507*(1+Assumptions!$B$8+IF(D507="Yes",Assumptions!$C$8,0))</f>
        <v>49188.363499999999</v>
      </c>
    </row>
    <row r="508" spans="1:10" ht="15">
      <c r="A508" s="21">
        <v>40956</v>
      </c>
      <c r="B508" s="21">
        <v>40940</v>
      </c>
      <c r="C508" s="17">
        <v>67</v>
      </c>
      <c r="D508" s="17" t="s">
        <v>91</v>
      </c>
      <c r="E508" s="14">
        <v>781439.53</v>
      </c>
      <c r="F508" s="14">
        <v>665686.4</v>
      </c>
      <c r="G508" s="14">
        <v>665686.4</v>
      </c>
      <c r="H508" s="22">
        <f>F508*(1+Assumptions!$B$6+IF(D508="Yes",Assumptions!$C$6,0))</f>
        <v>685656.99200000009</v>
      </c>
      <c r="I508" s="22">
        <f>F508*(1+Assumptions!$B$7+IF(D508="Yes",Assumptions!$C$7,0))</f>
        <v>698970.72000000009</v>
      </c>
      <c r="J508" s="22">
        <f>F508*(1+Assumptions!$B$8+IF(D508="Yes",Assumptions!$C$8,0))</f>
        <v>672343.26400000008</v>
      </c>
    </row>
    <row r="509" spans="1:10" ht="15">
      <c r="A509" s="21">
        <v>40956</v>
      </c>
      <c r="B509" s="21">
        <v>40940</v>
      </c>
      <c r="C509" s="17">
        <v>71</v>
      </c>
      <c r="D509" s="17" t="s">
        <v>91</v>
      </c>
      <c r="E509" s="14">
        <v>288145.34999999998</v>
      </c>
      <c r="F509" s="14">
        <v>288232.73</v>
      </c>
      <c r="G509" s="14">
        <v>288232.73</v>
      </c>
      <c r="H509" s="22">
        <f>F509*(1+Assumptions!$B$6+IF(D509="Yes",Assumptions!$C$6,0))</f>
        <v>296879.71189999999</v>
      </c>
      <c r="I509" s="22">
        <f>F509*(1+Assumptions!$B$7+IF(D509="Yes",Assumptions!$C$7,0))</f>
        <v>302644.3665</v>
      </c>
      <c r="J509" s="22">
        <f>F509*(1+Assumptions!$B$8+IF(D509="Yes",Assumptions!$C$8,0))</f>
        <v>291115.05729999999</v>
      </c>
    </row>
    <row r="510" spans="1:10" ht="15">
      <c r="A510" s="21">
        <v>40956</v>
      </c>
      <c r="B510" s="21">
        <v>40940</v>
      </c>
      <c r="C510" s="17">
        <v>72</v>
      </c>
      <c r="D510" s="17" t="s">
        <v>91</v>
      </c>
      <c r="E510" s="14">
        <v>2748184.19</v>
      </c>
      <c r="F510" s="14">
        <v>2892325.67</v>
      </c>
      <c r="G510" s="14">
        <v>2892325.67</v>
      </c>
      <c r="H510" s="22">
        <f>F510*(1+Assumptions!$B$6+IF(D510="Yes",Assumptions!$C$6,0))</f>
        <v>2979095.4400999998</v>
      </c>
      <c r="I510" s="22">
        <f>F510*(1+Assumptions!$B$7+IF(D510="Yes",Assumptions!$C$7,0))</f>
        <v>3036941.9534999998</v>
      </c>
      <c r="J510" s="22">
        <f>F510*(1+Assumptions!$B$8+IF(D510="Yes",Assumptions!$C$8,0))</f>
        <v>2921248.9266999997</v>
      </c>
    </row>
    <row r="511" spans="1:10" ht="15">
      <c r="A511" s="21">
        <v>40956</v>
      </c>
      <c r="B511" s="21">
        <v>40940</v>
      </c>
      <c r="C511" s="17">
        <v>74</v>
      </c>
      <c r="D511" s="17" t="s">
        <v>91</v>
      </c>
      <c r="E511" s="14">
        <v>643478.22</v>
      </c>
      <c r="F511" s="14">
        <v>654943.51</v>
      </c>
      <c r="G511" s="14">
        <v>654943.51</v>
      </c>
      <c r="H511" s="22">
        <f>F511*(1+Assumptions!$B$6+IF(D511="Yes",Assumptions!$C$6,0))</f>
        <v>674591.81530000002</v>
      </c>
      <c r="I511" s="22">
        <f>F511*(1+Assumptions!$B$7+IF(D511="Yes",Assumptions!$C$7,0))</f>
        <v>687690.68550000002</v>
      </c>
      <c r="J511" s="22">
        <f>F511*(1+Assumptions!$B$8+IF(D511="Yes",Assumptions!$C$8,0))</f>
        <v>661492.94510000001</v>
      </c>
    </row>
    <row r="512" spans="1:10" ht="15">
      <c r="A512" s="21">
        <v>40956</v>
      </c>
      <c r="B512" s="21">
        <v>40940</v>
      </c>
      <c r="C512" s="17">
        <v>79</v>
      </c>
      <c r="D512" s="17" t="s">
        <v>91</v>
      </c>
      <c r="E512" s="14">
        <v>1043813.72</v>
      </c>
      <c r="F512" s="14">
        <v>1063726.03</v>
      </c>
      <c r="G512" s="14">
        <v>1063726.03</v>
      </c>
      <c r="H512" s="22">
        <f>F512*(1+Assumptions!$B$6+IF(D512="Yes",Assumptions!$C$6,0))</f>
        <v>1095637.8109000002</v>
      </c>
      <c r="I512" s="22">
        <f>F512*(1+Assumptions!$B$7+IF(D512="Yes",Assumptions!$C$7,0))</f>
        <v>1116912.3315000001</v>
      </c>
      <c r="J512" s="22">
        <f>F512*(1+Assumptions!$B$8+IF(D512="Yes",Assumptions!$C$8,0))</f>
        <v>1074363.2903</v>
      </c>
    </row>
    <row r="513" spans="1:10" ht="15">
      <c r="A513" s="21">
        <v>40956</v>
      </c>
      <c r="B513" s="21">
        <v>40940</v>
      </c>
      <c r="C513" s="17">
        <v>80</v>
      </c>
      <c r="D513" s="17" t="s">
        <v>91</v>
      </c>
      <c r="E513" s="14">
        <v>498049.92</v>
      </c>
      <c r="F513" s="14">
        <v>482390.76</v>
      </c>
      <c r="G513" s="14">
        <v>482390.76</v>
      </c>
      <c r="H513" s="22">
        <f>F513*(1+Assumptions!$B$6+IF(D513="Yes",Assumptions!$C$6,0))</f>
        <v>496862.4828</v>
      </c>
      <c r="I513" s="22">
        <f>F513*(1+Assumptions!$B$7+IF(D513="Yes",Assumptions!$C$7,0))</f>
        <v>506510.29800000001</v>
      </c>
      <c r="J513" s="22">
        <f>F513*(1+Assumptions!$B$8+IF(D513="Yes",Assumptions!$C$8,0))</f>
        <v>487214.66759999999</v>
      </c>
    </row>
    <row r="514" spans="1:10" ht="15">
      <c r="A514" s="21">
        <v>40956</v>
      </c>
      <c r="B514" s="21">
        <v>40940</v>
      </c>
      <c r="C514" s="17">
        <v>81</v>
      </c>
      <c r="D514" s="17" t="s">
        <v>91</v>
      </c>
      <c r="E514" s="14">
        <v>683445.16</v>
      </c>
      <c r="F514" s="14">
        <v>666421.32999999996</v>
      </c>
      <c r="G514" s="14">
        <v>666421.32999999996</v>
      </c>
      <c r="H514" s="22">
        <f>F514*(1+Assumptions!$B$6+IF(D514="Yes",Assumptions!$C$6,0))</f>
        <v>686413.96990000003</v>
      </c>
      <c r="I514" s="22">
        <f>F514*(1+Assumptions!$B$7+IF(D514="Yes",Assumptions!$C$7,0))</f>
        <v>699742.39650000003</v>
      </c>
      <c r="J514" s="22">
        <f>F514*(1+Assumptions!$B$8+IF(D514="Yes",Assumptions!$C$8,0))</f>
        <v>673085.54330000002</v>
      </c>
    </row>
    <row r="515" spans="1:10" ht="15">
      <c r="A515" s="21">
        <v>40956</v>
      </c>
      <c r="B515" s="21">
        <v>40940</v>
      </c>
      <c r="C515" s="17">
        <v>82</v>
      </c>
      <c r="D515" s="17" t="s">
        <v>91</v>
      </c>
      <c r="E515" s="14">
        <v>738703.49</v>
      </c>
      <c r="F515" s="14">
        <v>702005.13</v>
      </c>
      <c r="G515" s="14">
        <v>702005.13</v>
      </c>
      <c r="H515" s="22">
        <f>F515*(1+Assumptions!$B$6+IF(D515="Yes",Assumptions!$C$6,0))</f>
        <v>723065.28390000004</v>
      </c>
      <c r="I515" s="22">
        <f>F515*(1+Assumptions!$B$7+IF(D515="Yes",Assumptions!$C$7,0))</f>
        <v>737105.38650000002</v>
      </c>
      <c r="J515" s="22">
        <f>F515*(1+Assumptions!$B$8+IF(D515="Yes",Assumptions!$C$8,0))</f>
        <v>709025.18130000005</v>
      </c>
    </row>
    <row r="516" spans="1:10" ht="15">
      <c r="A516" s="21">
        <v>40956</v>
      </c>
      <c r="B516" s="21">
        <v>40940</v>
      </c>
      <c r="C516" s="17">
        <v>83</v>
      </c>
      <c r="D516" s="17" t="s">
        <v>91</v>
      </c>
      <c r="E516" s="14">
        <v>149518.82</v>
      </c>
      <c r="F516" s="14">
        <v>153471.22</v>
      </c>
      <c r="G516" s="14">
        <v>153471.22</v>
      </c>
      <c r="H516" s="22">
        <f>F516*(1+Assumptions!$B$6+IF(D516="Yes",Assumptions!$C$6,0))</f>
        <v>158075.3566</v>
      </c>
      <c r="I516" s="22">
        <f>F516*(1+Assumptions!$B$7+IF(D516="Yes",Assumptions!$C$7,0))</f>
        <v>161144.78100000002</v>
      </c>
      <c r="J516" s="22">
        <f>F516*(1+Assumptions!$B$8+IF(D516="Yes",Assumptions!$C$8,0))</f>
        <v>155005.93220000001</v>
      </c>
    </row>
    <row r="517" spans="1:10" ht="15">
      <c r="A517" s="21">
        <v>40956</v>
      </c>
      <c r="B517" s="21">
        <v>40940</v>
      </c>
      <c r="C517" s="17">
        <v>85</v>
      </c>
      <c r="D517" s="17" t="s">
        <v>91</v>
      </c>
      <c r="E517" s="14">
        <v>75612.72</v>
      </c>
      <c r="F517" s="14">
        <v>80074.25</v>
      </c>
      <c r="G517" s="14">
        <v>80074.25</v>
      </c>
      <c r="H517" s="22">
        <f>F517*(1+Assumptions!$B$6+IF(D517="Yes",Assumptions!$C$6,0))</f>
        <v>82476.477500000008</v>
      </c>
      <c r="I517" s="22">
        <f>F517*(1+Assumptions!$B$7+IF(D517="Yes",Assumptions!$C$7,0))</f>
        <v>84077.962500000009</v>
      </c>
      <c r="J517" s="22">
        <f>F517*(1+Assumptions!$B$8+IF(D517="Yes",Assumptions!$C$8,0))</f>
        <v>80874.992500000008</v>
      </c>
    </row>
    <row r="518" spans="1:10" ht="15">
      <c r="A518" s="21">
        <v>40956</v>
      </c>
      <c r="B518" s="21">
        <v>40940</v>
      </c>
      <c r="C518" s="17">
        <v>87</v>
      </c>
      <c r="D518" s="17" t="s">
        <v>91</v>
      </c>
      <c r="E518" s="14">
        <v>706723.13</v>
      </c>
      <c r="F518" s="14">
        <v>640097.30000000005</v>
      </c>
      <c r="G518" s="14">
        <v>640097.30000000005</v>
      </c>
      <c r="H518" s="22">
        <f>F518*(1+Assumptions!$B$6+IF(D518="Yes",Assumptions!$C$6,0))</f>
        <v>659300.21900000004</v>
      </c>
      <c r="I518" s="22">
        <f>F518*(1+Assumptions!$B$7+IF(D518="Yes",Assumptions!$C$7,0))</f>
        <v>672102.16500000004</v>
      </c>
      <c r="J518" s="22">
        <f>F518*(1+Assumptions!$B$8+IF(D518="Yes",Assumptions!$C$8,0))</f>
        <v>646498.27300000004</v>
      </c>
    </row>
    <row r="519" spans="1:10" ht="15">
      <c r="A519" s="21">
        <v>40956</v>
      </c>
      <c r="B519" s="21">
        <v>40940</v>
      </c>
      <c r="C519" s="17">
        <v>90</v>
      </c>
      <c r="D519" s="17" t="s">
        <v>91</v>
      </c>
      <c r="E519" s="14">
        <v>2139259.17</v>
      </c>
      <c r="F519" s="14">
        <v>1991469.52</v>
      </c>
      <c r="G519" s="14">
        <v>1991469.52</v>
      </c>
      <c r="H519" s="22">
        <f>F519*(1+Assumptions!$B$6+IF(D519="Yes",Assumptions!$C$6,0))</f>
        <v>2051213.6056000001</v>
      </c>
      <c r="I519" s="22">
        <f>F519*(1+Assumptions!$B$7+IF(D519="Yes",Assumptions!$C$7,0))</f>
        <v>2091042.996</v>
      </c>
      <c r="J519" s="22">
        <f>F519*(1+Assumptions!$B$8+IF(D519="Yes",Assumptions!$C$8,0))</f>
        <v>2011384.2152</v>
      </c>
    </row>
    <row r="520" spans="1:10" ht="15">
      <c r="A520" s="21">
        <v>40956</v>
      </c>
      <c r="B520" s="21">
        <v>40940</v>
      </c>
      <c r="C520" s="17">
        <v>91</v>
      </c>
      <c r="D520" s="17" t="s">
        <v>91</v>
      </c>
      <c r="E520" s="14">
        <v>1583235.17</v>
      </c>
      <c r="F520" s="14">
        <v>1546712.94</v>
      </c>
      <c r="G520" s="14">
        <v>1546712.94</v>
      </c>
      <c r="H520" s="22">
        <f>F520*(1+Assumptions!$B$6+IF(D520="Yes",Assumptions!$C$6,0))</f>
        <v>1593114.3281999999</v>
      </c>
      <c r="I520" s="22">
        <f>F520*(1+Assumptions!$B$7+IF(D520="Yes",Assumptions!$C$7,0))</f>
        <v>1624048.5870000001</v>
      </c>
      <c r="J520" s="22">
        <f>F520*(1+Assumptions!$B$8+IF(D520="Yes",Assumptions!$C$8,0))</f>
        <v>1562180.0693999999</v>
      </c>
    </row>
    <row r="521" spans="1:10" ht="15">
      <c r="A521" s="21">
        <v>40956</v>
      </c>
      <c r="B521" s="21">
        <v>40940</v>
      </c>
      <c r="C521" s="17">
        <v>92</v>
      </c>
      <c r="D521" s="17" t="s">
        <v>91</v>
      </c>
      <c r="E521" s="14">
        <v>3627632.69</v>
      </c>
      <c r="F521" s="14">
        <v>3258997.88</v>
      </c>
      <c r="G521" s="14">
        <v>3258997.88</v>
      </c>
      <c r="H521" s="22">
        <f>F521*(1+Assumptions!$B$6+IF(D521="Yes",Assumptions!$C$6,0))</f>
        <v>3356767.8163999999</v>
      </c>
      <c r="I521" s="22">
        <f>F521*(1+Assumptions!$B$7+IF(D521="Yes",Assumptions!$C$7,0))</f>
        <v>3421947.7740000002</v>
      </c>
      <c r="J521" s="22">
        <f>F521*(1+Assumptions!$B$8+IF(D521="Yes",Assumptions!$C$8,0))</f>
        <v>3291587.8588</v>
      </c>
    </row>
    <row r="522" spans="1:10" ht="15">
      <c r="A522" s="21">
        <v>40956</v>
      </c>
      <c r="B522" s="21">
        <v>40940</v>
      </c>
      <c r="C522" s="17">
        <v>93</v>
      </c>
      <c r="D522" s="17" t="s">
        <v>91</v>
      </c>
      <c r="E522" s="14">
        <v>1114102.02</v>
      </c>
      <c r="F522" s="14">
        <v>1066489.6000000001</v>
      </c>
      <c r="G522" s="14">
        <v>1066489.6000000001</v>
      </c>
      <c r="H522" s="22">
        <f>F522*(1+Assumptions!$B$6+IF(D522="Yes",Assumptions!$C$6,0))</f>
        <v>1098484.2880000002</v>
      </c>
      <c r="I522" s="22">
        <f>F522*(1+Assumptions!$B$7+IF(D522="Yes",Assumptions!$C$7,0))</f>
        <v>1119814.08</v>
      </c>
      <c r="J522" s="22">
        <f>F522*(1+Assumptions!$B$8+IF(D522="Yes",Assumptions!$C$8,0))</f>
        <v>1077154.496</v>
      </c>
    </row>
    <row r="523" spans="1:10" ht="15">
      <c r="A523" s="21">
        <v>40956</v>
      </c>
      <c r="B523" s="21">
        <v>40940</v>
      </c>
      <c r="C523" s="17">
        <v>94</v>
      </c>
      <c r="D523" s="17" t="s">
        <v>91</v>
      </c>
      <c r="E523" s="14">
        <v>1660253.29</v>
      </c>
      <c r="F523" s="14">
        <v>1630745.01</v>
      </c>
      <c r="G523" s="14">
        <v>1630745.01</v>
      </c>
      <c r="H523" s="22">
        <f>F523*(1+Assumptions!$B$6+IF(D523="Yes",Assumptions!$C$6,0))</f>
        <v>1679667.3603000001</v>
      </c>
      <c r="I523" s="22">
        <f>F523*(1+Assumptions!$B$7+IF(D523="Yes",Assumptions!$C$7,0))</f>
        <v>1712282.2605000001</v>
      </c>
      <c r="J523" s="22">
        <f>F523*(1+Assumptions!$B$8+IF(D523="Yes",Assumptions!$C$8,0))</f>
        <v>1647052.4601</v>
      </c>
    </row>
    <row r="524" spans="1:10" ht="15">
      <c r="A524" s="21">
        <v>40956</v>
      </c>
      <c r="B524" s="21">
        <v>40940</v>
      </c>
      <c r="C524" s="17">
        <v>95</v>
      </c>
      <c r="D524" s="17" t="s">
        <v>91</v>
      </c>
      <c r="E524" s="14">
        <v>2954428.45</v>
      </c>
      <c r="F524" s="14">
        <v>2890866.27</v>
      </c>
      <c r="G524" s="14">
        <v>2890866.27</v>
      </c>
      <c r="H524" s="22">
        <f>F524*(1+Assumptions!$B$6+IF(D524="Yes",Assumptions!$C$6,0))</f>
        <v>2977592.2581000002</v>
      </c>
      <c r="I524" s="22">
        <f>F524*(1+Assumptions!$B$7+IF(D524="Yes",Assumptions!$C$7,0))</f>
        <v>3035409.5835000002</v>
      </c>
      <c r="J524" s="22">
        <f>F524*(1+Assumptions!$B$8+IF(D524="Yes",Assumptions!$C$8,0))</f>
        <v>2919774.9327000002</v>
      </c>
    </row>
    <row r="525" spans="1:10" ht="15">
      <c r="A525" s="21">
        <v>40956</v>
      </c>
      <c r="B525" s="21">
        <v>40940</v>
      </c>
      <c r="C525" s="17">
        <v>96</v>
      </c>
      <c r="D525" s="17" t="s">
        <v>91</v>
      </c>
      <c r="E525" s="14">
        <v>468330.5</v>
      </c>
      <c r="F525" s="14">
        <v>443052.79999999999</v>
      </c>
      <c r="G525" s="14">
        <v>443052.79999999999</v>
      </c>
      <c r="H525" s="22">
        <f>F525*(1+Assumptions!$B$6+IF(D525="Yes",Assumptions!$C$6,0))</f>
        <v>456344.38400000002</v>
      </c>
      <c r="I525" s="22">
        <f>F525*(1+Assumptions!$B$7+IF(D525="Yes",Assumptions!$C$7,0))</f>
        <v>465205.44</v>
      </c>
      <c r="J525" s="22">
        <f>F525*(1+Assumptions!$B$8+IF(D525="Yes",Assumptions!$C$8,0))</f>
        <v>447483.32799999998</v>
      </c>
    </row>
    <row r="526" spans="1:10" ht="15">
      <c r="A526" s="21">
        <v>40956</v>
      </c>
      <c r="B526" s="21">
        <v>40940</v>
      </c>
      <c r="C526" s="17">
        <v>97</v>
      </c>
      <c r="D526" s="17" t="s">
        <v>91</v>
      </c>
      <c r="E526" s="14">
        <v>608799.96</v>
      </c>
      <c r="F526" s="14">
        <v>581009.56999999995</v>
      </c>
      <c r="G526" s="14">
        <v>581009.56999999995</v>
      </c>
      <c r="H526" s="22">
        <f>F526*(1+Assumptions!$B$6+IF(D526="Yes",Assumptions!$C$6,0))</f>
        <v>598439.85709999991</v>
      </c>
      <c r="I526" s="22">
        <f>F526*(1+Assumptions!$B$7+IF(D526="Yes",Assumptions!$C$7,0))</f>
        <v>610060.04849999992</v>
      </c>
      <c r="J526" s="22">
        <f>F526*(1+Assumptions!$B$8+IF(D526="Yes",Assumptions!$C$8,0))</f>
        <v>586819.6656999999</v>
      </c>
    </row>
    <row r="527" spans="1:10" ht="15">
      <c r="A527" s="21">
        <v>40956</v>
      </c>
      <c r="B527" s="21">
        <v>40940</v>
      </c>
      <c r="C527" s="17">
        <v>98</v>
      </c>
      <c r="D527" s="17" t="s">
        <v>91</v>
      </c>
      <c r="E527" s="14">
        <v>343914.86</v>
      </c>
      <c r="F527" s="14">
        <v>331946.01</v>
      </c>
      <c r="G527" s="14">
        <v>331946.01</v>
      </c>
      <c r="H527" s="22">
        <f>F527*(1+Assumptions!$B$6+IF(D527="Yes",Assumptions!$C$6,0))</f>
        <v>341904.39030000003</v>
      </c>
      <c r="I527" s="22">
        <f>F527*(1+Assumptions!$B$7+IF(D527="Yes",Assumptions!$C$7,0))</f>
        <v>348543.31050000002</v>
      </c>
      <c r="J527" s="22">
        <f>F527*(1+Assumptions!$B$8+IF(D527="Yes",Assumptions!$C$8,0))</f>
        <v>335265.47010000004</v>
      </c>
    </row>
    <row r="528" spans="1:10" ht="15">
      <c r="A528" s="21">
        <v>40963</v>
      </c>
      <c r="B528" s="21">
        <v>40940</v>
      </c>
      <c r="C528" s="17">
        <v>1</v>
      </c>
      <c r="D528" s="17" t="s">
        <v>91</v>
      </c>
      <c r="E528" s="14">
        <v>703530.48</v>
      </c>
      <c r="F528" s="14">
        <v>619446.17000000004</v>
      </c>
      <c r="G528" s="14">
        <v>619446.17000000004</v>
      </c>
      <c r="H528" s="22">
        <f>F528*(1+Assumptions!$B$6+IF(D528="Yes",Assumptions!$C$6,0))</f>
        <v>638029.55510000011</v>
      </c>
      <c r="I528" s="22">
        <f>F528*(1+Assumptions!$B$7+IF(D528="Yes",Assumptions!$C$7,0))</f>
        <v>650418.47850000008</v>
      </c>
      <c r="J528" s="22">
        <f>F528*(1+Assumptions!$B$8+IF(D528="Yes",Assumptions!$C$8,0))</f>
        <v>625640.63170000003</v>
      </c>
    </row>
    <row r="529" spans="1:10" ht="15">
      <c r="A529" s="21">
        <v>40963</v>
      </c>
      <c r="B529" s="21">
        <v>40940</v>
      </c>
      <c r="C529" s="17">
        <v>2</v>
      </c>
      <c r="D529" s="17" t="s">
        <v>91</v>
      </c>
      <c r="E529" s="14">
        <v>2046897.03</v>
      </c>
      <c r="F529" s="14">
        <v>1924869.43</v>
      </c>
      <c r="G529" s="14">
        <v>1924869.43</v>
      </c>
      <c r="H529" s="22">
        <f>F529*(1+Assumptions!$B$6+IF(D529="Yes",Assumptions!$C$6,0))</f>
        <v>1982615.5129</v>
      </c>
      <c r="I529" s="22">
        <f>F529*(1+Assumptions!$B$7+IF(D529="Yes",Assumptions!$C$7,0))</f>
        <v>2021112.9014999999</v>
      </c>
      <c r="J529" s="22">
        <f>F529*(1+Assumptions!$B$8+IF(D529="Yes",Assumptions!$C$8,0))</f>
        <v>1944118.1243</v>
      </c>
    </row>
    <row r="530" spans="1:10" ht="15">
      <c r="A530" s="21">
        <v>40963</v>
      </c>
      <c r="B530" s="21">
        <v>40940</v>
      </c>
      <c r="C530" s="17">
        <v>3</v>
      </c>
      <c r="D530" s="17" t="s">
        <v>91</v>
      </c>
      <c r="E530" s="14">
        <v>403618.45</v>
      </c>
      <c r="F530" s="14">
        <v>378750.2</v>
      </c>
      <c r="G530" s="14">
        <v>378750.2</v>
      </c>
      <c r="H530" s="22">
        <f>F530*(1+Assumptions!$B$6+IF(D530="Yes",Assumptions!$C$6,0))</f>
        <v>390112.70600000001</v>
      </c>
      <c r="I530" s="22">
        <f>F530*(1+Assumptions!$B$7+IF(D530="Yes",Assumptions!$C$7,0))</f>
        <v>397687.71</v>
      </c>
      <c r="J530" s="22">
        <f>F530*(1+Assumptions!$B$8+IF(D530="Yes",Assumptions!$C$8,0))</f>
        <v>382537.70199999999</v>
      </c>
    </row>
    <row r="531" spans="1:10" ht="15">
      <c r="A531" s="21">
        <v>40963</v>
      </c>
      <c r="B531" s="21">
        <v>40940</v>
      </c>
      <c r="C531" s="17">
        <v>4</v>
      </c>
      <c r="D531" s="17" t="s">
        <v>91</v>
      </c>
      <c r="E531" s="14">
        <v>1152215.22</v>
      </c>
      <c r="F531" s="14">
        <v>1110974.49</v>
      </c>
      <c r="G531" s="14">
        <v>1110974.49</v>
      </c>
      <c r="H531" s="22">
        <f>F531*(1+Assumptions!$B$6+IF(D531="Yes",Assumptions!$C$6,0))</f>
        <v>1144303.7246999999</v>
      </c>
      <c r="I531" s="22">
        <f>F531*(1+Assumptions!$B$7+IF(D531="Yes",Assumptions!$C$7,0))</f>
        <v>1166523.2145</v>
      </c>
      <c r="J531" s="22">
        <f>F531*(1+Assumptions!$B$8+IF(D531="Yes",Assumptions!$C$8,0))</f>
        <v>1122084.2349</v>
      </c>
    </row>
    <row r="532" spans="1:10" ht="15">
      <c r="A532" s="21">
        <v>40963</v>
      </c>
      <c r="B532" s="21">
        <v>40940</v>
      </c>
      <c r="C532" s="17">
        <v>5</v>
      </c>
      <c r="D532" s="17" t="s">
        <v>91</v>
      </c>
      <c r="E532" s="14">
        <v>1009564.31</v>
      </c>
      <c r="F532" s="14">
        <v>1014364.54</v>
      </c>
      <c r="G532" s="14">
        <v>1014364.54</v>
      </c>
      <c r="H532" s="22">
        <f>F532*(1+Assumptions!$B$6+IF(D532="Yes",Assumptions!$C$6,0))</f>
        <v>1044795.4762</v>
      </c>
      <c r="I532" s="22">
        <f>F532*(1+Assumptions!$B$7+IF(D532="Yes",Assumptions!$C$7,0))</f>
        <v>1065082.767</v>
      </c>
      <c r="J532" s="22">
        <f>F532*(1+Assumptions!$B$8+IF(D532="Yes",Assumptions!$C$8,0))</f>
        <v>1024508.1854000001</v>
      </c>
    </row>
    <row r="533" spans="1:10" ht="15">
      <c r="A533" s="21">
        <v>40963</v>
      </c>
      <c r="B533" s="21">
        <v>40940</v>
      </c>
      <c r="C533" s="17">
        <v>6</v>
      </c>
      <c r="D533" s="17" t="s">
        <v>91</v>
      </c>
      <c r="E533" s="14">
        <v>143146.42000000001</v>
      </c>
      <c r="F533" s="14">
        <v>156894.60999999999</v>
      </c>
      <c r="G533" s="14">
        <v>156894.60999999999</v>
      </c>
      <c r="H533" s="22">
        <f>F533*(1+Assumptions!$B$6+IF(D533="Yes",Assumptions!$C$6,0))</f>
        <v>161601.44829999999</v>
      </c>
      <c r="I533" s="22">
        <f>F533*(1+Assumptions!$B$7+IF(D533="Yes",Assumptions!$C$7,0))</f>
        <v>164739.34049999999</v>
      </c>
      <c r="J533" s="22">
        <f>F533*(1+Assumptions!$B$8+IF(D533="Yes",Assumptions!$C$8,0))</f>
        <v>158463.55609999999</v>
      </c>
    </row>
    <row r="534" spans="1:10" ht="15">
      <c r="A534" s="21">
        <v>40963</v>
      </c>
      <c r="B534" s="21">
        <v>40940</v>
      </c>
      <c r="C534" s="17">
        <v>7</v>
      </c>
      <c r="D534" s="17" t="s">
        <v>91</v>
      </c>
      <c r="E534" s="14">
        <v>747392.11</v>
      </c>
      <c r="F534" s="14">
        <v>770995.21</v>
      </c>
      <c r="G534" s="14">
        <v>770995.21</v>
      </c>
      <c r="H534" s="22">
        <f>F534*(1+Assumptions!$B$6+IF(D534="Yes",Assumptions!$C$6,0))</f>
        <v>794125.06629999995</v>
      </c>
      <c r="I534" s="22">
        <f>F534*(1+Assumptions!$B$7+IF(D534="Yes",Assumptions!$C$7,0))</f>
        <v>809544.97049999994</v>
      </c>
      <c r="J534" s="22">
        <f>F534*(1+Assumptions!$B$8+IF(D534="Yes",Assumptions!$C$8,0))</f>
        <v>778705.16209999996</v>
      </c>
    </row>
    <row r="535" spans="1:10" ht="15">
      <c r="A535" s="21">
        <v>40963</v>
      </c>
      <c r="B535" s="21">
        <v>40940</v>
      </c>
      <c r="C535" s="17">
        <v>8</v>
      </c>
      <c r="D535" s="17" t="s">
        <v>91</v>
      </c>
      <c r="E535" s="14">
        <v>1393394.11</v>
      </c>
      <c r="F535" s="14">
        <v>1318392.5</v>
      </c>
      <c r="G535" s="14">
        <v>1318392.5</v>
      </c>
      <c r="H535" s="22">
        <f>F535*(1+Assumptions!$B$6+IF(D535="Yes",Assumptions!$C$6,0))</f>
        <v>1357944.2750000001</v>
      </c>
      <c r="I535" s="22">
        <f>F535*(1+Assumptions!$B$7+IF(D535="Yes",Assumptions!$C$7,0))</f>
        <v>1384312.125</v>
      </c>
      <c r="J535" s="22">
        <f>F535*(1+Assumptions!$B$8+IF(D535="Yes",Assumptions!$C$8,0))</f>
        <v>1331576.425</v>
      </c>
    </row>
    <row r="536" spans="1:10" ht="15">
      <c r="A536" s="21">
        <v>40963</v>
      </c>
      <c r="B536" s="21">
        <v>40940</v>
      </c>
      <c r="C536" s="17">
        <v>9</v>
      </c>
      <c r="D536" s="17" t="s">
        <v>91</v>
      </c>
      <c r="E536" s="14">
        <v>666846.12</v>
      </c>
      <c r="F536" s="14">
        <v>604062.69999999995</v>
      </c>
      <c r="G536" s="14">
        <v>604062.69999999995</v>
      </c>
      <c r="H536" s="22">
        <f>F536*(1+Assumptions!$B$6+IF(D536="Yes",Assumptions!$C$6,0))</f>
        <v>622184.58100000001</v>
      </c>
      <c r="I536" s="22">
        <f>F536*(1+Assumptions!$B$7+IF(D536="Yes",Assumptions!$C$7,0))</f>
        <v>634265.83499999996</v>
      </c>
      <c r="J536" s="22">
        <f>F536*(1+Assumptions!$B$8+IF(D536="Yes",Assumptions!$C$8,0))</f>
        <v>610103.32699999993</v>
      </c>
    </row>
    <row r="537" spans="1:10" ht="15">
      <c r="A537" s="21">
        <v>40963</v>
      </c>
      <c r="B537" s="21">
        <v>40940</v>
      </c>
      <c r="C537" s="17">
        <v>10</v>
      </c>
      <c r="D537" s="17" t="s">
        <v>91</v>
      </c>
      <c r="E537" s="14">
        <v>806079.41</v>
      </c>
      <c r="F537" s="14">
        <v>763380.24</v>
      </c>
      <c r="G537" s="14">
        <v>763380.24</v>
      </c>
      <c r="H537" s="22">
        <f>F537*(1+Assumptions!$B$6+IF(D537="Yes",Assumptions!$C$6,0))</f>
        <v>786281.64720000001</v>
      </c>
      <c r="I537" s="22">
        <f>F537*(1+Assumptions!$B$7+IF(D537="Yes",Assumptions!$C$7,0))</f>
        <v>801549.25199999998</v>
      </c>
      <c r="J537" s="22">
        <f>F537*(1+Assumptions!$B$8+IF(D537="Yes",Assumptions!$C$8,0))</f>
        <v>771014.04240000003</v>
      </c>
    </row>
    <row r="538" spans="1:10" ht="15">
      <c r="A538" s="21">
        <v>40963</v>
      </c>
      <c r="B538" s="21">
        <v>40940</v>
      </c>
      <c r="C538" s="17">
        <v>11</v>
      </c>
      <c r="D538" s="17" t="s">
        <v>91</v>
      </c>
      <c r="E538" s="14">
        <v>554226.36</v>
      </c>
      <c r="F538" s="14">
        <v>519862.63</v>
      </c>
      <c r="G538" s="14">
        <v>519862.63</v>
      </c>
      <c r="H538" s="22">
        <f>F538*(1+Assumptions!$B$6+IF(D538="Yes",Assumptions!$C$6,0))</f>
        <v>535458.50890000002</v>
      </c>
      <c r="I538" s="22">
        <f>F538*(1+Assumptions!$B$7+IF(D538="Yes",Assumptions!$C$7,0))</f>
        <v>545855.76150000002</v>
      </c>
      <c r="J538" s="22">
        <f>F538*(1+Assumptions!$B$8+IF(D538="Yes",Assumptions!$C$8,0))</f>
        <v>525061.25630000001</v>
      </c>
    </row>
    <row r="539" spans="1:10" ht="15">
      <c r="A539" s="21">
        <v>40963</v>
      </c>
      <c r="B539" s="21">
        <v>40940</v>
      </c>
      <c r="C539" s="17">
        <v>12</v>
      </c>
      <c r="D539" s="17" t="s">
        <v>91</v>
      </c>
      <c r="E539" s="14">
        <v>177765.95</v>
      </c>
      <c r="F539" s="14">
        <v>167408.15</v>
      </c>
      <c r="G539" s="14">
        <v>167408.15</v>
      </c>
      <c r="H539" s="22">
        <f>F539*(1+Assumptions!$B$6+IF(D539="Yes",Assumptions!$C$6,0))</f>
        <v>172430.39449999999</v>
      </c>
      <c r="I539" s="22">
        <f>F539*(1+Assumptions!$B$7+IF(D539="Yes",Assumptions!$C$7,0))</f>
        <v>175778.5575</v>
      </c>
      <c r="J539" s="22">
        <f>F539*(1+Assumptions!$B$8+IF(D539="Yes",Assumptions!$C$8,0))</f>
        <v>169082.23149999999</v>
      </c>
    </row>
    <row r="540" spans="1:10" ht="15">
      <c r="A540" s="21">
        <v>40963</v>
      </c>
      <c r="B540" s="21">
        <v>40940</v>
      </c>
      <c r="C540" s="17">
        <v>13</v>
      </c>
      <c r="D540" s="17" t="s">
        <v>91</v>
      </c>
      <c r="E540" s="14">
        <v>1399372</v>
      </c>
      <c r="F540" s="14">
        <v>1412626.23</v>
      </c>
      <c r="G540" s="14">
        <v>1412626.23</v>
      </c>
      <c r="H540" s="22">
        <f>F540*(1+Assumptions!$B$6+IF(D540="Yes",Assumptions!$C$6,0))</f>
        <v>1455005.0168999999</v>
      </c>
      <c r="I540" s="22">
        <f>F540*(1+Assumptions!$B$7+IF(D540="Yes",Assumptions!$C$7,0))</f>
        <v>1483257.5415000001</v>
      </c>
      <c r="J540" s="22">
        <f>F540*(1+Assumptions!$B$8+IF(D540="Yes",Assumptions!$C$8,0))</f>
        <v>1426752.4923</v>
      </c>
    </row>
    <row r="541" spans="1:10" ht="15">
      <c r="A541" s="21">
        <v>40963</v>
      </c>
      <c r="B541" s="21">
        <v>40940</v>
      </c>
      <c r="C541" s="17">
        <v>14</v>
      </c>
      <c r="D541" s="17" t="s">
        <v>91</v>
      </c>
      <c r="E541" s="14">
        <v>657521.94000000006</v>
      </c>
      <c r="F541" s="14">
        <v>616903.97</v>
      </c>
      <c r="G541" s="14">
        <v>616903.97</v>
      </c>
      <c r="H541" s="22">
        <f>F541*(1+Assumptions!$B$6+IF(D541="Yes",Assumptions!$C$6,0))</f>
        <v>635411.08909999998</v>
      </c>
      <c r="I541" s="22">
        <f>F541*(1+Assumptions!$B$7+IF(D541="Yes",Assumptions!$C$7,0))</f>
        <v>647749.16850000003</v>
      </c>
      <c r="J541" s="22">
        <f>F541*(1+Assumptions!$B$8+IF(D541="Yes",Assumptions!$C$8,0))</f>
        <v>623073.00969999994</v>
      </c>
    </row>
    <row r="542" spans="1:10" ht="15">
      <c r="A542" s="21">
        <v>40963</v>
      </c>
      <c r="B542" s="21">
        <v>40940</v>
      </c>
      <c r="C542" s="17">
        <v>16</v>
      </c>
      <c r="D542" s="17" t="s">
        <v>91</v>
      </c>
      <c r="E542" s="14">
        <v>293763.11</v>
      </c>
      <c r="F542" s="14">
        <v>320291.86</v>
      </c>
      <c r="G542" s="14">
        <v>320291.86</v>
      </c>
      <c r="H542" s="22">
        <f>F542*(1+Assumptions!$B$6+IF(D542="Yes",Assumptions!$C$6,0))</f>
        <v>329900.61579999997</v>
      </c>
      <c r="I542" s="22">
        <f>F542*(1+Assumptions!$B$7+IF(D542="Yes",Assumptions!$C$7,0))</f>
        <v>336306.45299999998</v>
      </c>
      <c r="J542" s="22">
        <f>F542*(1+Assumptions!$B$8+IF(D542="Yes",Assumptions!$C$8,0))</f>
        <v>323494.77859999996</v>
      </c>
    </row>
    <row r="543" spans="1:10" ht="15">
      <c r="A543" s="21">
        <v>40963</v>
      </c>
      <c r="B543" s="21">
        <v>40940</v>
      </c>
      <c r="C543" s="17">
        <v>17</v>
      </c>
      <c r="D543" s="17" t="s">
        <v>91</v>
      </c>
      <c r="E543" s="14">
        <v>500769.49</v>
      </c>
      <c r="F543" s="14">
        <v>493144.29</v>
      </c>
      <c r="G543" s="14">
        <v>493144.29</v>
      </c>
      <c r="H543" s="22">
        <f>F543*(1+Assumptions!$B$6+IF(D543="Yes",Assumptions!$C$6,0))</f>
        <v>507938.61869999999</v>
      </c>
      <c r="I543" s="22">
        <f>F543*(1+Assumptions!$B$7+IF(D543="Yes",Assumptions!$C$7,0))</f>
        <v>517801.50449999998</v>
      </c>
      <c r="J543" s="22">
        <f>F543*(1+Assumptions!$B$8+IF(D543="Yes",Assumptions!$C$8,0))</f>
        <v>498075.7329</v>
      </c>
    </row>
    <row r="544" spans="1:10" ht="15">
      <c r="A544" s="21">
        <v>40963</v>
      </c>
      <c r="B544" s="21">
        <v>40940</v>
      </c>
      <c r="C544" s="17">
        <v>18</v>
      </c>
      <c r="D544" s="17" t="s">
        <v>91</v>
      </c>
      <c r="E544" s="14">
        <v>57696.92</v>
      </c>
      <c r="F544" s="14">
        <v>21819.73</v>
      </c>
      <c r="G544" s="14">
        <v>21819.73</v>
      </c>
      <c r="H544" s="22">
        <f>F544*(1+Assumptions!$B$6+IF(D544="Yes",Assumptions!$C$6,0))</f>
        <v>22474.321899999999</v>
      </c>
      <c r="I544" s="22">
        <f>F544*(1+Assumptions!$B$7+IF(D544="Yes",Assumptions!$C$7,0))</f>
        <v>22910.716500000002</v>
      </c>
      <c r="J544" s="22">
        <f>F544*(1+Assumptions!$B$8+IF(D544="Yes",Assumptions!$C$8,0))</f>
        <v>22037.927299999999</v>
      </c>
    </row>
    <row r="545" spans="1:10" ht="15">
      <c r="A545" s="21">
        <v>40963</v>
      </c>
      <c r="B545" s="21">
        <v>40940</v>
      </c>
      <c r="C545" s="17">
        <v>19</v>
      </c>
      <c r="D545" s="17" t="s">
        <v>91</v>
      </c>
      <c r="E545" s="14">
        <v>47470.6</v>
      </c>
      <c r="F545" s="14">
        <v>51437.200000000004</v>
      </c>
      <c r="G545" s="14">
        <v>51437.200000000004</v>
      </c>
      <c r="H545" s="22">
        <f>F545*(1+Assumptions!$B$6+IF(D545="Yes",Assumptions!$C$6,0))</f>
        <v>52980.316000000006</v>
      </c>
      <c r="I545" s="22">
        <f>F545*(1+Assumptions!$B$7+IF(D545="Yes",Assumptions!$C$7,0))</f>
        <v>54009.060000000005</v>
      </c>
      <c r="J545" s="22">
        <f>F545*(1+Assumptions!$B$8+IF(D545="Yes",Assumptions!$C$8,0))</f>
        <v>51951.572000000007</v>
      </c>
    </row>
    <row r="546" spans="1:10" ht="15">
      <c r="A546" s="21">
        <v>40963</v>
      </c>
      <c r="B546" s="21">
        <v>40940</v>
      </c>
      <c r="C546" s="17">
        <v>20</v>
      </c>
      <c r="D546" s="17" t="s">
        <v>91</v>
      </c>
      <c r="E546" s="14">
        <v>243240.34</v>
      </c>
      <c r="F546" s="14">
        <v>230915.92</v>
      </c>
      <c r="G546" s="14">
        <v>230915.92</v>
      </c>
      <c r="H546" s="22">
        <f>F546*(1+Assumptions!$B$6+IF(D546="Yes",Assumptions!$C$6,0))</f>
        <v>237843.39760000003</v>
      </c>
      <c r="I546" s="22">
        <f>F546*(1+Assumptions!$B$7+IF(D546="Yes",Assumptions!$C$7,0))</f>
        <v>242461.71600000001</v>
      </c>
      <c r="J546" s="22">
        <f>F546*(1+Assumptions!$B$8+IF(D546="Yes",Assumptions!$C$8,0))</f>
        <v>233225.07920000001</v>
      </c>
    </row>
    <row r="547" spans="1:10" ht="15">
      <c r="A547" s="21">
        <v>40963</v>
      </c>
      <c r="B547" s="21">
        <v>40940</v>
      </c>
      <c r="C547" s="17">
        <v>21</v>
      </c>
      <c r="D547" s="17" t="s">
        <v>91</v>
      </c>
      <c r="E547" s="14">
        <v>212310.06</v>
      </c>
      <c r="F547" s="14">
        <v>215785.35</v>
      </c>
      <c r="G547" s="14">
        <v>215785.35</v>
      </c>
      <c r="H547" s="22">
        <f>F547*(1+Assumptions!$B$6+IF(D547="Yes",Assumptions!$C$6,0))</f>
        <v>222258.9105</v>
      </c>
      <c r="I547" s="22">
        <f>F547*(1+Assumptions!$B$7+IF(D547="Yes",Assumptions!$C$7,0))</f>
        <v>226574.61750000002</v>
      </c>
      <c r="J547" s="22">
        <f>F547*(1+Assumptions!$B$8+IF(D547="Yes",Assumptions!$C$8,0))</f>
        <v>217943.2035</v>
      </c>
    </row>
    <row r="548" spans="1:10" ht="15">
      <c r="A548" s="21">
        <v>40963</v>
      </c>
      <c r="B548" s="21">
        <v>40940</v>
      </c>
      <c r="C548" s="17">
        <v>22</v>
      </c>
      <c r="D548" s="17" t="s">
        <v>91</v>
      </c>
      <c r="E548" s="14">
        <v>499891.62</v>
      </c>
      <c r="F548" s="14">
        <v>461657.17</v>
      </c>
      <c r="G548" s="14">
        <v>461657.17</v>
      </c>
      <c r="H548" s="22">
        <f>F548*(1+Assumptions!$B$6+IF(D548="Yes",Assumptions!$C$6,0))</f>
        <v>475506.88510000001</v>
      </c>
      <c r="I548" s="22">
        <f>F548*(1+Assumptions!$B$7+IF(D548="Yes",Assumptions!$C$7,0))</f>
        <v>484740.02850000001</v>
      </c>
      <c r="J548" s="22">
        <f>F548*(1+Assumptions!$B$8+IF(D548="Yes",Assumptions!$C$8,0))</f>
        <v>466273.74170000001</v>
      </c>
    </row>
    <row r="549" spans="1:10" ht="15">
      <c r="A549" s="21">
        <v>40963</v>
      </c>
      <c r="B549" s="21">
        <v>40940</v>
      </c>
      <c r="C549" s="17">
        <v>23</v>
      </c>
      <c r="D549" s="17" t="s">
        <v>91</v>
      </c>
      <c r="E549" s="14">
        <v>863472.13</v>
      </c>
      <c r="F549" s="14">
        <v>826046.77</v>
      </c>
      <c r="G549" s="14">
        <v>826046.77</v>
      </c>
      <c r="H549" s="22">
        <f>F549*(1+Assumptions!$B$6+IF(D549="Yes",Assumptions!$C$6,0))</f>
        <v>850828.17310000001</v>
      </c>
      <c r="I549" s="22">
        <f>F549*(1+Assumptions!$B$7+IF(D549="Yes",Assumptions!$C$7,0))</f>
        <v>867349.10850000009</v>
      </c>
      <c r="J549" s="22">
        <f>F549*(1+Assumptions!$B$8+IF(D549="Yes",Assumptions!$C$8,0))</f>
        <v>834307.23770000006</v>
      </c>
    </row>
    <row r="550" spans="1:10" ht="15">
      <c r="A550" s="21">
        <v>40963</v>
      </c>
      <c r="B550" s="21">
        <v>40940</v>
      </c>
      <c r="C550" s="17">
        <v>24</v>
      </c>
      <c r="D550" s="17" t="s">
        <v>91</v>
      </c>
      <c r="E550" s="14">
        <v>208196.36</v>
      </c>
      <c r="F550" s="14">
        <v>194659.38</v>
      </c>
      <c r="G550" s="14">
        <v>194659.38</v>
      </c>
      <c r="H550" s="22">
        <f>F550*(1+Assumptions!$B$6+IF(D550="Yes",Assumptions!$C$6,0))</f>
        <v>200499.16140000001</v>
      </c>
      <c r="I550" s="22">
        <f>F550*(1+Assumptions!$B$7+IF(D550="Yes",Assumptions!$C$7,0))</f>
        <v>204392.34900000002</v>
      </c>
      <c r="J550" s="22">
        <f>F550*(1+Assumptions!$B$8+IF(D550="Yes",Assumptions!$C$8,0))</f>
        <v>196605.97380000001</v>
      </c>
    </row>
    <row r="551" spans="1:10" ht="15">
      <c r="A551" s="21">
        <v>40963</v>
      </c>
      <c r="B551" s="21">
        <v>40940</v>
      </c>
      <c r="C551" s="17">
        <v>25</v>
      </c>
      <c r="D551" s="17" t="s">
        <v>91</v>
      </c>
      <c r="E551" s="14">
        <v>366409.42</v>
      </c>
      <c r="F551" s="14">
        <v>342796.41</v>
      </c>
      <c r="G551" s="14">
        <v>342796.41</v>
      </c>
      <c r="H551" s="22">
        <f>F551*(1+Assumptions!$B$6+IF(D551="Yes",Assumptions!$C$6,0))</f>
        <v>353080.30229999998</v>
      </c>
      <c r="I551" s="22">
        <f>F551*(1+Assumptions!$B$7+IF(D551="Yes",Assumptions!$C$7,0))</f>
        <v>359936.23050000001</v>
      </c>
      <c r="J551" s="22">
        <f>F551*(1+Assumptions!$B$8+IF(D551="Yes",Assumptions!$C$8,0))</f>
        <v>346224.37409999996</v>
      </c>
    </row>
    <row r="552" spans="1:10" ht="15">
      <c r="A552" s="21">
        <v>40963</v>
      </c>
      <c r="B552" s="21">
        <v>40940</v>
      </c>
      <c r="C552" s="17">
        <v>26</v>
      </c>
      <c r="D552" s="17" t="s">
        <v>91</v>
      </c>
      <c r="E552" s="14">
        <v>306905.19</v>
      </c>
      <c r="F552" s="14">
        <v>308754.44</v>
      </c>
      <c r="G552" s="14">
        <v>308754.44</v>
      </c>
      <c r="H552" s="22">
        <f>F552*(1+Assumptions!$B$6+IF(D552="Yes",Assumptions!$C$6,0))</f>
        <v>318017.07319999998</v>
      </c>
      <c r="I552" s="22">
        <f>F552*(1+Assumptions!$B$7+IF(D552="Yes",Assumptions!$C$7,0))</f>
        <v>324192.16200000001</v>
      </c>
      <c r="J552" s="22">
        <f>F552*(1+Assumptions!$B$8+IF(D552="Yes",Assumptions!$C$8,0))</f>
        <v>311841.98440000002</v>
      </c>
    </row>
    <row r="553" spans="1:10" ht="15">
      <c r="A553" s="21">
        <v>40963</v>
      </c>
      <c r="B553" s="21">
        <v>40940</v>
      </c>
      <c r="C553" s="17">
        <v>27</v>
      </c>
      <c r="D553" s="17" t="s">
        <v>91</v>
      </c>
      <c r="E553" s="14">
        <v>71774.880000000005</v>
      </c>
      <c r="F553" s="14">
        <v>65690.86</v>
      </c>
      <c r="G553" s="14">
        <v>65690.86</v>
      </c>
      <c r="H553" s="22">
        <f>F553*(1+Assumptions!$B$6+IF(D553="Yes",Assumptions!$C$6,0))</f>
        <v>67661.585800000001</v>
      </c>
      <c r="I553" s="22">
        <f>F553*(1+Assumptions!$B$7+IF(D553="Yes",Assumptions!$C$7,0))</f>
        <v>68975.403000000006</v>
      </c>
      <c r="J553" s="22">
        <f>F553*(1+Assumptions!$B$8+IF(D553="Yes",Assumptions!$C$8,0))</f>
        <v>66347.768599999996</v>
      </c>
    </row>
    <row r="554" spans="1:10" ht="15">
      <c r="A554" s="21">
        <v>40963</v>
      </c>
      <c r="B554" s="21">
        <v>40940</v>
      </c>
      <c r="C554" s="17">
        <v>28</v>
      </c>
      <c r="D554" s="17" t="s">
        <v>91</v>
      </c>
      <c r="E554" s="14">
        <v>29189.46</v>
      </c>
      <c r="F554" s="14">
        <v>28592.36</v>
      </c>
      <c r="G554" s="14">
        <v>28592.36</v>
      </c>
      <c r="H554" s="22">
        <f>F554*(1+Assumptions!$B$6+IF(D554="Yes",Assumptions!$C$6,0))</f>
        <v>29450.130800000003</v>
      </c>
      <c r="I554" s="22">
        <f>F554*(1+Assumptions!$B$7+IF(D554="Yes",Assumptions!$C$7,0))</f>
        <v>30021.978000000003</v>
      </c>
      <c r="J554" s="22">
        <f>F554*(1+Assumptions!$B$8+IF(D554="Yes",Assumptions!$C$8,0))</f>
        <v>28878.283600000002</v>
      </c>
    </row>
    <row r="555" spans="1:10" ht="15">
      <c r="A555" s="21">
        <v>40963</v>
      </c>
      <c r="B555" s="21">
        <v>40940</v>
      </c>
      <c r="C555" s="17">
        <v>29</v>
      </c>
      <c r="D555" s="17" t="s">
        <v>91</v>
      </c>
      <c r="E555" s="14">
        <v>223697.42</v>
      </c>
      <c r="F555" s="14">
        <v>199689.1</v>
      </c>
      <c r="G555" s="14">
        <v>199689.1</v>
      </c>
      <c r="H555" s="22">
        <f>F555*(1+Assumptions!$B$6+IF(D555="Yes",Assumptions!$C$6,0))</f>
        <v>205679.77300000002</v>
      </c>
      <c r="I555" s="22">
        <f>F555*(1+Assumptions!$B$7+IF(D555="Yes",Assumptions!$C$7,0))</f>
        <v>209673.55500000002</v>
      </c>
      <c r="J555" s="22">
        <f>F555*(1+Assumptions!$B$8+IF(D555="Yes",Assumptions!$C$8,0))</f>
        <v>201685.99100000001</v>
      </c>
    </row>
    <row r="556" spans="1:10" ht="15">
      <c r="A556" s="21">
        <v>40963</v>
      </c>
      <c r="B556" s="21">
        <v>40940</v>
      </c>
      <c r="C556" s="17">
        <v>30</v>
      </c>
      <c r="D556" s="17" t="s">
        <v>91</v>
      </c>
      <c r="E556" s="14">
        <v>148607.15</v>
      </c>
      <c r="F556" s="14">
        <v>164017.23000000001</v>
      </c>
      <c r="G556" s="14">
        <v>164017.23000000001</v>
      </c>
      <c r="H556" s="22">
        <f>F556*(1+Assumptions!$B$6+IF(D556="Yes",Assumptions!$C$6,0))</f>
        <v>168937.74690000003</v>
      </c>
      <c r="I556" s="22">
        <f>F556*(1+Assumptions!$B$7+IF(D556="Yes",Assumptions!$C$7,0))</f>
        <v>172218.09150000001</v>
      </c>
      <c r="J556" s="22">
        <f>F556*(1+Assumptions!$B$8+IF(D556="Yes",Assumptions!$C$8,0))</f>
        <v>165657.40230000002</v>
      </c>
    </row>
    <row r="557" spans="1:10" ht="15">
      <c r="A557" s="21">
        <v>40963</v>
      </c>
      <c r="B557" s="21">
        <v>40940</v>
      </c>
      <c r="C557" s="17">
        <v>31</v>
      </c>
      <c r="D557" s="17" t="s">
        <v>91</v>
      </c>
      <c r="E557" s="14">
        <v>73637.460000000006</v>
      </c>
      <c r="F557" s="14">
        <v>81191.16</v>
      </c>
      <c r="G557" s="14">
        <v>81191.16</v>
      </c>
      <c r="H557" s="22">
        <f>F557*(1+Assumptions!$B$6+IF(D557="Yes",Assumptions!$C$6,0))</f>
        <v>83626.894800000009</v>
      </c>
      <c r="I557" s="22">
        <f>F557*(1+Assumptions!$B$7+IF(D557="Yes",Assumptions!$C$7,0))</f>
        <v>85250.718000000008</v>
      </c>
      <c r="J557" s="22">
        <f>F557*(1+Assumptions!$B$8+IF(D557="Yes",Assumptions!$C$8,0))</f>
        <v>82003.07160000001</v>
      </c>
    </row>
    <row r="558" spans="1:10" ht="15">
      <c r="A558" s="21">
        <v>40963</v>
      </c>
      <c r="B558" s="21">
        <v>40940</v>
      </c>
      <c r="C558" s="17">
        <v>32</v>
      </c>
      <c r="D558" s="17" t="s">
        <v>91</v>
      </c>
      <c r="E558" s="14">
        <v>254578.02</v>
      </c>
      <c r="F558" s="14">
        <v>264383.37</v>
      </c>
      <c r="G558" s="14">
        <v>264383.37</v>
      </c>
      <c r="H558" s="22">
        <f>F558*(1+Assumptions!$B$6+IF(D558="Yes",Assumptions!$C$6,0))</f>
        <v>272314.87109999999</v>
      </c>
      <c r="I558" s="22">
        <f>F558*(1+Assumptions!$B$7+IF(D558="Yes",Assumptions!$C$7,0))</f>
        <v>277602.53850000002</v>
      </c>
      <c r="J558" s="22">
        <f>F558*(1+Assumptions!$B$8+IF(D558="Yes",Assumptions!$C$8,0))</f>
        <v>267027.20370000001</v>
      </c>
    </row>
    <row r="559" spans="1:10" ht="15">
      <c r="A559" s="21">
        <v>40963</v>
      </c>
      <c r="B559" s="21">
        <v>40940</v>
      </c>
      <c r="C559" s="17">
        <v>33</v>
      </c>
      <c r="D559" s="17" t="s">
        <v>91</v>
      </c>
      <c r="E559" s="14">
        <v>209935.86000000002</v>
      </c>
      <c r="F559" s="14">
        <v>205202.44</v>
      </c>
      <c r="G559" s="14">
        <v>205202.44</v>
      </c>
      <c r="H559" s="22">
        <f>F559*(1+Assumptions!$B$6+IF(D559="Yes",Assumptions!$C$6,0))</f>
        <v>211358.51320000002</v>
      </c>
      <c r="I559" s="22">
        <f>F559*(1+Assumptions!$B$7+IF(D559="Yes",Assumptions!$C$7,0))</f>
        <v>215462.56200000001</v>
      </c>
      <c r="J559" s="22">
        <f>F559*(1+Assumptions!$B$8+IF(D559="Yes",Assumptions!$C$8,0))</f>
        <v>207254.4644</v>
      </c>
    </row>
    <row r="560" spans="1:10" ht="15">
      <c r="A560" s="21">
        <v>40963</v>
      </c>
      <c r="B560" s="21">
        <v>40940</v>
      </c>
      <c r="C560" s="17">
        <v>34</v>
      </c>
      <c r="D560" s="17" t="s">
        <v>91</v>
      </c>
      <c r="E560" s="14">
        <v>569193.75</v>
      </c>
      <c r="F560" s="14">
        <v>534436.81999999995</v>
      </c>
      <c r="G560" s="14">
        <v>534436.81999999995</v>
      </c>
      <c r="H560" s="22">
        <f>F560*(1+Assumptions!$B$6+IF(D560="Yes",Assumptions!$C$6,0))</f>
        <v>550469.92459999991</v>
      </c>
      <c r="I560" s="22">
        <f>F560*(1+Assumptions!$B$7+IF(D560="Yes",Assumptions!$C$7,0))</f>
        <v>561158.66099999996</v>
      </c>
      <c r="J560" s="22">
        <f>F560*(1+Assumptions!$B$8+IF(D560="Yes",Assumptions!$C$8,0))</f>
        <v>539781.18819999998</v>
      </c>
    </row>
    <row r="561" spans="1:10" ht="15">
      <c r="A561" s="21">
        <v>40963</v>
      </c>
      <c r="B561" s="21">
        <v>40940</v>
      </c>
      <c r="C561" s="17">
        <v>35</v>
      </c>
      <c r="D561" s="17" t="s">
        <v>91</v>
      </c>
      <c r="E561" s="14">
        <v>109654.23</v>
      </c>
      <c r="F561" s="14">
        <v>100993.54</v>
      </c>
      <c r="G561" s="14">
        <v>100993.54</v>
      </c>
      <c r="H561" s="22">
        <f>F561*(1+Assumptions!$B$6+IF(D561="Yes",Assumptions!$C$6,0))</f>
        <v>104023.3462</v>
      </c>
      <c r="I561" s="22">
        <f>F561*(1+Assumptions!$B$7+IF(D561="Yes",Assumptions!$C$7,0))</f>
        <v>106043.217</v>
      </c>
      <c r="J561" s="22">
        <f>F561*(1+Assumptions!$B$8+IF(D561="Yes",Assumptions!$C$8,0))</f>
        <v>102003.4754</v>
      </c>
    </row>
    <row r="562" spans="1:10" ht="15">
      <c r="A562" s="21">
        <v>40963</v>
      </c>
      <c r="B562" s="21">
        <v>40940</v>
      </c>
      <c r="C562" s="17">
        <v>36</v>
      </c>
      <c r="D562" s="17" t="s">
        <v>91</v>
      </c>
      <c r="E562" s="14">
        <v>60776.35</v>
      </c>
      <c r="F562" s="14">
        <v>37483.75</v>
      </c>
      <c r="G562" s="14">
        <v>37483.75</v>
      </c>
      <c r="H562" s="22">
        <f>F562*(1+Assumptions!$B$6+IF(D562="Yes",Assumptions!$C$6,0))</f>
        <v>38608.262500000004</v>
      </c>
      <c r="I562" s="22">
        <f>F562*(1+Assumptions!$B$7+IF(D562="Yes",Assumptions!$C$7,0))</f>
        <v>39357.9375</v>
      </c>
      <c r="J562" s="22">
        <f>F562*(1+Assumptions!$B$8+IF(D562="Yes",Assumptions!$C$8,0))</f>
        <v>37858.587500000001</v>
      </c>
    </row>
    <row r="563" spans="1:10" ht="15">
      <c r="A563" s="21">
        <v>40963</v>
      </c>
      <c r="B563" s="21">
        <v>40940</v>
      </c>
      <c r="C563" s="17">
        <v>37</v>
      </c>
      <c r="D563" s="17" t="s">
        <v>91</v>
      </c>
      <c r="E563" s="14">
        <v>58145.69</v>
      </c>
      <c r="F563" s="14">
        <v>56316.37</v>
      </c>
      <c r="G563" s="14">
        <v>56316.37</v>
      </c>
      <c r="H563" s="22">
        <f>F563*(1+Assumptions!$B$6+IF(D563="Yes",Assumptions!$C$6,0))</f>
        <v>58005.861100000002</v>
      </c>
      <c r="I563" s="22">
        <f>F563*(1+Assumptions!$B$7+IF(D563="Yes",Assumptions!$C$7,0))</f>
        <v>59132.188500000004</v>
      </c>
      <c r="J563" s="22">
        <f>F563*(1+Assumptions!$B$8+IF(D563="Yes",Assumptions!$C$8,0))</f>
        <v>56879.5337</v>
      </c>
    </row>
    <row r="564" spans="1:10" ht="15">
      <c r="A564" s="21">
        <v>40963</v>
      </c>
      <c r="B564" s="21">
        <v>40940</v>
      </c>
      <c r="C564" s="17">
        <v>38</v>
      </c>
      <c r="D564" s="17" t="s">
        <v>91</v>
      </c>
      <c r="E564" s="14">
        <v>2787724.43</v>
      </c>
      <c r="F564" s="14">
        <v>2766755.7800000003</v>
      </c>
      <c r="G564" s="14">
        <v>2766755.7800000003</v>
      </c>
      <c r="H564" s="22">
        <f>F564*(1+Assumptions!$B$6+IF(D564="Yes",Assumptions!$C$6,0))</f>
        <v>2849758.4534000005</v>
      </c>
      <c r="I564" s="22">
        <f>F564*(1+Assumptions!$B$7+IF(D564="Yes",Assumptions!$C$7,0))</f>
        <v>2905093.5690000006</v>
      </c>
      <c r="J564" s="22">
        <f>F564*(1+Assumptions!$B$8+IF(D564="Yes",Assumptions!$C$8,0))</f>
        <v>2794423.3378000003</v>
      </c>
    </row>
    <row r="565" spans="1:10" ht="15">
      <c r="A565" s="21">
        <v>40963</v>
      </c>
      <c r="B565" s="21">
        <v>40940</v>
      </c>
      <c r="C565" s="17">
        <v>40</v>
      </c>
      <c r="D565" s="17" t="s">
        <v>91</v>
      </c>
      <c r="E565" s="14">
        <v>2173879.81</v>
      </c>
      <c r="F565" s="14">
        <v>2078314.72</v>
      </c>
      <c r="G565" s="14">
        <v>2078314.72</v>
      </c>
      <c r="H565" s="22">
        <f>F565*(1+Assumptions!$B$6+IF(D565="Yes",Assumptions!$C$6,0))</f>
        <v>2140664.1616000002</v>
      </c>
      <c r="I565" s="22">
        <f>F565*(1+Assumptions!$B$7+IF(D565="Yes",Assumptions!$C$7,0))</f>
        <v>2182230.4560000002</v>
      </c>
      <c r="J565" s="22">
        <f>F565*(1+Assumptions!$B$8+IF(D565="Yes",Assumptions!$C$8,0))</f>
        <v>2099097.8672000002</v>
      </c>
    </row>
    <row r="566" spans="1:10" ht="15">
      <c r="A566" s="21">
        <v>40963</v>
      </c>
      <c r="B566" s="21">
        <v>40940</v>
      </c>
      <c r="C566" s="17">
        <v>41</v>
      </c>
      <c r="D566" s="17" t="s">
        <v>91</v>
      </c>
      <c r="E566" s="14">
        <v>47419.950000000004</v>
      </c>
      <c r="F566" s="14">
        <v>49176.57</v>
      </c>
      <c r="G566" s="14">
        <v>49176.57</v>
      </c>
      <c r="H566" s="22">
        <f>F566*(1+Assumptions!$B$6+IF(D566="Yes",Assumptions!$C$6,0))</f>
        <v>50651.867100000003</v>
      </c>
      <c r="I566" s="22">
        <f>F566*(1+Assumptions!$B$7+IF(D566="Yes",Assumptions!$C$7,0))</f>
        <v>51635.398500000003</v>
      </c>
      <c r="J566" s="22">
        <f>F566*(1+Assumptions!$B$8+IF(D566="Yes",Assumptions!$C$8,0))</f>
        <v>49668.335700000003</v>
      </c>
    </row>
    <row r="567" spans="1:10" ht="15">
      <c r="A567" s="21">
        <v>40963</v>
      </c>
      <c r="B567" s="21">
        <v>40940</v>
      </c>
      <c r="C567" s="17">
        <v>42</v>
      </c>
      <c r="D567" s="17" t="s">
        <v>91</v>
      </c>
      <c r="E567" s="14">
        <v>249013.15</v>
      </c>
      <c r="F567" s="14">
        <v>219545.78</v>
      </c>
      <c r="G567" s="14">
        <v>219545.78</v>
      </c>
      <c r="H567" s="22">
        <f>F567*(1+Assumptions!$B$6+IF(D567="Yes",Assumptions!$C$6,0))</f>
        <v>226132.15340000001</v>
      </c>
      <c r="I567" s="22">
        <f>F567*(1+Assumptions!$B$7+IF(D567="Yes",Assumptions!$C$7,0))</f>
        <v>230523.06900000002</v>
      </c>
      <c r="J567" s="22">
        <f>F567*(1+Assumptions!$B$8+IF(D567="Yes",Assumptions!$C$8,0))</f>
        <v>221741.2378</v>
      </c>
    </row>
    <row r="568" spans="1:10" ht="15">
      <c r="A568" s="21">
        <v>40963</v>
      </c>
      <c r="B568" s="21">
        <v>40940</v>
      </c>
      <c r="C568" s="17">
        <v>44</v>
      </c>
      <c r="D568" s="17" t="s">
        <v>91</v>
      </c>
      <c r="E568" s="14">
        <v>169035.51</v>
      </c>
      <c r="F568" s="14">
        <v>157235.53</v>
      </c>
      <c r="G568" s="14">
        <v>157235.53</v>
      </c>
      <c r="H568" s="22">
        <f>F568*(1+Assumptions!$B$6+IF(D568="Yes",Assumptions!$C$6,0))</f>
        <v>161952.59590000001</v>
      </c>
      <c r="I568" s="22">
        <f>F568*(1+Assumptions!$B$7+IF(D568="Yes",Assumptions!$C$7,0))</f>
        <v>165097.30650000001</v>
      </c>
      <c r="J568" s="22">
        <f>F568*(1+Assumptions!$B$8+IF(D568="Yes",Assumptions!$C$8,0))</f>
        <v>158807.88529999999</v>
      </c>
    </row>
    <row r="569" spans="1:10" ht="15">
      <c r="A569" s="21">
        <v>40963</v>
      </c>
      <c r="B569" s="21">
        <v>40940</v>
      </c>
      <c r="C569" s="17">
        <v>45</v>
      </c>
      <c r="D569" s="17" t="s">
        <v>91</v>
      </c>
      <c r="E569" s="14">
        <v>167.55</v>
      </c>
      <c r="F569" s="14">
        <v>106.67</v>
      </c>
      <c r="G569" s="14">
        <v>106.67</v>
      </c>
      <c r="H569" s="22">
        <f>F569*(1+Assumptions!$B$6+IF(D569="Yes",Assumptions!$C$6,0))</f>
        <v>109.87010000000001</v>
      </c>
      <c r="I569" s="22">
        <f>F569*(1+Assumptions!$B$7+IF(D569="Yes",Assumptions!$C$7,0))</f>
        <v>112.0035</v>
      </c>
      <c r="J569" s="22">
        <f>F569*(1+Assumptions!$B$8+IF(D569="Yes",Assumptions!$C$8,0))</f>
        <v>107.7367</v>
      </c>
    </row>
    <row r="570" spans="1:10" ht="15">
      <c r="A570" s="21">
        <v>40963</v>
      </c>
      <c r="B570" s="21">
        <v>40940</v>
      </c>
      <c r="C570" s="17">
        <v>46</v>
      </c>
      <c r="D570" s="17" t="s">
        <v>91</v>
      </c>
      <c r="E570" s="14">
        <v>903703.73</v>
      </c>
      <c r="F570" s="14">
        <v>862319.44</v>
      </c>
      <c r="G570" s="14">
        <v>862319.44</v>
      </c>
      <c r="H570" s="22">
        <f>F570*(1+Assumptions!$B$6+IF(D570="Yes",Assumptions!$C$6,0))</f>
        <v>888189.02319999994</v>
      </c>
      <c r="I570" s="22">
        <f>F570*(1+Assumptions!$B$7+IF(D570="Yes",Assumptions!$C$7,0))</f>
        <v>905435.41200000001</v>
      </c>
      <c r="J570" s="22">
        <f>F570*(1+Assumptions!$B$8+IF(D570="Yes",Assumptions!$C$8,0))</f>
        <v>870942.63439999998</v>
      </c>
    </row>
    <row r="571" spans="1:10" ht="15">
      <c r="A571" s="21">
        <v>40963</v>
      </c>
      <c r="B571" s="21">
        <v>40940</v>
      </c>
      <c r="C571" s="17">
        <v>47</v>
      </c>
      <c r="D571" s="17" t="s">
        <v>91</v>
      </c>
      <c r="E571" s="14">
        <v>-149</v>
      </c>
      <c r="F571" s="14">
        <v>-97</v>
      </c>
      <c r="G571" s="14">
        <v>-97</v>
      </c>
      <c r="H571" s="22">
        <f>F571*(1+Assumptions!$B$6+IF(D571="Yes",Assumptions!$C$6,0))</f>
        <v>-99.91</v>
      </c>
      <c r="I571" s="22">
        <f>F571*(1+Assumptions!$B$7+IF(D571="Yes",Assumptions!$C$7,0))</f>
        <v>-101.85000000000001</v>
      </c>
      <c r="J571" s="22">
        <f>F571*(1+Assumptions!$B$8+IF(D571="Yes",Assumptions!$C$8,0))</f>
        <v>-97.97</v>
      </c>
    </row>
    <row r="572" spans="1:10" ht="15">
      <c r="A572" s="21">
        <v>40963</v>
      </c>
      <c r="B572" s="21">
        <v>40940</v>
      </c>
      <c r="C572" s="17">
        <v>48</v>
      </c>
      <c r="D572" s="17" t="s">
        <v>91</v>
      </c>
      <c r="E572" s="14">
        <v>21116</v>
      </c>
      <c r="F572" s="14">
        <v>15320</v>
      </c>
      <c r="G572" s="14">
        <v>15320</v>
      </c>
      <c r="H572" s="22">
        <f>F572*(1+Assumptions!$B$6+IF(D572="Yes",Assumptions!$C$6,0))</f>
        <v>15779.6</v>
      </c>
      <c r="I572" s="22">
        <f>F572*(1+Assumptions!$B$7+IF(D572="Yes",Assumptions!$C$7,0))</f>
        <v>16086</v>
      </c>
      <c r="J572" s="22">
        <f>F572*(1+Assumptions!$B$8+IF(D572="Yes",Assumptions!$C$8,0))</f>
        <v>15473.2</v>
      </c>
    </row>
    <row r="573" spans="1:10" ht="15">
      <c r="A573" s="21">
        <v>40963</v>
      </c>
      <c r="B573" s="21">
        <v>40940</v>
      </c>
      <c r="C573" s="17">
        <v>49</v>
      </c>
      <c r="D573" s="17" t="s">
        <v>91</v>
      </c>
      <c r="E573" s="14">
        <v>303006.56</v>
      </c>
      <c r="F573" s="14">
        <v>312745.58</v>
      </c>
      <c r="G573" s="14">
        <v>312745.58</v>
      </c>
      <c r="H573" s="22">
        <f>F573*(1+Assumptions!$B$6+IF(D573="Yes",Assumptions!$C$6,0))</f>
        <v>322127.9474</v>
      </c>
      <c r="I573" s="22">
        <f>F573*(1+Assumptions!$B$7+IF(D573="Yes",Assumptions!$C$7,0))</f>
        <v>328382.85900000005</v>
      </c>
      <c r="J573" s="22">
        <f>F573*(1+Assumptions!$B$8+IF(D573="Yes",Assumptions!$C$8,0))</f>
        <v>315873.03580000001</v>
      </c>
    </row>
    <row r="574" spans="1:10" ht="15">
      <c r="A574" s="21">
        <v>40963</v>
      </c>
      <c r="B574" s="21">
        <v>40940</v>
      </c>
      <c r="C574" s="17">
        <v>50</v>
      </c>
      <c r="D574" s="17" t="s">
        <v>91</v>
      </c>
      <c r="E574" s="14">
        <v>33916.699999999997</v>
      </c>
      <c r="F574" s="14">
        <v>34189.72</v>
      </c>
      <c r="G574" s="14">
        <v>34189.72</v>
      </c>
      <c r="H574" s="22">
        <f>F574*(1+Assumptions!$B$6+IF(D574="Yes",Assumptions!$C$6,0))</f>
        <v>35215.411599999999</v>
      </c>
      <c r="I574" s="22">
        <f>F574*(1+Assumptions!$B$7+IF(D574="Yes",Assumptions!$C$7,0))</f>
        <v>35899.206000000006</v>
      </c>
      <c r="J574" s="22">
        <f>F574*(1+Assumptions!$B$8+IF(D574="Yes",Assumptions!$C$8,0))</f>
        <v>34531.617200000001</v>
      </c>
    </row>
    <row r="575" spans="1:10" ht="15">
      <c r="A575" s="21">
        <v>40963</v>
      </c>
      <c r="B575" s="21">
        <v>40940</v>
      </c>
      <c r="C575" s="17">
        <v>52</v>
      </c>
      <c r="D575" s="17" t="s">
        <v>91</v>
      </c>
      <c r="E575" s="14">
        <v>84869.78</v>
      </c>
      <c r="F575" s="14">
        <v>86974.24</v>
      </c>
      <c r="G575" s="14">
        <v>86974.24</v>
      </c>
      <c r="H575" s="22">
        <f>F575*(1+Assumptions!$B$6+IF(D575="Yes",Assumptions!$C$6,0))</f>
        <v>89583.467200000014</v>
      </c>
      <c r="I575" s="22">
        <f>F575*(1+Assumptions!$B$7+IF(D575="Yes",Assumptions!$C$7,0))</f>
        <v>91322.952000000005</v>
      </c>
      <c r="J575" s="22">
        <f>F575*(1+Assumptions!$B$8+IF(D575="Yes",Assumptions!$C$8,0))</f>
        <v>87843.982400000008</v>
      </c>
    </row>
    <row r="576" spans="1:10" ht="15">
      <c r="A576" s="21">
        <v>40963</v>
      </c>
      <c r="B576" s="21">
        <v>40940</v>
      </c>
      <c r="C576" s="17">
        <v>54</v>
      </c>
      <c r="D576" s="17" t="s">
        <v>91</v>
      </c>
      <c r="E576" s="14">
        <v>1127.9000000000001</v>
      </c>
      <c r="F576" s="14">
        <v>2224.16</v>
      </c>
      <c r="G576" s="14">
        <v>2224.16</v>
      </c>
      <c r="H576" s="22">
        <f>F576*(1+Assumptions!$B$6+IF(D576="Yes",Assumptions!$C$6,0))</f>
        <v>2290.8847999999998</v>
      </c>
      <c r="I576" s="22">
        <f>F576*(1+Assumptions!$B$7+IF(D576="Yes",Assumptions!$C$7,0))</f>
        <v>2335.3679999999999</v>
      </c>
      <c r="J576" s="22">
        <f>F576*(1+Assumptions!$B$8+IF(D576="Yes",Assumptions!$C$8,0))</f>
        <v>2246.4015999999997</v>
      </c>
    </row>
    <row r="577" spans="1:10" ht="15">
      <c r="A577" s="21">
        <v>40963</v>
      </c>
      <c r="B577" s="21">
        <v>40940</v>
      </c>
      <c r="C577" s="17">
        <v>55</v>
      </c>
      <c r="D577" s="17" t="s">
        <v>91</v>
      </c>
      <c r="E577" s="14">
        <v>420792.71</v>
      </c>
      <c r="F577" s="14">
        <v>452346.93</v>
      </c>
      <c r="G577" s="14">
        <v>452346.93</v>
      </c>
      <c r="H577" s="22">
        <f>F577*(1+Assumptions!$B$6+IF(D577="Yes",Assumptions!$C$6,0))</f>
        <v>465917.33789999998</v>
      </c>
      <c r="I577" s="22">
        <f>F577*(1+Assumptions!$B$7+IF(D577="Yes",Assumptions!$C$7,0))</f>
        <v>474964.27650000004</v>
      </c>
      <c r="J577" s="22">
        <f>F577*(1+Assumptions!$B$8+IF(D577="Yes",Assumptions!$C$8,0))</f>
        <v>456870.39929999999</v>
      </c>
    </row>
    <row r="578" spans="1:10" ht="15">
      <c r="A578" s="21">
        <v>40963</v>
      </c>
      <c r="B578" s="21">
        <v>40940</v>
      </c>
      <c r="C578" s="17">
        <v>56</v>
      </c>
      <c r="D578" s="17" t="s">
        <v>91</v>
      </c>
      <c r="E578" s="14">
        <v>64264.27</v>
      </c>
      <c r="F578" s="14">
        <v>86490.430000000008</v>
      </c>
      <c r="G578" s="14">
        <v>86490.430000000008</v>
      </c>
      <c r="H578" s="22">
        <f>F578*(1+Assumptions!$B$6+IF(D578="Yes",Assumptions!$C$6,0))</f>
        <v>89085.142900000006</v>
      </c>
      <c r="I578" s="22">
        <f>F578*(1+Assumptions!$B$7+IF(D578="Yes",Assumptions!$C$7,0))</f>
        <v>90814.95150000001</v>
      </c>
      <c r="J578" s="22">
        <f>F578*(1+Assumptions!$B$8+IF(D578="Yes",Assumptions!$C$8,0))</f>
        <v>87355.334300000002</v>
      </c>
    </row>
    <row r="579" spans="1:10" ht="15">
      <c r="A579" s="21">
        <v>40963</v>
      </c>
      <c r="B579" s="21">
        <v>40940</v>
      </c>
      <c r="C579" s="17">
        <v>58</v>
      </c>
      <c r="D579" s="17" t="s">
        <v>91</v>
      </c>
      <c r="E579" s="14">
        <v>93248</v>
      </c>
      <c r="F579" s="14">
        <v>88762.39</v>
      </c>
      <c r="G579" s="14">
        <v>88762.39</v>
      </c>
      <c r="H579" s="22">
        <f>F579*(1+Assumptions!$B$6+IF(D579="Yes",Assumptions!$C$6,0))</f>
        <v>91425.261700000003</v>
      </c>
      <c r="I579" s="22">
        <f>F579*(1+Assumptions!$B$7+IF(D579="Yes",Assumptions!$C$7,0))</f>
        <v>93200.5095</v>
      </c>
      <c r="J579" s="22">
        <f>F579*(1+Assumptions!$B$8+IF(D579="Yes",Assumptions!$C$8,0))</f>
        <v>89650.013900000005</v>
      </c>
    </row>
    <row r="580" spans="1:10" ht="15">
      <c r="A580" s="21">
        <v>40963</v>
      </c>
      <c r="B580" s="21">
        <v>40940</v>
      </c>
      <c r="C580" s="17">
        <v>59</v>
      </c>
      <c r="D580" s="17" t="s">
        <v>91</v>
      </c>
      <c r="E580" s="14">
        <v>10947.58</v>
      </c>
      <c r="F580" s="14">
        <v>16651.689999999999</v>
      </c>
      <c r="G580" s="14">
        <v>16651.689999999999</v>
      </c>
      <c r="H580" s="22">
        <f>F580*(1+Assumptions!$B$6+IF(D580="Yes",Assumptions!$C$6,0))</f>
        <v>17151.240699999998</v>
      </c>
      <c r="I580" s="22">
        <f>F580*(1+Assumptions!$B$7+IF(D580="Yes",Assumptions!$C$7,0))</f>
        <v>17484.2745</v>
      </c>
      <c r="J580" s="22">
        <f>F580*(1+Assumptions!$B$8+IF(D580="Yes",Assumptions!$C$8,0))</f>
        <v>16818.206899999997</v>
      </c>
    </row>
    <row r="581" spans="1:10" ht="15">
      <c r="A581" s="21">
        <v>40963</v>
      </c>
      <c r="B581" s="21">
        <v>40940</v>
      </c>
      <c r="C581" s="17">
        <v>60</v>
      </c>
      <c r="D581" s="17" t="s">
        <v>91</v>
      </c>
      <c r="E581" s="14">
        <v>11501.2</v>
      </c>
      <c r="F581" s="14">
        <v>12384.5</v>
      </c>
      <c r="G581" s="14">
        <v>12384.5</v>
      </c>
      <c r="H581" s="22">
        <f>F581*(1+Assumptions!$B$6+IF(D581="Yes",Assumptions!$C$6,0))</f>
        <v>12756.035</v>
      </c>
      <c r="I581" s="22">
        <f>F581*(1+Assumptions!$B$7+IF(D581="Yes",Assumptions!$C$7,0))</f>
        <v>13003.725</v>
      </c>
      <c r="J581" s="22">
        <f>F581*(1+Assumptions!$B$8+IF(D581="Yes",Assumptions!$C$8,0))</f>
        <v>12508.344999999999</v>
      </c>
    </row>
    <row r="582" spans="1:10" ht="15">
      <c r="A582" s="21">
        <v>40963</v>
      </c>
      <c r="B582" s="21">
        <v>40940</v>
      </c>
      <c r="C582" s="17">
        <v>65</v>
      </c>
      <c r="D582" s="17" t="s">
        <v>91</v>
      </c>
      <c r="E582" s="14">
        <v>39398.26</v>
      </c>
      <c r="F582" s="14">
        <v>50210.95</v>
      </c>
      <c r="G582" s="14">
        <v>50210.95</v>
      </c>
      <c r="H582" s="22">
        <f>F582*(1+Assumptions!$B$6+IF(D582="Yes",Assumptions!$C$6,0))</f>
        <v>51717.2785</v>
      </c>
      <c r="I582" s="22">
        <f>F582*(1+Assumptions!$B$7+IF(D582="Yes",Assumptions!$C$7,0))</f>
        <v>52721.497499999998</v>
      </c>
      <c r="J582" s="22">
        <f>F582*(1+Assumptions!$B$8+IF(D582="Yes",Assumptions!$C$8,0))</f>
        <v>50713.059499999996</v>
      </c>
    </row>
    <row r="583" spans="1:10" ht="15">
      <c r="A583" s="21">
        <v>40963</v>
      </c>
      <c r="B583" s="21">
        <v>40940</v>
      </c>
      <c r="C583" s="17">
        <v>67</v>
      </c>
      <c r="D583" s="17" t="s">
        <v>91</v>
      </c>
      <c r="E583" s="14">
        <v>249312.67</v>
      </c>
      <c r="F583" s="14">
        <v>231287.93</v>
      </c>
      <c r="G583" s="14">
        <v>231287.93</v>
      </c>
      <c r="H583" s="22">
        <f>F583*(1+Assumptions!$B$6+IF(D583="Yes",Assumptions!$C$6,0))</f>
        <v>238226.56789999999</v>
      </c>
      <c r="I583" s="22">
        <f>F583*(1+Assumptions!$B$7+IF(D583="Yes",Assumptions!$C$7,0))</f>
        <v>242852.3265</v>
      </c>
      <c r="J583" s="22">
        <f>F583*(1+Assumptions!$B$8+IF(D583="Yes",Assumptions!$C$8,0))</f>
        <v>233600.80929999999</v>
      </c>
    </row>
    <row r="584" spans="1:10" ht="15">
      <c r="A584" s="21">
        <v>40963</v>
      </c>
      <c r="B584" s="21">
        <v>40940</v>
      </c>
      <c r="C584" s="17">
        <v>71</v>
      </c>
      <c r="D584" s="17" t="s">
        <v>91</v>
      </c>
      <c r="E584" s="14">
        <v>299990.93</v>
      </c>
      <c r="F584" s="14">
        <v>267977.02</v>
      </c>
      <c r="G584" s="14">
        <v>267977.02</v>
      </c>
      <c r="H584" s="22">
        <f>F584*(1+Assumptions!$B$6+IF(D584="Yes",Assumptions!$C$6,0))</f>
        <v>276016.33060000004</v>
      </c>
      <c r="I584" s="22">
        <f>F584*(1+Assumptions!$B$7+IF(D584="Yes",Assumptions!$C$7,0))</f>
        <v>281375.87100000004</v>
      </c>
      <c r="J584" s="22">
        <f>F584*(1+Assumptions!$B$8+IF(D584="Yes",Assumptions!$C$8,0))</f>
        <v>270656.79020000005</v>
      </c>
    </row>
    <row r="585" spans="1:10" ht="15">
      <c r="A585" s="21">
        <v>40963</v>
      </c>
      <c r="B585" s="21">
        <v>40940</v>
      </c>
      <c r="C585" s="17">
        <v>72</v>
      </c>
      <c r="D585" s="17" t="s">
        <v>91</v>
      </c>
      <c r="E585" s="14">
        <v>2430785.41</v>
      </c>
      <c r="F585" s="14">
        <v>2591260.96</v>
      </c>
      <c r="G585" s="14">
        <v>2591260.96</v>
      </c>
      <c r="H585" s="22">
        <f>F585*(1+Assumptions!$B$6+IF(D585="Yes",Assumptions!$C$6,0))</f>
        <v>2668998.7888000002</v>
      </c>
      <c r="I585" s="22">
        <f>F585*(1+Assumptions!$B$7+IF(D585="Yes",Assumptions!$C$7,0))</f>
        <v>2720824.0079999999</v>
      </c>
      <c r="J585" s="22">
        <f>F585*(1+Assumptions!$B$8+IF(D585="Yes",Assumptions!$C$8,0))</f>
        <v>2617173.5696</v>
      </c>
    </row>
    <row r="586" spans="1:10" ht="15">
      <c r="A586" s="21">
        <v>40963</v>
      </c>
      <c r="B586" s="21">
        <v>40940</v>
      </c>
      <c r="C586" s="17">
        <v>74</v>
      </c>
      <c r="D586" s="17" t="s">
        <v>91</v>
      </c>
      <c r="E586" s="14">
        <v>678490.3</v>
      </c>
      <c r="F586" s="14">
        <v>664708.93999999994</v>
      </c>
      <c r="G586" s="14">
        <v>664708.93999999994</v>
      </c>
      <c r="H586" s="22">
        <f>F586*(1+Assumptions!$B$6+IF(D586="Yes",Assumptions!$C$6,0))</f>
        <v>684650.20819999999</v>
      </c>
      <c r="I586" s="22">
        <f>F586*(1+Assumptions!$B$7+IF(D586="Yes",Assumptions!$C$7,0))</f>
        <v>697944.38699999999</v>
      </c>
      <c r="J586" s="22">
        <f>F586*(1+Assumptions!$B$8+IF(D586="Yes",Assumptions!$C$8,0))</f>
        <v>671356.0294</v>
      </c>
    </row>
    <row r="587" spans="1:10" ht="15">
      <c r="A587" s="21">
        <v>40963</v>
      </c>
      <c r="B587" s="21">
        <v>40940</v>
      </c>
      <c r="C587" s="17">
        <v>79</v>
      </c>
      <c r="D587" s="17" t="s">
        <v>91</v>
      </c>
      <c r="E587" s="14">
        <v>1049674.96</v>
      </c>
      <c r="F587" s="14">
        <v>1018412.37</v>
      </c>
      <c r="G587" s="14">
        <v>1018412.37</v>
      </c>
      <c r="H587" s="22">
        <f>F587*(1+Assumptions!$B$6+IF(D587="Yes",Assumptions!$C$6,0))</f>
        <v>1048964.7411</v>
      </c>
      <c r="I587" s="22">
        <f>F587*(1+Assumptions!$B$7+IF(D587="Yes",Assumptions!$C$7,0))</f>
        <v>1069332.9885</v>
      </c>
      <c r="J587" s="22">
        <f>F587*(1+Assumptions!$B$8+IF(D587="Yes",Assumptions!$C$8,0))</f>
        <v>1028596.4937</v>
      </c>
    </row>
    <row r="588" spans="1:10" ht="15">
      <c r="A588" s="21">
        <v>40963</v>
      </c>
      <c r="B588" s="21">
        <v>40940</v>
      </c>
      <c r="C588" s="17">
        <v>80</v>
      </c>
      <c r="D588" s="17" t="s">
        <v>91</v>
      </c>
      <c r="E588" s="14">
        <v>493106.81</v>
      </c>
      <c r="F588" s="14">
        <v>476270.38</v>
      </c>
      <c r="G588" s="14">
        <v>476270.38</v>
      </c>
      <c r="H588" s="22">
        <f>F588*(1+Assumptions!$B$6+IF(D588="Yes",Assumptions!$C$6,0))</f>
        <v>490558.4914</v>
      </c>
      <c r="I588" s="22">
        <f>F588*(1+Assumptions!$B$7+IF(D588="Yes",Assumptions!$C$7,0))</f>
        <v>500083.89900000003</v>
      </c>
      <c r="J588" s="22">
        <f>F588*(1+Assumptions!$B$8+IF(D588="Yes",Assumptions!$C$8,0))</f>
        <v>481033.08380000002</v>
      </c>
    </row>
    <row r="589" spans="1:10" ht="15">
      <c r="A589" s="21">
        <v>40963</v>
      </c>
      <c r="B589" s="21">
        <v>40940</v>
      </c>
      <c r="C589" s="17">
        <v>81</v>
      </c>
      <c r="D589" s="17" t="s">
        <v>91</v>
      </c>
      <c r="E589" s="14">
        <v>684813.43</v>
      </c>
      <c r="F589" s="14">
        <v>665955.87</v>
      </c>
      <c r="G589" s="14">
        <v>665955.87</v>
      </c>
      <c r="H589" s="22">
        <f>F589*(1+Assumptions!$B$6+IF(D589="Yes",Assumptions!$C$6,0))</f>
        <v>685934.54610000004</v>
      </c>
      <c r="I589" s="22">
        <f>F589*(1+Assumptions!$B$7+IF(D589="Yes",Assumptions!$C$7,0))</f>
        <v>699253.66350000002</v>
      </c>
      <c r="J589" s="22">
        <f>F589*(1+Assumptions!$B$8+IF(D589="Yes",Assumptions!$C$8,0))</f>
        <v>672615.42870000005</v>
      </c>
    </row>
    <row r="590" spans="1:10" ht="15">
      <c r="A590" s="21">
        <v>40963</v>
      </c>
      <c r="B590" s="21">
        <v>40940</v>
      </c>
      <c r="C590" s="17">
        <v>82</v>
      </c>
      <c r="D590" s="17" t="s">
        <v>91</v>
      </c>
      <c r="E590" s="14">
        <v>658459.47</v>
      </c>
      <c r="F590" s="14">
        <v>606974.85</v>
      </c>
      <c r="G590" s="14">
        <v>606974.85</v>
      </c>
      <c r="H590" s="22">
        <f>F590*(1+Assumptions!$B$6+IF(D590="Yes",Assumptions!$C$6,0))</f>
        <v>625184.09549999994</v>
      </c>
      <c r="I590" s="22">
        <f>F590*(1+Assumptions!$B$7+IF(D590="Yes",Assumptions!$C$7,0))</f>
        <v>637323.59250000003</v>
      </c>
      <c r="J590" s="22">
        <f>F590*(1+Assumptions!$B$8+IF(D590="Yes",Assumptions!$C$8,0))</f>
        <v>613044.59849999996</v>
      </c>
    </row>
    <row r="591" spans="1:10" ht="15">
      <c r="A591" s="21">
        <v>40963</v>
      </c>
      <c r="B591" s="21">
        <v>40940</v>
      </c>
      <c r="C591" s="17">
        <v>83</v>
      </c>
      <c r="D591" s="17" t="s">
        <v>91</v>
      </c>
      <c r="E591" s="14">
        <v>159912.74</v>
      </c>
      <c r="F591" s="14">
        <v>137813.97</v>
      </c>
      <c r="G591" s="14">
        <v>137813.97</v>
      </c>
      <c r="H591" s="22">
        <f>F591*(1+Assumptions!$B$6+IF(D591="Yes",Assumptions!$C$6,0))</f>
        <v>141948.3891</v>
      </c>
      <c r="I591" s="22">
        <f>F591*(1+Assumptions!$B$7+IF(D591="Yes",Assumptions!$C$7,0))</f>
        <v>144704.6685</v>
      </c>
      <c r="J591" s="22">
        <f>F591*(1+Assumptions!$B$8+IF(D591="Yes",Assumptions!$C$8,0))</f>
        <v>139192.1097</v>
      </c>
    </row>
    <row r="592" spans="1:10" ht="15">
      <c r="A592" s="21">
        <v>40963</v>
      </c>
      <c r="B592" s="21">
        <v>40940</v>
      </c>
      <c r="C592" s="17">
        <v>85</v>
      </c>
      <c r="D592" s="17" t="s">
        <v>91</v>
      </c>
      <c r="E592" s="14">
        <v>70098.33</v>
      </c>
      <c r="F592" s="14">
        <v>74145.77</v>
      </c>
      <c r="G592" s="14">
        <v>74145.77</v>
      </c>
      <c r="H592" s="22">
        <f>F592*(1+Assumptions!$B$6+IF(D592="Yes",Assumptions!$C$6,0))</f>
        <v>76370.143100000001</v>
      </c>
      <c r="I592" s="22">
        <f>F592*(1+Assumptions!$B$7+IF(D592="Yes",Assumptions!$C$7,0))</f>
        <v>77853.058500000014</v>
      </c>
      <c r="J592" s="22">
        <f>F592*(1+Assumptions!$B$8+IF(D592="Yes",Assumptions!$C$8,0))</f>
        <v>74887.227700000003</v>
      </c>
    </row>
    <row r="593" spans="1:10" ht="15">
      <c r="A593" s="21">
        <v>40963</v>
      </c>
      <c r="B593" s="21">
        <v>40940</v>
      </c>
      <c r="C593" s="17">
        <v>87</v>
      </c>
      <c r="D593" s="17" t="s">
        <v>91</v>
      </c>
      <c r="E593" s="14">
        <v>670264.89</v>
      </c>
      <c r="F593" s="14">
        <v>586514.93000000005</v>
      </c>
      <c r="G593" s="14">
        <v>586514.93000000005</v>
      </c>
      <c r="H593" s="22">
        <f>F593*(1+Assumptions!$B$6+IF(D593="Yes",Assumptions!$C$6,0))</f>
        <v>604110.37790000008</v>
      </c>
      <c r="I593" s="22">
        <f>F593*(1+Assumptions!$B$7+IF(D593="Yes",Assumptions!$C$7,0))</f>
        <v>615840.67650000006</v>
      </c>
      <c r="J593" s="22">
        <f>F593*(1+Assumptions!$B$8+IF(D593="Yes",Assumptions!$C$8,0))</f>
        <v>592380.0793000001</v>
      </c>
    </row>
    <row r="594" spans="1:10" ht="15">
      <c r="A594" s="21">
        <v>40963</v>
      </c>
      <c r="B594" s="21">
        <v>40940</v>
      </c>
      <c r="C594" s="17">
        <v>90</v>
      </c>
      <c r="D594" s="17" t="s">
        <v>91</v>
      </c>
      <c r="E594" s="14">
        <v>2104007.96</v>
      </c>
      <c r="F594" s="14">
        <v>1956634.43</v>
      </c>
      <c r="G594" s="14">
        <v>1956634.43</v>
      </c>
      <c r="H594" s="22">
        <f>F594*(1+Assumptions!$B$6+IF(D594="Yes",Assumptions!$C$6,0))</f>
        <v>2015333.4628999999</v>
      </c>
      <c r="I594" s="22">
        <f>F594*(1+Assumptions!$B$7+IF(D594="Yes",Assumptions!$C$7,0))</f>
        <v>2054466.1514999999</v>
      </c>
      <c r="J594" s="22">
        <f>F594*(1+Assumptions!$B$8+IF(D594="Yes",Assumptions!$C$8,0))</f>
        <v>1976200.7742999999</v>
      </c>
    </row>
    <row r="595" spans="1:10" ht="15">
      <c r="A595" s="21">
        <v>40963</v>
      </c>
      <c r="B595" s="21">
        <v>40940</v>
      </c>
      <c r="C595" s="17">
        <v>91</v>
      </c>
      <c r="D595" s="17" t="s">
        <v>91</v>
      </c>
      <c r="E595" s="14">
        <v>1524141.56</v>
      </c>
      <c r="F595" s="14">
        <v>1493914.6</v>
      </c>
      <c r="G595" s="14">
        <v>1493914.6</v>
      </c>
      <c r="H595" s="22">
        <f>F595*(1+Assumptions!$B$6+IF(D595="Yes",Assumptions!$C$6,0))</f>
        <v>1538732.0380000002</v>
      </c>
      <c r="I595" s="22">
        <f>F595*(1+Assumptions!$B$7+IF(D595="Yes",Assumptions!$C$7,0))</f>
        <v>1568610.33</v>
      </c>
      <c r="J595" s="22">
        <f>F595*(1+Assumptions!$B$8+IF(D595="Yes",Assumptions!$C$8,0))</f>
        <v>1508853.746</v>
      </c>
    </row>
    <row r="596" spans="1:10" ht="15">
      <c r="A596" s="21">
        <v>40963</v>
      </c>
      <c r="B596" s="21">
        <v>40940</v>
      </c>
      <c r="C596" s="17">
        <v>92</v>
      </c>
      <c r="D596" s="17" t="s">
        <v>91</v>
      </c>
      <c r="E596" s="14">
        <v>3476677.52</v>
      </c>
      <c r="F596" s="14">
        <v>3130285.07</v>
      </c>
      <c r="G596" s="14">
        <v>3130285.07</v>
      </c>
      <c r="H596" s="22">
        <f>F596*(1+Assumptions!$B$6+IF(D596="Yes",Assumptions!$C$6,0))</f>
        <v>3224193.6220999998</v>
      </c>
      <c r="I596" s="22">
        <f>F596*(1+Assumptions!$B$7+IF(D596="Yes",Assumptions!$C$7,0))</f>
        <v>3286799.3234999999</v>
      </c>
      <c r="J596" s="22">
        <f>F596*(1+Assumptions!$B$8+IF(D596="Yes",Assumptions!$C$8,0))</f>
        <v>3161587.9206999997</v>
      </c>
    </row>
    <row r="597" spans="1:10" ht="15">
      <c r="A597" s="21">
        <v>40963</v>
      </c>
      <c r="B597" s="21">
        <v>40940</v>
      </c>
      <c r="C597" s="17">
        <v>93</v>
      </c>
      <c r="D597" s="17" t="s">
        <v>91</v>
      </c>
      <c r="E597" s="14">
        <v>1023000.3099999999</v>
      </c>
      <c r="F597" s="14">
        <v>996490.58</v>
      </c>
      <c r="G597" s="14">
        <v>996490.58</v>
      </c>
      <c r="H597" s="22">
        <f>F597*(1+Assumptions!$B$6+IF(D597="Yes",Assumptions!$C$6,0))</f>
        <v>1026385.2974</v>
      </c>
      <c r="I597" s="22">
        <f>F597*(1+Assumptions!$B$7+IF(D597="Yes",Assumptions!$C$7,0))</f>
        <v>1046315.1090000001</v>
      </c>
      <c r="J597" s="22">
        <f>F597*(1+Assumptions!$B$8+IF(D597="Yes",Assumptions!$C$8,0))</f>
        <v>1006455.4858</v>
      </c>
    </row>
    <row r="598" spans="1:10" ht="15">
      <c r="A598" s="21">
        <v>40963</v>
      </c>
      <c r="B598" s="21">
        <v>40940</v>
      </c>
      <c r="C598" s="17">
        <v>94</v>
      </c>
      <c r="D598" s="17" t="s">
        <v>91</v>
      </c>
      <c r="E598" s="14">
        <v>1225525.8999999999</v>
      </c>
      <c r="F598" s="14">
        <v>1256347.1000000001</v>
      </c>
      <c r="G598" s="14">
        <v>1256347.1000000001</v>
      </c>
      <c r="H598" s="22">
        <f>F598*(1+Assumptions!$B$6+IF(D598="Yes",Assumptions!$C$6,0))</f>
        <v>1294037.513</v>
      </c>
      <c r="I598" s="22">
        <f>F598*(1+Assumptions!$B$7+IF(D598="Yes",Assumptions!$C$7,0))</f>
        <v>1319164.4550000001</v>
      </c>
      <c r="J598" s="22">
        <f>F598*(1+Assumptions!$B$8+IF(D598="Yes",Assumptions!$C$8,0))</f>
        <v>1268910.571</v>
      </c>
    </row>
    <row r="599" spans="1:10" ht="15">
      <c r="A599" s="21">
        <v>40963</v>
      </c>
      <c r="B599" s="21">
        <v>40940</v>
      </c>
      <c r="C599" s="17">
        <v>95</v>
      </c>
      <c r="D599" s="17" t="s">
        <v>91</v>
      </c>
      <c r="E599" s="14">
        <v>2963563.8200000003</v>
      </c>
      <c r="F599" s="14">
        <v>2834161.94</v>
      </c>
      <c r="G599" s="14">
        <v>2834161.94</v>
      </c>
      <c r="H599" s="22">
        <f>F599*(1+Assumptions!$B$6+IF(D599="Yes",Assumptions!$C$6,0))</f>
        <v>2919186.7982000001</v>
      </c>
      <c r="I599" s="22">
        <f>F599*(1+Assumptions!$B$7+IF(D599="Yes",Assumptions!$C$7,0))</f>
        <v>2975870.037</v>
      </c>
      <c r="J599" s="22">
        <f>F599*(1+Assumptions!$B$8+IF(D599="Yes",Assumptions!$C$8,0))</f>
        <v>2862503.5594000001</v>
      </c>
    </row>
    <row r="600" spans="1:10" ht="15">
      <c r="A600" s="21">
        <v>40963</v>
      </c>
      <c r="B600" s="21">
        <v>40940</v>
      </c>
      <c r="C600" s="17">
        <v>96</v>
      </c>
      <c r="D600" s="17" t="s">
        <v>91</v>
      </c>
      <c r="E600" s="14">
        <v>470046.02</v>
      </c>
      <c r="F600" s="14">
        <v>437708.91</v>
      </c>
      <c r="G600" s="14">
        <v>437708.91</v>
      </c>
      <c r="H600" s="22">
        <f>F600*(1+Assumptions!$B$6+IF(D600="Yes",Assumptions!$C$6,0))</f>
        <v>450840.17729999998</v>
      </c>
      <c r="I600" s="22">
        <f>F600*(1+Assumptions!$B$7+IF(D600="Yes",Assumptions!$C$7,0))</f>
        <v>459594.35550000001</v>
      </c>
      <c r="J600" s="22">
        <f>F600*(1+Assumptions!$B$8+IF(D600="Yes",Assumptions!$C$8,0))</f>
        <v>442085.99909999996</v>
      </c>
    </row>
    <row r="601" spans="1:10" ht="15">
      <c r="A601" s="21">
        <v>40963</v>
      </c>
      <c r="B601" s="21">
        <v>40940</v>
      </c>
      <c r="C601" s="17">
        <v>97</v>
      </c>
      <c r="D601" s="17" t="s">
        <v>91</v>
      </c>
      <c r="E601" s="14">
        <v>584816.12</v>
      </c>
      <c r="F601" s="14">
        <v>558809.86</v>
      </c>
      <c r="G601" s="14">
        <v>558809.86</v>
      </c>
      <c r="H601" s="22">
        <f>F601*(1+Assumptions!$B$6+IF(D601="Yes",Assumptions!$C$6,0))</f>
        <v>575574.15579999995</v>
      </c>
      <c r="I601" s="22">
        <f>F601*(1+Assumptions!$B$7+IF(D601="Yes",Assumptions!$C$7,0))</f>
        <v>586750.353</v>
      </c>
      <c r="J601" s="22">
        <f>F601*(1+Assumptions!$B$8+IF(D601="Yes",Assumptions!$C$8,0))</f>
        <v>564397.95860000001</v>
      </c>
    </row>
    <row r="602" spans="1:10" ht="15">
      <c r="A602" s="21">
        <v>40963</v>
      </c>
      <c r="B602" s="21">
        <v>40940</v>
      </c>
      <c r="C602" s="17">
        <v>98</v>
      </c>
      <c r="D602" s="17" t="s">
        <v>91</v>
      </c>
      <c r="E602" s="14">
        <v>252297.76</v>
      </c>
      <c r="F602" s="14">
        <v>256700.14</v>
      </c>
      <c r="G602" s="14">
        <v>256700.14</v>
      </c>
      <c r="H602" s="22">
        <f>F602*(1+Assumptions!$B$6+IF(D602="Yes",Assumptions!$C$6,0))</f>
        <v>264401.14420000004</v>
      </c>
      <c r="I602" s="22">
        <f>F602*(1+Assumptions!$B$7+IF(D602="Yes",Assumptions!$C$7,0))</f>
        <v>269535.147</v>
      </c>
      <c r="J602" s="22">
        <f>F602*(1+Assumptions!$B$8+IF(D602="Yes",Assumptions!$C$8,0))</f>
        <v>259267.14140000002</v>
      </c>
    </row>
    <row r="603" spans="1:10" ht="15">
      <c r="A603" s="21">
        <v>40970</v>
      </c>
      <c r="B603" s="21">
        <v>40969</v>
      </c>
      <c r="C603" s="17">
        <v>1</v>
      </c>
      <c r="D603" s="17" t="s">
        <v>91</v>
      </c>
      <c r="E603" s="14">
        <v>789334.39</v>
      </c>
      <c r="F603" s="14">
        <v>684054.64</v>
      </c>
      <c r="G603" s="14">
        <v>684054.64</v>
      </c>
      <c r="H603" s="22">
        <f>F603*(1+Assumptions!$B$6+IF(D603="Yes",Assumptions!$C$6,0))</f>
        <v>704576.27919999999</v>
      </c>
      <c r="I603" s="22">
        <f>F603*(1+Assumptions!$B$7+IF(D603="Yes",Assumptions!$C$7,0))</f>
        <v>718257.37200000009</v>
      </c>
      <c r="J603" s="22">
        <f>F603*(1+Assumptions!$B$8+IF(D603="Yes",Assumptions!$C$8,0))</f>
        <v>690895.18640000001</v>
      </c>
    </row>
    <row r="604" spans="1:10" ht="15">
      <c r="A604" s="21">
        <v>40970</v>
      </c>
      <c r="B604" s="21">
        <v>40969</v>
      </c>
      <c r="C604" s="17">
        <v>2</v>
      </c>
      <c r="D604" s="17" t="s">
        <v>91</v>
      </c>
      <c r="E604" s="14">
        <v>2057833.09</v>
      </c>
      <c r="F604" s="14">
        <v>2044729.77</v>
      </c>
      <c r="G604" s="14">
        <v>2044729.77</v>
      </c>
      <c r="H604" s="22">
        <f>F604*(1+Assumptions!$B$6+IF(D604="Yes",Assumptions!$C$6,0))</f>
        <v>2106071.6631</v>
      </c>
      <c r="I604" s="22">
        <f>F604*(1+Assumptions!$B$7+IF(D604="Yes",Assumptions!$C$7,0))</f>
        <v>2146966.2585</v>
      </c>
      <c r="J604" s="22">
        <f>F604*(1+Assumptions!$B$8+IF(D604="Yes",Assumptions!$C$8,0))</f>
        <v>2065177.0677</v>
      </c>
    </row>
    <row r="605" spans="1:10" ht="15">
      <c r="A605" s="21">
        <v>40970</v>
      </c>
      <c r="B605" s="21">
        <v>40969</v>
      </c>
      <c r="C605" s="17">
        <v>3</v>
      </c>
      <c r="D605" s="17" t="s">
        <v>91</v>
      </c>
      <c r="E605" s="14">
        <v>400441.48</v>
      </c>
      <c r="F605" s="14">
        <v>396992.41000000003</v>
      </c>
      <c r="G605" s="14">
        <v>396992.41000000003</v>
      </c>
      <c r="H605" s="22">
        <f>F605*(1+Assumptions!$B$6+IF(D605="Yes",Assumptions!$C$6,0))</f>
        <v>408902.18230000004</v>
      </c>
      <c r="I605" s="22">
        <f>F605*(1+Assumptions!$B$7+IF(D605="Yes",Assumptions!$C$7,0))</f>
        <v>416842.03050000005</v>
      </c>
      <c r="J605" s="22">
        <f>F605*(1+Assumptions!$B$8+IF(D605="Yes",Assumptions!$C$8,0))</f>
        <v>400962.33410000004</v>
      </c>
    </row>
    <row r="606" spans="1:10" ht="15">
      <c r="A606" s="21">
        <v>40970</v>
      </c>
      <c r="B606" s="21">
        <v>40969</v>
      </c>
      <c r="C606" s="17">
        <v>4</v>
      </c>
      <c r="D606" s="17" t="s">
        <v>91</v>
      </c>
      <c r="E606" s="14">
        <v>1186385.7</v>
      </c>
      <c r="F606" s="14">
        <v>1183504.31</v>
      </c>
      <c r="G606" s="14">
        <v>1183504.31</v>
      </c>
      <c r="H606" s="22">
        <f>F606*(1+Assumptions!$B$6+IF(D606="Yes",Assumptions!$C$6,0))</f>
        <v>1219009.4393000002</v>
      </c>
      <c r="I606" s="22">
        <f>F606*(1+Assumptions!$B$7+IF(D606="Yes",Assumptions!$C$7,0))</f>
        <v>1242679.5255000002</v>
      </c>
      <c r="J606" s="22">
        <f>F606*(1+Assumptions!$B$8+IF(D606="Yes",Assumptions!$C$8,0))</f>
        <v>1195339.3531000002</v>
      </c>
    </row>
    <row r="607" spans="1:10" ht="15">
      <c r="A607" s="21">
        <v>40970</v>
      </c>
      <c r="B607" s="21">
        <v>40969</v>
      </c>
      <c r="C607" s="17">
        <v>5</v>
      </c>
      <c r="D607" s="17" t="s">
        <v>91</v>
      </c>
      <c r="E607" s="14">
        <v>995862.64</v>
      </c>
      <c r="F607" s="14">
        <v>1073755.43</v>
      </c>
      <c r="G607" s="14">
        <v>1073755.43</v>
      </c>
      <c r="H607" s="22">
        <f>F607*(1+Assumptions!$B$6+IF(D607="Yes",Assumptions!$C$6,0))</f>
        <v>1105968.0929</v>
      </c>
      <c r="I607" s="22">
        <f>F607*(1+Assumptions!$B$7+IF(D607="Yes",Assumptions!$C$7,0))</f>
        <v>1127443.2015</v>
      </c>
      <c r="J607" s="22">
        <f>F607*(1+Assumptions!$B$8+IF(D607="Yes",Assumptions!$C$8,0))</f>
        <v>1084492.9842999999</v>
      </c>
    </row>
    <row r="608" spans="1:10" ht="15">
      <c r="A608" s="21">
        <v>40970</v>
      </c>
      <c r="B608" s="21">
        <v>40969</v>
      </c>
      <c r="C608" s="17">
        <v>6</v>
      </c>
      <c r="D608" s="17" t="s">
        <v>91</v>
      </c>
      <c r="E608" s="14">
        <v>127040.05</v>
      </c>
      <c r="F608" s="14">
        <v>169947.37</v>
      </c>
      <c r="G608" s="14">
        <v>169947.37</v>
      </c>
      <c r="H608" s="22">
        <f>F608*(1+Assumptions!$B$6+IF(D608="Yes",Assumptions!$C$6,0))</f>
        <v>175045.7911</v>
      </c>
      <c r="I608" s="22">
        <f>F608*(1+Assumptions!$B$7+IF(D608="Yes",Assumptions!$C$7,0))</f>
        <v>178444.73850000001</v>
      </c>
      <c r="J608" s="22">
        <f>F608*(1+Assumptions!$B$8+IF(D608="Yes",Assumptions!$C$8,0))</f>
        <v>171646.8437</v>
      </c>
    </row>
    <row r="609" spans="1:10" ht="15">
      <c r="A609" s="21">
        <v>40970</v>
      </c>
      <c r="B609" s="21">
        <v>40969</v>
      </c>
      <c r="C609" s="17">
        <v>7</v>
      </c>
      <c r="D609" s="17" t="s">
        <v>91</v>
      </c>
      <c r="E609" s="14">
        <v>715536.66</v>
      </c>
      <c r="F609" s="14">
        <v>772997.07000000007</v>
      </c>
      <c r="G609" s="14">
        <v>772997.07000000007</v>
      </c>
      <c r="H609" s="22">
        <f>F609*(1+Assumptions!$B$6+IF(D609="Yes",Assumptions!$C$6,0))</f>
        <v>796186.98210000014</v>
      </c>
      <c r="I609" s="22">
        <f>F609*(1+Assumptions!$B$7+IF(D609="Yes",Assumptions!$C$7,0))</f>
        <v>811646.92350000015</v>
      </c>
      <c r="J609" s="22">
        <f>F609*(1+Assumptions!$B$8+IF(D609="Yes",Assumptions!$C$8,0))</f>
        <v>780727.04070000013</v>
      </c>
    </row>
    <row r="610" spans="1:10" ht="15">
      <c r="A610" s="21">
        <v>40970</v>
      </c>
      <c r="B610" s="21">
        <v>40969</v>
      </c>
      <c r="C610" s="17">
        <v>8</v>
      </c>
      <c r="D610" s="17" t="s">
        <v>91</v>
      </c>
      <c r="E610" s="14">
        <v>1419253.86</v>
      </c>
      <c r="F610" s="14">
        <v>1405156.67</v>
      </c>
      <c r="G610" s="14">
        <v>1405156.67</v>
      </c>
      <c r="H610" s="22">
        <f>F610*(1+Assumptions!$B$6+IF(D610="Yes",Assumptions!$C$6,0))</f>
        <v>1447311.3700999999</v>
      </c>
      <c r="I610" s="22">
        <f>F610*(1+Assumptions!$B$7+IF(D610="Yes",Assumptions!$C$7,0))</f>
        <v>1475414.5034999999</v>
      </c>
      <c r="J610" s="22">
        <f>F610*(1+Assumptions!$B$8+IF(D610="Yes",Assumptions!$C$8,0))</f>
        <v>1419208.2367</v>
      </c>
    </row>
    <row r="611" spans="1:10" ht="15">
      <c r="A611" s="21">
        <v>40970</v>
      </c>
      <c r="B611" s="21">
        <v>40969</v>
      </c>
      <c r="C611" s="17">
        <v>9</v>
      </c>
      <c r="D611" s="17" t="s">
        <v>91</v>
      </c>
      <c r="E611" s="14">
        <v>671954.54</v>
      </c>
      <c r="F611" s="14">
        <v>640948.14</v>
      </c>
      <c r="G611" s="14">
        <v>640948.14</v>
      </c>
      <c r="H611" s="22">
        <f>F611*(1+Assumptions!$B$6+IF(D611="Yes",Assumptions!$C$6,0))</f>
        <v>660176.58420000004</v>
      </c>
      <c r="I611" s="22">
        <f>F611*(1+Assumptions!$B$7+IF(D611="Yes",Assumptions!$C$7,0))</f>
        <v>672995.54700000002</v>
      </c>
      <c r="J611" s="22">
        <f>F611*(1+Assumptions!$B$8+IF(D611="Yes",Assumptions!$C$8,0))</f>
        <v>647357.62140000006</v>
      </c>
    </row>
    <row r="612" spans="1:10" ht="15">
      <c r="A612" s="21">
        <v>40970</v>
      </c>
      <c r="B612" s="21">
        <v>40969</v>
      </c>
      <c r="C612" s="17">
        <v>10</v>
      </c>
      <c r="D612" s="17" t="s">
        <v>91</v>
      </c>
      <c r="E612" s="14">
        <v>817563.05</v>
      </c>
      <c r="F612" s="14">
        <v>764843.73</v>
      </c>
      <c r="G612" s="14">
        <v>764843.73</v>
      </c>
      <c r="H612" s="22">
        <f>F612*(1+Assumptions!$B$6+IF(D612="Yes",Assumptions!$C$6,0))</f>
        <v>787789.04189999995</v>
      </c>
      <c r="I612" s="22">
        <f>F612*(1+Assumptions!$B$7+IF(D612="Yes",Assumptions!$C$7,0))</f>
        <v>803085.91650000005</v>
      </c>
      <c r="J612" s="22">
        <f>F612*(1+Assumptions!$B$8+IF(D612="Yes",Assumptions!$C$8,0))</f>
        <v>772492.16729999997</v>
      </c>
    </row>
    <row r="613" spans="1:10" ht="15">
      <c r="A613" s="21">
        <v>40970</v>
      </c>
      <c r="B613" s="21">
        <v>40969</v>
      </c>
      <c r="C613" s="17">
        <v>11</v>
      </c>
      <c r="D613" s="17" t="s">
        <v>91</v>
      </c>
      <c r="E613" s="14">
        <v>545448.86</v>
      </c>
      <c r="F613" s="14">
        <v>532235.99</v>
      </c>
      <c r="G613" s="14">
        <v>532235.99</v>
      </c>
      <c r="H613" s="22">
        <f>F613*(1+Assumptions!$B$6+IF(D613="Yes",Assumptions!$C$6,0))</f>
        <v>548203.06969999999</v>
      </c>
      <c r="I613" s="22">
        <f>F613*(1+Assumptions!$B$7+IF(D613="Yes",Assumptions!$C$7,0))</f>
        <v>558847.78950000007</v>
      </c>
      <c r="J613" s="22">
        <f>F613*(1+Assumptions!$B$8+IF(D613="Yes",Assumptions!$C$8,0))</f>
        <v>537558.34990000003</v>
      </c>
    </row>
    <row r="614" spans="1:10" ht="15">
      <c r="A614" s="21">
        <v>40970</v>
      </c>
      <c r="B614" s="21">
        <v>40969</v>
      </c>
      <c r="C614" s="17">
        <v>12</v>
      </c>
      <c r="D614" s="17" t="s">
        <v>91</v>
      </c>
      <c r="E614" s="14">
        <v>171255.15</v>
      </c>
      <c r="F614" s="14">
        <v>174987.56</v>
      </c>
      <c r="G614" s="14">
        <v>174987.56</v>
      </c>
      <c r="H614" s="22">
        <f>F614*(1+Assumptions!$B$6+IF(D614="Yes",Assumptions!$C$6,0))</f>
        <v>180237.1868</v>
      </c>
      <c r="I614" s="22">
        <f>F614*(1+Assumptions!$B$7+IF(D614="Yes",Assumptions!$C$7,0))</f>
        <v>183736.93799999999</v>
      </c>
      <c r="J614" s="22">
        <f>F614*(1+Assumptions!$B$8+IF(D614="Yes",Assumptions!$C$8,0))</f>
        <v>176737.4356</v>
      </c>
    </row>
    <row r="615" spans="1:10" ht="15">
      <c r="A615" s="21">
        <v>40970</v>
      </c>
      <c r="B615" s="21">
        <v>40969</v>
      </c>
      <c r="C615" s="17">
        <v>13</v>
      </c>
      <c r="D615" s="17" t="s">
        <v>91</v>
      </c>
      <c r="E615" s="14">
        <v>1439392</v>
      </c>
      <c r="F615" s="14">
        <v>1492685.96</v>
      </c>
      <c r="G615" s="14">
        <v>1492685.96</v>
      </c>
      <c r="H615" s="22">
        <f>F615*(1+Assumptions!$B$6+IF(D615="Yes",Assumptions!$C$6,0))</f>
        <v>1537466.5388</v>
      </c>
      <c r="I615" s="22">
        <f>F615*(1+Assumptions!$B$7+IF(D615="Yes",Assumptions!$C$7,0))</f>
        <v>1567320.2579999999</v>
      </c>
      <c r="J615" s="22">
        <f>F615*(1+Assumptions!$B$8+IF(D615="Yes",Assumptions!$C$8,0))</f>
        <v>1507612.8196</v>
      </c>
    </row>
    <row r="616" spans="1:10" ht="15">
      <c r="A616" s="21">
        <v>40970</v>
      </c>
      <c r="B616" s="21">
        <v>40969</v>
      </c>
      <c r="C616" s="17">
        <v>14</v>
      </c>
      <c r="D616" s="17" t="s">
        <v>91</v>
      </c>
      <c r="E616" s="14">
        <v>657736.98</v>
      </c>
      <c r="F616" s="14">
        <v>646944.87</v>
      </c>
      <c r="G616" s="14">
        <v>646944.87</v>
      </c>
      <c r="H616" s="22">
        <f>F616*(1+Assumptions!$B$6+IF(D616="Yes",Assumptions!$C$6,0))</f>
        <v>666353.21609999996</v>
      </c>
      <c r="I616" s="22">
        <f>F616*(1+Assumptions!$B$7+IF(D616="Yes",Assumptions!$C$7,0))</f>
        <v>679292.11349999998</v>
      </c>
      <c r="J616" s="22">
        <f>F616*(1+Assumptions!$B$8+IF(D616="Yes",Assumptions!$C$8,0))</f>
        <v>653414.31869999995</v>
      </c>
    </row>
    <row r="617" spans="1:10" ht="15">
      <c r="A617" s="21">
        <v>40970</v>
      </c>
      <c r="B617" s="21">
        <v>40969</v>
      </c>
      <c r="C617" s="17">
        <v>16</v>
      </c>
      <c r="D617" s="17" t="s">
        <v>91</v>
      </c>
      <c r="E617" s="14">
        <v>390380.43</v>
      </c>
      <c r="F617" s="14">
        <v>417396.13</v>
      </c>
      <c r="G617" s="14">
        <v>417396.13</v>
      </c>
      <c r="H617" s="22">
        <f>F617*(1+Assumptions!$B$6+IF(D617="Yes",Assumptions!$C$6,0))</f>
        <v>429918.01390000002</v>
      </c>
      <c r="I617" s="22">
        <f>F617*(1+Assumptions!$B$7+IF(D617="Yes",Assumptions!$C$7,0))</f>
        <v>438265.93650000001</v>
      </c>
      <c r="J617" s="22">
        <f>F617*(1+Assumptions!$B$8+IF(D617="Yes",Assumptions!$C$8,0))</f>
        <v>421570.09130000003</v>
      </c>
    </row>
    <row r="618" spans="1:10" ht="15">
      <c r="A618" s="21">
        <v>40970</v>
      </c>
      <c r="B618" s="21">
        <v>40969</v>
      </c>
      <c r="C618" s="17">
        <v>17</v>
      </c>
      <c r="D618" s="17" t="s">
        <v>91</v>
      </c>
      <c r="E618" s="14">
        <v>483930.24</v>
      </c>
      <c r="F618" s="14">
        <v>499943.44</v>
      </c>
      <c r="G618" s="14">
        <v>499943.44</v>
      </c>
      <c r="H618" s="22">
        <f>F618*(1+Assumptions!$B$6+IF(D618="Yes",Assumptions!$C$6,0))</f>
        <v>514941.74320000003</v>
      </c>
      <c r="I618" s="22">
        <f>F618*(1+Assumptions!$B$7+IF(D618="Yes",Assumptions!$C$7,0))</f>
        <v>524940.61200000008</v>
      </c>
      <c r="J618" s="22">
        <f>F618*(1+Assumptions!$B$8+IF(D618="Yes",Assumptions!$C$8,0))</f>
        <v>504942.87440000003</v>
      </c>
    </row>
    <row r="619" spans="1:10" ht="15">
      <c r="A619" s="21">
        <v>40970</v>
      </c>
      <c r="B619" s="21">
        <v>40969</v>
      </c>
      <c r="C619" s="17">
        <v>18</v>
      </c>
      <c r="D619" s="17" t="s">
        <v>91</v>
      </c>
      <c r="E619" s="14">
        <v>55656.95</v>
      </c>
      <c r="F619" s="14">
        <v>2646.16</v>
      </c>
      <c r="G619" s="14">
        <v>2646.16</v>
      </c>
      <c r="H619" s="22">
        <f>F619*(1+Assumptions!$B$6+IF(D619="Yes",Assumptions!$C$6,0))</f>
        <v>2725.5448000000001</v>
      </c>
      <c r="I619" s="22">
        <f>F619*(1+Assumptions!$B$7+IF(D619="Yes",Assumptions!$C$7,0))</f>
        <v>2778.4679999999998</v>
      </c>
      <c r="J619" s="22">
        <f>F619*(1+Assumptions!$B$8+IF(D619="Yes",Assumptions!$C$8,0))</f>
        <v>2672.6215999999999</v>
      </c>
    </row>
    <row r="620" spans="1:10" ht="15">
      <c r="A620" s="21">
        <v>40970</v>
      </c>
      <c r="B620" s="21">
        <v>40969</v>
      </c>
      <c r="C620" s="17">
        <v>19</v>
      </c>
      <c r="D620" s="17" t="s">
        <v>91</v>
      </c>
      <c r="E620" s="14">
        <v>50461.17</v>
      </c>
      <c r="F620" s="14">
        <v>52055.95</v>
      </c>
      <c r="G620" s="14">
        <v>52055.95</v>
      </c>
      <c r="H620" s="22">
        <f>F620*(1+Assumptions!$B$6+IF(D620="Yes",Assumptions!$C$6,0))</f>
        <v>53617.628499999999</v>
      </c>
      <c r="I620" s="22">
        <f>F620*(1+Assumptions!$B$7+IF(D620="Yes",Assumptions!$C$7,0))</f>
        <v>54658.747499999998</v>
      </c>
      <c r="J620" s="22">
        <f>F620*(1+Assumptions!$B$8+IF(D620="Yes",Assumptions!$C$8,0))</f>
        <v>52576.5095</v>
      </c>
    </row>
    <row r="621" spans="1:10" ht="15">
      <c r="A621" s="21">
        <v>40970</v>
      </c>
      <c r="B621" s="21">
        <v>40969</v>
      </c>
      <c r="C621" s="17">
        <v>20</v>
      </c>
      <c r="D621" s="17" t="s">
        <v>91</v>
      </c>
      <c r="E621" s="14">
        <v>255454.46</v>
      </c>
      <c r="F621" s="14">
        <v>242678.85</v>
      </c>
      <c r="G621" s="14">
        <v>242678.85</v>
      </c>
      <c r="H621" s="22">
        <f>F621*(1+Assumptions!$B$6+IF(D621="Yes",Assumptions!$C$6,0))</f>
        <v>249959.21550000002</v>
      </c>
      <c r="I621" s="22">
        <f>F621*(1+Assumptions!$B$7+IF(D621="Yes",Assumptions!$C$7,0))</f>
        <v>254812.79250000001</v>
      </c>
      <c r="J621" s="22">
        <f>F621*(1+Assumptions!$B$8+IF(D621="Yes",Assumptions!$C$8,0))</f>
        <v>245105.6385</v>
      </c>
    </row>
    <row r="622" spans="1:10" ht="15">
      <c r="A622" s="21">
        <v>40970</v>
      </c>
      <c r="B622" s="21">
        <v>40969</v>
      </c>
      <c r="C622" s="17">
        <v>21</v>
      </c>
      <c r="D622" s="17" t="s">
        <v>91</v>
      </c>
      <c r="E622" s="14">
        <v>226995.98</v>
      </c>
      <c r="F622" s="14">
        <v>224273.26</v>
      </c>
      <c r="G622" s="14">
        <v>224273.26</v>
      </c>
      <c r="H622" s="22">
        <f>F622*(1+Assumptions!$B$6+IF(D622="Yes",Assumptions!$C$6,0))</f>
        <v>231001.4578</v>
      </c>
      <c r="I622" s="22">
        <f>F622*(1+Assumptions!$B$7+IF(D622="Yes",Assumptions!$C$7,0))</f>
        <v>235486.92300000001</v>
      </c>
      <c r="J622" s="22">
        <f>F622*(1+Assumptions!$B$8+IF(D622="Yes",Assumptions!$C$8,0))</f>
        <v>226515.9926</v>
      </c>
    </row>
    <row r="623" spans="1:10" ht="15">
      <c r="A623" s="21">
        <v>40970</v>
      </c>
      <c r="B623" s="21">
        <v>40969</v>
      </c>
      <c r="C623" s="17">
        <v>22</v>
      </c>
      <c r="D623" s="17" t="s">
        <v>91</v>
      </c>
      <c r="E623" s="14">
        <v>481749.41</v>
      </c>
      <c r="F623" s="14">
        <v>450240.04000000004</v>
      </c>
      <c r="G623" s="14">
        <v>450240.04000000004</v>
      </c>
      <c r="H623" s="22">
        <f>F623*(1+Assumptions!$B$6+IF(D623="Yes",Assumptions!$C$6,0))</f>
        <v>463747.24120000005</v>
      </c>
      <c r="I623" s="22">
        <f>F623*(1+Assumptions!$B$7+IF(D623="Yes",Assumptions!$C$7,0))</f>
        <v>472752.04200000007</v>
      </c>
      <c r="J623" s="22">
        <f>F623*(1+Assumptions!$B$8+IF(D623="Yes",Assumptions!$C$8,0))</f>
        <v>454742.44040000002</v>
      </c>
    </row>
    <row r="624" spans="1:10" ht="15">
      <c r="A624" s="21">
        <v>40970</v>
      </c>
      <c r="B624" s="21">
        <v>40969</v>
      </c>
      <c r="C624" s="17">
        <v>23</v>
      </c>
      <c r="D624" s="17" t="s">
        <v>91</v>
      </c>
      <c r="E624" s="14">
        <v>877336.85</v>
      </c>
      <c r="F624" s="14">
        <v>861001.77</v>
      </c>
      <c r="G624" s="14">
        <v>861001.77</v>
      </c>
      <c r="H624" s="22">
        <f>F624*(1+Assumptions!$B$6+IF(D624="Yes",Assumptions!$C$6,0))</f>
        <v>886831.82310000004</v>
      </c>
      <c r="I624" s="22">
        <f>F624*(1+Assumptions!$B$7+IF(D624="Yes",Assumptions!$C$7,0))</f>
        <v>904051.85850000009</v>
      </c>
      <c r="J624" s="22">
        <f>F624*(1+Assumptions!$B$8+IF(D624="Yes",Assumptions!$C$8,0))</f>
        <v>869611.78769999999</v>
      </c>
    </row>
    <row r="625" spans="1:10" ht="15">
      <c r="A625" s="21">
        <v>40970</v>
      </c>
      <c r="B625" s="21">
        <v>40969</v>
      </c>
      <c r="C625" s="17">
        <v>24</v>
      </c>
      <c r="D625" s="17" t="s">
        <v>91</v>
      </c>
      <c r="E625" s="14">
        <v>212743.88999999998</v>
      </c>
      <c r="F625" s="14">
        <v>203382.78</v>
      </c>
      <c r="G625" s="14">
        <v>203382.78</v>
      </c>
      <c r="H625" s="22">
        <f>F625*(1+Assumptions!$B$6+IF(D625="Yes",Assumptions!$C$6,0))</f>
        <v>209484.2634</v>
      </c>
      <c r="I625" s="22">
        <f>F625*(1+Assumptions!$B$7+IF(D625="Yes",Assumptions!$C$7,0))</f>
        <v>213551.91899999999</v>
      </c>
      <c r="J625" s="22">
        <f>F625*(1+Assumptions!$B$8+IF(D625="Yes",Assumptions!$C$8,0))</f>
        <v>205416.6078</v>
      </c>
    </row>
    <row r="626" spans="1:10" ht="15">
      <c r="A626" s="21">
        <v>40970</v>
      </c>
      <c r="B626" s="21">
        <v>40969</v>
      </c>
      <c r="C626" s="17">
        <v>25</v>
      </c>
      <c r="D626" s="17" t="s">
        <v>91</v>
      </c>
      <c r="E626" s="14">
        <v>353549.83</v>
      </c>
      <c r="F626" s="14">
        <v>372818.95</v>
      </c>
      <c r="G626" s="14">
        <v>372818.95</v>
      </c>
      <c r="H626" s="22">
        <f>F626*(1+Assumptions!$B$6+IF(D626="Yes",Assumptions!$C$6,0))</f>
        <v>384003.51850000001</v>
      </c>
      <c r="I626" s="22">
        <f>F626*(1+Assumptions!$B$7+IF(D626="Yes",Assumptions!$C$7,0))</f>
        <v>391459.89750000002</v>
      </c>
      <c r="J626" s="22">
        <f>F626*(1+Assumptions!$B$8+IF(D626="Yes",Assumptions!$C$8,0))</f>
        <v>376547.13949999999</v>
      </c>
    </row>
    <row r="627" spans="1:10" ht="15">
      <c r="A627" s="21">
        <v>40970</v>
      </c>
      <c r="B627" s="21">
        <v>40969</v>
      </c>
      <c r="C627" s="17">
        <v>26</v>
      </c>
      <c r="D627" s="17" t="s">
        <v>91</v>
      </c>
      <c r="E627" s="14">
        <v>317000.19</v>
      </c>
      <c r="F627" s="14">
        <v>319230.31</v>
      </c>
      <c r="G627" s="14">
        <v>319230.31</v>
      </c>
      <c r="H627" s="22">
        <f>F627*(1+Assumptions!$B$6+IF(D627="Yes",Assumptions!$C$6,0))</f>
        <v>328807.2193</v>
      </c>
      <c r="I627" s="22">
        <f>F627*(1+Assumptions!$B$7+IF(D627="Yes",Assumptions!$C$7,0))</f>
        <v>335191.82550000004</v>
      </c>
      <c r="J627" s="22">
        <f>F627*(1+Assumptions!$B$8+IF(D627="Yes",Assumptions!$C$8,0))</f>
        <v>322422.61310000002</v>
      </c>
    </row>
    <row r="628" spans="1:10" ht="15">
      <c r="A628" s="21">
        <v>40970</v>
      </c>
      <c r="B628" s="21">
        <v>40969</v>
      </c>
      <c r="C628" s="17">
        <v>27</v>
      </c>
      <c r="D628" s="17" t="s">
        <v>91</v>
      </c>
      <c r="E628" s="14">
        <v>67231.199999999997</v>
      </c>
      <c r="F628" s="14">
        <v>65696.67</v>
      </c>
      <c r="G628" s="14">
        <v>65696.67</v>
      </c>
      <c r="H628" s="22">
        <f>F628*(1+Assumptions!$B$6+IF(D628="Yes",Assumptions!$C$6,0))</f>
        <v>67667.570099999997</v>
      </c>
      <c r="I628" s="22">
        <f>F628*(1+Assumptions!$B$7+IF(D628="Yes",Assumptions!$C$7,0))</f>
        <v>68981.503500000006</v>
      </c>
      <c r="J628" s="22">
        <f>F628*(1+Assumptions!$B$8+IF(D628="Yes",Assumptions!$C$8,0))</f>
        <v>66353.636700000003</v>
      </c>
    </row>
    <row r="629" spans="1:10" ht="15">
      <c r="A629" s="21">
        <v>40970</v>
      </c>
      <c r="B629" s="21">
        <v>40969</v>
      </c>
      <c r="C629" s="17">
        <v>28</v>
      </c>
      <c r="D629" s="17" t="s">
        <v>91</v>
      </c>
      <c r="E629" s="14">
        <v>28260.75</v>
      </c>
      <c r="F629" s="14">
        <v>31475.9</v>
      </c>
      <c r="G629" s="14">
        <v>31475.9</v>
      </c>
      <c r="H629" s="22">
        <f>F629*(1+Assumptions!$B$6+IF(D629="Yes",Assumptions!$C$6,0))</f>
        <v>32420.177000000003</v>
      </c>
      <c r="I629" s="22">
        <f>F629*(1+Assumptions!$B$7+IF(D629="Yes",Assumptions!$C$7,0))</f>
        <v>33049.695</v>
      </c>
      <c r="J629" s="22">
        <f>F629*(1+Assumptions!$B$8+IF(D629="Yes",Assumptions!$C$8,0))</f>
        <v>31790.659000000003</v>
      </c>
    </row>
    <row r="630" spans="1:10" ht="15">
      <c r="A630" s="21">
        <v>40970</v>
      </c>
      <c r="B630" s="21">
        <v>40969</v>
      </c>
      <c r="C630" s="17">
        <v>29</v>
      </c>
      <c r="D630" s="17" t="s">
        <v>91</v>
      </c>
      <c r="E630" s="14">
        <v>209550.54</v>
      </c>
      <c r="F630" s="14">
        <v>205639.91</v>
      </c>
      <c r="G630" s="14">
        <v>205639.91</v>
      </c>
      <c r="H630" s="22">
        <f>F630*(1+Assumptions!$B$6+IF(D630="Yes",Assumptions!$C$6,0))</f>
        <v>211809.1073</v>
      </c>
      <c r="I630" s="22">
        <f>F630*(1+Assumptions!$B$7+IF(D630="Yes",Assumptions!$C$7,0))</f>
        <v>215921.90550000002</v>
      </c>
      <c r="J630" s="22">
        <f>F630*(1+Assumptions!$B$8+IF(D630="Yes",Assumptions!$C$8,0))</f>
        <v>207696.30910000001</v>
      </c>
    </row>
    <row r="631" spans="1:10" ht="15">
      <c r="A631" s="21">
        <v>40970</v>
      </c>
      <c r="B631" s="21">
        <v>40969</v>
      </c>
      <c r="C631" s="17">
        <v>30</v>
      </c>
      <c r="D631" s="17" t="s">
        <v>91</v>
      </c>
      <c r="E631" s="14">
        <v>152588.60999999999</v>
      </c>
      <c r="F631" s="14">
        <v>170471.47</v>
      </c>
      <c r="G631" s="14">
        <v>170471.47</v>
      </c>
      <c r="H631" s="22">
        <f>F631*(1+Assumptions!$B$6+IF(D631="Yes",Assumptions!$C$6,0))</f>
        <v>175585.61410000001</v>
      </c>
      <c r="I631" s="22">
        <f>F631*(1+Assumptions!$B$7+IF(D631="Yes",Assumptions!$C$7,0))</f>
        <v>178995.0435</v>
      </c>
      <c r="J631" s="22">
        <f>F631*(1+Assumptions!$B$8+IF(D631="Yes",Assumptions!$C$8,0))</f>
        <v>172176.18470000001</v>
      </c>
    </row>
    <row r="632" spans="1:10" ht="15">
      <c r="A632" s="21">
        <v>40970</v>
      </c>
      <c r="B632" s="21">
        <v>40969</v>
      </c>
      <c r="C632" s="17">
        <v>31</v>
      </c>
      <c r="D632" s="17" t="s">
        <v>91</v>
      </c>
      <c r="E632" s="14">
        <v>71299.070000000007</v>
      </c>
      <c r="F632" s="14">
        <v>88387.36</v>
      </c>
      <c r="G632" s="14">
        <v>88387.36</v>
      </c>
      <c r="H632" s="22">
        <f>F632*(1+Assumptions!$B$6+IF(D632="Yes",Assumptions!$C$6,0))</f>
        <v>91038.980800000005</v>
      </c>
      <c r="I632" s="22">
        <f>F632*(1+Assumptions!$B$7+IF(D632="Yes",Assumptions!$C$7,0))</f>
        <v>92806.728000000003</v>
      </c>
      <c r="J632" s="22">
        <f>F632*(1+Assumptions!$B$8+IF(D632="Yes",Assumptions!$C$8,0))</f>
        <v>89271.233600000007</v>
      </c>
    </row>
    <row r="633" spans="1:10" ht="15">
      <c r="A633" s="21">
        <v>40970</v>
      </c>
      <c r="B633" s="21">
        <v>40969</v>
      </c>
      <c r="C633" s="17">
        <v>32</v>
      </c>
      <c r="D633" s="17" t="s">
        <v>91</v>
      </c>
      <c r="E633" s="14">
        <v>248107.94</v>
      </c>
      <c r="F633" s="14">
        <v>269280.83</v>
      </c>
      <c r="G633" s="14">
        <v>269280.83</v>
      </c>
      <c r="H633" s="22">
        <f>F633*(1+Assumptions!$B$6+IF(D633="Yes",Assumptions!$C$6,0))</f>
        <v>277359.2549</v>
      </c>
      <c r="I633" s="22">
        <f>F633*(1+Assumptions!$B$7+IF(D633="Yes",Assumptions!$C$7,0))</f>
        <v>282744.87150000001</v>
      </c>
      <c r="J633" s="22">
        <f>F633*(1+Assumptions!$B$8+IF(D633="Yes",Assumptions!$C$8,0))</f>
        <v>271973.63829999999</v>
      </c>
    </row>
    <row r="634" spans="1:10" ht="15">
      <c r="A634" s="21">
        <v>40970</v>
      </c>
      <c r="B634" s="21">
        <v>40969</v>
      </c>
      <c r="C634" s="17">
        <v>33</v>
      </c>
      <c r="D634" s="17" t="s">
        <v>91</v>
      </c>
      <c r="E634" s="14">
        <v>215297.76</v>
      </c>
      <c r="F634" s="14">
        <v>209538.16</v>
      </c>
      <c r="G634" s="14">
        <v>209538.16</v>
      </c>
      <c r="H634" s="22">
        <f>F634*(1+Assumptions!$B$6+IF(D634="Yes",Assumptions!$C$6,0))</f>
        <v>215824.30480000001</v>
      </c>
      <c r="I634" s="22">
        <f>F634*(1+Assumptions!$B$7+IF(D634="Yes",Assumptions!$C$7,0))</f>
        <v>220015.068</v>
      </c>
      <c r="J634" s="22">
        <f>F634*(1+Assumptions!$B$8+IF(D634="Yes",Assumptions!$C$8,0))</f>
        <v>211633.5416</v>
      </c>
    </row>
    <row r="635" spans="1:10" ht="15">
      <c r="A635" s="21">
        <v>40970</v>
      </c>
      <c r="B635" s="21">
        <v>40969</v>
      </c>
      <c r="C635" s="17">
        <v>34</v>
      </c>
      <c r="D635" s="17" t="s">
        <v>91</v>
      </c>
      <c r="E635" s="14">
        <v>568666.47</v>
      </c>
      <c r="F635" s="14">
        <v>563251.01</v>
      </c>
      <c r="G635" s="14">
        <v>563251.01</v>
      </c>
      <c r="H635" s="22">
        <f>F635*(1+Assumptions!$B$6+IF(D635="Yes",Assumptions!$C$6,0))</f>
        <v>580148.54029999999</v>
      </c>
      <c r="I635" s="22">
        <f>F635*(1+Assumptions!$B$7+IF(D635="Yes",Assumptions!$C$7,0))</f>
        <v>591413.56050000002</v>
      </c>
      <c r="J635" s="22">
        <f>F635*(1+Assumptions!$B$8+IF(D635="Yes",Assumptions!$C$8,0))</f>
        <v>568883.52009999997</v>
      </c>
    </row>
    <row r="636" spans="1:10" ht="15">
      <c r="A636" s="21">
        <v>40970</v>
      </c>
      <c r="B636" s="21">
        <v>40969</v>
      </c>
      <c r="C636" s="17">
        <v>35</v>
      </c>
      <c r="D636" s="17" t="s">
        <v>91</v>
      </c>
      <c r="E636" s="14">
        <v>101230.32</v>
      </c>
      <c r="F636" s="14">
        <v>112822.43</v>
      </c>
      <c r="G636" s="14">
        <v>112822.43</v>
      </c>
      <c r="H636" s="22">
        <f>F636*(1+Assumptions!$B$6+IF(D636="Yes",Assumptions!$C$6,0))</f>
        <v>116207.1029</v>
      </c>
      <c r="I636" s="22">
        <f>F636*(1+Assumptions!$B$7+IF(D636="Yes",Assumptions!$C$7,0))</f>
        <v>118463.5515</v>
      </c>
      <c r="J636" s="22">
        <f>F636*(1+Assumptions!$B$8+IF(D636="Yes",Assumptions!$C$8,0))</f>
        <v>113950.65429999999</v>
      </c>
    </row>
    <row r="637" spans="1:10" ht="15">
      <c r="A637" s="21">
        <v>40970</v>
      </c>
      <c r="B637" s="21">
        <v>40969</v>
      </c>
      <c r="C637" s="17">
        <v>36</v>
      </c>
      <c r="D637" s="17" t="s">
        <v>91</v>
      </c>
      <c r="E637" s="14">
        <v>59045.37</v>
      </c>
      <c r="F637" s="14">
        <v>48155.75</v>
      </c>
      <c r="G637" s="14">
        <v>48155.75</v>
      </c>
      <c r="H637" s="22">
        <f>F637*(1+Assumptions!$B$6+IF(D637="Yes",Assumptions!$C$6,0))</f>
        <v>49600.422500000001</v>
      </c>
      <c r="I637" s="22">
        <f>F637*(1+Assumptions!$B$7+IF(D637="Yes",Assumptions!$C$7,0))</f>
        <v>50563.537499999999</v>
      </c>
      <c r="J637" s="22">
        <f>F637*(1+Assumptions!$B$8+IF(D637="Yes",Assumptions!$C$8,0))</f>
        <v>48637.307500000003</v>
      </c>
    </row>
    <row r="638" spans="1:10" ht="15">
      <c r="A638" s="21">
        <v>40970</v>
      </c>
      <c r="B638" s="21">
        <v>40969</v>
      </c>
      <c r="C638" s="17">
        <v>37</v>
      </c>
      <c r="D638" s="17" t="s">
        <v>91</v>
      </c>
      <c r="E638" s="14">
        <v>62147.6</v>
      </c>
      <c r="F638" s="14">
        <v>58899.42</v>
      </c>
      <c r="G638" s="14">
        <v>58899.42</v>
      </c>
      <c r="H638" s="22">
        <f>F638*(1+Assumptions!$B$6+IF(D638="Yes",Assumptions!$C$6,0))</f>
        <v>60666.402600000001</v>
      </c>
      <c r="I638" s="22">
        <f>F638*(1+Assumptions!$B$7+IF(D638="Yes",Assumptions!$C$7,0))</f>
        <v>61844.391000000003</v>
      </c>
      <c r="J638" s="22">
        <f>F638*(1+Assumptions!$B$8+IF(D638="Yes",Assumptions!$C$8,0))</f>
        <v>59488.414199999999</v>
      </c>
    </row>
    <row r="639" spans="1:10" ht="15">
      <c r="A639" s="21">
        <v>40970</v>
      </c>
      <c r="B639" s="21">
        <v>40969</v>
      </c>
      <c r="C639" s="17">
        <v>38</v>
      </c>
      <c r="D639" s="17" t="s">
        <v>91</v>
      </c>
      <c r="E639" s="14">
        <v>3128520.25</v>
      </c>
      <c r="F639" s="14">
        <v>3022327.08</v>
      </c>
      <c r="G639" s="14">
        <v>3022327.08</v>
      </c>
      <c r="H639" s="22">
        <f>F639*(1+Assumptions!$B$6+IF(D639="Yes",Assumptions!$C$6,0))</f>
        <v>3112996.8924000002</v>
      </c>
      <c r="I639" s="22">
        <f>F639*(1+Assumptions!$B$7+IF(D639="Yes",Assumptions!$C$7,0))</f>
        <v>3173443.4340000004</v>
      </c>
      <c r="J639" s="22">
        <f>F639*(1+Assumptions!$B$8+IF(D639="Yes",Assumptions!$C$8,0))</f>
        <v>3052550.3508000001</v>
      </c>
    </row>
    <row r="640" spans="1:10" ht="15">
      <c r="A640" s="21">
        <v>40970</v>
      </c>
      <c r="B640" s="21">
        <v>40969</v>
      </c>
      <c r="C640" s="17">
        <v>40</v>
      </c>
      <c r="D640" s="17" t="s">
        <v>91</v>
      </c>
      <c r="E640" s="14">
        <v>2227096.19</v>
      </c>
      <c r="F640" s="14">
        <v>2188200.89</v>
      </c>
      <c r="G640" s="14">
        <v>2188200.89</v>
      </c>
      <c r="H640" s="22">
        <f>F640*(1+Assumptions!$B$6+IF(D640="Yes",Assumptions!$C$6,0))</f>
        <v>2253846.9167000004</v>
      </c>
      <c r="I640" s="22">
        <f>F640*(1+Assumptions!$B$7+IF(D640="Yes",Assumptions!$C$7,0))</f>
        <v>2297610.9345000004</v>
      </c>
      <c r="J640" s="22">
        <f>F640*(1+Assumptions!$B$8+IF(D640="Yes",Assumptions!$C$8,0))</f>
        <v>2210082.8989000004</v>
      </c>
    </row>
    <row r="641" spans="1:10" ht="15">
      <c r="A641" s="21">
        <v>40970</v>
      </c>
      <c r="B641" s="21">
        <v>40969</v>
      </c>
      <c r="C641" s="17">
        <v>41</v>
      </c>
      <c r="D641" s="17" t="s">
        <v>91</v>
      </c>
      <c r="E641" s="14">
        <v>51193.81</v>
      </c>
      <c r="F641" s="14">
        <v>55582.23</v>
      </c>
      <c r="G641" s="14">
        <v>55582.23</v>
      </c>
      <c r="H641" s="22">
        <f>F641*(1+Assumptions!$B$6+IF(D641="Yes",Assumptions!$C$6,0))</f>
        <v>57249.696900000003</v>
      </c>
      <c r="I641" s="22">
        <f>F641*(1+Assumptions!$B$7+IF(D641="Yes",Assumptions!$C$7,0))</f>
        <v>58361.341500000002</v>
      </c>
      <c r="J641" s="22">
        <f>F641*(1+Assumptions!$B$8+IF(D641="Yes",Assumptions!$C$8,0))</f>
        <v>56138.052300000003</v>
      </c>
    </row>
    <row r="642" spans="1:10" ht="15">
      <c r="A642" s="21">
        <v>40970</v>
      </c>
      <c r="B642" s="21">
        <v>40969</v>
      </c>
      <c r="C642" s="17">
        <v>42</v>
      </c>
      <c r="D642" s="17" t="s">
        <v>91</v>
      </c>
      <c r="E642" s="14">
        <v>239569.27</v>
      </c>
      <c r="F642" s="14">
        <v>231093.46</v>
      </c>
      <c r="G642" s="14">
        <v>231093.46</v>
      </c>
      <c r="H642" s="22">
        <f>F642*(1+Assumptions!$B$6+IF(D642="Yes",Assumptions!$C$6,0))</f>
        <v>238026.26379999999</v>
      </c>
      <c r="I642" s="22">
        <f>F642*(1+Assumptions!$B$7+IF(D642="Yes",Assumptions!$C$7,0))</f>
        <v>242648.133</v>
      </c>
      <c r="J642" s="22">
        <f>F642*(1+Assumptions!$B$8+IF(D642="Yes",Assumptions!$C$8,0))</f>
        <v>233404.3946</v>
      </c>
    </row>
    <row r="643" spans="1:10" ht="15">
      <c r="A643" s="21">
        <v>40970</v>
      </c>
      <c r="B643" s="21">
        <v>40969</v>
      </c>
      <c r="C643" s="17">
        <v>44</v>
      </c>
      <c r="D643" s="17" t="s">
        <v>91</v>
      </c>
      <c r="E643" s="14">
        <v>169969.4</v>
      </c>
      <c r="F643" s="14">
        <v>164225.25</v>
      </c>
      <c r="G643" s="14">
        <v>164225.25</v>
      </c>
      <c r="H643" s="22">
        <f>F643*(1+Assumptions!$B$6+IF(D643="Yes",Assumptions!$C$6,0))</f>
        <v>169152.00750000001</v>
      </c>
      <c r="I643" s="22">
        <f>F643*(1+Assumptions!$B$7+IF(D643="Yes",Assumptions!$C$7,0))</f>
        <v>172436.51250000001</v>
      </c>
      <c r="J643" s="22">
        <f>F643*(1+Assumptions!$B$8+IF(D643="Yes",Assumptions!$C$8,0))</f>
        <v>165867.5025</v>
      </c>
    </row>
    <row r="644" spans="1:10" ht="15">
      <c r="A644" s="21">
        <v>40970</v>
      </c>
      <c r="B644" s="21">
        <v>40969</v>
      </c>
      <c r="C644" s="17">
        <v>45</v>
      </c>
      <c r="D644" s="17" t="s">
        <v>91</v>
      </c>
      <c r="E644" s="14">
        <v>178.60999999999999</v>
      </c>
      <c r="F644" s="14">
        <v>70.790000000000006</v>
      </c>
      <c r="G644" s="14">
        <v>70.790000000000006</v>
      </c>
      <c r="H644" s="22">
        <f>F644*(1+Assumptions!$B$6+IF(D644="Yes",Assumptions!$C$6,0))</f>
        <v>72.913700000000006</v>
      </c>
      <c r="I644" s="22">
        <f>F644*(1+Assumptions!$B$7+IF(D644="Yes",Assumptions!$C$7,0))</f>
        <v>74.32950000000001</v>
      </c>
      <c r="J644" s="22">
        <f>F644*(1+Assumptions!$B$8+IF(D644="Yes",Assumptions!$C$8,0))</f>
        <v>71.497900000000001</v>
      </c>
    </row>
    <row r="645" spans="1:10" ht="15">
      <c r="A645" s="21">
        <v>40970</v>
      </c>
      <c r="B645" s="21">
        <v>40969</v>
      </c>
      <c r="C645" s="17">
        <v>46</v>
      </c>
      <c r="D645" s="17" t="s">
        <v>91</v>
      </c>
      <c r="E645" s="14">
        <v>908581.08</v>
      </c>
      <c r="F645" s="14">
        <v>913239</v>
      </c>
      <c r="G645" s="14">
        <v>913239</v>
      </c>
      <c r="H645" s="22">
        <f>F645*(1+Assumptions!$B$6+IF(D645="Yes",Assumptions!$C$6,0))</f>
        <v>940636.17</v>
      </c>
      <c r="I645" s="22">
        <f>F645*(1+Assumptions!$B$7+IF(D645="Yes",Assumptions!$C$7,0))</f>
        <v>958900.95000000007</v>
      </c>
      <c r="J645" s="22">
        <f>F645*(1+Assumptions!$B$8+IF(D645="Yes",Assumptions!$C$8,0))</f>
        <v>922371.39</v>
      </c>
    </row>
    <row r="646" spans="1:10" ht="15">
      <c r="A646" s="21">
        <v>40970</v>
      </c>
      <c r="B646" s="21">
        <v>40969</v>
      </c>
      <c r="C646" s="17">
        <v>47</v>
      </c>
      <c r="D646" s="17" t="s">
        <v>91</v>
      </c>
      <c r="E646" s="14">
        <v>15</v>
      </c>
      <c r="F646" s="14">
        <v>-15</v>
      </c>
      <c r="G646" s="14">
        <v>-15</v>
      </c>
      <c r="H646" s="22">
        <f>F646*(1+Assumptions!$B$6+IF(D646="Yes",Assumptions!$C$6,0))</f>
        <v>-15.450000000000001</v>
      </c>
      <c r="I646" s="22">
        <f>F646*(1+Assumptions!$B$7+IF(D646="Yes",Assumptions!$C$7,0))</f>
        <v>-15.75</v>
      </c>
      <c r="J646" s="22">
        <f>F646*(1+Assumptions!$B$8+IF(D646="Yes",Assumptions!$C$8,0))</f>
        <v>-15.15</v>
      </c>
    </row>
    <row r="647" spans="1:10" ht="15">
      <c r="A647" s="21">
        <v>40970</v>
      </c>
      <c r="B647" s="21">
        <v>40969</v>
      </c>
      <c r="C647" s="17">
        <v>48</v>
      </c>
      <c r="D647" s="17" t="s">
        <v>91</v>
      </c>
      <c r="E647" s="14">
        <v>21549</v>
      </c>
      <c r="F647" s="14">
        <v>11138</v>
      </c>
      <c r="G647" s="14">
        <v>11138</v>
      </c>
      <c r="H647" s="22">
        <f>F647*(1+Assumptions!$B$6+IF(D647="Yes",Assumptions!$C$6,0))</f>
        <v>11472.14</v>
      </c>
      <c r="I647" s="22">
        <f>F647*(1+Assumptions!$B$7+IF(D647="Yes",Assumptions!$C$7,0))</f>
        <v>11694.9</v>
      </c>
      <c r="J647" s="22">
        <f>F647*(1+Assumptions!$B$8+IF(D647="Yes",Assumptions!$C$8,0))</f>
        <v>11249.38</v>
      </c>
    </row>
    <row r="648" spans="1:10" ht="15">
      <c r="A648" s="21">
        <v>40970</v>
      </c>
      <c r="B648" s="21">
        <v>40969</v>
      </c>
      <c r="C648" s="17">
        <v>49</v>
      </c>
      <c r="D648" s="17" t="s">
        <v>91</v>
      </c>
      <c r="E648" s="14">
        <v>312346.05</v>
      </c>
      <c r="F648" s="14">
        <v>310635.7</v>
      </c>
      <c r="G648" s="14">
        <v>310635.7</v>
      </c>
      <c r="H648" s="22">
        <f>F648*(1+Assumptions!$B$6+IF(D648="Yes",Assumptions!$C$6,0))</f>
        <v>319954.77100000001</v>
      </c>
      <c r="I648" s="22">
        <f>F648*(1+Assumptions!$B$7+IF(D648="Yes",Assumptions!$C$7,0))</f>
        <v>326167.48500000004</v>
      </c>
      <c r="J648" s="22">
        <f>F648*(1+Assumptions!$B$8+IF(D648="Yes",Assumptions!$C$8,0))</f>
        <v>313742.05700000003</v>
      </c>
    </row>
    <row r="649" spans="1:10" ht="15">
      <c r="A649" s="21">
        <v>40970</v>
      </c>
      <c r="B649" s="21">
        <v>40969</v>
      </c>
      <c r="C649" s="17">
        <v>50</v>
      </c>
      <c r="D649" s="17" t="s">
        <v>91</v>
      </c>
      <c r="E649" s="14">
        <v>37535</v>
      </c>
      <c r="F649" s="14">
        <v>33421.360000000001</v>
      </c>
      <c r="G649" s="14">
        <v>33421.360000000001</v>
      </c>
      <c r="H649" s="22">
        <f>F649*(1+Assumptions!$B$6+IF(D649="Yes",Assumptions!$C$6,0))</f>
        <v>34424.000800000002</v>
      </c>
      <c r="I649" s="22">
        <f>F649*(1+Assumptions!$B$7+IF(D649="Yes",Assumptions!$C$7,0))</f>
        <v>35092.428</v>
      </c>
      <c r="J649" s="22">
        <f>F649*(1+Assumptions!$B$8+IF(D649="Yes",Assumptions!$C$8,0))</f>
        <v>33755.573600000003</v>
      </c>
    </row>
    <row r="650" spans="1:10" ht="15">
      <c r="A650" s="21">
        <v>40970</v>
      </c>
      <c r="B650" s="21">
        <v>40969</v>
      </c>
      <c r="C650" s="17">
        <v>52</v>
      </c>
      <c r="D650" s="17" t="s">
        <v>91</v>
      </c>
      <c r="E650" s="14">
        <v>83794.84</v>
      </c>
      <c r="F650" s="14">
        <v>91309.45</v>
      </c>
      <c r="G650" s="14">
        <v>91309.45</v>
      </c>
      <c r="H650" s="22">
        <f>F650*(1+Assumptions!$B$6+IF(D650="Yes",Assumptions!$C$6,0))</f>
        <v>94048.733500000002</v>
      </c>
      <c r="I650" s="22">
        <f>F650*(1+Assumptions!$B$7+IF(D650="Yes",Assumptions!$C$7,0))</f>
        <v>95874.922500000001</v>
      </c>
      <c r="J650" s="22">
        <f>F650*(1+Assumptions!$B$8+IF(D650="Yes",Assumptions!$C$8,0))</f>
        <v>92222.544500000004</v>
      </c>
    </row>
    <row r="651" spans="1:10" ht="15">
      <c r="A651" s="21">
        <v>40970</v>
      </c>
      <c r="B651" s="21">
        <v>40969</v>
      </c>
      <c r="C651" s="17">
        <v>54</v>
      </c>
      <c r="D651" s="17" t="s">
        <v>91</v>
      </c>
      <c r="E651" s="14">
        <v>1107.94</v>
      </c>
      <c r="F651" s="14">
        <v>2279.6799999999998</v>
      </c>
      <c r="G651" s="14">
        <v>2279.6799999999998</v>
      </c>
      <c r="H651" s="22">
        <f>F651*(1+Assumptions!$B$6+IF(D651="Yes",Assumptions!$C$6,0))</f>
        <v>2348.0704000000001</v>
      </c>
      <c r="I651" s="22">
        <f>F651*(1+Assumptions!$B$7+IF(D651="Yes",Assumptions!$C$7,0))</f>
        <v>2393.6639999999998</v>
      </c>
      <c r="J651" s="22">
        <f>F651*(1+Assumptions!$B$8+IF(D651="Yes",Assumptions!$C$8,0))</f>
        <v>2302.4767999999999</v>
      </c>
    </row>
    <row r="652" spans="1:10" ht="15">
      <c r="A652" s="21">
        <v>40970</v>
      </c>
      <c r="B652" s="21">
        <v>40969</v>
      </c>
      <c r="C652" s="17">
        <v>55</v>
      </c>
      <c r="D652" s="17" t="s">
        <v>91</v>
      </c>
      <c r="E652" s="14">
        <v>385494.81</v>
      </c>
      <c r="F652" s="14">
        <v>417999.65</v>
      </c>
      <c r="G652" s="14">
        <v>417999.65</v>
      </c>
      <c r="H652" s="22">
        <f>F652*(1+Assumptions!$B$6+IF(D652="Yes",Assumptions!$C$6,0))</f>
        <v>430539.63950000005</v>
      </c>
      <c r="I652" s="22">
        <f>F652*(1+Assumptions!$B$7+IF(D652="Yes",Assumptions!$C$7,0))</f>
        <v>438899.63250000007</v>
      </c>
      <c r="J652" s="22">
        <f>F652*(1+Assumptions!$B$8+IF(D652="Yes",Assumptions!$C$8,0))</f>
        <v>422179.64650000003</v>
      </c>
    </row>
    <row r="653" spans="1:10" ht="15">
      <c r="A653" s="21">
        <v>40970</v>
      </c>
      <c r="B653" s="21">
        <v>40969</v>
      </c>
      <c r="C653" s="17">
        <v>56</v>
      </c>
      <c r="D653" s="17" t="s">
        <v>91</v>
      </c>
      <c r="E653" s="14">
        <v>91185.31</v>
      </c>
      <c r="F653" s="14">
        <v>123837.47</v>
      </c>
      <c r="G653" s="14">
        <v>123837.47</v>
      </c>
      <c r="H653" s="22">
        <f>F653*(1+Assumptions!$B$6+IF(D653="Yes",Assumptions!$C$6,0))</f>
        <v>127552.5941</v>
      </c>
      <c r="I653" s="22">
        <f>F653*(1+Assumptions!$B$7+IF(D653="Yes",Assumptions!$C$7,0))</f>
        <v>130029.3435</v>
      </c>
      <c r="J653" s="22">
        <f>F653*(1+Assumptions!$B$8+IF(D653="Yes",Assumptions!$C$8,0))</f>
        <v>125075.8447</v>
      </c>
    </row>
    <row r="654" spans="1:10" ht="15">
      <c r="A654" s="21">
        <v>40970</v>
      </c>
      <c r="B654" s="21">
        <v>40969</v>
      </c>
      <c r="C654" s="17">
        <v>58</v>
      </c>
      <c r="D654" s="17" t="s">
        <v>91</v>
      </c>
      <c r="E654" s="14">
        <v>104695</v>
      </c>
      <c r="F654" s="14">
        <v>105973.97</v>
      </c>
      <c r="G654" s="14">
        <v>105973.97</v>
      </c>
      <c r="H654" s="22">
        <f>F654*(1+Assumptions!$B$6+IF(D654="Yes",Assumptions!$C$6,0))</f>
        <v>109153.1891</v>
      </c>
      <c r="I654" s="22">
        <f>F654*(1+Assumptions!$B$7+IF(D654="Yes",Assumptions!$C$7,0))</f>
        <v>111272.6685</v>
      </c>
      <c r="J654" s="22">
        <f>F654*(1+Assumptions!$B$8+IF(D654="Yes",Assumptions!$C$8,0))</f>
        <v>107033.70970000001</v>
      </c>
    </row>
    <row r="655" spans="1:10" ht="15">
      <c r="A655" s="21">
        <v>40970</v>
      </c>
      <c r="B655" s="21">
        <v>40969</v>
      </c>
      <c r="C655" s="17">
        <v>59</v>
      </c>
      <c r="D655" s="17" t="s">
        <v>91</v>
      </c>
      <c r="E655" s="14">
        <v>10561.34</v>
      </c>
      <c r="F655" s="14">
        <v>16905.87</v>
      </c>
      <c r="G655" s="14">
        <v>16905.87</v>
      </c>
      <c r="H655" s="22">
        <f>F655*(1+Assumptions!$B$6+IF(D655="Yes",Assumptions!$C$6,0))</f>
        <v>17413.0461</v>
      </c>
      <c r="I655" s="22">
        <f>F655*(1+Assumptions!$B$7+IF(D655="Yes",Assumptions!$C$7,0))</f>
        <v>17751.163499999999</v>
      </c>
      <c r="J655" s="22">
        <f>F655*(1+Assumptions!$B$8+IF(D655="Yes",Assumptions!$C$8,0))</f>
        <v>17074.9287</v>
      </c>
    </row>
    <row r="656" spans="1:10" ht="15">
      <c r="A656" s="21">
        <v>40970</v>
      </c>
      <c r="B656" s="21">
        <v>40969</v>
      </c>
      <c r="C656" s="17">
        <v>60</v>
      </c>
      <c r="D656" s="17" t="s">
        <v>91</v>
      </c>
      <c r="E656" s="14">
        <v>13987.8</v>
      </c>
      <c r="F656" s="14">
        <v>15054.8</v>
      </c>
      <c r="G656" s="14">
        <v>15054.8</v>
      </c>
      <c r="H656" s="22">
        <f>F656*(1+Assumptions!$B$6+IF(D656="Yes",Assumptions!$C$6,0))</f>
        <v>15506.444</v>
      </c>
      <c r="I656" s="22">
        <f>F656*(1+Assumptions!$B$7+IF(D656="Yes",Assumptions!$C$7,0))</f>
        <v>15807.539999999999</v>
      </c>
      <c r="J656" s="22">
        <f>F656*(1+Assumptions!$B$8+IF(D656="Yes",Assumptions!$C$8,0))</f>
        <v>15205.348</v>
      </c>
    </row>
    <row r="657" spans="1:10" ht="15">
      <c r="A657" s="21">
        <v>40970</v>
      </c>
      <c r="B657" s="21">
        <v>40969</v>
      </c>
      <c r="C657" s="17">
        <v>65</v>
      </c>
      <c r="D657" s="17" t="s">
        <v>91</v>
      </c>
      <c r="E657" s="14">
        <v>45276.06</v>
      </c>
      <c r="F657" s="14">
        <v>49347.95</v>
      </c>
      <c r="G657" s="14">
        <v>49347.95</v>
      </c>
      <c r="H657" s="22">
        <f>F657*(1+Assumptions!$B$6+IF(D657="Yes",Assumptions!$C$6,0))</f>
        <v>50828.388500000001</v>
      </c>
      <c r="I657" s="22">
        <f>F657*(1+Assumptions!$B$7+IF(D657="Yes",Assumptions!$C$7,0))</f>
        <v>51815.347499999996</v>
      </c>
      <c r="J657" s="22">
        <f>F657*(1+Assumptions!$B$8+IF(D657="Yes",Assumptions!$C$8,0))</f>
        <v>49841.429499999998</v>
      </c>
    </row>
    <row r="658" spans="1:10" ht="15">
      <c r="A658" s="21">
        <v>40970</v>
      </c>
      <c r="B658" s="21">
        <v>40969</v>
      </c>
      <c r="C658" s="17">
        <v>67</v>
      </c>
      <c r="D658" s="17" t="s">
        <v>91</v>
      </c>
      <c r="E658" s="14">
        <v>254137.59</v>
      </c>
      <c r="F658" s="14">
        <v>257278.07999999999</v>
      </c>
      <c r="G658" s="14">
        <v>257278.07999999999</v>
      </c>
      <c r="H658" s="22">
        <f>F658*(1+Assumptions!$B$6+IF(D658="Yes",Assumptions!$C$6,0))</f>
        <v>264996.42239999998</v>
      </c>
      <c r="I658" s="22">
        <f>F658*(1+Assumptions!$B$7+IF(D658="Yes",Assumptions!$C$7,0))</f>
        <v>270141.984</v>
      </c>
      <c r="J658" s="22">
        <f>F658*(1+Assumptions!$B$8+IF(D658="Yes",Assumptions!$C$8,0))</f>
        <v>259850.86079999999</v>
      </c>
    </row>
    <row r="659" spans="1:10" ht="15">
      <c r="A659" s="21">
        <v>40970</v>
      </c>
      <c r="B659" s="21">
        <v>40969</v>
      </c>
      <c r="C659" s="17">
        <v>71</v>
      </c>
      <c r="D659" s="17" t="s">
        <v>91</v>
      </c>
      <c r="E659" s="14">
        <v>276653.69</v>
      </c>
      <c r="F659" s="14">
        <v>251872.31</v>
      </c>
      <c r="G659" s="14">
        <v>251872.31</v>
      </c>
      <c r="H659" s="22">
        <f>F659*(1+Assumptions!$B$6+IF(D659="Yes",Assumptions!$C$6,0))</f>
        <v>259428.47930000001</v>
      </c>
      <c r="I659" s="22">
        <f>F659*(1+Assumptions!$B$7+IF(D659="Yes",Assumptions!$C$7,0))</f>
        <v>264465.92550000001</v>
      </c>
      <c r="J659" s="22">
        <f>F659*(1+Assumptions!$B$8+IF(D659="Yes",Assumptions!$C$8,0))</f>
        <v>254391.0331</v>
      </c>
    </row>
    <row r="660" spans="1:10" ht="15">
      <c r="A660" s="21">
        <v>40970</v>
      </c>
      <c r="B660" s="21">
        <v>40969</v>
      </c>
      <c r="C660" s="17">
        <v>72</v>
      </c>
      <c r="D660" s="17" t="s">
        <v>91</v>
      </c>
      <c r="E660" s="14">
        <v>2309221.67</v>
      </c>
      <c r="F660" s="14">
        <v>2633098.13</v>
      </c>
      <c r="G660" s="14">
        <v>2633098.13</v>
      </c>
      <c r="H660" s="22">
        <f>F660*(1+Assumptions!$B$6+IF(D660="Yes",Assumptions!$C$6,0))</f>
        <v>2712091.0738999997</v>
      </c>
      <c r="I660" s="22">
        <f>F660*(1+Assumptions!$B$7+IF(D660="Yes",Assumptions!$C$7,0))</f>
        <v>2764753.0364999999</v>
      </c>
      <c r="J660" s="22">
        <f>F660*(1+Assumptions!$B$8+IF(D660="Yes",Assumptions!$C$8,0))</f>
        <v>2659429.1113</v>
      </c>
    </row>
    <row r="661" spans="1:10" ht="15">
      <c r="A661" s="21">
        <v>40970</v>
      </c>
      <c r="B661" s="21">
        <v>40969</v>
      </c>
      <c r="C661" s="17">
        <v>74</v>
      </c>
      <c r="D661" s="17" t="s">
        <v>91</v>
      </c>
      <c r="E661" s="14">
        <v>673572.55</v>
      </c>
      <c r="F661" s="14">
        <v>680227.25</v>
      </c>
      <c r="G661" s="14">
        <v>680227.25</v>
      </c>
      <c r="H661" s="22">
        <f>F661*(1+Assumptions!$B$6+IF(D661="Yes",Assumptions!$C$6,0))</f>
        <v>700634.0675</v>
      </c>
      <c r="I661" s="22">
        <f>F661*(1+Assumptions!$B$7+IF(D661="Yes",Assumptions!$C$7,0))</f>
        <v>714238.61250000005</v>
      </c>
      <c r="J661" s="22">
        <f>F661*(1+Assumptions!$B$8+IF(D661="Yes",Assumptions!$C$8,0))</f>
        <v>687029.52249999996</v>
      </c>
    </row>
    <row r="662" spans="1:10" ht="15">
      <c r="A662" s="21">
        <v>40970</v>
      </c>
      <c r="B662" s="21">
        <v>40969</v>
      </c>
      <c r="C662" s="17">
        <v>79</v>
      </c>
      <c r="D662" s="17" t="s">
        <v>91</v>
      </c>
      <c r="E662" s="14">
        <v>1165490.48</v>
      </c>
      <c r="F662" s="14">
        <v>1140847.18</v>
      </c>
      <c r="G662" s="14">
        <v>1140847.18</v>
      </c>
      <c r="H662" s="22">
        <f>F662*(1+Assumptions!$B$6+IF(D662="Yes",Assumptions!$C$6,0))</f>
        <v>1175072.5954</v>
      </c>
      <c r="I662" s="22">
        <f>F662*(1+Assumptions!$B$7+IF(D662="Yes",Assumptions!$C$7,0))</f>
        <v>1197889.5389999999</v>
      </c>
      <c r="J662" s="22">
        <f>F662*(1+Assumptions!$B$8+IF(D662="Yes",Assumptions!$C$8,0))</f>
        <v>1152255.6517999999</v>
      </c>
    </row>
    <row r="663" spans="1:10" ht="15">
      <c r="A663" s="21">
        <v>40970</v>
      </c>
      <c r="B663" s="21">
        <v>40969</v>
      </c>
      <c r="C663" s="17">
        <v>80</v>
      </c>
      <c r="D663" s="17" t="s">
        <v>91</v>
      </c>
      <c r="E663" s="14">
        <v>499721.01</v>
      </c>
      <c r="F663" s="14">
        <v>503693.61</v>
      </c>
      <c r="G663" s="14">
        <v>503693.61</v>
      </c>
      <c r="H663" s="22">
        <f>F663*(1+Assumptions!$B$6+IF(D663="Yes",Assumptions!$C$6,0))</f>
        <v>518804.41830000002</v>
      </c>
      <c r="I663" s="22">
        <f>F663*(1+Assumptions!$B$7+IF(D663="Yes",Assumptions!$C$7,0))</f>
        <v>528878.2905</v>
      </c>
      <c r="J663" s="22">
        <f>F663*(1+Assumptions!$B$8+IF(D663="Yes",Assumptions!$C$8,0))</f>
        <v>508730.54609999998</v>
      </c>
    </row>
    <row r="664" spans="1:10" ht="15">
      <c r="A664" s="21">
        <v>40970</v>
      </c>
      <c r="B664" s="21">
        <v>40969</v>
      </c>
      <c r="C664" s="17">
        <v>81</v>
      </c>
      <c r="D664" s="17" t="s">
        <v>91</v>
      </c>
      <c r="E664" s="14">
        <v>697778.5</v>
      </c>
      <c r="F664" s="14">
        <v>707481.65</v>
      </c>
      <c r="G664" s="14">
        <v>707481.65</v>
      </c>
      <c r="H664" s="22">
        <f>F664*(1+Assumptions!$B$6+IF(D664="Yes",Assumptions!$C$6,0))</f>
        <v>728706.09950000001</v>
      </c>
      <c r="I664" s="22">
        <f>F664*(1+Assumptions!$B$7+IF(D664="Yes",Assumptions!$C$7,0))</f>
        <v>742855.73250000004</v>
      </c>
      <c r="J664" s="22">
        <f>F664*(1+Assumptions!$B$8+IF(D664="Yes",Assumptions!$C$8,0))</f>
        <v>714556.46649999998</v>
      </c>
    </row>
    <row r="665" spans="1:10" ht="15">
      <c r="A665" s="21">
        <v>40970</v>
      </c>
      <c r="B665" s="21">
        <v>40969</v>
      </c>
      <c r="C665" s="17">
        <v>82</v>
      </c>
      <c r="D665" s="17" t="s">
        <v>91</v>
      </c>
      <c r="E665" s="14">
        <v>668642.64</v>
      </c>
      <c r="F665" s="14">
        <v>657274.91</v>
      </c>
      <c r="G665" s="14">
        <v>657274.91</v>
      </c>
      <c r="H665" s="22">
        <f>F665*(1+Assumptions!$B$6+IF(D665="Yes",Assumptions!$C$6,0))</f>
        <v>676993.15730000008</v>
      </c>
      <c r="I665" s="22">
        <f>F665*(1+Assumptions!$B$7+IF(D665="Yes",Assumptions!$C$7,0))</f>
        <v>690138.65550000011</v>
      </c>
      <c r="J665" s="22">
        <f>F665*(1+Assumptions!$B$8+IF(D665="Yes",Assumptions!$C$8,0))</f>
        <v>663847.65910000005</v>
      </c>
    </row>
    <row r="666" spans="1:10" ht="15">
      <c r="A666" s="21">
        <v>40970</v>
      </c>
      <c r="B666" s="21">
        <v>40969</v>
      </c>
      <c r="C666" s="17">
        <v>83</v>
      </c>
      <c r="D666" s="17" t="s">
        <v>91</v>
      </c>
      <c r="E666" s="14">
        <v>159436.79</v>
      </c>
      <c r="F666" s="14">
        <v>157744.76</v>
      </c>
      <c r="G666" s="14">
        <v>157744.76</v>
      </c>
      <c r="H666" s="22">
        <f>F666*(1+Assumptions!$B$6+IF(D666="Yes",Assumptions!$C$6,0))</f>
        <v>162477.10280000002</v>
      </c>
      <c r="I666" s="22">
        <f>F666*(1+Assumptions!$B$7+IF(D666="Yes",Assumptions!$C$7,0))</f>
        <v>165631.99800000002</v>
      </c>
      <c r="J666" s="22">
        <f>F666*(1+Assumptions!$B$8+IF(D666="Yes",Assumptions!$C$8,0))</f>
        <v>159322.20760000002</v>
      </c>
    </row>
    <row r="667" spans="1:10" ht="15">
      <c r="A667" s="21">
        <v>40970</v>
      </c>
      <c r="B667" s="21">
        <v>40969</v>
      </c>
      <c r="C667" s="17">
        <v>85</v>
      </c>
      <c r="D667" s="17" t="s">
        <v>91</v>
      </c>
      <c r="E667" s="14">
        <v>70034.540000000008</v>
      </c>
      <c r="F667" s="14">
        <v>79996.990000000005</v>
      </c>
      <c r="G667" s="14">
        <v>79996.990000000005</v>
      </c>
      <c r="H667" s="22">
        <f>F667*(1+Assumptions!$B$6+IF(D667="Yes",Assumptions!$C$6,0))</f>
        <v>82396.899700000009</v>
      </c>
      <c r="I667" s="22">
        <f>F667*(1+Assumptions!$B$7+IF(D667="Yes",Assumptions!$C$7,0))</f>
        <v>83996.839500000002</v>
      </c>
      <c r="J667" s="22">
        <f>F667*(1+Assumptions!$B$8+IF(D667="Yes",Assumptions!$C$8,0))</f>
        <v>80796.959900000002</v>
      </c>
    </row>
    <row r="668" spans="1:10" ht="15">
      <c r="A668" s="21">
        <v>40970</v>
      </c>
      <c r="B668" s="21">
        <v>40969</v>
      </c>
      <c r="C668" s="17">
        <v>87</v>
      </c>
      <c r="D668" s="17" t="s">
        <v>91</v>
      </c>
      <c r="E668" s="14">
        <v>778423.17</v>
      </c>
      <c r="F668" s="14">
        <v>683713.15</v>
      </c>
      <c r="G668" s="14">
        <v>683713.15</v>
      </c>
      <c r="H668" s="22">
        <f>F668*(1+Assumptions!$B$6+IF(D668="Yes",Assumptions!$C$6,0))</f>
        <v>704224.54450000008</v>
      </c>
      <c r="I668" s="22">
        <f>F668*(1+Assumptions!$B$7+IF(D668="Yes",Assumptions!$C$7,0))</f>
        <v>717898.80750000011</v>
      </c>
      <c r="J668" s="22">
        <f>F668*(1+Assumptions!$B$8+IF(D668="Yes",Assumptions!$C$8,0))</f>
        <v>690550.28150000004</v>
      </c>
    </row>
    <row r="669" spans="1:10" ht="15">
      <c r="A669" s="21">
        <v>40970</v>
      </c>
      <c r="B669" s="21">
        <v>40969</v>
      </c>
      <c r="C669" s="17">
        <v>90</v>
      </c>
      <c r="D669" s="17" t="s">
        <v>91</v>
      </c>
      <c r="E669" s="14">
        <v>2139224.42</v>
      </c>
      <c r="F669" s="14">
        <v>2065558.8</v>
      </c>
      <c r="G669" s="14">
        <v>2065558.8</v>
      </c>
      <c r="H669" s="22">
        <f>F669*(1+Assumptions!$B$6+IF(D669="Yes",Assumptions!$C$6,0))</f>
        <v>2127525.5640000002</v>
      </c>
      <c r="I669" s="22">
        <f>F669*(1+Assumptions!$B$7+IF(D669="Yes",Assumptions!$C$7,0))</f>
        <v>2168836.7400000002</v>
      </c>
      <c r="J669" s="22">
        <f>F669*(1+Assumptions!$B$8+IF(D669="Yes",Assumptions!$C$8,0))</f>
        <v>2086214.388</v>
      </c>
    </row>
    <row r="670" spans="1:10" ht="15">
      <c r="A670" s="21">
        <v>40970</v>
      </c>
      <c r="B670" s="21">
        <v>40969</v>
      </c>
      <c r="C670" s="17">
        <v>91</v>
      </c>
      <c r="D670" s="17" t="s">
        <v>91</v>
      </c>
      <c r="E670" s="14">
        <v>1575192.03</v>
      </c>
      <c r="F670" s="14">
        <v>1620397.15</v>
      </c>
      <c r="G670" s="14">
        <v>1620397.15</v>
      </c>
      <c r="H670" s="22">
        <f>F670*(1+Assumptions!$B$6+IF(D670="Yes",Assumptions!$C$6,0))</f>
        <v>1669009.0644999999</v>
      </c>
      <c r="I670" s="22">
        <f>F670*(1+Assumptions!$B$7+IF(D670="Yes",Assumptions!$C$7,0))</f>
        <v>1701417.0075000001</v>
      </c>
      <c r="J670" s="22">
        <f>F670*(1+Assumptions!$B$8+IF(D670="Yes",Assumptions!$C$8,0))</f>
        <v>1636601.1214999999</v>
      </c>
    </row>
    <row r="671" spans="1:10" ht="15">
      <c r="A671" s="21">
        <v>40970</v>
      </c>
      <c r="B671" s="21">
        <v>40969</v>
      </c>
      <c r="C671" s="17">
        <v>92</v>
      </c>
      <c r="D671" s="17" t="s">
        <v>91</v>
      </c>
      <c r="E671" s="14">
        <v>3603681.27</v>
      </c>
      <c r="F671" s="14">
        <v>3432805.9</v>
      </c>
      <c r="G671" s="14">
        <v>3432805.9</v>
      </c>
      <c r="H671" s="22">
        <f>F671*(1+Assumptions!$B$6+IF(D671="Yes",Assumptions!$C$6,0))</f>
        <v>3535790.077</v>
      </c>
      <c r="I671" s="22">
        <f>F671*(1+Assumptions!$B$7+IF(D671="Yes",Assumptions!$C$7,0))</f>
        <v>3604446.1949999998</v>
      </c>
      <c r="J671" s="22">
        <f>F671*(1+Assumptions!$B$8+IF(D671="Yes",Assumptions!$C$8,0))</f>
        <v>3467133.9589999998</v>
      </c>
    </row>
    <row r="672" spans="1:10" ht="15">
      <c r="A672" s="21">
        <v>40970</v>
      </c>
      <c r="B672" s="21">
        <v>40969</v>
      </c>
      <c r="C672" s="17">
        <v>93</v>
      </c>
      <c r="D672" s="17" t="s">
        <v>91</v>
      </c>
      <c r="E672" s="14">
        <v>1064061.47</v>
      </c>
      <c r="F672" s="14">
        <v>1104966.8500000001</v>
      </c>
      <c r="G672" s="14">
        <v>1104966.8500000001</v>
      </c>
      <c r="H672" s="22">
        <f>F672*(1+Assumptions!$B$6+IF(D672="Yes",Assumptions!$C$6,0))</f>
        <v>1138115.8555000001</v>
      </c>
      <c r="I672" s="22">
        <f>F672*(1+Assumptions!$B$7+IF(D672="Yes",Assumptions!$C$7,0))</f>
        <v>1160215.1925000001</v>
      </c>
      <c r="J672" s="22">
        <f>F672*(1+Assumptions!$B$8+IF(D672="Yes",Assumptions!$C$8,0))</f>
        <v>1116016.5185</v>
      </c>
    </row>
    <row r="673" spans="1:10" ht="15">
      <c r="A673" s="21">
        <v>40970</v>
      </c>
      <c r="B673" s="21">
        <v>40969</v>
      </c>
      <c r="C673" s="17">
        <v>94</v>
      </c>
      <c r="D673" s="17" t="s">
        <v>91</v>
      </c>
      <c r="E673" s="14">
        <v>1240167.68</v>
      </c>
      <c r="F673" s="14">
        <v>1332514.24</v>
      </c>
      <c r="G673" s="14">
        <v>1332514.24</v>
      </c>
      <c r="H673" s="22">
        <f>F673*(1+Assumptions!$B$6+IF(D673="Yes",Assumptions!$C$6,0))</f>
        <v>1372489.6672</v>
      </c>
      <c r="I673" s="22">
        <f>F673*(1+Assumptions!$B$7+IF(D673="Yes",Assumptions!$C$7,0))</f>
        <v>1399139.952</v>
      </c>
      <c r="J673" s="22">
        <f>F673*(1+Assumptions!$B$8+IF(D673="Yes",Assumptions!$C$8,0))</f>
        <v>1345839.3824</v>
      </c>
    </row>
    <row r="674" spans="1:10" ht="15">
      <c r="A674" s="21">
        <v>40970</v>
      </c>
      <c r="B674" s="21">
        <v>40969</v>
      </c>
      <c r="C674" s="17">
        <v>95</v>
      </c>
      <c r="D674" s="17" t="s">
        <v>91</v>
      </c>
      <c r="E674" s="14">
        <v>3032242.47</v>
      </c>
      <c r="F674" s="14">
        <v>3087136.61</v>
      </c>
      <c r="G674" s="14">
        <v>3087136.61</v>
      </c>
      <c r="H674" s="22">
        <f>F674*(1+Assumptions!$B$6+IF(D674="Yes",Assumptions!$C$6,0))</f>
        <v>3179750.7083000001</v>
      </c>
      <c r="I674" s="22">
        <f>F674*(1+Assumptions!$B$7+IF(D674="Yes",Assumptions!$C$7,0))</f>
        <v>3241493.4405</v>
      </c>
      <c r="J674" s="22">
        <f>F674*(1+Assumptions!$B$8+IF(D674="Yes",Assumptions!$C$8,0))</f>
        <v>3118007.9761000001</v>
      </c>
    </row>
    <row r="675" spans="1:10" ht="15">
      <c r="A675" s="21">
        <v>40970</v>
      </c>
      <c r="B675" s="21">
        <v>40969</v>
      </c>
      <c r="C675" s="17">
        <v>96</v>
      </c>
      <c r="D675" s="17" t="s">
        <v>91</v>
      </c>
      <c r="E675" s="14">
        <v>467009.98</v>
      </c>
      <c r="F675" s="14">
        <v>475096.24</v>
      </c>
      <c r="G675" s="14">
        <v>475096.24</v>
      </c>
      <c r="H675" s="22">
        <f>F675*(1+Assumptions!$B$6+IF(D675="Yes",Assumptions!$C$6,0))</f>
        <v>489349.12719999999</v>
      </c>
      <c r="I675" s="22">
        <f>F675*(1+Assumptions!$B$7+IF(D675="Yes",Assumptions!$C$7,0))</f>
        <v>498851.05200000003</v>
      </c>
      <c r="J675" s="22">
        <f>F675*(1+Assumptions!$B$8+IF(D675="Yes",Assumptions!$C$8,0))</f>
        <v>479847.20240000001</v>
      </c>
    </row>
    <row r="676" spans="1:10" ht="15">
      <c r="A676" s="21">
        <v>40970</v>
      </c>
      <c r="B676" s="21">
        <v>40969</v>
      </c>
      <c r="C676" s="17">
        <v>97</v>
      </c>
      <c r="D676" s="17" t="s">
        <v>91</v>
      </c>
      <c r="E676" s="14">
        <v>597626.30000000005</v>
      </c>
      <c r="F676" s="14">
        <v>620379.64</v>
      </c>
      <c r="G676" s="14">
        <v>620379.64</v>
      </c>
      <c r="H676" s="22">
        <f>F676*(1+Assumptions!$B$6+IF(D676="Yes",Assumptions!$C$6,0))</f>
        <v>638991.02919999999</v>
      </c>
      <c r="I676" s="22">
        <f>F676*(1+Assumptions!$B$7+IF(D676="Yes",Assumptions!$C$7,0))</f>
        <v>651398.62200000009</v>
      </c>
      <c r="J676" s="22">
        <f>F676*(1+Assumptions!$B$8+IF(D676="Yes",Assumptions!$C$8,0))</f>
        <v>626583.43640000001</v>
      </c>
    </row>
    <row r="677" spans="1:10" ht="15">
      <c r="A677" s="21">
        <v>40970</v>
      </c>
      <c r="B677" s="21">
        <v>40969</v>
      </c>
      <c r="C677" s="17">
        <v>98</v>
      </c>
      <c r="D677" s="17" t="s">
        <v>91</v>
      </c>
      <c r="E677" s="14">
        <v>253157.01</v>
      </c>
      <c r="F677" s="14">
        <v>265541.03000000003</v>
      </c>
      <c r="G677" s="14">
        <v>265541.03000000003</v>
      </c>
      <c r="H677" s="22">
        <f>F677*(1+Assumptions!$B$6+IF(D677="Yes",Assumptions!$C$6,0))</f>
        <v>273507.26090000005</v>
      </c>
      <c r="I677" s="22">
        <f>F677*(1+Assumptions!$B$7+IF(D677="Yes",Assumptions!$C$7,0))</f>
        <v>278818.08150000003</v>
      </c>
      <c r="J677" s="22">
        <f>F677*(1+Assumptions!$B$8+IF(D677="Yes",Assumptions!$C$8,0))</f>
        <v>268196.44030000002</v>
      </c>
    </row>
    <row r="678" spans="1:10" ht="15">
      <c r="A678" s="21">
        <v>40970</v>
      </c>
      <c r="B678" s="21">
        <v>40969</v>
      </c>
      <c r="C678" s="17">
        <v>99</v>
      </c>
      <c r="D678" s="17" t="s">
        <v>91</v>
      </c>
      <c r="E678" s="14">
        <v>790.02</v>
      </c>
      <c r="F678" s="14">
        <v>8090</v>
      </c>
      <c r="G678" s="14">
        <v>8090</v>
      </c>
      <c r="H678" s="22">
        <f>F678*(1+Assumptions!$B$6+IF(D678="Yes",Assumptions!$C$6,0))</f>
        <v>8332.7000000000007</v>
      </c>
      <c r="I678" s="22">
        <f>F678*(1+Assumptions!$B$7+IF(D678="Yes",Assumptions!$C$7,0))</f>
        <v>8494.5</v>
      </c>
      <c r="J678" s="22">
        <f>F678*(1+Assumptions!$B$8+IF(D678="Yes",Assumptions!$C$8,0))</f>
        <v>8170.9</v>
      </c>
    </row>
    <row r="679" spans="1:10" ht="15">
      <c r="A679" s="21">
        <v>40977</v>
      </c>
      <c r="B679" s="21">
        <v>40969</v>
      </c>
      <c r="C679" s="17">
        <v>1</v>
      </c>
      <c r="D679" s="17" t="s">
        <v>91</v>
      </c>
      <c r="E679" s="14">
        <v>790558.79</v>
      </c>
      <c r="F679" s="14">
        <v>703729.49</v>
      </c>
      <c r="G679" s="14">
        <v>703729.49</v>
      </c>
      <c r="H679" s="22">
        <f>F679*(1+Assumptions!$B$6+IF(D679="Yes",Assumptions!$C$6,0))</f>
        <v>724841.37470000004</v>
      </c>
      <c r="I679" s="22">
        <f>F679*(1+Assumptions!$B$7+IF(D679="Yes",Assumptions!$C$7,0))</f>
        <v>738915.9645</v>
      </c>
      <c r="J679" s="22">
        <f>F679*(1+Assumptions!$B$8+IF(D679="Yes",Assumptions!$C$8,0))</f>
        <v>710766.78489999997</v>
      </c>
    </row>
    <row r="680" spans="1:10" ht="15">
      <c r="A680" s="21">
        <v>40977</v>
      </c>
      <c r="B680" s="21">
        <v>40969</v>
      </c>
      <c r="C680" s="17">
        <v>2</v>
      </c>
      <c r="D680" s="17" t="s">
        <v>91</v>
      </c>
      <c r="E680" s="14">
        <v>2040874.99</v>
      </c>
      <c r="F680" s="14">
        <v>1903723.58</v>
      </c>
      <c r="G680" s="14">
        <v>1903723.58</v>
      </c>
      <c r="H680" s="22">
        <f>F680*(1+Assumptions!$B$6+IF(D680="Yes",Assumptions!$C$6,0))</f>
        <v>1960835.2874</v>
      </c>
      <c r="I680" s="22">
        <f>F680*(1+Assumptions!$B$7+IF(D680="Yes",Assumptions!$C$7,0))</f>
        <v>1998909.7590000001</v>
      </c>
      <c r="J680" s="22">
        <f>F680*(1+Assumptions!$B$8+IF(D680="Yes",Assumptions!$C$8,0))</f>
        <v>1922760.8158</v>
      </c>
    </row>
    <row r="681" spans="1:10" ht="15">
      <c r="A681" s="21">
        <v>40977</v>
      </c>
      <c r="B681" s="21">
        <v>40969</v>
      </c>
      <c r="C681" s="17">
        <v>3</v>
      </c>
      <c r="D681" s="17" t="s">
        <v>91</v>
      </c>
      <c r="E681" s="14">
        <v>403302.68</v>
      </c>
      <c r="F681" s="14">
        <v>366154.41</v>
      </c>
      <c r="G681" s="14">
        <v>366154.41</v>
      </c>
      <c r="H681" s="22">
        <f>F681*(1+Assumptions!$B$6+IF(D681="Yes",Assumptions!$C$6,0))</f>
        <v>377139.04229999997</v>
      </c>
      <c r="I681" s="22">
        <f>F681*(1+Assumptions!$B$7+IF(D681="Yes",Assumptions!$C$7,0))</f>
        <v>384462.13049999997</v>
      </c>
      <c r="J681" s="22">
        <f>F681*(1+Assumptions!$B$8+IF(D681="Yes",Assumptions!$C$8,0))</f>
        <v>369815.95409999997</v>
      </c>
    </row>
    <row r="682" spans="1:10" ht="15">
      <c r="A682" s="21">
        <v>40977</v>
      </c>
      <c r="B682" s="21">
        <v>40969</v>
      </c>
      <c r="C682" s="17">
        <v>4</v>
      </c>
      <c r="D682" s="17" t="s">
        <v>91</v>
      </c>
      <c r="E682" s="14">
        <v>1167606.95</v>
      </c>
      <c r="F682" s="14">
        <v>1084423.69</v>
      </c>
      <c r="G682" s="14">
        <v>1084423.69</v>
      </c>
      <c r="H682" s="22">
        <f>F682*(1+Assumptions!$B$6+IF(D682="Yes",Assumptions!$C$6,0))</f>
        <v>1116956.4006999999</v>
      </c>
      <c r="I682" s="22">
        <f>F682*(1+Assumptions!$B$7+IF(D682="Yes",Assumptions!$C$7,0))</f>
        <v>1138644.8744999999</v>
      </c>
      <c r="J682" s="22">
        <f>F682*(1+Assumptions!$B$8+IF(D682="Yes",Assumptions!$C$8,0))</f>
        <v>1095267.9268999998</v>
      </c>
    </row>
    <row r="683" spans="1:10" ht="15">
      <c r="A683" s="21">
        <v>40977</v>
      </c>
      <c r="B683" s="21">
        <v>40969</v>
      </c>
      <c r="C683" s="17">
        <v>5</v>
      </c>
      <c r="D683" s="17" t="s">
        <v>91</v>
      </c>
      <c r="E683" s="14">
        <v>963806.79999999993</v>
      </c>
      <c r="F683" s="14">
        <v>921644.1</v>
      </c>
      <c r="G683" s="14">
        <v>921644.1</v>
      </c>
      <c r="H683" s="22">
        <f>F683*(1+Assumptions!$B$6+IF(D683="Yes",Assumptions!$C$6,0))</f>
        <v>949293.42299999995</v>
      </c>
      <c r="I683" s="22">
        <f>F683*(1+Assumptions!$B$7+IF(D683="Yes",Assumptions!$C$7,0))</f>
        <v>967726.30500000005</v>
      </c>
      <c r="J683" s="22">
        <f>F683*(1+Assumptions!$B$8+IF(D683="Yes",Assumptions!$C$8,0))</f>
        <v>930860.54099999997</v>
      </c>
    </row>
    <row r="684" spans="1:10" ht="15">
      <c r="A684" s="21">
        <v>40977</v>
      </c>
      <c r="B684" s="21">
        <v>40969</v>
      </c>
      <c r="C684" s="17">
        <v>6</v>
      </c>
      <c r="D684" s="17" t="s">
        <v>91</v>
      </c>
      <c r="E684" s="14">
        <v>134447.76</v>
      </c>
      <c r="F684" s="14">
        <v>152442.41</v>
      </c>
      <c r="G684" s="14">
        <v>152442.41</v>
      </c>
      <c r="H684" s="22">
        <f>F684*(1+Assumptions!$B$6+IF(D684="Yes",Assumptions!$C$6,0))</f>
        <v>157015.68230000001</v>
      </c>
      <c r="I684" s="22">
        <f>F684*(1+Assumptions!$B$7+IF(D684="Yes",Assumptions!$C$7,0))</f>
        <v>160064.53050000002</v>
      </c>
      <c r="J684" s="22">
        <f>F684*(1+Assumptions!$B$8+IF(D684="Yes",Assumptions!$C$8,0))</f>
        <v>153966.83410000001</v>
      </c>
    </row>
    <row r="685" spans="1:10" ht="15">
      <c r="A685" s="21">
        <v>40977</v>
      </c>
      <c r="B685" s="21">
        <v>40969</v>
      </c>
      <c r="C685" s="17">
        <v>7</v>
      </c>
      <c r="D685" s="17" t="s">
        <v>91</v>
      </c>
      <c r="E685" s="14">
        <v>751241.32000000007</v>
      </c>
      <c r="F685" s="14">
        <v>751541.03</v>
      </c>
      <c r="G685" s="14">
        <v>751541.03</v>
      </c>
      <c r="H685" s="22">
        <f>F685*(1+Assumptions!$B$6+IF(D685="Yes",Assumptions!$C$6,0))</f>
        <v>774087.26089999999</v>
      </c>
      <c r="I685" s="22">
        <f>F685*(1+Assumptions!$B$7+IF(D685="Yes",Assumptions!$C$7,0))</f>
        <v>789118.08150000009</v>
      </c>
      <c r="J685" s="22">
        <f>F685*(1+Assumptions!$B$8+IF(D685="Yes",Assumptions!$C$8,0))</f>
        <v>759056.44030000002</v>
      </c>
    </row>
    <row r="686" spans="1:10" ht="15">
      <c r="A686" s="21">
        <v>40977</v>
      </c>
      <c r="B686" s="21">
        <v>40969</v>
      </c>
      <c r="C686" s="17">
        <v>8</v>
      </c>
      <c r="D686" s="17" t="s">
        <v>91</v>
      </c>
      <c r="E686" s="14">
        <v>1405097.53</v>
      </c>
      <c r="F686" s="14">
        <v>1304685.28</v>
      </c>
      <c r="G686" s="14">
        <v>1304685.28</v>
      </c>
      <c r="H686" s="22">
        <f>F686*(1+Assumptions!$B$6+IF(D686="Yes",Assumptions!$C$6,0))</f>
        <v>1343825.8384</v>
      </c>
      <c r="I686" s="22">
        <f>F686*(1+Assumptions!$B$7+IF(D686="Yes",Assumptions!$C$7,0))</f>
        <v>1369919.544</v>
      </c>
      <c r="J686" s="22">
        <f>F686*(1+Assumptions!$B$8+IF(D686="Yes",Assumptions!$C$8,0))</f>
        <v>1317732.1328</v>
      </c>
    </row>
    <row r="687" spans="1:10" ht="15">
      <c r="A687" s="21">
        <v>40977</v>
      </c>
      <c r="B687" s="21">
        <v>40969</v>
      </c>
      <c r="C687" s="17">
        <v>9</v>
      </c>
      <c r="D687" s="17" t="s">
        <v>91</v>
      </c>
      <c r="E687" s="14">
        <v>737688.15</v>
      </c>
      <c r="F687" s="14">
        <v>647167.56000000006</v>
      </c>
      <c r="G687" s="14">
        <v>647167.56000000006</v>
      </c>
      <c r="H687" s="22">
        <f>F687*(1+Assumptions!$B$6+IF(D687="Yes",Assumptions!$C$6,0))</f>
        <v>666582.58680000005</v>
      </c>
      <c r="I687" s="22">
        <f>F687*(1+Assumptions!$B$7+IF(D687="Yes",Assumptions!$C$7,0))</f>
        <v>679525.93800000008</v>
      </c>
      <c r="J687" s="22">
        <f>F687*(1+Assumptions!$B$8+IF(D687="Yes",Assumptions!$C$8,0))</f>
        <v>653639.23560000001</v>
      </c>
    </row>
    <row r="688" spans="1:10" ht="15">
      <c r="A688" s="21">
        <v>40977</v>
      </c>
      <c r="B688" s="21">
        <v>40969</v>
      </c>
      <c r="C688" s="17">
        <v>10</v>
      </c>
      <c r="D688" s="17" t="s">
        <v>91</v>
      </c>
      <c r="E688" s="14">
        <v>818055.88</v>
      </c>
      <c r="F688" s="14">
        <v>752583.5</v>
      </c>
      <c r="G688" s="14">
        <v>752583.5</v>
      </c>
      <c r="H688" s="22">
        <f>F688*(1+Assumptions!$B$6+IF(D688="Yes",Assumptions!$C$6,0))</f>
        <v>775161.005</v>
      </c>
      <c r="I688" s="22">
        <f>F688*(1+Assumptions!$B$7+IF(D688="Yes",Assumptions!$C$7,0))</f>
        <v>790212.67500000005</v>
      </c>
      <c r="J688" s="22">
        <f>F688*(1+Assumptions!$B$8+IF(D688="Yes",Assumptions!$C$8,0))</f>
        <v>760109.33499999996</v>
      </c>
    </row>
    <row r="689" spans="1:10" ht="15">
      <c r="A689" s="21">
        <v>40977</v>
      </c>
      <c r="B689" s="21">
        <v>40969</v>
      </c>
      <c r="C689" s="17">
        <v>11</v>
      </c>
      <c r="D689" s="17" t="s">
        <v>91</v>
      </c>
      <c r="E689" s="14">
        <v>529382.68000000005</v>
      </c>
      <c r="F689" s="14">
        <v>498688.06</v>
      </c>
      <c r="G689" s="14">
        <v>498688.06</v>
      </c>
      <c r="H689" s="22">
        <f>F689*(1+Assumptions!$B$6+IF(D689="Yes",Assumptions!$C$6,0))</f>
        <v>513648.70180000004</v>
      </c>
      <c r="I689" s="22">
        <f>F689*(1+Assumptions!$B$7+IF(D689="Yes",Assumptions!$C$7,0))</f>
        <v>523622.46300000005</v>
      </c>
      <c r="J689" s="22">
        <f>F689*(1+Assumptions!$B$8+IF(D689="Yes",Assumptions!$C$8,0))</f>
        <v>503674.94060000003</v>
      </c>
    </row>
    <row r="690" spans="1:10" ht="15">
      <c r="A690" s="21">
        <v>40977</v>
      </c>
      <c r="B690" s="21">
        <v>40969</v>
      </c>
      <c r="C690" s="17">
        <v>12</v>
      </c>
      <c r="D690" s="17" t="s">
        <v>91</v>
      </c>
      <c r="E690" s="14">
        <v>180420.04</v>
      </c>
      <c r="F690" s="14">
        <v>168661.24</v>
      </c>
      <c r="G690" s="14">
        <v>168661.24</v>
      </c>
      <c r="H690" s="22">
        <f>F690*(1+Assumptions!$B$6+IF(D690="Yes",Assumptions!$C$6,0))</f>
        <v>173721.0772</v>
      </c>
      <c r="I690" s="22">
        <f>F690*(1+Assumptions!$B$7+IF(D690="Yes",Assumptions!$C$7,0))</f>
        <v>177094.302</v>
      </c>
      <c r="J690" s="22">
        <f>F690*(1+Assumptions!$B$8+IF(D690="Yes",Assumptions!$C$8,0))</f>
        <v>170347.8524</v>
      </c>
    </row>
    <row r="691" spans="1:10" ht="15">
      <c r="A691" s="21">
        <v>40977</v>
      </c>
      <c r="B691" s="21">
        <v>40969</v>
      </c>
      <c r="C691" s="17">
        <v>13</v>
      </c>
      <c r="D691" s="17" t="s">
        <v>91</v>
      </c>
      <c r="E691" s="14">
        <v>1407645.77</v>
      </c>
      <c r="F691" s="14">
        <v>1351094.29</v>
      </c>
      <c r="G691" s="14">
        <v>1351094.29</v>
      </c>
      <c r="H691" s="22">
        <f>F691*(1+Assumptions!$B$6+IF(D691="Yes",Assumptions!$C$6,0))</f>
        <v>1391627.1187</v>
      </c>
      <c r="I691" s="22">
        <f>F691*(1+Assumptions!$B$7+IF(D691="Yes",Assumptions!$C$7,0))</f>
        <v>1418649.0045</v>
      </c>
      <c r="J691" s="22">
        <f>F691*(1+Assumptions!$B$8+IF(D691="Yes",Assumptions!$C$8,0))</f>
        <v>1364605.2328999999</v>
      </c>
    </row>
    <row r="692" spans="1:10" ht="15">
      <c r="A692" s="21">
        <v>40977</v>
      </c>
      <c r="B692" s="21">
        <v>40969</v>
      </c>
      <c r="C692" s="17">
        <v>14</v>
      </c>
      <c r="D692" s="17" t="s">
        <v>91</v>
      </c>
      <c r="E692" s="14">
        <v>647219.88</v>
      </c>
      <c r="F692" s="14">
        <v>601029.03</v>
      </c>
      <c r="G692" s="14">
        <v>601029.03</v>
      </c>
      <c r="H692" s="22">
        <f>F692*(1+Assumptions!$B$6+IF(D692="Yes",Assumptions!$C$6,0))</f>
        <v>619059.90090000001</v>
      </c>
      <c r="I692" s="22">
        <f>F692*(1+Assumptions!$B$7+IF(D692="Yes",Assumptions!$C$7,0))</f>
        <v>631080.48150000011</v>
      </c>
      <c r="J692" s="22">
        <f>F692*(1+Assumptions!$B$8+IF(D692="Yes",Assumptions!$C$8,0))</f>
        <v>607039.32030000002</v>
      </c>
    </row>
    <row r="693" spans="1:10" ht="15">
      <c r="A693" s="21">
        <v>40977</v>
      </c>
      <c r="B693" s="21">
        <v>40969</v>
      </c>
      <c r="C693" s="17">
        <v>16</v>
      </c>
      <c r="D693" s="17" t="s">
        <v>91</v>
      </c>
      <c r="E693" s="14">
        <v>478557.27</v>
      </c>
      <c r="F693" s="14">
        <v>445721.32</v>
      </c>
      <c r="G693" s="14">
        <v>445721.32</v>
      </c>
      <c r="H693" s="22">
        <f>F693*(1+Assumptions!$B$6+IF(D693="Yes",Assumptions!$C$6,0))</f>
        <v>459092.9596</v>
      </c>
      <c r="I693" s="22">
        <f>F693*(1+Assumptions!$B$7+IF(D693="Yes",Assumptions!$C$7,0))</f>
        <v>468007.386</v>
      </c>
      <c r="J693" s="22">
        <f>F693*(1+Assumptions!$B$8+IF(D693="Yes",Assumptions!$C$8,0))</f>
        <v>450178.53320000001</v>
      </c>
    </row>
    <row r="694" spans="1:10" ht="15">
      <c r="A694" s="21">
        <v>40977</v>
      </c>
      <c r="B694" s="21">
        <v>40969</v>
      </c>
      <c r="C694" s="17">
        <v>17</v>
      </c>
      <c r="D694" s="17" t="s">
        <v>91</v>
      </c>
      <c r="E694" s="14">
        <v>477230.84</v>
      </c>
      <c r="F694" s="14">
        <v>453649.81</v>
      </c>
      <c r="G694" s="14">
        <v>453649.81</v>
      </c>
      <c r="H694" s="22">
        <f>F694*(1+Assumptions!$B$6+IF(D694="Yes",Assumptions!$C$6,0))</f>
        <v>467259.30430000002</v>
      </c>
      <c r="I694" s="22">
        <f>F694*(1+Assumptions!$B$7+IF(D694="Yes",Assumptions!$C$7,0))</f>
        <v>476332.30050000001</v>
      </c>
      <c r="J694" s="22">
        <f>F694*(1+Assumptions!$B$8+IF(D694="Yes",Assumptions!$C$8,0))</f>
        <v>458186.30810000002</v>
      </c>
    </row>
    <row r="695" spans="1:10" ht="15">
      <c r="A695" s="21">
        <v>40977</v>
      </c>
      <c r="B695" s="21">
        <v>40969</v>
      </c>
      <c r="C695" s="17">
        <v>18</v>
      </c>
      <c r="D695" s="17" t="s">
        <v>91</v>
      </c>
      <c r="E695" s="14">
        <v>60633.46</v>
      </c>
      <c r="F695" s="14">
        <v>5497.23</v>
      </c>
      <c r="G695" s="14">
        <v>5497.23</v>
      </c>
      <c r="H695" s="22">
        <f>F695*(1+Assumptions!$B$6+IF(D695="Yes",Assumptions!$C$6,0))</f>
        <v>5662.1468999999997</v>
      </c>
      <c r="I695" s="22">
        <f>F695*(1+Assumptions!$B$7+IF(D695="Yes",Assumptions!$C$7,0))</f>
        <v>5772.0914999999995</v>
      </c>
      <c r="J695" s="22">
        <f>F695*(1+Assumptions!$B$8+IF(D695="Yes",Assumptions!$C$8,0))</f>
        <v>5552.2022999999999</v>
      </c>
    </row>
    <row r="696" spans="1:10" ht="15">
      <c r="A696" s="21">
        <v>40977</v>
      </c>
      <c r="B696" s="21">
        <v>40969</v>
      </c>
      <c r="C696" s="17">
        <v>19</v>
      </c>
      <c r="D696" s="17" t="s">
        <v>91</v>
      </c>
      <c r="E696" s="14">
        <v>50770.46</v>
      </c>
      <c r="F696" s="14">
        <v>45942.559999999998</v>
      </c>
      <c r="G696" s="14">
        <v>45942.559999999998</v>
      </c>
      <c r="H696" s="22">
        <f>F696*(1+Assumptions!$B$6+IF(D696="Yes",Assumptions!$C$6,0))</f>
        <v>47320.836799999997</v>
      </c>
      <c r="I696" s="22">
        <f>F696*(1+Assumptions!$B$7+IF(D696="Yes",Assumptions!$C$7,0))</f>
        <v>48239.688000000002</v>
      </c>
      <c r="J696" s="22">
        <f>F696*(1+Assumptions!$B$8+IF(D696="Yes",Assumptions!$C$8,0))</f>
        <v>46401.9856</v>
      </c>
    </row>
    <row r="697" spans="1:10" ht="15">
      <c r="A697" s="21">
        <v>40977</v>
      </c>
      <c r="B697" s="21">
        <v>40969</v>
      </c>
      <c r="C697" s="17">
        <v>20</v>
      </c>
      <c r="D697" s="17" t="s">
        <v>91</v>
      </c>
      <c r="E697" s="14">
        <v>253652.49</v>
      </c>
      <c r="F697" s="14">
        <v>224430.6</v>
      </c>
      <c r="G697" s="14">
        <v>224430.6</v>
      </c>
      <c r="H697" s="22">
        <f>F697*(1+Assumptions!$B$6+IF(D697="Yes",Assumptions!$C$6,0))</f>
        <v>231163.51800000001</v>
      </c>
      <c r="I697" s="22">
        <f>F697*(1+Assumptions!$B$7+IF(D697="Yes",Assumptions!$C$7,0))</f>
        <v>235652.13</v>
      </c>
      <c r="J697" s="22">
        <f>F697*(1+Assumptions!$B$8+IF(D697="Yes",Assumptions!$C$8,0))</f>
        <v>226674.90600000002</v>
      </c>
    </row>
    <row r="698" spans="1:10" ht="15">
      <c r="A698" s="21">
        <v>40977</v>
      </c>
      <c r="B698" s="21">
        <v>40969</v>
      </c>
      <c r="C698" s="17">
        <v>21</v>
      </c>
      <c r="D698" s="17" t="s">
        <v>91</v>
      </c>
      <c r="E698" s="14">
        <v>237643.16</v>
      </c>
      <c r="F698" s="14">
        <v>203785.33</v>
      </c>
      <c r="G698" s="14">
        <v>203785.33</v>
      </c>
      <c r="H698" s="22">
        <f>F698*(1+Assumptions!$B$6+IF(D698="Yes",Assumptions!$C$6,0))</f>
        <v>209898.88989999998</v>
      </c>
      <c r="I698" s="22">
        <f>F698*(1+Assumptions!$B$7+IF(D698="Yes",Assumptions!$C$7,0))</f>
        <v>213974.59649999999</v>
      </c>
      <c r="J698" s="22">
        <f>F698*(1+Assumptions!$B$8+IF(D698="Yes",Assumptions!$C$8,0))</f>
        <v>205823.18329999998</v>
      </c>
    </row>
    <row r="699" spans="1:10" ht="15">
      <c r="A699" s="21">
        <v>40977</v>
      </c>
      <c r="B699" s="21">
        <v>40969</v>
      </c>
      <c r="C699" s="17">
        <v>22</v>
      </c>
      <c r="D699" s="17" t="s">
        <v>91</v>
      </c>
      <c r="E699" s="14">
        <v>465355.33</v>
      </c>
      <c r="F699" s="14">
        <v>418333.89</v>
      </c>
      <c r="G699" s="14">
        <v>418333.89</v>
      </c>
      <c r="H699" s="22">
        <f>F699*(1+Assumptions!$B$6+IF(D699="Yes",Assumptions!$C$6,0))</f>
        <v>430883.90670000005</v>
      </c>
      <c r="I699" s="22">
        <f>F699*(1+Assumptions!$B$7+IF(D699="Yes",Assumptions!$C$7,0))</f>
        <v>439250.58450000006</v>
      </c>
      <c r="J699" s="22">
        <f>F699*(1+Assumptions!$B$8+IF(D699="Yes",Assumptions!$C$8,0))</f>
        <v>422517.22890000005</v>
      </c>
    </row>
    <row r="700" spans="1:10" ht="15">
      <c r="A700" s="21">
        <v>40977</v>
      </c>
      <c r="B700" s="21">
        <v>40969</v>
      </c>
      <c r="C700" s="17">
        <v>23</v>
      </c>
      <c r="D700" s="17" t="s">
        <v>91</v>
      </c>
      <c r="E700" s="14">
        <v>910804.87</v>
      </c>
      <c r="F700" s="14">
        <v>825835.16</v>
      </c>
      <c r="G700" s="14">
        <v>825835.16</v>
      </c>
      <c r="H700" s="22">
        <f>F700*(1+Assumptions!$B$6+IF(D700="Yes",Assumptions!$C$6,0))</f>
        <v>850610.21480000007</v>
      </c>
      <c r="I700" s="22">
        <f>F700*(1+Assumptions!$B$7+IF(D700="Yes",Assumptions!$C$7,0))</f>
        <v>867126.91800000006</v>
      </c>
      <c r="J700" s="22">
        <f>F700*(1+Assumptions!$B$8+IF(D700="Yes",Assumptions!$C$8,0))</f>
        <v>834093.51160000009</v>
      </c>
    </row>
    <row r="701" spans="1:10" ht="15">
      <c r="A701" s="21">
        <v>40977</v>
      </c>
      <c r="B701" s="21">
        <v>40969</v>
      </c>
      <c r="C701" s="17">
        <v>24</v>
      </c>
      <c r="D701" s="17" t="s">
        <v>91</v>
      </c>
      <c r="E701" s="14">
        <v>202884.29</v>
      </c>
      <c r="F701" s="14">
        <v>190655.81</v>
      </c>
      <c r="G701" s="14">
        <v>190655.81</v>
      </c>
      <c r="H701" s="22">
        <f>F701*(1+Assumptions!$B$6+IF(D701="Yes",Assumptions!$C$6,0))</f>
        <v>196375.48430000001</v>
      </c>
      <c r="I701" s="22">
        <f>F701*(1+Assumptions!$B$7+IF(D701="Yes",Assumptions!$C$7,0))</f>
        <v>200188.6005</v>
      </c>
      <c r="J701" s="22">
        <f>F701*(1+Assumptions!$B$8+IF(D701="Yes",Assumptions!$C$8,0))</f>
        <v>192562.36809999999</v>
      </c>
    </row>
    <row r="702" spans="1:10" ht="15">
      <c r="A702" s="21">
        <v>40977</v>
      </c>
      <c r="B702" s="21">
        <v>40969</v>
      </c>
      <c r="C702" s="17">
        <v>25</v>
      </c>
      <c r="D702" s="17" t="s">
        <v>91</v>
      </c>
      <c r="E702" s="14">
        <v>384751.83</v>
      </c>
      <c r="F702" s="14">
        <v>362966.4</v>
      </c>
      <c r="G702" s="14">
        <v>362966.4</v>
      </c>
      <c r="H702" s="22">
        <f>F702*(1+Assumptions!$B$6+IF(D702="Yes",Assumptions!$C$6,0))</f>
        <v>373855.39200000005</v>
      </c>
      <c r="I702" s="22">
        <f>F702*(1+Assumptions!$B$7+IF(D702="Yes",Assumptions!$C$7,0))</f>
        <v>381114.72000000003</v>
      </c>
      <c r="J702" s="22">
        <f>F702*(1+Assumptions!$B$8+IF(D702="Yes",Assumptions!$C$8,0))</f>
        <v>366596.06400000001</v>
      </c>
    </row>
    <row r="703" spans="1:10" ht="15">
      <c r="A703" s="21">
        <v>40977</v>
      </c>
      <c r="B703" s="21">
        <v>40969</v>
      </c>
      <c r="C703" s="17">
        <v>26</v>
      </c>
      <c r="D703" s="17" t="s">
        <v>91</v>
      </c>
      <c r="E703" s="14">
        <v>307351.28999999998</v>
      </c>
      <c r="F703" s="14">
        <v>317762.84999999998</v>
      </c>
      <c r="G703" s="14">
        <v>317762.84999999998</v>
      </c>
      <c r="H703" s="22">
        <f>F703*(1+Assumptions!$B$6+IF(D703="Yes",Assumptions!$C$6,0))</f>
        <v>327295.73550000001</v>
      </c>
      <c r="I703" s="22">
        <f>F703*(1+Assumptions!$B$7+IF(D703="Yes",Assumptions!$C$7,0))</f>
        <v>333650.99249999999</v>
      </c>
      <c r="J703" s="22">
        <f>F703*(1+Assumptions!$B$8+IF(D703="Yes",Assumptions!$C$8,0))</f>
        <v>320940.47849999997</v>
      </c>
    </row>
    <row r="704" spans="1:10" ht="15">
      <c r="A704" s="21">
        <v>40977</v>
      </c>
      <c r="B704" s="21">
        <v>40969</v>
      </c>
      <c r="C704" s="17">
        <v>27</v>
      </c>
      <c r="D704" s="17" t="s">
        <v>91</v>
      </c>
      <c r="E704" s="14">
        <v>66175.199999999997</v>
      </c>
      <c r="F704" s="14">
        <v>59819.45</v>
      </c>
      <c r="G704" s="14">
        <v>59819.45</v>
      </c>
      <c r="H704" s="22">
        <f>F704*(1+Assumptions!$B$6+IF(D704="Yes",Assumptions!$C$6,0))</f>
        <v>61614.033499999998</v>
      </c>
      <c r="I704" s="22">
        <f>F704*(1+Assumptions!$B$7+IF(D704="Yes",Assumptions!$C$7,0))</f>
        <v>62810.422500000001</v>
      </c>
      <c r="J704" s="22">
        <f>F704*(1+Assumptions!$B$8+IF(D704="Yes",Assumptions!$C$8,0))</f>
        <v>60417.644499999995</v>
      </c>
    </row>
    <row r="705" spans="1:10" ht="15">
      <c r="A705" s="21">
        <v>40977</v>
      </c>
      <c r="B705" s="21">
        <v>40969</v>
      </c>
      <c r="C705" s="17">
        <v>28</v>
      </c>
      <c r="D705" s="17" t="s">
        <v>91</v>
      </c>
      <c r="E705" s="14">
        <v>28353.9</v>
      </c>
      <c r="F705" s="14">
        <v>29046.73</v>
      </c>
      <c r="G705" s="14">
        <v>29046.73</v>
      </c>
      <c r="H705" s="22">
        <f>F705*(1+Assumptions!$B$6+IF(D705="Yes",Assumptions!$C$6,0))</f>
        <v>29918.1319</v>
      </c>
      <c r="I705" s="22">
        <f>F705*(1+Assumptions!$B$7+IF(D705="Yes",Assumptions!$C$7,0))</f>
        <v>30499.066500000001</v>
      </c>
      <c r="J705" s="22">
        <f>F705*(1+Assumptions!$B$8+IF(D705="Yes",Assumptions!$C$8,0))</f>
        <v>29337.1973</v>
      </c>
    </row>
    <row r="706" spans="1:10" ht="15">
      <c r="A706" s="21">
        <v>40977</v>
      </c>
      <c r="B706" s="21">
        <v>40969</v>
      </c>
      <c r="C706" s="17">
        <v>29</v>
      </c>
      <c r="D706" s="17" t="s">
        <v>91</v>
      </c>
      <c r="E706" s="14">
        <v>193101.19999999998</v>
      </c>
      <c r="F706" s="14">
        <v>185053.93</v>
      </c>
      <c r="G706" s="14">
        <v>185053.93</v>
      </c>
      <c r="H706" s="22">
        <f>F706*(1+Assumptions!$B$6+IF(D706="Yes",Assumptions!$C$6,0))</f>
        <v>190605.54790000001</v>
      </c>
      <c r="I706" s="22">
        <f>F706*(1+Assumptions!$B$7+IF(D706="Yes",Assumptions!$C$7,0))</f>
        <v>194306.62650000001</v>
      </c>
      <c r="J706" s="22">
        <f>F706*(1+Assumptions!$B$8+IF(D706="Yes",Assumptions!$C$8,0))</f>
        <v>186904.4693</v>
      </c>
    </row>
    <row r="707" spans="1:10" ht="15">
      <c r="A707" s="21">
        <v>40977</v>
      </c>
      <c r="B707" s="21">
        <v>40969</v>
      </c>
      <c r="C707" s="17">
        <v>30</v>
      </c>
      <c r="D707" s="17" t="s">
        <v>91</v>
      </c>
      <c r="E707" s="14">
        <v>155347.67000000001</v>
      </c>
      <c r="F707" s="14">
        <v>163282.19</v>
      </c>
      <c r="G707" s="14">
        <v>163282.19</v>
      </c>
      <c r="H707" s="22">
        <f>F707*(1+Assumptions!$B$6+IF(D707="Yes",Assumptions!$C$6,0))</f>
        <v>168180.6557</v>
      </c>
      <c r="I707" s="22">
        <f>F707*(1+Assumptions!$B$7+IF(D707="Yes",Assumptions!$C$7,0))</f>
        <v>171446.29950000002</v>
      </c>
      <c r="J707" s="22">
        <f>F707*(1+Assumptions!$B$8+IF(D707="Yes",Assumptions!$C$8,0))</f>
        <v>164915.01190000001</v>
      </c>
    </row>
    <row r="708" spans="1:10" ht="15">
      <c r="A708" s="21">
        <v>40977</v>
      </c>
      <c r="B708" s="21">
        <v>40969</v>
      </c>
      <c r="C708" s="17">
        <v>31</v>
      </c>
      <c r="D708" s="17" t="s">
        <v>91</v>
      </c>
      <c r="E708" s="14">
        <v>73897.63</v>
      </c>
      <c r="F708" s="14">
        <v>83720.27</v>
      </c>
      <c r="G708" s="14">
        <v>83720.27</v>
      </c>
      <c r="H708" s="22">
        <f>F708*(1+Assumptions!$B$6+IF(D708="Yes",Assumptions!$C$6,0))</f>
        <v>86231.878100000002</v>
      </c>
      <c r="I708" s="22">
        <f>F708*(1+Assumptions!$B$7+IF(D708="Yes",Assumptions!$C$7,0))</f>
        <v>87906.283500000005</v>
      </c>
      <c r="J708" s="22">
        <f>F708*(1+Assumptions!$B$8+IF(D708="Yes",Assumptions!$C$8,0))</f>
        <v>84557.472699999998</v>
      </c>
    </row>
    <row r="709" spans="1:10" ht="15">
      <c r="A709" s="21">
        <v>40977</v>
      </c>
      <c r="B709" s="21">
        <v>40969</v>
      </c>
      <c r="C709" s="17">
        <v>32</v>
      </c>
      <c r="D709" s="17" t="s">
        <v>91</v>
      </c>
      <c r="E709" s="14">
        <v>248405.57</v>
      </c>
      <c r="F709" s="14">
        <v>251756.86</v>
      </c>
      <c r="G709" s="14">
        <v>251756.86</v>
      </c>
      <c r="H709" s="22">
        <f>F709*(1+Assumptions!$B$6+IF(D709="Yes",Assumptions!$C$6,0))</f>
        <v>259309.56579999998</v>
      </c>
      <c r="I709" s="22">
        <f>F709*(1+Assumptions!$B$7+IF(D709="Yes",Assumptions!$C$7,0))</f>
        <v>264344.70299999998</v>
      </c>
      <c r="J709" s="22">
        <f>F709*(1+Assumptions!$B$8+IF(D709="Yes",Assumptions!$C$8,0))</f>
        <v>254274.42859999998</v>
      </c>
    </row>
    <row r="710" spans="1:10" ht="15">
      <c r="A710" s="21">
        <v>40977</v>
      </c>
      <c r="B710" s="21">
        <v>40969</v>
      </c>
      <c r="C710" s="17">
        <v>33</v>
      </c>
      <c r="D710" s="17" t="s">
        <v>91</v>
      </c>
      <c r="E710" s="14">
        <v>206669.13</v>
      </c>
      <c r="F710" s="14">
        <v>194405.62</v>
      </c>
      <c r="G710" s="14">
        <v>194405.62</v>
      </c>
      <c r="H710" s="22">
        <f>F710*(1+Assumptions!$B$6+IF(D710="Yes",Assumptions!$C$6,0))</f>
        <v>200237.7886</v>
      </c>
      <c r="I710" s="22">
        <f>F710*(1+Assumptions!$B$7+IF(D710="Yes",Assumptions!$C$7,0))</f>
        <v>204125.90100000001</v>
      </c>
      <c r="J710" s="22">
        <f>F710*(1+Assumptions!$B$8+IF(D710="Yes",Assumptions!$C$8,0))</f>
        <v>196349.67619999999</v>
      </c>
    </row>
    <row r="711" spans="1:10" ht="15">
      <c r="A711" s="21">
        <v>40977</v>
      </c>
      <c r="B711" s="21">
        <v>40969</v>
      </c>
      <c r="C711" s="17">
        <v>34</v>
      </c>
      <c r="D711" s="17" t="s">
        <v>91</v>
      </c>
      <c r="E711" s="14">
        <v>564902.29</v>
      </c>
      <c r="F711" s="14">
        <v>521245.37</v>
      </c>
      <c r="G711" s="14">
        <v>521245.37</v>
      </c>
      <c r="H711" s="22">
        <f>F711*(1+Assumptions!$B$6+IF(D711="Yes",Assumptions!$C$6,0))</f>
        <v>536882.73109999998</v>
      </c>
      <c r="I711" s="22">
        <f>F711*(1+Assumptions!$B$7+IF(D711="Yes",Assumptions!$C$7,0))</f>
        <v>547307.6385</v>
      </c>
      <c r="J711" s="22">
        <f>F711*(1+Assumptions!$B$8+IF(D711="Yes",Assumptions!$C$8,0))</f>
        <v>526457.82369999995</v>
      </c>
    </row>
    <row r="712" spans="1:10" ht="15">
      <c r="A712" s="21">
        <v>40977</v>
      </c>
      <c r="B712" s="21">
        <v>40969</v>
      </c>
      <c r="C712" s="17">
        <v>35</v>
      </c>
      <c r="D712" s="17" t="s">
        <v>91</v>
      </c>
      <c r="E712" s="14">
        <v>103253.84</v>
      </c>
      <c r="F712" s="14">
        <v>107598.11</v>
      </c>
      <c r="G712" s="14">
        <v>107598.11</v>
      </c>
      <c r="H712" s="22">
        <f>F712*(1+Assumptions!$B$6+IF(D712="Yes",Assumptions!$C$6,0))</f>
        <v>110826.0533</v>
      </c>
      <c r="I712" s="22">
        <f>F712*(1+Assumptions!$B$7+IF(D712="Yes",Assumptions!$C$7,0))</f>
        <v>112978.01550000001</v>
      </c>
      <c r="J712" s="22">
        <f>F712*(1+Assumptions!$B$8+IF(D712="Yes",Assumptions!$C$8,0))</f>
        <v>108674.09110000001</v>
      </c>
    </row>
    <row r="713" spans="1:10" ht="15">
      <c r="A713" s="21">
        <v>40977</v>
      </c>
      <c r="B713" s="21">
        <v>40969</v>
      </c>
      <c r="C713" s="17">
        <v>36</v>
      </c>
      <c r="D713" s="17" t="s">
        <v>91</v>
      </c>
      <c r="E713" s="14">
        <v>61660.89</v>
      </c>
      <c r="F713" s="14">
        <v>62253</v>
      </c>
      <c r="G713" s="14">
        <v>62253</v>
      </c>
      <c r="H713" s="22">
        <f>F713*(1+Assumptions!$B$6+IF(D713="Yes",Assumptions!$C$6,0))</f>
        <v>64120.590000000004</v>
      </c>
      <c r="I713" s="22">
        <f>F713*(1+Assumptions!$B$7+IF(D713="Yes",Assumptions!$C$7,0))</f>
        <v>65365.65</v>
      </c>
      <c r="J713" s="22">
        <f>F713*(1+Assumptions!$B$8+IF(D713="Yes",Assumptions!$C$8,0))</f>
        <v>62875.53</v>
      </c>
    </row>
    <row r="714" spans="1:10" ht="15">
      <c r="A714" s="21">
        <v>40977</v>
      </c>
      <c r="B714" s="21">
        <v>40969</v>
      </c>
      <c r="C714" s="17">
        <v>37</v>
      </c>
      <c r="D714" s="17" t="s">
        <v>91</v>
      </c>
      <c r="E714" s="14">
        <v>59013.18</v>
      </c>
      <c r="F714" s="14">
        <v>60297.58</v>
      </c>
      <c r="G714" s="14">
        <v>60297.58</v>
      </c>
      <c r="H714" s="22">
        <f>F714*(1+Assumptions!$B$6+IF(D714="Yes",Assumptions!$C$6,0))</f>
        <v>62106.507400000002</v>
      </c>
      <c r="I714" s="22">
        <f>F714*(1+Assumptions!$B$7+IF(D714="Yes",Assumptions!$C$7,0))</f>
        <v>63312.459000000003</v>
      </c>
      <c r="J714" s="22">
        <f>F714*(1+Assumptions!$B$8+IF(D714="Yes",Assumptions!$C$8,0))</f>
        <v>60900.555800000002</v>
      </c>
    </row>
    <row r="715" spans="1:10" ht="15">
      <c r="A715" s="21">
        <v>40977</v>
      </c>
      <c r="B715" s="21">
        <v>40969</v>
      </c>
      <c r="C715" s="17">
        <v>38</v>
      </c>
      <c r="D715" s="17" t="s">
        <v>91</v>
      </c>
      <c r="E715" s="14">
        <v>2983339.91</v>
      </c>
      <c r="F715" s="14">
        <v>2854718.15</v>
      </c>
      <c r="G715" s="14">
        <v>2854718.15</v>
      </c>
      <c r="H715" s="22">
        <f>F715*(1+Assumptions!$B$6+IF(D715="Yes",Assumptions!$C$6,0))</f>
        <v>2940359.6944999998</v>
      </c>
      <c r="I715" s="22">
        <f>F715*(1+Assumptions!$B$7+IF(D715="Yes",Assumptions!$C$7,0))</f>
        <v>2997454.0575000001</v>
      </c>
      <c r="J715" s="22">
        <f>F715*(1+Assumptions!$B$8+IF(D715="Yes",Assumptions!$C$8,0))</f>
        <v>2883265.3314999999</v>
      </c>
    </row>
    <row r="716" spans="1:10" ht="15">
      <c r="A716" s="21">
        <v>40977</v>
      </c>
      <c r="B716" s="21">
        <v>40969</v>
      </c>
      <c r="C716" s="17">
        <v>40</v>
      </c>
      <c r="D716" s="17" t="s">
        <v>91</v>
      </c>
      <c r="E716" s="14">
        <v>2218429.2600000002</v>
      </c>
      <c r="F716" s="14">
        <v>2077243.94</v>
      </c>
      <c r="G716" s="14">
        <v>2077243.94</v>
      </c>
      <c r="H716" s="22">
        <f>F716*(1+Assumptions!$B$6+IF(D716="Yes",Assumptions!$C$6,0))</f>
        <v>2139561.2582</v>
      </c>
      <c r="I716" s="22">
        <f>F716*(1+Assumptions!$B$7+IF(D716="Yes",Assumptions!$C$7,0))</f>
        <v>2181106.1370000001</v>
      </c>
      <c r="J716" s="22">
        <f>F716*(1+Assumptions!$B$8+IF(D716="Yes",Assumptions!$C$8,0))</f>
        <v>2098016.3794</v>
      </c>
    </row>
    <row r="717" spans="1:10" ht="15">
      <c r="A717" s="21">
        <v>40977</v>
      </c>
      <c r="B717" s="21">
        <v>40969</v>
      </c>
      <c r="C717" s="17">
        <v>41</v>
      </c>
      <c r="D717" s="17" t="s">
        <v>91</v>
      </c>
      <c r="E717" s="14">
        <v>65890.14</v>
      </c>
      <c r="F717" s="14">
        <v>52031.11</v>
      </c>
      <c r="G717" s="14">
        <v>52031.11</v>
      </c>
      <c r="H717" s="22">
        <f>F717*(1+Assumptions!$B$6+IF(D717="Yes",Assumptions!$C$6,0))</f>
        <v>53592.043300000005</v>
      </c>
      <c r="I717" s="22">
        <f>F717*(1+Assumptions!$B$7+IF(D717="Yes",Assumptions!$C$7,0))</f>
        <v>54632.665500000003</v>
      </c>
      <c r="J717" s="22">
        <f>F717*(1+Assumptions!$B$8+IF(D717="Yes",Assumptions!$C$8,0))</f>
        <v>52551.4211</v>
      </c>
    </row>
    <row r="718" spans="1:10" ht="15">
      <c r="A718" s="21">
        <v>40977</v>
      </c>
      <c r="B718" s="21">
        <v>40969</v>
      </c>
      <c r="C718" s="17">
        <v>42</v>
      </c>
      <c r="D718" s="17" t="s">
        <v>91</v>
      </c>
      <c r="E718" s="14">
        <v>254138.1</v>
      </c>
      <c r="F718" s="14">
        <v>219100.41</v>
      </c>
      <c r="G718" s="14">
        <v>219100.41</v>
      </c>
      <c r="H718" s="22">
        <f>F718*(1+Assumptions!$B$6+IF(D718="Yes",Assumptions!$C$6,0))</f>
        <v>225673.42230000001</v>
      </c>
      <c r="I718" s="22">
        <f>F718*(1+Assumptions!$B$7+IF(D718="Yes",Assumptions!$C$7,0))</f>
        <v>230055.43050000002</v>
      </c>
      <c r="J718" s="22">
        <f>F718*(1+Assumptions!$B$8+IF(D718="Yes",Assumptions!$C$8,0))</f>
        <v>221291.41409999999</v>
      </c>
    </row>
    <row r="719" spans="1:10" ht="15">
      <c r="A719" s="21">
        <v>40977</v>
      </c>
      <c r="B719" s="21">
        <v>40969</v>
      </c>
      <c r="C719" s="17">
        <v>44</v>
      </c>
      <c r="D719" s="17" t="s">
        <v>91</v>
      </c>
      <c r="E719" s="14">
        <v>168180.13</v>
      </c>
      <c r="F719" s="14">
        <v>155636.57</v>
      </c>
      <c r="G719" s="14">
        <v>155636.57</v>
      </c>
      <c r="H719" s="22">
        <f>F719*(1+Assumptions!$B$6+IF(D719="Yes",Assumptions!$C$6,0))</f>
        <v>160305.66710000002</v>
      </c>
      <c r="I719" s="22">
        <f>F719*(1+Assumptions!$B$7+IF(D719="Yes",Assumptions!$C$7,0))</f>
        <v>163418.39850000001</v>
      </c>
      <c r="J719" s="22">
        <f>F719*(1+Assumptions!$B$8+IF(D719="Yes",Assumptions!$C$8,0))</f>
        <v>157192.9357</v>
      </c>
    </row>
    <row r="720" spans="1:10" ht="15">
      <c r="A720" s="21">
        <v>40977</v>
      </c>
      <c r="B720" s="21">
        <v>40969</v>
      </c>
      <c r="C720" s="17">
        <v>45</v>
      </c>
      <c r="D720" s="17" t="s">
        <v>91</v>
      </c>
      <c r="E720" s="14">
        <v>194.31</v>
      </c>
      <c r="F720" s="14">
        <v>159.71</v>
      </c>
      <c r="G720" s="14">
        <v>159.71</v>
      </c>
      <c r="H720" s="22">
        <f>F720*(1+Assumptions!$B$6+IF(D720="Yes",Assumptions!$C$6,0))</f>
        <v>164.50130000000001</v>
      </c>
      <c r="I720" s="22">
        <f>F720*(1+Assumptions!$B$7+IF(D720="Yes",Assumptions!$C$7,0))</f>
        <v>167.69550000000001</v>
      </c>
      <c r="J720" s="22">
        <f>F720*(1+Assumptions!$B$8+IF(D720="Yes",Assumptions!$C$8,0))</f>
        <v>161.30710000000002</v>
      </c>
    </row>
    <row r="721" spans="1:10" ht="15">
      <c r="A721" s="21">
        <v>40977</v>
      </c>
      <c r="B721" s="21">
        <v>40969</v>
      </c>
      <c r="C721" s="17">
        <v>46</v>
      </c>
      <c r="D721" s="17" t="s">
        <v>91</v>
      </c>
      <c r="E721" s="14">
        <v>931032.45</v>
      </c>
      <c r="F721" s="14">
        <v>879453.84</v>
      </c>
      <c r="G721" s="14">
        <v>879453.84</v>
      </c>
      <c r="H721" s="22">
        <f>F721*(1+Assumptions!$B$6+IF(D721="Yes",Assumptions!$C$6,0))</f>
        <v>905837.45519999997</v>
      </c>
      <c r="I721" s="22">
        <f>F721*(1+Assumptions!$B$7+IF(D721="Yes",Assumptions!$C$7,0))</f>
        <v>923426.53200000001</v>
      </c>
      <c r="J721" s="22">
        <f>F721*(1+Assumptions!$B$8+IF(D721="Yes",Assumptions!$C$8,0))</f>
        <v>888248.37839999993</v>
      </c>
    </row>
    <row r="722" spans="1:10" ht="15">
      <c r="A722" s="21">
        <v>40977</v>
      </c>
      <c r="B722" s="21">
        <v>40969</v>
      </c>
      <c r="C722" s="17">
        <v>47</v>
      </c>
      <c r="D722" s="17" t="s">
        <v>91</v>
      </c>
      <c r="E722" s="14">
        <v>-33</v>
      </c>
      <c r="F722" s="14">
        <v>-300</v>
      </c>
      <c r="G722" s="14">
        <v>-300</v>
      </c>
      <c r="H722" s="22">
        <f>F722*(1+Assumptions!$B$6+IF(D722="Yes",Assumptions!$C$6,0))</f>
        <v>-309</v>
      </c>
      <c r="I722" s="22">
        <f>F722*(1+Assumptions!$B$7+IF(D722="Yes",Assumptions!$C$7,0))</f>
        <v>-315</v>
      </c>
      <c r="J722" s="22">
        <f>F722*(1+Assumptions!$B$8+IF(D722="Yes",Assumptions!$C$8,0))</f>
        <v>-303</v>
      </c>
    </row>
    <row r="723" spans="1:10" ht="15">
      <c r="A723" s="21">
        <v>40977</v>
      </c>
      <c r="B723" s="21">
        <v>40969</v>
      </c>
      <c r="C723" s="17">
        <v>48</v>
      </c>
      <c r="D723" s="17" t="s">
        <v>91</v>
      </c>
      <c r="E723" s="14">
        <v>20212</v>
      </c>
      <c r="F723" s="14">
        <v>12786</v>
      </c>
      <c r="G723" s="14">
        <v>12786</v>
      </c>
      <c r="H723" s="22">
        <f>F723*(1+Assumptions!$B$6+IF(D723="Yes",Assumptions!$C$6,0))</f>
        <v>13169.58</v>
      </c>
      <c r="I723" s="22">
        <f>F723*(1+Assumptions!$B$7+IF(D723="Yes",Assumptions!$C$7,0))</f>
        <v>13425.300000000001</v>
      </c>
      <c r="J723" s="22">
        <f>F723*(1+Assumptions!$B$8+IF(D723="Yes",Assumptions!$C$8,0))</f>
        <v>12913.86</v>
      </c>
    </row>
    <row r="724" spans="1:10" ht="15">
      <c r="A724" s="21">
        <v>40977</v>
      </c>
      <c r="B724" s="21">
        <v>40969</v>
      </c>
      <c r="C724" s="17">
        <v>49</v>
      </c>
      <c r="D724" s="17" t="s">
        <v>91</v>
      </c>
      <c r="E724" s="14">
        <v>311982.56</v>
      </c>
      <c r="F724" s="14">
        <v>290316.74</v>
      </c>
      <c r="G724" s="14">
        <v>290316.74</v>
      </c>
      <c r="H724" s="22">
        <f>F724*(1+Assumptions!$B$6+IF(D724="Yes",Assumptions!$C$6,0))</f>
        <v>299026.24219999998</v>
      </c>
      <c r="I724" s="22">
        <f>F724*(1+Assumptions!$B$7+IF(D724="Yes",Assumptions!$C$7,0))</f>
        <v>304832.57699999999</v>
      </c>
      <c r="J724" s="22">
        <f>F724*(1+Assumptions!$B$8+IF(D724="Yes",Assumptions!$C$8,0))</f>
        <v>293219.90739999997</v>
      </c>
    </row>
    <row r="725" spans="1:10" ht="15">
      <c r="A725" s="21">
        <v>40977</v>
      </c>
      <c r="B725" s="21">
        <v>40969</v>
      </c>
      <c r="C725" s="17">
        <v>50</v>
      </c>
      <c r="D725" s="17" t="s">
        <v>91</v>
      </c>
      <c r="E725" s="14">
        <v>31700</v>
      </c>
      <c r="F725" s="14">
        <v>29830.93</v>
      </c>
      <c r="G725" s="14">
        <v>29830.93</v>
      </c>
      <c r="H725" s="22">
        <f>F725*(1+Assumptions!$B$6+IF(D725="Yes",Assumptions!$C$6,0))</f>
        <v>30725.857900000003</v>
      </c>
      <c r="I725" s="22">
        <f>F725*(1+Assumptions!$B$7+IF(D725="Yes",Assumptions!$C$7,0))</f>
        <v>31322.476500000001</v>
      </c>
      <c r="J725" s="22">
        <f>F725*(1+Assumptions!$B$8+IF(D725="Yes",Assumptions!$C$8,0))</f>
        <v>30129.239300000001</v>
      </c>
    </row>
    <row r="726" spans="1:10" ht="15">
      <c r="A726" s="21">
        <v>40977</v>
      </c>
      <c r="B726" s="21">
        <v>40969</v>
      </c>
      <c r="C726" s="17">
        <v>52</v>
      </c>
      <c r="D726" s="17" t="s">
        <v>91</v>
      </c>
      <c r="E726" s="14">
        <v>85662.27</v>
      </c>
      <c r="F726" s="14">
        <v>83559.91</v>
      </c>
      <c r="G726" s="14">
        <v>83559.91</v>
      </c>
      <c r="H726" s="22">
        <f>F726*(1+Assumptions!$B$6+IF(D726="Yes",Assumptions!$C$6,0))</f>
        <v>86066.707300000009</v>
      </c>
      <c r="I726" s="22">
        <f>F726*(1+Assumptions!$B$7+IF(D726="Yes",Assumptions!$C$7,0))</f>
        <v>87737.905500000008</v>
      </c>
      <c r="J726" s="22">
        <f>F726*(1+Assumptions!$B$8+IF(D726="Yes",Assumptions!$C$8,0))</f>
        <v>84395.50910000001</v>
      </c>
    </row>
    <row r="727" spans="1:10" ht="15">
      <c r="A727" s="21">
        <v>40977</v>
      </c>
      <c r="B727" s="21">
        <v>40969</v>
      </c>
      <c r="C727" s="17">
        <v>54</v>
      </c>
      <c r="D727" s="17" t="s">
        <v>91</v>
      </c>
      <c r="E727" s="14">
        <v>1320.92</v>
      </c>
      <c r="F727" s="14">
        <v>1359.64</v>
      </c>
      <c r="G727" s="14">
        <v>1359.64</v>
      </c>
      <c r="H727" s="22">
        <f>F727*(1+Assumptions!$B$6+IF(D727="Yes",Assumptions!$C$6,0))</f>
        <v>1400.4292</v>
      </c>
      <c r="I727" s="22">
        <f>F727*(1+Assumptions!$B$7+IF(D727="Yes",Assumptions!$C$7,0))</f>
        <v>1427.6220000000001</v>
      </c>
      <c r="J727" s="22">
        <f>F727*(1+Assumptions!$B$8+IF(D727="Yes",Assumptions!$C$8,0))</f>
        <v>1373.2364</v>
      </c>
    </row>
    <row r="728" spans="1:10" ht="15">
      <c r="A728" s="21">
        <v>40977</v>
      </c>
      <c r="B728" s="21">
        <v>40969</v>
      </c>
      <c r="C728" s="17">
        <v>55</v>
      </c>
      <c r="D728" s="17" t="s">
        <v>91</v>
      </c>
      <c r="E728" s="14">
        <v>379329.53</v>
      </c>
      <c r="F728" s="14">
        <v>439372.92</v>
      </c>
      <c r="G728" s="14">
        <v>439372.92</v>
      </c>
      <c r="H728" s="22">
        <f>F728*(1+Assumptions!$B$6+IF(D728="Yes",Assumptions!$C$6,0))</f>
        <v>452554.10759999999</v>
      </c>
      <c r="I728" s="22">
        <f>F728*(1+Assumptions!$B$7+IF(D728="Yes",Assumptions!$C$7,0))</f>
        <v>461341.56599999999</v>
      </c>
      <c r="J728" s="22">
        <f>F728*(1+Assumptions!$B$8+IF(D728="Yes",Assumptions!$C$8,0))</f>
        <v>443766.64919999999</v>
      </c>
    </row>
    <row r="729" spans="1:10" ht="15">
      <c r="A729" s="21">
        <v>40977</v>
      </c>
      <c r="B729" s="21">
        <v>40969</v>
      </c>
      <c r="C729" s="17">
        <v>56</v>
      </c>
      <c r="D729" s="17" t="s">
        <v>91</v>
      </c>
      <c r="E729" s="14">
        <v>131882.25</v>
      </c>
      <c r="F729" s="14">
        <v>147365.13</v>
      </c>
      <c r="G729" s="14">
        <v>147365.13</v>
      </c>
      <c r="H729" s="22">
        <f>F729*(1+Assumptions!$B$6+IF(D729="Yes",Assumptions!$C$6,0))</f>
        <v>151786.0839</v>
      </c>
      <c r="I729" s="22">
        <f>F729*(1+Assumptions!$B$7+IF(D729="Yes",Assumptions!$C$7,0))</f>
        <v>154733.38650000002</v>
      </c>
      <c r="J729" s="22">
        <f>F729*(1+Assumptions!$B$8+IF(D729="Yes",Assumptions!$C$8,0))</f>
        <v>148838.7813</v>
      </c>
    </row>
    <row r="730" spans="1:10" ht="15">
      <c r="A730" s="21">
        <v>40977</v>
      </c>
      <c r="B730" s="21">
        <v>40969</v>
      </c>
      <c r="C730" s="17">
        <v>58</v>
      </c>
      <c r="D730" s="17" t="s">
        <v>91</v>
      </c>
      <c r="E730" s="14">
        <v>108736</v>
      </c>
      <c r="F730" s="14">
        <v>100006</v>
      </c>
      <c r="G730" s="14">
        <v>100006</v>
      </c>
      <c r="H730" s="22">
        <f>F730*(1+Assumptions!$B$6+IF(D730="Yes",Assumptions!$C$6,0))</f>
        <v>103006.18000000001</v>
      </c>
      <c r="I730" s="22">
        <f>F730*(1+Assumptions!$B$7+IF(D730="Yes",Assumptions!$C$7,0))</f>
        <v>105006.3</v>
      </c>
      <c r="J730" s="22">
        <f>F730*(1+Assumptions!$B$8+IF(D730="Yes",Assumptions!$C$8,0))</f>
        <v>101006.06</v>
      </c>
    </row>
    <row r="731" spans="1:10" ht="15">
      <c r="A731" s="21">
        <v>40977</v>
      </c>
      <c r="B731" s="21">
        <v>40969</v>
      </c>
      <c r="C731" s="17">
        <v>59</v>
      </c>
      <c r="D731" s="17" t="s">
        <v>91</v>
      </c>
      <c r="E731" s="14">
        <v>10489.06</v>
      </c>
      <c r="F731" s="14">
        <v>15678.07</v>
      </c>
      <c r="G731" s="14">
        <v>15678.07</v>
      </c>
      <c r="H731" s="22">
        <f>F731*(1+Assumptions!$B$6+IF(D731="Yes",Assumptions!$C$6,0))</f>
        <v>16148.4121</v>
      </c>
      <c r="I731" s="22">
        <f>F731*(1+Assumptions!$B$7+IF(D731="Yes",Assumptions!$C$7,0))</f>
        <v>16461.9735</v>
      </c>
      <c r="J731" s="22">
        <f>F731*(1+Assumptions!$B$8+IF(D731="Yes",Assumptions!$C$8,0))</f>
        <v>15834.850699999999</v>
      </c>
    </row>
    <row r="732" spans="1:10" ht="15">
      <c r="A732" s="21">
        <v>40977</v>
      </c>
      <c r="B732" s="21">
        <v>40969</v>
      </c>
      <c r="C732" s="17">
        <v>60</v>
      </c>
      <c r="D732" s="17" t="s">
        <v>91</v>
      </c>
      <c r="E732" s="14">
        <v>14830.6</v>
      </c>
      <c r="F732" s="14">
        <v>13808.6</v>
      </c>
      <c r="G732" s="14">
        <v>13808.6</v>
      </c>
      <c r="H732" s="22">
        <f>F732*(1+Assumptions!$B$6+IF(D732="Yes",Assumptions!$C$6,0))</f>
        <v>14222.858</v>
      </c>
      <c r="I732" s="22">
        <f>F732*(1+Assumptions!$B$7+IF(D732="Yes",Assumptions!$C$7,0))</f>
        <v>14499.03</v>
      </c>
      <c r="J732" s="22">
        <f>F732*(1+Assumptions!$B$8+IF(D732="Yes",Assumptions!$C$8,0))</f>
        <v>13946.686</v>
      </c>
    </row>
    <row r="733" spans="1:10" ht="15">
      <c r="A733" s="21">
        <v>40977</v>
      </c>
      <c r="B733" s="21">
        <v>40969</v>
      </c>
      <c r="C733" s="17">
        <v>65</v>
      </c>
      <c r="D733" s="17" t="s">
        <v>91</v>
      </c>
      <c r="E733" s="14">
        <v>47388.47</v>
      </c>
      <c r="F733" s="14">
        <v>48375.92</v>
      </c>
      <c r="G733" s="14">
        <v>48375.92</v>
      </c>
      <c r="H733" s="22">
        <f>F733*(1+Assumptions!$B$6+IF(D733="Yes",Assumptions!$C$6,0))</f>
        <v>49827.1976</v>
      </c>
      <c r="I733" s="22">
        <f>F733*(1+Assumptions!$B$7+IF(D733="Yes",Assumptions!$C$7,0))</f>
        <v>50794.716</v>
      </c>
      <c r="J733" s="22">
        <f>F733*(1+Assumptions!$B$8+IF(D733="Yes",Assumptions!$C$8,0))</f>
        <v>48859.679199999999</v>
      </c>
    </row>
    <row r="734" spans="1:10" ht="15">
      <c r="A734" s="21">
        <v>40977</v>
      </c>
      <c r="B734" s="21">
        <v>40969</v>
      </c>
      <c r="C734" s="17">
        <v>67</v>
      </c>
      <c r="D734" s="17" t="s">
        <v>91</v>
      </c>
      <c r="E734" s="14">
        <v>276513.03000000003</v>
      </c>
      <c r="F734" s="14">
        <v>257130.11</v>
      </c>
      <c r="G734" s="14">
        <v>257130.11</v>
      </c>
      <c r="H734" s="22">
        <f>F734*(1+Assumptions!$B$6+IF(D734="Yes",Assumptions!$C$6,0))</f>
        <v>264844.01329999999</v>
      </c>
      <c r="I734" s="22">
        <f>F734*(1+Assumptions!$B$7+IF(D734="Yes",Assumptions!$C$7,0))</f>
        <v>269986.61550000001</v>
      </c>
      <c r="J734" s="22">
        <f>F734*(1+Assumptions!$B$8+IF(D734="Yes",Assumptions!$C$8,0))</f>
        <v>259701.4111</v>
      </c>
    </row>
    <row r="735" spans="1:10" ht="15">
      <c r="A735" s="21">
        <v>40977</v>
      </c>
      <c r="B735" s="21">
        <v>40969</v>
      </c>
      <c r="C735" s="17">
        <v>71</v>
      </c>
      <c r="D735" s="17" t="s">
        <v>91</v>
      </c>
      <c r="E735" s="14">
        <v>248088.77</v>
      </c>
      <c r="F735" s="14">
        <v>230676.78</v>
      </c>
      <c r="G735" s="14">
        <v>230676.78</v>
      </c>
      <c r="H735" s="22">
        <f>F735*(1+Assumptions!$B$6+IF(D735="Yes",Assumptions!$C$6,0))</f>
        <v>237597.0834</v>
      </c>
      <c r="I735" s="22">
        <f>F735*(1+Assumptions!$B$7+IF(D735="Yes",Assumptions!$C$7,0))</f>
        <v>242210.61900000001</v>
      </c>
      <c r="J735" s="22">
        <f>F735*(1+Assumptions!$B$8+IF(D735="Yes",Assumptions!$C$8,0))</f>
        <v>232983.5478</v>
      </c>
    </row>
    <row r="736" spans="1:10" ht="15">
      <c r="A736" s="21">
        <v>40977</v>
      </c>
      <c r="B736" s="21">
        <v>40969</v>
      </c>
      <c r="C736" s="17">
        <v>72</v>
      </c>
      <c r="D736" s="17" t="s">
        <v>91</v>
      </c>
      <c r="E736" s="14">
        <v>2080438.17</v>
      </c>
      <c r="F736" s="14">
        <v>2206184</v>
      </c>
      <c r="G736" s="14">
        <v>2206184</v>
      </c>
      <c r="H736" s="22">
        <f>F736*(1+Assumptions!$B$6+IF(D736="Yes",Assumptions!$C$6,0))</f>
        <v>2272369.52</v>
      </c>
      <c r="I736" s="22">
        <f>F736*(1+Assumptions!$B$7+IF(D736="Yes",Assumptions!$C$7,0))</f>
        <v>2316493.2000000002</v>
      </c>
      <c r="J736" s="22">
        <f>F736*(1+Assumptions!$B$8+IF(D736="Yes",Assumptions!$C$8,0))</f>
        <v>2228245.84</v>
      </c>
    </row>
    <row r="737" spans="1:10" ht="15">
      <c r="A737" s="21">
        <v>40977</v>
      </c>
      <c r="B737" s="21">
        <v>40969</v>
      </c>
      <c r="C737" s="17">
        <v>74</v>
      </c>
      <c r="D737" s="17" t="s">
        <v>91</v>
      </c>
      <c r="E737" s="14">
        <v>630079.9</v>
      </c>
      <c r="F737" s="14">
        <v>605649.24</v>
      </c>
      <c r="G737" s="14">
        <v>605649.24</v>
      </c>
      <c r="H737" s="22">
        <f>F737*(1+Assumptions!$B$6+IF(D737="Yes",Assumptions!$C$6,0))</f>
        <v>623818.71719999996</v>
      </c>
      <c r="I737" s="22">
        <f>F737*(1+Assumptions!$B$7+IF(D737="Yes",Assumptions!$C$7,0))</f>
        <v>635931.70200000005</v>
      </c>
      <c r="J737" s="22">
        <f>F737*(1+Assumptions!$B$8+IF(D737="Yes",Assumptions!$C$8,0))</f>
        <v>611705.73239999998</v>
      </c>
    </row>
    <row r="738" spans="1:10" ht="15">
      <c r="A738" s="21">
        <v>40977</v>
      </c>
      <c r="B738" s="21">
        <v>40969</v>
      </c>
      <c r="C738" s="17">
        <v>79</v>
      </c>
      <c r="D738" s="17" t="s">
        <v>91</v>
      </c>
      <c r="E738" s="14">
        <v>1091761.7</v>
      </c>
      <c r="F738" s="14">
        <v>1015577.36</v>
      </c>
      <c r="G738" s="14">
        <v>1015577.36</v>
      </c>
      <c r="H738" s="22">
        <f>F738*(1+Assumptions!$B$6+IF(D738="Yes",Assumptions!$C$6,0))</f>
        <v>1046044.6808</v>
      </c>
      <c r="I738" s="22">
        <f>F738*(1+Assumptions!$B$7+IF(D738="Yes",Assumptions!$C$7,0))</f>
        <v>1066356.2280000001</v>
      </c>
      <c r="J738" s="22">
        <f>F738*(1+Assumptions!$B$8+IF(D738="Yes",Assumptions!$C$8,0))</f>
        <v>1025733.1335999999</v>
      </c>
    </row>
    <row r="739" spans="1:10" ht="15">
      <c r="A739" s="21">
        <v>40977</v>
      </c>
      <c r="B739" s="21">
        <v>40969</v>
      </c>
      <c r="C739" s="17">
        <v>80</v>
      </c>
      <c r="D739" s="17" t="s">
        <v>91</v>
      </c>
      <c r="E739" s="14">
        <v>522811.56</v>
      </c>
      <c r="F739" s="14">
        <v>501666.29000000004</v>
      </c>
      <c r="G739" s="14">
        <v>501666.29000000004</v>
      </c>
      <c r="H739" s="22">
        <f>F739*(1+Assumptions!$B$6+IF(D739="Yes",Assumptions!$C$6,0))</f>
        <v>516716.27870000002</v>
      </c>
      <c r="I739" s="22">
        <f>F739*(1+Assumptions!$B$7+IF(D739="Yes",Assumptions!$C$7,0))</f>
        <v>526749.60450000002</v>
      </c>
      <c r="J739" s="22">
        <f>F739*(1+Assumptions!$B$8+IF(D739="Yes",Assumptions!$C$8,0))</f>
        <v>506682.95290000003</v>
      </c>
    </row>
    <row r="740" spans="1:10" ht="15">
      <c r="A740" s="21">
        <v>40977</v>
      </c>
      <c r="B740" s="21">
        <v>40969</v>
      </c>
      <c r="C740" s="17">
        <v>81</v>
      </c>
      <c r="D740" s="17" t="s">
        <v>91</v>
      </c>
      <c r="E740" s="14">
        <v>733997.75</v>
      </c>
      <c r="F740" s="14">
        <v>694926.39</v>
      </c>
      <c r="G740" s="14">
        <v>694926.39</v>
      </c>
      <c r="H740" s="22">
        <f>F740*(1+Assumptions!$B$6+IF(D740="Yes",Assumptions!$C$6,0))</f>
        <v>715774.18170000007</v>
      </c>
      <c r="I740" s="22">
        <f>F740*(1+Assumptions!$B$7+IF(D740="Yes",Assumptions!$C$7,0))</f>
        <v>729672.7095</v>
      </c>
      <c r="J740" s="22">
        <f>F740*(1+Assumptions!$B$8+IF(D740="Yes",Assumptions!$C$8,0))</f>
        <v>701875.65390000003</v>
      </c>
    </row>
    <row r="741" spans="1:10" ht="15">
      <c r="A741" s="21">
        <v>40977</v>
      </c>
      <c r="B741" s="21">
        <v>40969</v>
      </c>
      <c r="C741" s="17">
        <v>82</v>
      </c>
      <c r="D741" s="17" t="s">
        <v>91</v>
      </c>
      <c r="E741" s="14">
        <v>701724.56</v>
      </c>
      <c r="F741" s="14">
        <v>610484.34</v>
      </c>
      <c r="G741" s="14">
        <v>610484.34</v>
      </c>
      <c r="H741" s="22">
        <f>F741*(1+Assumptions!$B$6+IF(D741="Yes",Assumptions!$C$6,0))</f>
        <v>628798.8702</v>
      </c>
      <c r="I741" s="22">
        <f>F741*(1+Assumptions!$B$7+IF(D741="Yes",Assumptions!$C$7,0))</f>
        <v>641008.55700000003</v>
      </c>
      <c r="J741" s="22">
        <f>F741*(1+Assumptions!$B$8+IF(D741="Yes",Assumptions!$C$8,0))</f>
        <v>616589.18339999998</v>
      </c>
    </row>
    <row r="742" spans="1:10" ht="15">
      <c r="A742" s="21">
        <v>40977</v>
      </c>
      <c r="B742" s="21">
        <v>40969</v>
      </c>
      <c r="C742" s="17">
        <v>83</v>
      </c>
      <c r="D742" s="17" t="s">
        <v>91</v>
      </c>
      <c r="E742" s="14">
        <v>172476.16</v>
      </c>
      <c r="F742" s="14">
        <v>177691.81</v>
      </c>
      <c r="G742" s="14">
        <v>177691.81</v>
      </c>
      <c r="H742" s="22">
        <f>F742*(1+Assumptions!$B$6+IF(D742="Yes",Assumptions!$C$6,0))</f>
        <v>183022.5643</v>
      </c>
      <c r="I742" s="22">
        <f>F742*(1+Assumptions!$B$7+IF(D742="Yes",Assumptions!$C$7,0))</f>
        <v>186576.40050000002</v>
      </c>
      <c r="J742" s="22">
        <f>F742*(1+Assumptions!$B$8+IF(D742="Yes",Assumptions!$C$8,0))</f>
        <v>179468.72810000001</v>
      </c>
    </row>
    <row r="743" spans="1:10" ht="15">
      <c r="A743" s="21">
        <v>40977</v>
      </c>
      <c r="B743" s="21">
        <v>40969</v>
      </c>
      <c r="C743" s="17">
        <v>85</v>
      </c>
      <c r="D743" s="17" t="s">
        <v>91</v>
      </c>
      <c r="E743" s="14">
        <v>71977.95</v>
      </c>
      <c r="F743" s="14">
        <v>75304.31</v>
      </c>
      <c r="G743" s="14">
        <v>75304.31</v>
      </c>
      <c r="H743" s="22">
        <f>F743*(1+Assumptions!$B$6+IF(D743="Yes",Assumptions!$C$6,0))</f>
        <v>77563.439299999998</v>
      </c>
      <c r="I743" s="22">
        <f>F743*(1+Assumptions!$B$7+IF(D743="Yes",Assumptions!$C$7,0))</f>
        <v>79069.525500000003</v>
      </c>
      <c r="J743" s="22">
        <f>F743*(1+Assumptions!$B$8+IF(D743="Yes",Assumptions!$C$8,0))</f>
        <v>76057.353099999993</v>
      </c>
    </row>
    <row r="744" spans="1:10" ht="15">
      <c r="A744" s="21">
        <v>40977</v>
      </c>
      <c r="B744" s="21">
        <v>40969</v>
      </c>
      <c r="C744" s="17">
        <v>87</v>
      </c>
      <c r="D744" s="17" t="s">
        <v>91</v>
      </c>
      <c r="E744" s="14">
        <v>705525.06</v>
      </c>
      <c r="F744" s="14">
        <v>576618.88</v>
      </c>
      <c r="G744" s="14">
        <v>576618.88</v>
      </c>
      <c r="H744" s="22">
        <f>F744*(1+Assumptions!$B$6+IF(D744="Yes",Assumptions!$C$6,0))</f>
        <v>593917.44640000002</v>
      </c>
      <c r="I744" s="22">
        <f>F744*(1+Assumptions!$B$7+IF(D744="Yes",Assumptions!$C$7,0))</f>
        <v>605449.82400000002</v>
      </c>
      <c r="J744" s="22">
        <f>F744*(1+Assumptions!$B$8+IF(D744="Yes",Assumptions!$C$8,0))</f>
        <v>582385.06880000001</v>
      </c>
    </row>
    <row r="745" spans="1:10" ht="15">
      <c r="A745" s="21">
        <v>40977</v>
      </c>
      <c r="B745" s="21">
        <v>40969</v>
      </c>
      <c r="C745" s="17">
        <v>90</v>
      </c>
      <c r="D745" s="17" t="s">
        <v>91</v>
      </c>
      <c r="E745" s="14">
        <v>2210386.52</v>
      </c>
      <c r="F745" s="14">
        <v>2033884.99</v>
      </c>
      <c r="G745" s="14">
        <v>2033884.99</v>
      </c>
      <c r="H745" s="22">
        <f>F745*(1+Assumptions!$B$6+IF(D745="Yes",Assumptions!$C$6,0))</f>
        <v>2094901.5397000001</v>
      </c>
      <c r="I745" s="22">
        <f>F745*(1+Assumptions!$B$7+IF(D745="Yes",Assumptions!$C$7,0))</f>
        <v>2135579.2395000001</v>
      </c>
      <c r="J745" s="22">
        <f>F745*(1+Assumptions!$B$8+IF(D745="Yes",Assumptions!$C$8,0))</f>
        <v>2054223.8399</v>
      </c>
    </row>
    <row r="746" spans="1:10" ht="15">
      <c r="A746" s="21">
        <v>40977</v>
      </c>
      <c r="B746" s="21">
        <v>40969</v>
      </c>
      <c r="C746" s="17">
        <v>91</v>
      </c>
      <c r="D746" s="17" t="s">
        <v>91</v>
      </c>
      <c r="E746" s="14">
        <v>1702872.48</v>
      </c>
      <c r="F746" s="14">
        <v>1619642.06</v>
      </c>
      <c r="G746" s="14">
        <v>1619642.06</v>
      </c>
      <c r="H746" s="22">
        <f>F746*(1+Assumptions!$B$6+IF(D746="Yes",Assumptions!$C$6,0))</f>
        <v>1668231.3218</v>
      </c>
      <c r="I746" s="22">
        <f>F746*(1+Assumptions!$B$7+IF(D746="Yes",Assumptions!$C$7,0))</f>
        <v>1700624.1630000002</v>
      </c>
      <c r="J746" s="22">
        <f>F746*(1+Assumptions!$B$8+IF(D746="Yes",Assumptions!$C$8,0))</f>
        <v>1635838.4806000001</v>
      </c>
    </row>
    <row r="747" spans="1:10" ht="15">
      <c r="A747" s="21">
        <v>40977</v>
      </c>
      <c r="B747" s="21">
        <v>40969</v>
      </c>
      <c r="C747" s="17">
        <v>92</v>
      </c>
      <c r="D747" s="17" t="s">
        <v>91</v>
      </c>
      <c r="E747" s="14">
        <v>3841342.25</v>
      </c>
      <c r="F747" s="14">
        <v>3400733.05</v>
      </c>
      <c r="G747" s="14">
        <v>3400733.05</v>
      </c>
      <c r="H747" s="22">
        <f>F747*(1+Assumptions!$B$6+IF(D747="Yes",Assumptions!$C$6,0))</f>
        <v>3502755.0414999998</v>
      </c>
      <c r="I747" s="22">
        <f>F747*(1+Assumptions!$B$7+IF(D747="Yes",Assumptions!$C$7,0))</f>
        <v>3570769.7025000001</v>
      </c>
      <c r="J747" s="22">
        <f>F747*(1+Assumptions!$B$8+IF(D747="Yes",Assumptions!$C$8,0))</f>
        <v>3434740.3805</v>
      </c>
    </row>
    <row r="748" spans="1:10" ht="15">
      <c r="A748" s="21">
        <v>40977</v>
      </c>
      <c r="B748" s="21">
        <v>40969</v>
      </c>
      <c r="C748" s="17">
        <v>93</v>
      </c>
      <c r="D748" s="17" t="s">
        <v>91</v>
      </c>
      <c r="E748" s="14">
        <v>1185744.49</v>
      </c>
      <c r="F748" s="14">
        <v>1109787.23</v>
      </c>
      <c r="G748" s="14">
        <v>1109787.23</v>
      </c>
      <c r="H748" s="22">
        <f>F748*(1+Assumptions!$B$6+IF(D748="Yes",Assumptions!$C$6,0))</f>
        <v>1143080.8469</v>
      </c>
      <c r="I748" s="22">
        <f>F748*(1+Assumptions!$B$7+IF(D748="Yes",Assumptions!$C$7,0))</f>
        <v>1165276.5915000001</v>
      </c>
      <c r="J748" s="22">
        <f>F748*(1+Assumptions!$B$8+IF(D748="Yes",Assumptions!$C$8,0))</f>
        <v>1120885.1022999999</v>
      </c>
    </row>
    <row r="749" spans="1:10" ht="15">
      <c r="A749" s="21">
        <v>40977</v>
      </c>
      <c r="B749" s="21">
        <v>40969</v>
      </c>
      <c r="C749" s="17">
        <v>94</v>
      </c>
      <c r="D749" s="17" t="s">
        <v>91</v>
      </c>
      <c r="E749" s="14">
        <v>1305088.45</v>
      </c>
      <c r="F749" s="14">
        <v>1319297.94</v>
      </c>
      <c r="G749" s="14">
        <v>1319297.94</v>
      </c>
      <c r="H749" s="22">
        <f>F749*(1+Assumptions!$B$6+IF(D749="Yes",Assumptions!$C$6,0))</f>
        <v>1358876.8781999999</v>
      </c>
      <c r="I749" s="22">
        <f>F749*(1+Assumptions!$B$7+IF(D749="Yes",Assumptions!$C$7,0))</f>
        <v>1385262.8370000001</v>
      </c>
      <c r="J749" s="22">
        <f>F749*(1+Assumptions!$B$8+IF(D749="Yes",Assumptions!$C$8,0))</f>
        <v>1332490.9194</v>
      </c>
    </row>
    <row r="750" spans="1:10" ht="15">
      <c r="A750" s="21">
        <v>40977</v>
      </c>
      <c r="B750" s="21">
        <v>40969</v>
      </c>
      <c r="C750" s="17">
        <v>95</v>
      </c>
      <c r="D750" s="17" t="s">
        <v>91</v>
      </c>
      <c r="E750" s="14">
        <v>3225771.06</v>
      </c>
      <c r="F750" s="14">
        <v>3021999.98</v>
      </c>
      <c r="G750" s="14">
        <v>3021999.98</v>
      </c>
      <c r="H750" s="22">
        <f>F750*(1+Assumptions!$B$6+IF(D750="Yes",Assumptions!$C$6,0))</f>
        <v>3112659.9794000001</v>
      </c>
      <c r="I750" s="22">
        <f>F750*(1+Assumptions!$B$7+IF(D750="Yes",Assumptions!$C$7,0))</f>
        <v>3173099.9790000003</v>
      </c>
      <c r="J750" s="22">
        <f>F750*(1+Assumptions!$B$8+IF(D750="Yes",Assumptions!$C$8,0))</f>
        <v>3052219.9797999999</v>
      </c>
    </row>
    <row r="751" spans="1:10" ht="15">
      <c r="A751" s="21">
        <v>40977</v>
      </c>
      <c r="B751" s="21">
        <v>40969</v>
      </c>
      <c r="C751" s="17">
        <v>96</v>
      </c>
      <c r="D751" s="17" t="s">
        <v>91</v>
      </c>
      <c r="E751" s="14">
        <v>492403.59</v>
      </c>
      <c r="F751" s="14">
        <v>443076.28</v>
      </c>
      <c r="G751" s="14">
        <v>443076.28</v>
      </c>
      <c r="H751" s="22">
        <f>F751*(1+Assumptions!$B$6+IF(D751="Yes",Assumptions!$C$6,0))</f>
        <v>456368.56840000005</v>
      </c>
      <c r="I751" s="22">
        <f>F751*(1+Assumptions!$B$7+IF(D751="Yes",Assumptions!$C$7,0))</f>
        <v>465230.09400000004</v>
      </c>
      <c r="J751" s="22">
        <f>F751*(1+Assumptions!$B$8+IF(D751="Yes",Assumptions!$C$8,0))</f>
        <v>447507.04280000005</v>
      </c>
    </row>
    <row r="752" spans="1:10" ht="15">
      <c r="A752" s="21">
        <v>40977</v>
      </c>
      <c r="B752" s="21">
        <v>40969</v>
      </c>
      <c r="C752" s="17">
        <v>97</v>
      </c>
      <c r="D752" s="17" t="s">
        <v>91</v>
      </c>
      <c r="E752" s="14">
        <v>655687.99</v>
      </c>
      <c r="F752" s="14">
        <v>608398.54</v>
      </c>
      <c r="G752" s="14">
        <v>608398.54</v>
      </c>
      <c r="H752" s="22">
        <f>F752*(1+Assumptions!$B$6+IF(D752="Yes",Assumptions!$C$6,0))</f>
        <v>626650.49620000005</v>
      </c>
      <c r="I752" s="22">
        <f>F752*(1+Assumptions!$B$7+IF(D752="Yes",Assumptions!$C$7,0))</f>
        <v>638818.46700000006</v>
      </c>
      <c r="J752" s="22">
        <f>F752*(1+Assumptions!$B$8+IF(D752="Yes",Assumptions!$C$8,0))</f>
        <v>614482.52540000004</v>
      </c>
    </row>
    <row r="753" spans="1:10" ht="15">
      <c r="A753" s="21">
        <v>40977</v>
      </c>
      <c r="B753" s="21">
        <v>40969</v>
      </c>
      <c r="C753" s="17">
        <v>98</v>
      </c>
      <c r="D753" s="17" t="s">
        <v>91</v>
      </c>
      <c r="E753" s="14">
        <v>271504.28000000003</v>
      </c>
      <c r="F753" s="14">
        <v>270389.34000000003</v>
      </c>
      <c r="G753" s="14">
        <v>270389.34000000003</v>
      </c>
      <c r="H753" s="22">
        <f>F753*(1+Assumptions!$B$6+IF(D753="Yes",Assumptions!$C$6,0))</f>
        <v>278501.02020000003</v>
      </c>
      <c r="I753" s="22">
        <f>F753*(1+Assumptions!$B$7+IF(D753="Yes",Assumptions!$C$7,0))</f>
        <v>283908.80700000003</v>
      </c>
      <c r="J753" s="22">
        <f>F753*(1+Assumptions!$B$8+IF(D753="Yes",Assumptions!$C$8,0))</f>
        <v>273093.23340000003</v>
      </c>
    </row>
    <row r="754" spans="1:10" ht="15">
      <c r="A754" s="21">
        <v>40977</v>
      </c>
      <c r="B754" s="21">
        <v>40969</v>
      </c>
      <c r="C754" s="17">
        <v>99</v>
      </c>
      <c r="D754" s="17" t="s">
        <v>91</v>
      </c>
      <c r="E754" s="14">
        <v>280.01</v>
      </c>
      <c r="F754" s="14">
        <v>920</v>
      </c>
      <c r="G754" s="14">
        <v>920</v>
      </c>
      <c r="H754" s="22">
        <f>F754*(1+Assumptions!$B$6+IF(D754="Yes",Assumptions!$C$6,0))</f>
        <v>947.6</v>
      </c>
      <c r="I754" s="22">
        <f>F754*(1+Assumptions!$B$7+IF(D754="Yes",Assumptions!$C$7,0))</f>
        <v>966</v>
      </c>
      <c r="J754" s="22">
        <f>F754*(1+Assumptions!$B$8+IF(D754="Yes",Assumptions!$C$8,0))</f>
        <v>929.2</v>
      </c>
    </row>
    <row r="755" spans="1:10" ht="15">
      <c r="A755" s="21">
        <v>40984</v>
      </c>
      <c r="B755" s="21">
        <v>40969</v>
      </c>
      <c r="C755" s="17">
        <v>1</v>
      </c>
      <c r="D755" s="17" t="s">
        <v>91</v>
      </c>
      <c r="E755" s="14">
        <v>849715.12</v>
      </c>
      <c r="F755" s="14">
        <v>723344.24</v>
      </c>
      <c r="G755" s="14">
        <v>723344.24</v>
      </c>
      <c r="H755" s="22">
        <f>F755*(1+Assumptions!$B$6+IF(D755="Yes",Assumptions!$C$6,0))</f>
        <v>745044.56720000005</v>
      </c>
      <c r="I755" s="22">
        <f>F755*(1+Assumptions!$B$7+IF(D755="Yes",Assumptions!$C$7,0))</f>
        <v>759511.45200000005</v>
      </c>
      <c r="J755" s="22">
        <f>F755*(1+Assumptions!$B$8+IF(D755="Yes",Assumptions!$C$8,0))</f>
        <v>730577.68240000005</v>
      </c>
    </row>
    <row r="756" spans="1:10" ht="15">
      <c r="A756" s="21">
        <v>40984</v>
      </c>
      <c r="B756" s="21">
        <v>40969</v>
      </c>
      <c r="C756" s="17">
        <v>2</v>
      </c>
      <c r="D756" s="17" t="s">
        <v>91</v>
      </c>
      <c r="E756" s="14">
        <v>1974819.02</v>
      </c>
      <c r="F756" s="14">
        <v>1908655.15</v>
      </c>
      <c r="G756" s="14">
        <v>1908655.15</v>
      </c>
      <c r="H756" s="22">
        <f>F756*(1+Assumptions!$B$6+IF(D756="Yes",Assumptions!$C$6,0))</f>
        <v>1965914.8044999999</v>
      </c>
      <c r="I756" s="22">
        <f>F756*(1+Assumptions!$B$7+IF(D756="Yes",Assumptions!$C$7,0))</f>
        <v>2004087.9075</v>
      </c>
      <c r="J756" s="22">
        <f>F756*(1+Assumptions!$B$8+IF(D756="Yes",Assumptions!$C$8,0))</f>
        <v>1927741.7015</v>
      </c>
    </row>
    <row r="757" spans="1:10" ht="15">
      <c r="A757" s="21">
        <v>40984</v>
      </c>
      <c r="B757" s="21">
        <v>40969</v>
      </c>
      <c r="C757" s="17">
        <v>3</v>
      </c>
      <c r="D757" s="17" t="s">
        <v>91</v>
      </c>
      <c r="E757" s="14">
        <v>352773.44</v>
      </c>
      <c r="F757" s="14">
        <v>337396.52</v>
      </c>
      <c r="G757" s="14">
        <v>337396.52</v>
      </c>
      <c r="H757" s="22">
        <f>F757*(1+Assumptions!$B$6+IF(D757="Yes",Assumptions!$C$6,0))</f>
        <v>347518.41560000001</v>
      </c>
      <c r="I757" s="22">
        <f>F757*(1+Assumptions!$B$7+IF(D757="Yes",Assumptions!$C$7,0))</f>
        <v>354266.34600000002</v>
      </c>
      <c r="J757" s="22">
        <f>F757*(1+Assumptions!$B$8+IF(D757="Yes",Assumptions!$C$8,0))</f>
        <v>340770.4852</v>
      </c>
    </row>
    <row r="758" spans="1:10" ht="15">
      <c r="A758" s="21">
        <v>40984</v>
      </c>
      <c r="B758" s="21">
        <v>40969</v>
      </c>
      <c r="C758" s="17">
        <v>4</v>
      </c>
      <c r="D758" s="17" t="s">
        <v>91</v>
      </c>
      <c r="E758" s="14">
        <v>1128731.08</v>
      </c>
      <c r="F758" s="14">
        <v>1093155.6000000001</v>
      </c>
      <c r="G758" s="14">
        <v>1093155.6000000001</v>
      </c>
      <c r="H758" s="22">
        <f>F758*(1+Assumptions!$B$6+IF(D758="Yes",Assumptions!$C$6,0))</f>
        <v>1125950.2680000002</v>
      </c>
      <c r="I758" s="22">
        <f>F758*(1+Assumptions!$B$7+IF(D758="Yes",Assumptions!$C$7,0))</f>
        <v>1147813.3800000001</v>
      </c>
      <c r="J758" s="22">
        <f>F758*(1+Assumptions!$B$8+IF(D758="Yes",Assumptions!$C$8,0))</f>
        <v>1104087.1560000002</v>
      </c>
    </row>
    <row r="759" spans="1:10" ht="15">
      <c r="A759" s="21">
        <v>40984</v>
      </c>
      <c r="B759" s="21">
        <v>40969</v>
      </c>
      <c r="C759" s="17">
        <v>5</v>
      </c>
      <c r="D759" s="17" t="s">
        <v>91</v>
      </c>
      <c r="E759" s="14">
        <v>928434.97</v>
      </c>
      <c r="F759" s="14">
        <v>845946.5</v>
      </c>
      <c r="G759" s="14">
        <v>845946.5</v>
      </c>
      <c r="H759" s="22">
        <f>F759*(1+Assumptions!$B$6+IF(D759="Yes",Assumptions!$C$6,0))</f>
        <v>871324.89500000002</v>
      </c>
      <c r="I759" s="22">
        <f>F759*(1+Assumptions!$B$7+IF(D759="Yes",Assumptions!$C$7,0))</f>
        <v>888243.82500000007</v>
      </c>
      <c r="J759" s="22">
        <f>F759*(1+Assumptions!$B$8+IF(D759="Yes",Assumptions!$C$8,0))</f>
        <v>854405.96499999997</v>
      </c>
    </row>
    <row r="760" spans="1:10" ht="15">
      <c r="A760" s="21">
        <v>40984</v>
      </c>
      <c r="B760" s="21">
        <v>40969</v>
      </c>
      <c r="C760" s="17">
        <v>6</v>
      </c>
      <c r="D760" s="17" t="s">
        <v>91</v>
      </c>
      <c r="E760" s="14">
        <v>139056.94</v>
      </c>
      <c r="F760" s="14">
        <v>163766.98000000001</v>
      </c>
      <c r="G760" s="14">
        <v>163766.98000000001</v>
      </c>
      <c r="H760" s="22">
        <f>F760*(1+Assumptions!$B$6+IF(D760="Yes",Assumptions!$C$6,0))</f>
        <v>168679.98940000002</v>
      </c>
      <c r="I760" s="22">
        <f>F760*(1+Assumptions!$B$7+IF(D760="Yes",Assumptions!$C$7,0))</f>
        <v>171955.32900000003</v>
      </c>
      <c r="J760" s="22">
        <f>F760*(1+Assumptions!$B$8+IF(D760="Yes",Assumptions!$C$8,0))</f>
        <v>165404.64980000001</v>
      </c>
    </row>
    <row r="761" spans="1:10" ht="15">
      <c r="A761" s="21">
        <v>40984</v>
      </c>
      <c r="B761" s="21">
        <v>40969</v>
      </c>
      <c r="C761" s="17">
        <v>7</v>
      </c>
      <c r="D761" s="17" t="s">
        <v>91</v>
      </c>
      <c r="E761" s="14">
        <v>909116.63</v>
      </c>
      <c r="F761" s="14">
        <v>869129.09</v>
      </c>
      <c r="G761" s="14">
        <v>869129.09</v>
      </c>
      <c r="H761" s="22">
        <f>F761*(1+Assumptions!$B$6+IF(D761="Yes",Assumptions!$C$6,0))</f>
        <v>895202.96270000003</v>
      </c>
      <c r="I761" s="22">
        <f>F761*(1+Assumptions!$B$7+IF(D761="Yes",Assumptions!$C$7,0))</f>
        <v>912585.54449999996</v>
      </c>
      <c r="J761" s="22">
        <f>F761*(1+Assumptions!$B$8+IF(D761="Yes",Assumptions!$C$8,0))</f>
        <v>877820.38089999999</v>
      </c>
    </row>
    <row r="762" spans="1:10" ht="15">
      <c r="A762" s="21">
        <v>40984</v>
      </c>
      <c r="B762" s="21">
        <v>40969</v>
      </c>
      <c r="C762" s="17">
        <v>8</v>
      </c>
      <c r="D762" s="17" t="s">
        <v>91</v>
      </c>
      <c r="E762" s="14">
        <v>1355110.97</v>
      </c>
      <c r="F762" s="14">
        <v>1315121.3999999999</v>
      </c>
      <c r="G762" s="14">
        <v>1315121.3999999999</v>
      </c>
      <c r="H762" s="22">
        <f>F762*(1+Assumptions!$B$6+IF(D762="Yes",Assumptions!$C$6,0))</f>
        <v>1354575.0419999999</v>
      </c>
      <c r="I762" s="22">
        <f>F762*(1+Assumptions!$B$7+IF(D762="Yes",Assumptions!$C$7,0))</f>
        <v>1380877.47</v>
      </c>
      <c r="J762" s="22">
        <f>F762*(1+Assumptions!$B$8+IF(D762="Yes",Assumptions!$C$8,0))</f>
        <v>1328272.6139999998</v>
      </c>
    </row>
    <row r="763" spans="1:10" ht="15">
      <c r="A763" s="21">
        <v>40984</v>
      </c>
      <c r="B763" s="21">
        <v>40969</v>
      </c>
      <c r="C763" s="17">
        <v>9</v>
      </c>
      <c r="D763" s="17" t="s">
        <v>91</v>
      </c>
      <c r="E763" s="14">
        <v>908167</v>
      </c>
      <c r="F763" s="14">
        <v>816231.12</v>
      </c>
      <c r="G763" s="14">
        <v>816231.12</v>
      </c>
      <c r="H763" s="22">
        <f>F763*(1+Assumptions!$B$6+IF(D763="Yes",Assumptions!$C$6,0))</f>
        <v>840718.05359999998</v>
      </c>
      <c r="I763" s="22">
        <f>F763*(1+Assumptions!$B$7+IF(D763="Yes",Assumptions!$C$7,0))</f>
        <v>857042.67599999998</v>
      </c>
      <c r="J763" s="22">
        <f>F763*(1+Assumptions!$B$8+IF(D763="Yes",Assumptions!$C$8,0))</f>
        <v>824393.43119999999</v>
      </c>
    </row>
    <row r="764" spans="1:10" ht="15">
      <c r="A764" s="21">
        <v>40984</v>
      </c>
      <c r="B764" s="21">
        <v>40969</v>
      </c>
      <c r="C764" s="17">
        <v>10</v>
      </c>
      <c r="D764" s="17" t="s">
        <v>91</v>
      </c>
      <c r="E764" s="14">
        <v>855478.17</v>
      </c>
      <c r="F764" s="14">
        <v>800504.01</v>
      </c>
      <c r="G764" s="14">
        <v>800504.01</v>
      </c>
      <c r="H764" s="22">
        <f>F764*(1+Assumptions!$B$6+IF(D764="Yes",Assumptions!$C$6,0))</f>
        <v>824519.13030000008</v>
      </c>
      <c r="I764" s="22">
        <f>F764*(1+Assumptions!$B$7+IF(D764="Yes",Assumptions!$C$7,0))</f>
        <v>840529.21050000004</v>
      </c>
      <c r="J764" s="22">
        <f>F764*(1+Assumptions!$B$8+IF(D764="Yes",Assumptions!$C$8,0))</f>
        <v>808509.05009999999</v>
      </c>
    </row>
    <row r="765" spans="1:10" ht="15">
      <c r="A765" s="21">
        <v>40984</v>
      </c>
      <c r="B765" s="21">
        <v>40969</v>
      </c>
      <c r="C765" s="17">
        <v>11</v>
      </c>
      <c r="D765" s="17" t="s">
        <v>91</v>
      </c>
      <c r="E765" s="14">
        <v>526882.34</v>
      </c>
      <c r="F765" s="14">
        <v>539946.80000000005</v>
      </c>
      <c r="G765" s="14">
        <v>539946.80000000005</v>
      </c>
      <c r="H765" s="22">
        <f>F765*(1+Assumptions!$B$6+IF(D765="Yes",Assumptions!$C$6,0))</f>
        <v>556145.20400000003</v>
      </c>
      <c r="I765" s="22">
        <f>F765*(1+Assumptions!$B$7+IF(D765="Yes",Assumptions!$C$7,0))</f>
        <v>566944.14000000013</v>
      </c>
      <c r="J765" s="22">
        <f>F765*(1+Assumptions!$B$8+IF(D765="Yes",Assumptions!$C$8,0))</f>
        <v>545346.26800000004</v>
      </c>
    </row>
    <row r="766" spans="1:10" ht="15">
      <c r="A766" s="21">
        <v>40984</v>
      </c>
      <c r="B766" s="21">
        <v>40969</v>
      </c>
      <c r="C766" s="17">
        <v>12</v>
      </c>
      <c r="D766" s="17" t="s">
        <v>91</v>
      </c>
      <c r="E766" s="14">
        <v>199385.71</v>
      </c>
      <c r="F766" s="14">
        <v>191047.95</v>
      </c>
      <c r="G766" s="14">
        <v>191047.95</v>
      </c>
      <c r="H766" s="22">
        <f>F766*(1+Assumptions!$B$6+IF(D766="Yes",Assumptions!$C$6,0))</f>
        <v>196779.38850000003</v>
      </c>
      <c r="I766" s="22">
        <f>F766*(1+Assumptions!$B$7+IF(D766="Yes",Assumptions!$C$7,0))</f>
        <v>200600.34750000003</v>
      </c>
      <c r="J766" s="22">
        <f>F766*(1+Assumptions!$B$8+IF(D766="Yes",Assumptions!$C$8,0))</f>
        <v>192958.42950000003</v>
      </c>
    </row>
    <row r="767" spans="1:10" ht="15">
      <c r="A767" s="21">
        <v>40984</v>
      </c>
      <c r="B767" s="21">
        <v>40969</v>
      </c>
      <c r="C767" s="17">
        <v>13</v>
      </c>
      <c r="D767" s="17" t="s">
        <v>91</v>
      </c>
      <c r="E767" s="14">
        <v>1375568.43</v>
      </c>
      <c r="F767" s="14">
        <v>1359488.11</v>
      </c>
      <c r="G767" s="14">
        <v>1359488.11</v>
      </c>
      <c r="H767" s="22">
        <f>F767*(1+Assumptions!$B$6+IF(D767="Yes",Assumptions!$C$6,0))</f>
        <v>1400272.7533000002</v>
      </c>
      <c r="I767" s="22">
        <f>F767*(1+Assumptions!$B$7+IF(D767="Yes",Assumptions!$C$7,0))</f>
        <v>1427462.5155000002</v>
      </c>
      <c r="J767" s="22">
        <f>F767*(1+Assumptions!$B$8+IF(D767="Yes",Assumptions!$C$8,0))</f>
        <v>1373082.9911000002</v>
      </c>
    </row>
    <row r="768" spans="1:10" ht="15">
      <c r="A768" s="21">
        <v>40984</v>
      </c>
      <c r="B768" s="21">
        <v>40969</v>
      </c>
      <c r="C768" s="17">
        <v>14</v>
      </c>
      <c r="D768" s="17" t="s">
        <v>91</v>
      </c>
      <c r="E768" s="14">
        <v>607073.52</v>
      </c>
      <c r="F768" s="14">
        <v>604100.31000000006</v>
      </c>
      <c r="G768" s="14">
        <v>604100.31000000006</v>
      </c>
      <c r="H768" s="22">
        <f>F768*(1+Assumptions!$B$6+IF(D768="Yes",Assumptions!$C$6,0))</f>
        <v>622223.31930000009</v>
      </c>
      <c r="I768" s="22">
        <f>F768*(1+Assumptions!$B$7+IF(D768="Yes",Assumptions!$C$7,0))</f>
        <v>634305.32550000004</v>
      </c>
      <c r="J768" s="22">
        <f>F768*(1+Assumptions!$B$8+IF(D768="Yes",Assumptions!$C$8,0))</f>
        <v>610141.31310000003</v>
      </c>
    </row>
    <row r="769" spans="1:10" ht="15">
      <c r="A769" s="21">
        <v>40984</v>
      </c>
      <c r="B769" s="21">
        <v>40969</v>
      </c>
      <c r="C769" s="17">
        <v>16</v>
      </c>
      <c r="D769" s="17" t="s">
        <v>91</v>
      </c>
      <c r="E769" s="14">
        <v>647142.11</v>
      </c>
      <c r="F769" s="14">
        <v>643766.43999999994</v>
      </c>
      <c r="G769" s="14">
        <v>643766.43999999994</v>
      </c>
      <c r="H769" s="22">
        <f>F769*(1+Assumptions!$B$6+IF(D769="Yes",Assumptions!$C$6,0))</f>
        <v>663079.43319999997</v>
      </c>
      <c r="I769" s="22">
        <f>F769*(1+Assumptions!$B$7+IF(D769="Yes",Assumptions!$C$7,0))</f>
        <v>675954.76199999999</v>
      </c>
      <c r="J769" s="22">
        <f>F769*(1+Assumptions!$B$8+IF(D769="Yes",Assumptions!$C$8,0))</f>
        <v>650204.10439999995</v>
      </c>
    </row>
    <row r="770" spans="1:10" ht="15">
      <c r="A770" s="21">
        <v>40984</v>
      </c>
      <c r="B770" s="21">
        <v>40969</v>
      </c>
      <c r="C770" s="17">
        <v>17</v>
      </c>
      <c r="D770" s="17" t="s">
        <v>91</v>
      </c>
      <c r="E770" s="14">
        <v>451544.74</v>
      </c>
      <c r="F770" s="14">
        <v>458843.56</v>
      </c>
      <c r="G770" s="14">
        <v>458843.56</v>
      </c>
      <c r="H770" s="22">
        <f>F770*(1+Assumptions!$B$6+IF(D770="Yes",Assumptions!$C$6,0))</f>
        <v>472608.86680000002</v>
      </c>
      <c r="I770" s="22">
        <f>F770*(1+Assumptions!$B$7+IF(D770="Yes",Assumptions!$C$7,0))</f>
        <v>481785.73800000001</v>
      </c>
      <c r="J770" s="22">
        <f>F770*(1+Assumptions!$B$8+IF(D770="Yes",Assumptions!$C$8,0))</f>
        <v>463431.99560000002</v>
      </c>
    </row>
    <row r="771" spans="1:10" ht="15">
      <c r="A771" s="21">
        <v>40984</v>
      </c>
      <c r="B771" s="21">
        <v>40969</v>
      </c>
      <c r="C771" s="17">
        <v>18</v>
      </c>
      <c r="D771" s="17" t="s">
        <v>91</v>
      </c>
      <c r="E771" s="14">
        <v>80079.12</v>
      </c>
      <c r="F771" s="14">
        <v>34757.96</v>
      </c>
      <c r="G771" s="14">
        <v>34757.96</v>
      </c>
      <c r="H771" s="22">
        <f>F771*(1+Assumptions!$B$6+IF(D771="Yes",Assumptions!$C$6,0))</f>
        <v>35800.698799999998</v>
      </c>
      <c r="I771" s="22">
        <f>F771*(1+Assumptions!$B$7+IF(D771="Yes",Assumptions!$C$7,0))</f>
        <v>36495.858</v>
      </c>
      <c r="J771" s="22">
        <f>F771*(1+Assumptions!$B$8+IF(D771="Yes",Assumptions!$C$8,0))</f>
        <v>35105.539599999996</v>
      </c>
    </row>
    <row r="772" spans="1:10" ht="15">
      <c r="A772" s="21">
        <v>40984</v>
      </c>
      <c r="B772" s="21">
        <v>40969</v>
      </c>
      <c r="C772" s="17">
        <v>19</v>
      </c>
      <c r="D772" s="17" t="s">
        <v>91</v>
      </c>
      <c r="E772" s="14">
        <v>47004.85</v>
      </c>
      <c r="F772" s="14">
        <v>42195.76</v>
      </c>
      <c r="G772" s="14">
        <v>42195.76</v>
      </c>
      <c r="H772" s="22">
        <f>F772*(1+Assumptions!$B$6+IF(D772="Yes",Assumptions!$C$6,0))</f>
        <v>43461.632800000007</v>
      </c>
      <c r="I772" s="22">
        <f>F772*(1+Assumptions!$B$7+IF(D772="Yes",Assumptions!$C$7,0))</f>
        <v>44305.548000000003</v>
      </c>
      <c r="J772" s="22">
        <f>F772*(1+Assumptions!$B$8+IF(D772="Yes",Assumptions!$C$8,0))</f>
        <v>42617.717600000004</v>
      </c>
    </row>
    <row r="773" spans="1:10" ht="15">
      <c r="A773" s="21">
        <v>40984</v>
      </c>
      <c r="B773" s="21">
        <v>40969</v>
      </c>
      <c r="C773" s="17">
        <v>20</v>
      </c>
      <c r="D773" s="17" t="s">
        <v>91</v>
      </c>
      <c r="E773" s="14">
        <v>242476.91999999998</v>
      </c>
      <c r="F773" s="14">
        <v>247737.02</v>
      </c>
      <c r="G773" s="14">
        <v>247737.02</v>
      </c>
      <c r="H773" s="22">
        <f>F773*(1+Assumptions!$B$6+IF(D773="Yes",Assumptions!$C$6,0))</f>
        <v>255169.1306</v>
      </c>
      <c r="I773" s="22">
        <f>F773*(1+Assumptions!$B$7+IF(D773="Yes",Assumptions!$C$7,0))</f>
        <v>260123.87100000001</v>
      </c>
      <c r="J773" s="22">
        <f>F773*(1+Assumptions!$B$8+IF(D773="Yes",Assumptions!$C$8,0))</f>
        <v>250214.39019999999</v>
      </c>
    </row>
    <row r="774" spans="1:10" ht="15">
      <c r="A774" s="21">
        <v>40984</v>
      </c>
      <c r="B774" s="21">
        <v>40969</v>
      </c>
      <c r="C774" s="17">
        <v>21</v>
      </c>
      <c r="D774" s="17" t="s">
        <v>91</v>
      </c>
      <c r="E774" s="14">
        <v>225989.47</v>
      </c>
      <c r="F774" s="14">
        <v>207175.64</v>
      </c>
      <c r="G774" s="14">
        <v>207175.64</v>
      </c>
      <c r="H774" s="22">
        <f>F774*(1+Assumptions!$B$6+IF(D774="Yes",Assumptions!$C$6,0))</f>
        <v>213390.90920000002</v>
      </c>
      <c r="I774" s="22">
        <f>F774*(1+Assumptions!$B$7+IF(D774="Yes",Assumptions!$C$7,0))</f>
        <v>217534.42200000002</v>
      </c>
      <c r="J774" s="22">
        <f>F774*(1+Assumptions!$B$8+IF(D774="Yes",Assumptions!$C$8,0))</f>
        <v>209247.39640000003</v>
      </c>
    </row>
    <row r="775" spans="1:10" ht="15">
      <c r="A775" s="21">
        <v>40984</v>
      </c>
      <c r="B775" s="21">
        <v>40969</v>
      </c>
      <c r="C775" s="17">
        <v>22</v>
      </c>
      <c r="D775" s="17" t="s">
        <v>91</v>
      </c>
      <c r="E775" s="14">
        <v>431138.58</v>
      </c>
      <c r="F775" s="14">
        <v>423930.64</v>
      </c>
      <c r="G775" s="14">
        <v>423930.64</v>
      </c>
      <c r="H775" s="22">
        <f>F775*(1+Assumptions!$B$6+IF(D775="Yes",Assumptions!$C$6,0))</f>
        <v>436648.55920000002</v>
      </c>
      <c r="I775" s="22">
        <f>F775*(1+Assumptions!$B$7+IF(D775="Yes",Assumptions!$C$7,0))</f>
        <v>445127.17200000002</v>
      </c>
      <c r="J775" s="22">
        <f>F775*(1+Assumptions!$B$8+IF(D775="Yes",Assumptions!$C$8,0))</f>
        <v>428169.94640000002</v>
      </c>
    </row>
    <row r="776" spans="1:10" ht="15">
      <c r="A776" s="21">
        <v>40984</v>
      </c>
      <c r="B776" s="21">
        <v>40969</v>
      </c>
      <c r="C776" s="17">
        <v>23</v>
      </c>
      <c r="D776" s="17" t="s">
        <v>91</v>
      </c>
      <c r="E776" s="14">
        <v>924886.38</v>
      </c>
      <c r="F776" s="14">
        <v>863262.93</v>
      </c>
      <c r="G776" s="14">
        <v>863262.93</v>
      </c>
      <c r="H776" s="22">
        <f>F776*(1+Assumptions!$B$6+IF(D776="Yes",Assumptions!$C$6,0))</f>
        <v>889160.81790000002</v>
      </c>
      <c r="I776" s="22">
        <f>F776*(1+Assumptions!$B$7+IF(D776="Yes",Assumptions!$C$7,0))</f>
        <v>906426.07650000008</v>
      </c>
      <c r="J776" s="22">
        <f>F776*(1+Assumptions!$B$8+IF(D776="Yes",Assumptions!$C$8,0))</f>
        <v>871895.55930000008</v>
      </c>
    </row>
    <row r="777" spans="1:10" ht="15">
      <c r="A777" s="21">
        <v>40984</v>
      </c>
      <c r="B777" s="21">
        <v>40969</v>
      </c>
      <c r="C777" s="17">
        <v>24</v>
      </c>
      <c r="D777" s="17" t="s">
        <v>91</v>
      </c>
      <c r="E777" s="14">
        <v>220680.17</v>
      </c>
      <c r="F777" s="14">
        <v>205648.41999999998</v>
      </c>
      <c r="G777" s="14">
        <v>205648.41999999998</v>
      </c>
      <c r="H777" s="22">
        <f>F777*(1+Assumptions!$B$6+IF(D777="Yes",Assumptions!$C$6,0))</f>
        <v>211817.8726</v>
      </c>
      <c r="I777" s="22">
        <f>F777*(1+Assumptions!$B$7+IF(D777="Yes",Assumptions!$C$7,0))</f>
        <v>215930.84099999999</v>
      </c>
      <c r="J777" s="22">
        <f>F777*(1+Assumptions!$B$8+IF(D777="Yes",Assumptions!$C$8,0))</f>
        <v>207704.90419999999</v>
      </c>
    </row>
    <row r="778" spans="1:10" ht="15">
      <c r="A778" s="21">
        <v>40984</v>
      </c>
      <c r="B778" s="21">
        <v>40969</v>
      </c>
      <c r="C778" s="17">
        <v>25</v>
      </c>
      <c r="D778" s="17" t="s">
        <v>91</v>
      </c>
      <c r="E778" s="14">
        <v>449975.66</v>
      </c>
      <c r="F778" s="14">
        <v>401318.67</v>
      </c>
      <c r="G778" s="14">
        <v>401318.67</v>
      </c>
      <c r="H778" s="22">
        <f>F778*(1+Assumptions!$B$6+IF(D778="Yes",Assumptions!$C$6,0))</f>
        <v>413358.23009999999</v>
      </c>
      <c r="I778" s="22">
        <f>F778*(1+Assumptions!$B$7+IF(D778="Yes",Assumptions!$C$7,0))</f>
        <v>421384.60350000003</v>
      </c>
      <c r="J778" s="22">
        <f>F778*(1+Assumptions!$B$8+IF(D778="Yes",Assumptions!$C$8,0))</f>
        <v>405331.8567</v>
      </c>
    </row>
    <row r="779" spans="1:10" ht="15">
      <c r="A779" s="21">
        <v>40984</v>
      </c>
      <c r="B779" s="21">
        <v>40969</v>
      </c>
      <c r="C779" s="17">
        <v>26</v>
      </c>
      <c r="D779" s="17" t="s">
        <v>91</v>
      </c>
      <c r="E779" s="14">
        <v>329604.21000000002</v>
      </c>
      <c r="F779" s="14">
        <v>313343.82</v>
      </c>
      <c r="G779" s="14">
        <v>313343.82</v>
      </c>
      <c r="H779" s="22">
        <f>F779*(1+Assumptions!$B$6+IF(D779="Yes",Assumptions!$C$6,0))</f>
        <v>322744.13459999999</v>
      </c>
      <c r="I779" s="22">
        <f>F779*(1+Assumptions!$B$7+IF(D779="Yes",Assumptions!$C$7,0))</f>
        <v>329011.011</v>
      </c>
      <c r="J779" s="22">
        <f>F779*(1+Assumptions!$B$8+IF(D779="Yes",Assumptions!$C$8,0))</f>
        <v>316477.25819999998</v>
      </c>
    </row>
    <row r="780" spans="1:10" ht="15">
      <c r="A780" s="21">
        <v>40984</v>
      </c>
      <c r="B780" s="21">
        <v>40969</v>
      </c>
      <c r="C780" s="17">
        <v>27</v>
      </c>
      <c r="D780" s="17" t="s">
        <v>91</v>
      </c>
      <c r="E780" s="14">
        <v>65910.14</v>
      </c>
      <c r="F780" s="14">
        <v>59633.35</v>
      </c>
      <c r="G780" s="14">
        <v>59633.35</v>
      </c>
      <c r="H780" s="22">
        <f>F780*(1+Assumptions!$B$6+IF(D780="Yes",Assumptions!$C$6,0))</f>
        <v>61422.3505</v>
      </c>
      <c r="I780" s="22">
        <f>F780*(1+Assumptions!$B$7+IF(D780="Yes",Assumptions!$C$7,0))</f>
        <v>62615.017500000002</v>
      </c>
      <c r="J780" s="22">
        <f>F780*(1+Assumptions!$B$8+IF(D780="Yes",Assumptions!$C$8,0))</f>
        <v>60229.683499999999</v>
      </c>
    </row>
    <row r="781" spans="1:10" ht="15">
      <c r="A781" s="21">
        <v>40984</v>
      </c>
      <c r="B781" s="21">
        <v>40969</v>
      </c>
      <c r="C781" s="17">
        <v>28</v>
      </c>
      <c r="D781" s="17" t="s">
        <v>91</v>
      </c>
      <c r="E781" s="14">
        <v>26590.61</v>
      </c>
      <c r="F781" s="14">
        <v>28208.75</v>
      </c>
      <c r="G781" s="14">
        <v>28208.75</v>
      </c>
      <c r="H781" s="22">
        <f>F781*(1+Assumptions!$B$6+IF(D781="Yes",Assumptions!$C$6,0))</f>
        <v>29055.012500000001</v>
      </c>
      <c r="I781" s="22">
        <f>F781*(1+Assumptions!$B$7+IF(D781="Yes",Assumptions!$C$7,0))</f>
        <v>29619.1875</v>
      </c>
      <c r="J781" s="22">
        <f>F781*(1+Assumptions!$B$8+IF(D781="Yes",Assumptions!$C$8,0))</f>
        <v>28490.837500000001</v>
      </c>
    </row>
    <row r="782" spans="1:10" ht="15">
      <c r="A782" s="21">
        <v>40984</v>
      </c>
      <c r="B782" s="21">
        <v>40969</v>
      </c>
      <c r="C782" s="17">
        <v>29</v>
      </c>
      <c r="D782" s="17" t="s">
        <v>91</v>
      </c>
      <c r="E782" s="14">
        <v>196104.36</v>
      </c>
      <c r="F782" s="14">
        <v>184686.99</v>
      </c>
      <c r="G782" s="14">
        <v>184686.99</v>
      </c>
      <c r="H782" s="22">
        <f>F782*(1+Assumptions!$B$6+IF(D782="Yes",Assumptions!$C$6,0))</f>
        <v>190227.59969999999</v>
      </c>
      <c r="I782" s="22">
        <f>F782*(1+Assumptions!$B$7+IF(D782="Yes",Assumptions!$C$7,0))</f>
        <v>193921.3395</v>
      </c>
      <c r="J782" s="22">
        <f>F782*(1+Assumptions!$B$8+IF(D782="Yes",Assumptions!$C$8,0))</f>
        <v>186533.85989999998</v>
      </c>
    </row>
    <row r="783" spans="1:10" ht="15">
      <c r="A783" s="21">
        <v>40984</v>
      </c>
      <c r="B783" s="21">
        <v>40969</v>
      </c>
      <c r="C783" s="17">
        <v>30</v>
      </c>
      <c r="D783" s="17" t="s">
        <v>91</v>
      </c>
      <c r="E783" s="14">
        <v>164863.57</v>
      </c>
      <c r="F783" s="14">
        <v>175628.96</v>
      </c>
      <c r="G783" s="14">
        <v>175628.96</v>
      </c>
      <c r="H783" s="22">
        <f>F783*(1+Assumptions!$B$6+IF(D783="Yes",Assumptions!$C$6,0))</f>
        <v>180897.82879999999</v>
      </c>
      <c r="I783" s="22">
        <f>F783*(1+Assumptions!$B$7+IF(D783="Yes",Assumptions!$C$7,0))</f>
        <v>184410.408</v>
      </c>
      <c r="J783" s="22">
        <f>F783*(1+Assumptions!$B$8+IF(D783="Yes",Assumptions!$C$8,0))</f>
        <v>177385.24959999998</v>
      </c>
    </row>
    <row r="784" spans="1:10" ht="15">
      <c r="A784" s="21">
        <v>40984</v>
      </c>
      <c r="B784" s="21">
        <v>40969</v>
      </c>
      <c r="C784" s="17">
        <v>31</v>
      </c>
      <c r="D784" s="17" t="s">
        <v>91</v>
      </c>
      <c r="E784" s="14">
        <v>73482.47</v>
      </c>
      <c r="F784" s="14">
        <v>77665.87</v>
      </c>
      <c r="G784" s="14">
        <v>77665.87</v>
      </c>
      <c r="H784" s="22">
        <f>F784*(1+Assumptions!$B$6+IF(D784="Yes",Assumptions!$C$6,0))</f>
        <v>79995.846099999995</v>
      </c>
      <c r="I784" s="22">
        <f>F784*(1+Assumptions!$B$7+IF(D784="Yes",Assumptions!$C$7,0))</f>
        <v>81549.163499999995</v>
      </c>
      <c r="J784" s="22">
        <f>F784*(1+Assumptions!$B$8+IF(D784="Yes",Assumptions!$C$8,0))</f>
        <v>78442.528699999995</v>
      </c>
    </row>
    <row r="785" spans="1:10" ht="15">
      <c r="A785" s="21">
        <v>40984</v>
      </c>
      <c r="B785" s="21">
        <v>40969</v>
      </c>
      <c r="C785" s="17">
        <v>32</v>
      </c>
      <c r="D785" s="17" t="s">
        <v>91</v>
      </c>
      <c r="E785" s="14">
        <v>258695.55</v>
      </c>
      <c r="F785" s="14">
        <v>250402.54</v>
      </c>
      <c r="G785" s="14">
        <v>250402.54</v>
      </c>
      <c r="H785" s="22">
        <f>F785*(1+Assumptions!$B$6+IF(D785="Yes",Assumptions!$C$6,0))</f>
        <v>257914.61620000002</v>
      </c>
      <c r="I785" s="22">
        <f>F785*(1+Assumptions!$B$7+IF(D785="Yes",Assumptions!$C$7,0))</f>
        <v>262922.66700000002</v>
      </c>
      <c r="J785" s="22">
        <f>F785*(1+Assumptions!$B$8+IF(D785="Yes",Assumptions!$C$8,0))</f>
        <v>252906.56540000002</v>
      </c>
    </row>
    <row r="786" spans="1:10" ht="15">
      <c r="A786" s="21">
        <v>40984</v>
      </c>
      <c r="B786" s="21">
        <v>40969</v>
      </c>
      <c r="C786" s="17">
        <v>33</v>
      </c>
      <c r="D786" s="17" t="s">
        <v>91</v>
      </c>
      <c r="E786" s="14">
        <v>229323.43</v>
      </c>
      <c r="F786" s="14">
        <v>219224.86000000002</v>
      </c>
      <c r="G786" s="14">
        <v>219224.86000000002</v>
      </c>
      <c r="H786" s="22">
        <f>F786*(1+Assumptions!$B$6+IF(D786="Yes",Assumptions!$C$6,0))</f>
        <v>225801.60580000002</v>
      </c>
      <c r="I786" s="22">
        <f>F786*(1+Assumptions!$B$7+IF(D786="Yes",Assumptions!$C$7,0))</f>
        <v>230186.10300000003</v>
      </c>
      <c r="J786" s="22">
        <f>F786*(1+Assumptions!$B$8+IF(D786="Yes",Assumptions!$C$8,0))</f>
        <v>221417.10860000001</v>
      </c>
    </row>
    <row r="787" spans="1:10" ht="15">
      <c r="A787" s="21">
        <v>40984</v>
      </c>
      <c r="B787" s="21">
        <v>40969</v>
      </c>
      <c r="C787" s="17">
        <v>34</v>
      </c>
      <c r="D787" s="17" t="s">
        <v>91</v>
      </c>
      <c r="E787" s="14">
        <v>651933.1</v>
      </c>
      <c r="F787" s="14">
        <v>583694.84</v>
      </c>
      <c r="G787" s="14">
        <v>583694.84</v>
      </c>
      <c r="H787" s="22">
        <f>F787*(1+Assumptions!$B$6+IF(D787="Yes",Assumptions!$C$6,0))</f>
        <v>601205.68519999995</v>
      </c>
      <c r="I787" s="22">
        <f>F787*(1+Assumptions!$B$7+IF(D787="Yes",Assumptions!$C$7,0))</f>
        <v>612879.58199999994</v>
      </c>
      <c r="J787" s="22">
        <f>F787*(1+Assumptions!$B$8+IF(D787="Yes",Assumptions!$C$8,0))</f>
        <v>589531.78839999996</v>
      </c>
    </row>
    <row r="788" spans="1:10" ht="15">
      <c r="A788" s="21">
        <v>40984</v>
      </c>
      <c r="B788" s="21">
        <v>40969</v>
      </c>
      <c r="C788" s="17">
        <v>35</v>
      </c>
      <c r="D788" s="17" t="s">
        <v>91</v>
      </c>
      <c r="E788" s="14">
        <v>117239.31</v>
      </c>
      <c r="F788" s="14">
        <v>122357.38</v>
      </c>
      <c r="G788" s="14">
        <v>122357.38</v>
      </c>
      <c r="H788" s="22">
        <f>F788*(1+Assumptions!$B$6+IF(D788="Yes",Assumptions!$C$6,0))</f>
        <v>126028.10140000001</v>
      </c>
      <c r="I788" s="22">
        <f>F788*(1+Assumptions!$B$7+IF(D788="Yes",Assumptions!$C$7,0))</f>
        <v>128475.24900000001</v>
      </c>
      <c r="J788" s="22">
        <f>F788*(1+Assumptions!$B$8+IF(D788="Yes",Assumptions!$C$8,0))</f>
        <v>123580.9538</v>
      </c>
    </row>
    <row r="789" spans="1:10" ht="15">
      <c r="A789" s="21">
        <v>40984</v>
      </c>
      <c r="B789" s="21">
        <v>40969</v>
      </c>
      <c r="C789" s="17">
        <v>36</v>
      </c>
      <c r="D789" s="17" t="s">
        <v>91</v>
      </c>
      <c r="E789" s="14">
        <v>81458.7</v>
      </c>
      <c r="F789" s="14">
        <v>87497.8</v>
      </c>
      <c r="G789" s="14">
        <v>87497.8</v>
      </c>
      <c r="H789" s="22">
        <f>F789*(1+Assumptions!$B$6+IF(D789="Yes",Assumptions!$C$6,0))</f>
        <v>90122.734000000011</v>
      </c>
      <c r="I789" s="22">
        <f>F789*(1+Assumptions!$B$7+IF(D789="Yes",Assumptions!$C$7,0))</f>
        <v>91872.69</v>
      </c>
      <c r="J789" s="22">
        <f>F789*(1+Assumptions!$B$8+IF(D789="Yes",Assumptions!$C$8,0))</f>
        <v>88372.778000000006</v>
      </c>
    </row>
    <row r="790" spans="1:10" ht="15">
      <c r="A790" s="21">
        <v>40984</v>
      </c>
      <c r="B790" s="21">
        <v>40969</v>
      </c>
      <c r="C790" s="17">
        <v>37</v>
      </c>
      <c r="D790" s="17" t="s">
        <v>91</v>
      </c>
      <c r="E790" s="14">
        <v>57572.57</v>
      </c>
      <c r="F790" s="14">
        <v>57109</v>
      </c>
      <c r="G790" s="14">
        <v>57109</v>
      </c>
      <c r="H790" s="22">
        <f>F790*(1+Assumptions!$B$6+IF(D790="Yes",Assumptions!$C$6,0))</f>
        <v>58822.270000000004</v>
      </c>
      <c r="I790" s="22">
        <f>F790*(1+Assumptions!$B$7+IF(D790="Yes",Assumptions!$C$7,0))</f>
        <v>59964.450000000004</v>
      </c>
      <c r="J790" s="22">
        <f>F790*(1+Assumptions!$B$8+IF(D790="Yes",Assumptions!$C$8,0))</f>
        <v>57680.090000000004</v>
      </c>
    </row>
    <row r="791" spans="1:10" ht="15">
      <c r="A791" s="21">
        <v>40984</v>
      </c>
      <c r="B791" s="21">
        <v>40969</v>
      </c>
      <c r="C791" s="17">
        <v>38</v>
      </c>
      <c r="D791" s="17" t="s">
        <v>91</v>
      </c>
      <c r="E791" s="14">
        <v>2880025.96</v>
      </c>
      <c r="F791" s="14">
        <v>2639910.41</v>
      </c>
      <c r="G791" s="14">
        <v>2639910.41</v>
      </c>
      <c r="H791" s="22">
        <f>F791*(1+Assumptions!$B$6+IF(D791="Yes",Assumptions!$C$6,0))</f>
        <v>2719107.7223</v>
      </c>
      <c r="I791" s="22">
        <f>F791*(1+Assumptions!$B$7+IF(D791="Yes",Assumptions!$C$7,0))</f>
        <v>2771905.9305000002</v>
      </c>
      <c r="J791" s="22">
        <f>F791*(1+Assumptions!$B$8+IF(D791="Yes",Assumptions!$C$8,0))</f>
        <v>2666309.5141000003</v>
      </c>
    </row>
    <row r="792" spans="1:10" ht="15">
      <c r="A792" s="21">
        <v>40984</v>
      </c>
      <c r="B792" s="21">
        <v>40969</v>
      </c>
      <c r="C792" s="17">
        <v>40</v>
      </c>
      <c r="D792" s="17" t="s">
        <v>91</v>
      </c>
      <c r="E792" s="14">
        <v>2140228.84</v>
      </c>
      <c r="F792" s="14">
        <v>2061069.16</v>
      </c>
      <c r="G792" s="14">
        <v>2061069.16</v>
      </c>
      <c r="H792" s="22">
        <f>F792*(1+Assumptions!$B$6+IF(D792="Yes",Assumptions!$C$6,0))</f>
        <v>2122901.2347999997</v>
      </c>
      <c r="I792" s="22">
        <f>F792*(1+Assumptions!$B$7+IF(D792="Yes",Assumptions!$C$7,0))</f>
        <v>2164122.6179999998</v>
      </c>
      <c r="J792" s="22">
        <f>F792*(1+Assumptions!$B$8+IF(D792="Yes",Assumptions!$C$8,0))</f>
        <v>2081679.8515999999</v>
      </c>
    </row>
    <row r="793" spans="1:10" ht="15">
      <c r="A793" s="21">
        <v>40984</v>
      </c>
      <c r="B793" s="21">
        <v>40969</v>
      </c>
      <c r="C793" s="17">
        <v>41</v>
      </c>
      <c r="D793" s="17" t="s">
        <v>91</v>
      </c>
      <c r="E793" s="14">
        <v>65866.559999999998</v>
      </c>
      <c r="F793" s="14">
        <v>59127.659999999996</v>
      </c>
      <c r="G793" s="14">
        <v>59127.659999999996</v>
      </c>
      <c r="H793" s="22">
        <f>F793*(1+Assumptions!$B$6+IF(D793="Yes",Assumptions!$C$6,0))</f>
        <v>60901.489799999996</v>
      </c>
      <c r="I793" s="22">
        <f>F793*(1+Assumptions!$B$7+IF(D793="Yes",Assumptions!$C$7,0))</f>
        <v>62084.042999999998</v>
      </c>
      <c r="J793" s="22">
        <f>F793*(1+Assumptions!$B$8+IF(D793="Yes",Assumptions!$C$8,0))</f>
        <v>59718.936599999994</v>
      </c>
    </row>
    <row r="794" spans="1:10" ht="15">
      <c r="A794" s="21">
        <v>40984</v>
      </c>
      <c r="B794" s="21">
        <v>40969</v>
      </c>
      <c r="C794" s="17">
        <v>42</v>
      </c>
      <c r="D794" s="17" t="s">
        <v>91</v>
      </c>
      <c r="E794" s="14">
        <v>262981.34999999998</v>
      </c>
      <c r="F794" s="14">
        <v>238486.78</v>
      </c>
      <c r="G794" s="14">
        <v>238486.78</v>
      </c>
      <c r="H794" s="22">
        <f>F794*(1+Assumptions!$B$6+IF(D794="Yes",Assumptions!$C$6,0))</f>
        <v>245641.38339999999</v>
      </c>
      <c r="I794" s="22">
        <f>F794*(1+Assumptions!$B$7+IF(D794="Yes",Assumptions!$C$7,0))</f>
        <v>250411.11900000001</v>
      </c>
      <c r="J794" s="22">
        <f>F794*(1+Assumptions!$B$8+IF(D794="Yes",Assumptions!$C$8,0))</f>
        <v>240871.64780000001</v>
      </c>
    </row>
    <row r="795" spans="1:10" ht="15">
      <c r="A795" s="21">
        <v>40984</v>
      </c>
      <c r="B795" s="21">
        <v>40969</v>
      </c>
      <c r="C795" s="17">
        <v>44</v>
      </c>
      <c r="D795" s="17" t="s">
        <v>91</v>
      </c>
      <c r="E795" s="14">
        <v>162580.86000000002</v>
      </c>
      <c r="F795" s="14">
        <v>157625.75</v>
      </c>
      <c r="G795" s="14">
        <v>157625.75</v>
      </c>
      <c r="H795" s="22">
        <f>F795*(1+Assumptions!$B$6+IF(D795="Yes",Assumptions!$C$6,0))</f>
        <v>162354.52249999999</v>
      </c>
      <c r="I795" s="22">
        <f>F795*(1+Assumptions!$B$7+IF(D795="Yes",Assumptions!$C$7,0))</f>
        <v>165507.03750000001</v>
      </c>
      <c r="J795" s="22">
        <f>F795*(1+Assumptions!$B$8+IF(D795="Yes",Assumptions!$C$8,0))</f>
        <v>159202.00750000001</v>
      </c>
    </row>
    <row r="796" spans="1:10" ht="15">
      <c r="A796" s="21">
        <v>40984</v>
      </c>
      <c r="B796" s="21">
        <v>40969</v>
      </c>
      <c r="C796" s="17">
        <v>45</v>
      </c>
      <c r="D796" s="17" t="s">
        <v>91</v>
      </c>
      <c r="E796" s="14">
        <v>253.92000000000002</v>
      </c>
      <c r="F796" s="14">
        <v>133.49</v>
      </c>
      <c r="G796" s="14">
        <v>133.49</v>
      </c>
      <c r="H796" s="22">
        <f>F796*(1+Assumptions!$B$6+IF(D796="Yes",Assumptions!$C$6,0))</f>
        <v>137.49470000000002</v>
      </c>
      <c r="I796" s="22">
        <f>F796*(1+Assumptions!$B$7+IF(D796="Yes",Assumptions!$C$7,0))</f>
        <v>140.1645</v>
      </c>
      <c r="J796" s="22">
        <f>F796*(1+Assumptions!$B$8+IF(D796="Yes",Assumptions!$C$8,0))</f>
        <v>134.82490000000001</v>
      </c>
    </row>
    <row r="797" spans="1:10" ht="15">
      <c r="A797" s="21">
        <v>40984</v>
      </c>
      <c r="B797" s="21">
        <v>40969</v>
      </c>
      <c r="C797" s="17">
        <v>46</v>
      </c>
      <c r="D797" s="17" t="s">
        <v>91</v>
      </c>
      <c r="E797" s="14">
        <v>919070.47</v>
      </c>
      <c r="F797" s="14">
        <v>892106.61</v>
      </c>
      <c r="G797" s="14">
        <v>892106.61</v>
      </c>
      <c r="H797" s="22">
        <f>F797*(1+Assumptions!$B$6+IF(D797="Yes",Assumptions!$C$6,0))</f>
        <v>918869.80830000003</v>
      </c>
      <c r="I797" s="22">
        <f>F797*(1+Assumptions!$B$7+IF(D797="Yes",Assumptions!$C$7,0))</f>
        <v>936711.94050000003</v>
      </c>
      <c r="J797" s="22">
        <f>F797*(1+Assumptions!$B$8+IF(D797="Yes",Assumptions!$C$8,0))</f>
        <v>901027.67610000004</v>
      </c>
    </row>
    <row r="798" spans="1:10" ht="15">
      <c r="A798" s="21">
        <v>40984</v>
      </c>
      <c r="B798" s="21">
        <v>40969</v>
      </c>
      <c r="C798" s="17">
        <v>47</v>
      </c>
      <c r="D798" s="17" t="s">
        <v>91</v>
      </c>
      <c r="E798" s="14">
        <v>548</v>
      </c>
      <c r="F798" s="14">
        <v>-189</v>
      </c>
      <c r="G798" s="14">
        <v>-189</v>
      </c>
      <c r="H798" s="22">
        <f>F798*(1+Assumptions!$B$6+IF(D798="Yes",Assumptions!$C$6,0))</f>
        <v>-194.67000000000002</v>
      </c>
      <c r="I798" s="22">
        <f>F798*(1+Assumptions!$B$7+IF(D798="Yes",Assumptions!$C$7,0))</f>
        <v>-198.45000000000002</v>
      </c>
      <c r="J798" s="22">
        <f>F798*(1+Assumptions!$B$8+IF(D798="Yes",Assumptions!$C$8,0))</f>
        <v>-190.89000000000001</v>
      </c>
    </row>
    <row r="799" spans="1:10" ht="15">
      <c r="A799" s="21">
        <v>40984</v>
      </c>
      <c r="B799" s="21">
        <v>40969</v>
      </c>
      <c r="C799" s="17">
        <v>48</v>
      </c>
      <c r="D799" s="17" t="s">
        <v>91</v>
      </c>
      <c r="E799" s="14">
        <v>19395.3</v>
      </c>
      <c r="F799" s="14">
        <v>10920.1</v>
      </c>
      <c r="G799" s="14">
        <v>10920.1</v>
      </c>
      <c r="H799" s="22">
        <f>F799*(1+Assumptions!$B$6+IF(D799="Yes",Assumptions!$C$6,0))</f>
        <v>11247.703000000001</v>
      </c>
      <c r="I799" s="22">
        <f>F799*(1+Assumptions!$B$7+IF(D799="Yes",Assumptions!$C$7,0))</f>
        <v>11466.105000000001</v>
      </c>
      <c r="J799" s="22">
        <f>F799*(1+Assumptions!$B$8+IF(D799="Yes",Assumptions!$C$8,0))</f>
        <v>11029.301000000001</v>
      </c>
    </row>
    <row r="800" spans="1:10" ht="15">
      <c r="A800" s="21">
        <v>40984</v>
      </c>
      <c r="B800" s="21">
        <v>40969</v>
      </c>
      <c r="C800" s="17">
        <v>49</v>
      </c>
      <c r="D800" s="17" t="s">
        <v>91</v>
      </c>
      <c r="E800" s="14">
        <v>303362.7</v>
      </c>
      <c r="F800" s="14">
        <v>306576.64000000001</v>
      </c>
      <c r="G800" s="14">
        <v>306576.64000000001</v>
      </c>
      <c r="H800" s="22">
        <f>F800*(1+Assumptions!$B$6+IF(D800="Yes",Assumptions!$C$6,0))</f>
        <v>315773.93920000002</v>
      </c>
      <c r="I800" s="22">
        <f>F800*(1+Assumptions!$B$7+IF(D800="Yes",Assumptions!$C$7,0))</f>
        <v>321905.47200000001</v>
      </c>
      <c r="J800" s="22">
        <f>F800*(1+Assumptions!$B$8+IF(D800="Yes",Assumptions!$C$8,0))</f>
        <v>309642.40640000004</v>
      </c>
    </row>
    <row r="801" spans="1:10" ht="15">
      <c r="A801" s="21">
        <v>40984</v>
      </c>
      <c r="B801" s="21">
        <v>40969</v>
      </c>
      <c r="C801" s="17">
        <v>50</v>
      </c>
      <c r="D801" s="17" t="s">
        <v>91</v>
      </c>
      <c r="E801" s="14">
        <v>29946.2</v>
      </c>
      <c r="F801" s="14">
        <v>32418.080000000002</v>
      </c>
      <c r="G801" s="14">
        <v>32418.080000000002</v>
      </c>
      <c r="H801" s="22">
        <f>F801*(1+Assumptions!$B$6+IF(D801="Yes",Assumptions!$C$6,0))</f>
        <v>33390.6224</v>
      </c>
      <c r="I801" s="22">
        <f>F801*(1+Assumptions!$B$7+IF(D801="Yes",Assumptions!$C$7,0))</f>
        <v>34038.984000000004</v>
      </c>
      <c r="J801" s="22">
        <f>F801*(1+Assumptions!$B$8+IF(D801="Yes",Assumptions!$C$8,0))</f>
        <v>32742.260800000004</v>
      </c>
    </row>
    <row r="802" spans="1:10" ht="15">
      <c r="A802" s="21">
        <v>40984</v>
      </c>
      <c r="B802" s="21">
        <v>40969</v>
      </c>
      <c r="C802" s="17">
        <v>51</v>
      </c>
      <c r="D802" s="17" t="s">
        <v>91</v>
      </c>
      <c r="E802" s="14">
        <v>0.96</v>
      </c>
      <c r="F802" s="14">
        <v>3.78</v>
      </c>
      <c r="G802" s="14">
        <v>3.78</v>
      </c>
      <c r="H802" s="22">
        <f>F802*(1+Assumptions!$B$6+IF(D802="Yes",Assumptions!$C$6,0))</f>
        <v>3.8933999999999997</v>
      </c>
      <c r="I802" s="22">
        <f>F802*(1+Assumptions!$B$7+IF(D802="Yes",Assumptions!$C$7,0))</f>
        <v>3.9689999999999999</v>
      </c>
      <c r="J802" s="22">
        <f>F802*(1+Assumptions!$B$8+IF(D802="Yes",Assumptions!$C$8,0))</f>
        <v>3.8177999999999996</v>
      </c>
    </row>
    <row r="803" spans="1:10" ht="15">
      <c r="A803" s="21">
        <v>40984</v>
      </c>
      <c r="B803" s="21">
        <v>40969</v>
      </c>
      <c r="C803" s="17">
        <v>52</v>
      </c>
      <c r="D803" s="17" t="s">
        <v>91</v>
      </c>
      <c r="E803" s="14">
        <v>83618.11</v>
      </c>
      <c r="F803" s="14">
        <v>86491.92</v>
      </c>
      <c r="G803" s="14">
        <v>86491.92</v>
      </c>
      <c r="H803" s="22">
        <f>F803*(1+Assumptions!$B$6+IF(D803="Yes",Assumptions!$C$6,0))</f>
        <v>89086.677599999995</v>
      </c>
      <c r="I803" s="22">
        <f>F803*(1+Assumptions!$B$7+IF(D803="Yes",Assumptions!$C$7,0))</f>
        <v>90816.516000000003</v>
      </c>
      <c r="J803" s="22">
        <f>F803*(1+Assumptions!$B$8+IF(D803="Yes",Assumptions!$C$8,0))</f>
        <v>87356.839200000002</v>
      </c>
    </row>
    <row r="804" spans="1:10" ht="15">
      <c r="A804" s="21">
        <v>40984</v>
      </c>
      <c r="B804" s="21">
        <v>40969</v>
      </c>
      <c r="C804" s="17">
        <v>54</v>
      </c>
      <c r="D804" s="17" t="s">
        <v>91</v>
      </c>
      <c r="E804" s="14">
        <v>1276.8800000000001</v>
      </c>
      <c r="F804" s="14">
        <v>1990.67</v>
      </c>
      <c r="G804" s="14">
        <v>1990.67</v>
      </c>
      <c r="H804" s="22">
        <f>F804*(1+Assumptions!$B$6+IF(D804="Yes",Assumptions!$C$6,0))</f>
        <v>2050.3901000000001</v>
      </c>
      <c r="I804" s="22">
        <f>F804*(1+Assumptions!$B$7+IF(D804="Yes",Assumptions!$C$7,0))</f>
        <v>2090.2035000000001</v>
      </c>
      <c r="J804" s="22">
        <f>F804*(1+Assumptions!$B$8+IF(D804="Yes",Assumptions!$C$8,0))</f>
        <v>2010.5767000000001</v>
      </c>
    </row>
    <row r="805" spans="1:10" ht="15">
      <c r="A805" s="21">
        <v>40984</v>
      </c>
      <c r="B805" s="21">
        <v>40969</v>
      </c>
      <c r="C805" s="17">
        <v>55</v>
      </c>
      <c r="D805" s="17" t="s">
        <v>91</v>
      </c>
      <c r="E805" s="14">
        <v>351620.06</v>
      </c>
      <c r="F805" s="14">
        <v>430708.98</v>
      </c>
      <c r="G805" s="14">
        <v>430708.98</v>
      </c>
      <c r="H805" s="22">
        <f>F805*(1+Assumptions!$B$6+IF(D805="Yes",Assumptions!$C$6,0))</f>
        <v>443630.24939999997</v>
      </c>
      <c r="I805" s="22">
        <f>F805*(1+Assumptions!$B$7+IF(D805="Yes",Assumptions!$C$7,0))</f>
        <v>452244.429</v>
      </c>
      <c r="J805" s="22">
        <f>F805*(1+Assumptions!$B$8+IF(D805="Yes",Assumptions!$C$8,0))</f>
        <v>435016.0698</v>
      </c>
    </row>
    <row r="806" spans="1:10" ht="15">
      <c r="A806" s="21">
        <v>40984</v>
      </c>
      <c r="B806" s="21">
        <v>40969</v>
      </c>
      <c r="C806" s="17">
        <v>56</v>
      </c>
      <c r="D806" s="17" t="s">
        <v>91</v>
      </c>
      <c r="E806" s="14">
        <v>198758.55</v>
      </c>
      <c r="F806" s="14">
        <v>212674.69</v>
      </c>
      <c r="G806" s="14">
        <v>212674.69</v>
      </c>
      <c r="H806" s="22">
        <f>F806*(1+Assumptions!$B$6+IF(D806="Yes",Assumptions!$C$6,0))</f>
        <v>219054.9307</v>
      </c>
      <c r="I806" s="22">
        <f>F806*(1+Assumptions!$B$7+IF(D806="Yes",Assumptions!$C$7,0))</f>
        <v>223308.42450000002</v>
      </c>
      <c r="J806" s="22">
        <f>F806*(1+Assumptions!$B$8+IF(D806="Yes",Assumptions!$C$8,0))</f>
        <v>214801.4369</v>
      </c>
    </row>
    <row r="807" spans="1:10" ht="15">
      <c r="A807" s="21">
        <v>40984</v>
      </c>
      <c r="B807" s="21">
        <v>40969</v>
      </c>
      <c r="C807" s="17">
        <v>58</v>
      </c>
      <c r="D807" s="17" t="s">
        <v>91</v>
      </c>
      <c r="E807" s="14">
        <v>95974</v>
      </c>
      <c r="F807" s="14">
        <v>93794</v>
      </c>
      <c r="G807" s="14">
        <v>93794</v>
      </c>
      <c r="H807" s="22">
        <f>F807*(1+Assumptions!$B$6+IF(D807="Yes",Assumptions!$C$6,0))</f>
        <v>96607.82</v>
      </c>
      <c r="I807" s="22">
        <f>F807*(1+Assumptions!$B$7+IF(D807="Yes",Assumptions!$C$7,0))</f>
        <v>98483.7</v>
      </c>
      <c r="J807" s="22">
        <f>F807*(1+Assumptions!$B$8+IF(D807="Yes",Assumptions!$C$8,0))</f>
        <v>94731.94</v>
      </c>
    </row>
    <row r="808" spans="1:10" ht="15">
      <c r="A808" s="21">
        <v>40984</v>
      </c>
      <c r="B808" s="21">
        <v>40969</v>
      </c>
      <c r="C808" s="17">
        <v>59</v>
      </c>
      <c r="D808" s="17" t="s">
        <v>91</v>
      </c>
      <c r="E808" s="14">
        <v>10386.19</v>
      </c>
      <c r="F808" s="14">
        <v>16299.31</v>
      </c>
      <c r="G808" s="14">
        <v>16299.31</v>
      </c>
      <c r="H808" s="22">
        <f>F808*(1+Assumptions!$B$6+IF(D808="Yes",Assumptions!$C$6,0))</f>
        <v>16788.2893</v>
      </c>
      <c r="I808" s="22">
        <f>F808*(1+Assumptions!$B$7+IF(D808="Yes",Assumptions!$C$7,0))</f>
        <v>17114.2755</v>
      </c>
      <c r="J808" s="22">
        <f>F808*(1+Assumptions!$B$8+IF(D808="Yes",Assumptions!$C$8,0))</f>
        <v>16462.303100000001</v>
      </c>
    </row>
    <row r="809" spans="1:10" ht="15">
      <c r="A809" s="21">
        <v>40984</v>
      </c>
      <c r="B809" s="21">
        <v>40969</v>
      </c>
      <c r="C809" s="17">
        <v>60</v>
      </c>
      <c r="D809" s="17" t="s">
        <v>91</v>
      </c>
      <c r="E809" s="14">
        <v>12510</v>
      </c>
      <c r="F809" s="14">
        <v>12328.2</v>
      </c>
      <c r="G809" s="14">
        <v>12328.2</v>
      </c>
      <c r="H809" s="22">
        <f>F809*(1+Assumptions!$B$6+IF(D809="Yes",Assumptions!$C$6,0))</f>
        <v>12698.046</v>
      </c>
      <c r="I809" s="22">
        <f>F809*(1+Assumptions!$B$7+IF(D809="Yes",Assumptions!$C$7,0))</f>
        <v>12944.61</v>
      </c>
      <c r="J809" s="22">
        <f>F809*(1+Assumptions!$B$8+IF(D809="Yes",Assumptions!$C$8,0))</f>
        <v>12451.482</v>
      </c>
    </row>
    <row r="810" spans="1:10" ht="15">
      <c r="A810" s="21">
        <v>40984</v>
      </c>
      <c r="B810" s="21">
        <v>40969</v>
      </c>
      <c r="C810" s="17">
        <v>65</v>
      </c>
      <c r="D810" s="17" t="s">
        <v>91</v>
      </c>
      <c r="E810" s="14">
        <v>52276.9</v>
      </c>
      <c r="F810" s="14">
        <v>49440.82</v>
      </c>
      <c r="G810" s="14">
        <v>49440.82</v>
      </c>
      <c r="H810" s="22">
        <f>F810*(1+Assumptions!$B$6+IF(D810="Yes",Assumptions!$C$6,0))</f>
        <v>50924.044600000001</v>
      </c>
      <c r="I810" s="22">
        <f>F810*(1+Assumptions!$B$7+IF(D810="Yes",Assumptions!$C$7,0))</f>
        <v>51912.861000000004</v>
      </c>
      <c r="J810" s="22">
        <f>F810*(1+Assumptions!$B$8+IF(D810="Yes",Assumptions!$C$8,0))</f>
        <v>49935.228199999998</v>
      </c>
    </row>
    <row r="811" spans="1:10" ht="15">
      <c r="A811" s="21">
        <v>40984</v>
      </c>
      <c r="B811" s="21">
        <v>40969</v>
      </c>
      <c r="C811" s="17">
        <v>67</v>
      </c>
      <c r="D811" s="17" t="s">
        <v>91</v>
      </c>
      <c r="E811" s="14">
        <v>272115.07</v>
      </c>
      <c r="F811" s="14">
        <v>261695.28</v>
      </c>
      <c r="G811" s="14">
        <v>261695.28</v>
      </c>
      <c r="H811" s="22">
        <f>F811*(1+Assumptions!$B$6+IF(D811="Yes",Assumptions!$C$6,0))</f>
        <v>269546.1384</v>
      </c>
      <c r="I811" s="22">
        <f>F811*(1+Assumptions!$B$7+IF(D811="Yes",Assumptions!$C$7,0))</f>
        <v>274780.04399999999</v>
      </c>
      <c r="J811" s="22">
        <f>F811*(1+Assumptions!$B$8+IF(D811="Yes",Assumptions!$C$8,0))</f>
        <v>264312.2328</v>
      </c>
    </row>
    <row r="812" spans="1:10" ht="15">
      <c r="A812" s="21">
        <v>40984</v>
      </c>
      <c r="B812" s="21">
        <v>40969</v>
      </c>
      <c r="C812" s="17">
        <v>71</v>
      </c>
      <c r="D812" s="17" t="s">
        <v>91</v>
      </c>
      <c r="E812" s="14">
        <v>228675.83000000002</v>
      </c>
      <c r="F812" s="14">
        <v>212676.68</v>
      </c>
      <c r="G812" s="14">
        <v>212676.68</v>
      </c>
      <c r="H812" s="22">
        <f>F812*(1+Assumptions!$B$6+IF(D812="Yes",Assumptions!$C$6,0))</f>
        <v>219056.9804</v>
      </c>
      <c r="I812" s="22">
        <f>F812*(1+Assumptions!$B$7+IF(D812="Yes",Assumptions!$C$7,0))</f>
        <v>223310.514</v>
      </c>
      <c r="J812" s="22">
        <f>F812*(1+Assumptions!$B$8+IF(D812="Yes",Assumptions!$C$8,0))</f>
        <v>214803.44680000001</v>
      </c>
    </row>
    <row r="813" spans="1:10" ht="15">
      <c r="A813" s="21">
        <v>40984</v>
      </c>
      <c r="B813" s="21">
        <v>40969</v>
      </c>
      <c r="C813" s="17">
        <v>72</v>
      </c>
      <c r="D813" s="17" t="s">
        <v>91</v>
      </c>
      <c r="E813" s="14">
        <v>2059623.05</v>
      </c>
      <c r="F813" s="14">
        <v>1984065.77</v>
      </c>
      <c r="G813" s="14">
        <v>1984065.77</v>
      </c>
      <c r="H813" s="22">
        <f>F813*(1+Assumptions!$B$6+IF(D813="Yes",Assumptions!$C$6,0))</f>
        <v>2043587.7431000001</v>
      </c>
      <c r="I813" s="22">
        <f>F813*(1+Assumptions!$B$7+IF(D813="Yes",Assumptions!$C$7,0))</f>
        <v>2083269.0585</v>
      </c>
      <c r="J813" s="22">
        <f>F813*(1+Assumptions!$B$8+IF(D813="Yes",Assumptions!$C$8,0))</f>
        <v>2003906.4277000001</v>
      </c>
    </row>
    <row r="814" spans="1:10" ht="15">
      <c r="A814" s="21">
        <v>40984</v>
      </c>
      <c r="B814" s="21">
        <v>40969</v>
      </c>
      <c r="C814" s="17">
        <v>74</v>
      </c>
      <c r="D814" s="17" t="s">
        <v>91</v>
      </c>
      <c r="E814" s="14">
        <v>609787.51</v>
      </c>
      <c r="F814" s="14">
        <v>611521.17000000004</v>
      </c>
      <c r="G814" s="14">
        <v>611521.17000000004</v>
      </c>
      <c r="H814" s="22">
        <f>F814*(1+Assumptions!$B$6+IF(D814="Yes",Assumptions!$C$6,0))</f>
        <v>629866.80510000011</v>
      </c>
      <c r="I814" s="22">
        <f>F814*(1+Assumptions!$B$7+IF(D814="Yes",Assumptions!$C$7,0))</f>
        <v>642097.22850000008</v>
      </c>
      <c r="J814" s="22">
        <f>F814*(1+Assumptions!$B$8+IF(D814="Yes",Assumptions!$C$8,0))</f>
        <v>617636.38170000003</v>
      </c>
    </row>
    <row r="815" spans="1:10" ht="15">
      <c r="A815" s="21">
        <v>40984</v>
      </c>
      <c r="B815" s="21">
        <v>40969</v>
      </c>
      <c r="C815" s="17">
        <v>79</v>
      </c>
      <c r="D815" s="17" t="s">
        <v>91</v>
      </c>
      <c r="E815" s="14">
        <v>1001571.09</v>
      </c>
      <c r="F815" s="14">
        <v>998923.16</v>
      </c>
      <c r="G815" s="14">
        <v>998923.16</v>
      </c>
      <c r="H815" s="22">
        <f>F815*(1+Assumptions!$B$6+IF(D815="Yes",Assumptions!$C$6,0))</f>
        <v>1028890.8548000001</v>
      </c>
      <c r="I815" s="22">
        <f>F815*(1+Assumptions!$B$7+IF(D815="Yes",Assumptions!$C$7,0))</f>
        <v>1048869.318</v>
      </c>
      <c r="J815" s="22">
        <f>F815*(1+Assumptions!$B$8+IF(D815="Yes",Assumptions!$C$8,0))</f>
        <v>1008912.3916000001</v>
      </c>
    </row>
    <row r="816" spans="1:10" ht="15">
      <c r="A816" s="21">
        <v>40984</v>
      </c>
      <c r="B816" s="21">
        <v>40969</v>
      </c>
      <c r="C816" s="17">
        <v>80</v>
      </c>
      <c r="D816" s="17" t="s">
        <v>91</v>
      </c>
      <c r="E816" s="14">
        <v>497990.37</v>
      </c>
      <c r="F816" s="14">
        <v>482804.67</v>
      </c>
      <c r="G816" s="14">
        <v>482804.67</v>
      </c>
      <c r="H816" s="22">
        <f>F816*(1+Assumptions!$B$6+IF(D816="Yes",Assumptions!$C$6,0))</f>
        <v>497288.8101</v>
      </c>
      <c r="I816" s="22">
        <f>F816*(1+Assumptions!$B$7+IF(D816="Yes",Assumptions!$C$7,0))</f>
        <v>506944.90350000001</v>
      </c>
      <c r="J816" s="22">
        <f>F816*(1+Assumptions!$B$8+IF(D816="Yes",Assumptions!$C$8,0))</f>
        <v>487632.71669999999</v>
      </c>
    </row>
    <row r="817" spans="1:10" ht="15">
      <c r="A817" s="21">
        <v>40984</v>
      </c>
      <c r="B817" s="21">
        <v>40969</v>
      </c>
      <c r="C817" s="17">
        <v>81</v>
      </c>
      <c r="D817" s="17" t="s">
        <v>91</v>
      </c>
      <c r="E817" s="14">
        <v>712676.24</v>
      </c>
      <c r="F817" s="14">
        <v>692122.72</v>
      </c>
      <c r="G817" s="14">
        <v>692122.72</v>
      </c>
      <c r="H817" s="22">
        <f>F817*(1+Assumptions!$B$6+IF(D817="Yes",Assumptions!$C$6,0))</f>
        <v>712886.40159999998</v>
      </c>
      <c r="I817" s="22">
        <f>F817*(1+Assumptions!$B$7+IF(D817="Yes",Assumptions!$C$7,0))</f>
        <v>726728.85600000003</v>
      </c>
      <c r="J817" s="22">
        <f>F817*(1+Assumptions!$B$8+IF(D817="Yes",Assumptions!$C$8,0))</f>
        <v>699043.94719999994</v>
      </c>
    </row>
    <row r="818" spans="1:10" ht="15">
      <c r="A818" s="21">
        <v>40984</v>
      </c>
      <c r="B818" s="21">
        <v>40969</v>
      </c>
      <c r="C818" s="17">
        <v>82</v>
      </c>
      <c r="D818" s="17" t="s">
        <v>91</v>
      </c>
      <c r="E818" s="14">
        <v>704316.98</v>
      </c>
      <c r="F818" s="14">
        <v>630041.63</v>
      </c>
      <c r="G818" s="14">
        <v>630041.63</v>
      </c>
      <c r="H818" s="22">
        <f>F818*(1+Assumptions!$B$6+IF(D818="Yes",Assumptions!$C$6,0))</f>
        <v>648942.87890000001</v>
      </c>
      <c r="I818" s="22">
        <f>F818*(1+Assumptions!$B$7+IF(D818="Yes",Assumptions!$C$7,0))</f>
        <v>661543.71149999998</v>
      </c>
      <c r="J818" s="22">
        <f>F818*(1+Assumptions!$B$8+IF(D818="Yes",Assumptions!$C$8,0))</f>
        <v>636342.04630000005</v>
      </c>
    </row>
    <row r="819" spans="1:10" ht="15">
      <c r="A819" s="21">
        <v>40984</v>
      </c>
      <c r="B819" s="21">
        <v>40969</v>
      </c>
      <c r="C819" s="17">
        <v>83</v>
      </c>
      <c r="D819" s="17" t="s">
        <v>91</v>
      </c>
      <c r="E819" s="14">
        <v>157731.29999999999</v>
      </c>
      <c r="F819" s="14">
        <v>164274.92000000001</v>
      </c>
      <c r="G819" s="14">
        <v>164274.92000000001</v>
      </c>
      <c r="H819" s="22">
        <f>F819*(1+Assumptions!$B$6+IF(D819="Yes",Assumptions!$C$6,0))</f>
        <v>169203.16760000002</v>
      </c>
      <c r="I819" s="22">
        <f>F819*(1+Assumptions!$B$7+IF(D819="Yes",Assumptions!$C$7,0))</f>
        <v>172488.66600000003</v>
      </c>
      <c r="J819" s="22">
        <f>F819*(1+Assumptions!$B$8+IF(D819="Yes",Assumptions!$C$8,0))</f>
        <v>165917.6692</v>
      </c>
    </row>
    <row r="820" spans="1:10" ht="15">
      <c r="A820" s="21">
        <v>40984</v>
      </c>
      <c r="B820" s="21">
        <v>40969</v>
      </c>
      <c r="C820" s="17">
        <v>85</v>
      </c>
      <c r="D820" s="17" t="s">
        <v>91</v>
      </c>
      <c r="E820" s="14">
        <v>66174.86</v>
      </c>
      <c r="F820" s="14">
        <v>76025.240000000005</v>
      </c>
      <c r="G820" s="14">
        <v>76025.240000000005</v>
      </c>
      <c r="H820" s="22">
        <f>F820*(1+Assumptions!$B$6+IF(D820="Yes",Assumptions!$C$6,0))</f>
        <v>78305.997200000013</v>
      </c>
      <c r="I820" s="22">
        <f>F820*(1+Assumptions!$B$7+IF(D820="Yes",Assumptions!$C$7,0))</f>
        <v>79826.502000000008</v>
      </c>
      <c r="J820" s="22">
        <f>F820*(1+Assumptions!$B$8+IF(D820="Yes",Assumptions!$C$8,0))</f>
        <v>76785.492400000003</v>
      </c>
    </row>
    <row r="821" spans="1:10" ht="15">
      <c r="A821" s="21">
        <v>40984</v>
      </c>
      <c r="B821" s="21">
        <v>40969</v>
      </c>
      <c r="C821" s="17">
        <v>87</v>
      </c>
      <c r="D821" s="17" t="s">
        <v>91</v>
      </c>
      <c r="E821" s="14">
        <v>610741.01</v>
      </c>
      <c r="F821" s="14">
        <v>550509.68999999994</v>
      </c>
      <c r="G821" s="14">
        <v>550509.68999999994</v>
      </c>
      <c r="H821" s="22">
        <f>F821*(1+Assumptions!$B$6+IF(D821="Yes",Assumptions!$C$6,0))</f>
        <v>567024.98069999996</v>
      </c>
      <c r="I821" s="22">
        <f>F821*(1+Assumptions!$B$7+IF(D821="Yes",Assumptions!$C$7,0))</f>
        <v>578035.17449999996</v>
      </c>
      <c r="J821" s="22">
        <f>F821*(1+Assumptions!$B$8+IF(D821="Yes",Assumptions!$C$8,0))</f>
        <v>556014.78689999995</v>
      </c>
    </row>
    <row r="822" spans="1:10" ht="15">
      <c r="A822" s="21">
        <v>40984</v>
      </c>
      <c r="B822" s="21">
        <v>40969</v>
      </c>
      <c r="C822" s="17">
        <v>90</v>
      </c>
      <c r="D822" s="17" t="s">
        <v>91</v>
      </c>
      <c r="E822" s="14">
        <v>2132665.96</v>
      </c>
      <c r="F822" s="14">
        <v>1993984.41</v>
      </c>
      <c r="G822" s="14">
        <v>1993984.41</v>
      </c>
      <c r="H822" s="22">
        <f>F822*(1+Assumptions!$B$6+IF(D822="Yes",Assumptions!$C$6,0))</f>
        <v>2053803.9423</v>
      </c>
      <c r="I822" s="22">
        <f>F822*(1+Assumptions!$B$7+IF(D822="Yes",Assumptions!$C$7,0))</f>
        <v>2093683.6305</v>
      </c>
      <c r="J822" s="22">
        <f>F822*(1+Assumptions!$B$8+IF(D822="Yes",Assumptions!$C$8,0))</f>
        <v>2013924.2541</v>
      </c>
    </row>
    <row r="823" spans="1:10" ht="15">
      <c r="A823" s="21">
        <v>40984</v>
      </c>
      <c r="B823" s="21">
        <v>40969</v>
      </c>
      <c r="C823" s="17">
        <v>91</v>
      </c>
      <c r="D823" s="17" t="s">
        <v>91</v>
      </c>
      <c r="E823" s="14">
        <v>1582847.83</v>
      </c>
      <c r="F823" s="14">
        <v>1543271.6300000001</v>
      </c>
      <c r="G823" s="14">
        <v>1543271.6300000001</v>
      </c>
      <c r="H823" s="22">
        <f>F823*(1+Assumptions!$B$6+IF(D823="Yes",Assumptions!$C$6,0))</f>
        <v>1589569.7789000003</v>
      </c>
      <c r="I823" s="22">
        <f>F823*(1+Assumptions!$B$7+IF(D823="Yes",Assumptions!$C$7,0))</f>
        <v>1620435.2115000002</v>
      </c>
      <c r="J823" s="22">
        <f>F823*(1+Assumptions!$B$8+IF(D823="Yes",Assumptions!$C$8,0))</f>
        <v>1558704.3463000001</v>
      </c>
    </row>
    <row r="824" spans="1:10" ht="15">
      <c r="A824" s="21">
        <v>40984</v>
      </c>
      <c r="B824" s="21">
        <v>40969</v>
      </c>
      <c r="C824" s="17">
        <v>92</v>
      </c>
      <c r="D824" s="17" t="s">
        <v>91</v>
      </c>
      <c r="E824" s="14">
        <v>3562833.73</v>
      </c>
      <c r="F824" s="14">
        <v>3248935.33</v>
      </c>
      <c r="G824" s="14">
        <v>3248935.33</v>
      </c>
      <c r="H824" s="22">
        <f>F824*(1+Assumptions!$B$6+IF(D824="Yes",Assumptions!$C$6,0))</f>
        <v>3346403.3899000003</v>
      </c>
      <c r="I824" s="22">
        <f>F824*(1+Assumptions!$B$7+IF(D824="Yes",Assumptions!$C$7,0))</f>
        <v>3411382.0965000005</v>
      </c>
      <c r="J824" s="22">
        <f>F824*(1+Assumptions!$B$8+IF(D824="Yes",Assumptions!$C$8,0))</f>
        <v>3281424.6833000001</v>
      </c>
    </row>
    <row r="825" spans="1:10" ht="15">
      <c r="A825" s="21">
        <v>40984</v>
      </c>
      <c r="B825" s="21">
        <v>40969</v>
      </c>
      <c r="C825" s="17">
        <v>93</v>
      </c>
      <c r="D825" s="17" t="s">
        <v>91</v>
      </c>
      <c r="E825" s="14">
        <v>1134034.83</v>
      </c>
      <c r="F825" s="14">
        <v>1081844.82</v>
      </c>
      <c r="G825" s="14">
        <v>1081844.82</v>
      </c>
      <c r="H825" s="22">
        <f>F825*(1+Assumptions!$B$6+IF(D825="Yes",Assumptions!$C$6,0))</f>
        <v>1114300.1646</v>
      </c>
      <c r="I825" s="22">
        <f>F825*(1+Assumptions!$B$7+IF(D825="Yes",Assumptions!$C$7,0))</f>
        <v>1135937.0610000002</v>
      </c>
      <c r="J825" s="22">
        <f>F825*(1+Assumptions!$B$8+IF(D825="Yes",Assumptions!$C$8,0))</f>
        <v>1092663.2682</v>
      </c>
    </row>
    <row r="826" spans="1:10" ht="15">
      <c r="A826" s="21">
        <v>40984</v>
      </c>
      <c r="B826" s="21">
        <v>40969</v>
      </c>
      <c r="C826" s="17">
        <v>94</v>
      </c>
      <c r="D826" s="17" t="s">
        <v>91</v>
      </c>
      <c r="E826" s="14">
        <v>1293522.73</v>
      </c>
      <c r="F826" s="14">
        <v>1345821.94</v>
      </c>
      <c r="G826" s="14">
        <v>1345821.94</v>
      </c>
      <c r="H826" s="22">
        <f>F826*(1+Assumptions!$B$6+IF(D826="Yes",Assumptions!$C$6,0))</f>
        <v>1386196.5981999999</v>
      </c>
      <c r="I826" s="22">
        <f>F826*(1+Assumptions!$B$7+IF(D826="Yes",Assumptions!$C$7,0))</f>
        <v>1413113.037</v>
      </c>
      <c r="J826" s="22">
        <f>F826*(1+Assumptions!$B$8+IF(D826="Yes",Assumptions!$C$8,0))</f>
        <v>1359280.1594</v>
      </c>
    </row>
    <row r="827" spans="1:10" ht="15">
      <c r="A827" s="21">
        <v>40984</v>
      </c>
      <c r="B827" s="21">
        <v>40969</v>
      </c>
      <c r="C827" s="17">
        <v>95</v>
      </c>
      <c r="D827" s="17" t="s">
        <v>91</v>
      </c>
      <c r="E827" s="14">
        <v>3168037.25</v>
      </c>
      <c r="F827" s="14">
        <v>3055298.76</v>
      </c>
      <c r="G827" s="14">
        <v>3055298.76</v>
      </c>
      <c r="H827" s="22">
        <f>F827*(1+Assumptions!$B$6+IF(D827="Yes",Assumptions!$C$6,0))</f>
        <v>3146957.7227999996</v>
      </c>
      <c r="I827" s="22">
        <f>F827*(1+Assumptions!$B$7+IF(D827="Yes",Assumptions!$C$7,0))</f>
        <v>3208063.6979999999</v>
      </c>
      <c r="J827" s="22">
        <f>F827*(1+Assumptions!$B$8+IF(D827="Yes",Assumptions!$C$8,0))</f>
        <v>3085851.7475999999</v>
      </c>
    </row>
    <row r="828" spans="1:10" ht="15">
      <c r="A828" s="21">
        <v>40984</v>
      </c>
      <c r="B828" s="21">
        <v>40969</v>
      </c>
      <c r="C828" s="17">
        <v>96</v>
      </c>
      <c r="D828" s="17" t="s">
        <v>91</v>
      </c>
      <c r="E828" s="14">
        <v>520633.65</v>
      </c>
      <c r="F828" s="14">
        <v>490306.09</v>
      </c>
      <c r="G828" s="14">
        <v>490306.09</v>
      </c>
      <c r="H828" s="22">
        <f>F828*(1+Assumptions!$B$6+IF(D828="Yes",Assumptions!$C$6,0))</f>
        <v>505015.27270000003</v>
      </c>
      <c r="I828" s="22">
        <f>F828*(1+Assumptions!$B$7+IF(D828="Yes",Assumptions!$C$7,0))</f>
        <v>514821.39450000005</v>
      </c>
      <c r="J828" s="22">
        <f>F828*(1+Assumptions!$B$8+IF(D828="Yes",Assumptions!$C$8,0))</f>
        <v>495209.15090000001</v>
      </c>
    </row>
    <row r="829" spans="1:10" ht="15">
      <c r="A829" s="21">
        <v>40984</v>
      </c>
      <c r="B829" s="21">
        <v>40969</v>
      </c>
      <c r="C829" s="17">
        <v>97</v>
      </c>
      <c r="D829" s="17" t="s">
        <v>91</v>
      </c>
      <c r="E829" s="14">
        <v>621383.41</v>
      </c>
      <c r="F829" s="14">
        <v>606597.42000000004</v>
      </c>
      <c r="G829" s="14">
        <v>606597.42000000004</v>
      </c>
      <c r="H829" s="22">
        <f>F829*(1+Assumptions!$B$6+IF(D829="Yes",Assumptions!$C$6,0))</f>
        <v>624795.34260000009</v>
      </c>
      <c r="I829" s="22">
        <f>F829*(1+Assumptions!$B$7+IF(D829="Yes",Assumptions!$C$7,0))</f>
        <v>636927.29100000008</v>
      </c>
      <c r="J829" s="22">
        <f>F829*(1+Assumptions!$B$8+IF(D829="Yes",Assumptions!$C$8,0))</f>
        <v>612663.3942000001</v>
      </c>
    </row>
    <row r="830" spans="1:10" ht="15">
      <c r="A830" s="21">
        <v>40984</v>
      </c>
      <c r="B830" s="21">
        <v>40969</v>
      </c>
      <c r="C830" s="17">
        <v>98</v>
      </c>
      <c r="D830" s="17" t="s">
        <v>91</v>
      </c>
      <c r="E830" s="14">
        <v>270546.26</v>
      </c>
      <c r="F830" s="14">
        <v>275626.51</v>
      </c>
      <c r="G830" s="14">
        <v>275626.51</v>
      </c>
      <c r="H830" s="22">
        <f>F830*(1+Assumptions!$B$6+IF(D830="Yes",Assumptions!$C$6,0))</f>
        <v>283895.30530000001</v>
      </c>
      <c r="I830" s="22">
        <f>F830*(1+Assumptions!$B$7+IF(D830="Yes",Assumptions!$C$7,0))</f>
        <v>289407.83550000004</v>
      </c>
      <c r="J830" s="22">
        <f>F830*(1+Assumptions!$B$8+IF(D830="Yes",Assumptions!$C$8,0))</f>
        <v>278382.77510000003</v>
      </c>
    </row>
    <row r="831" spans="1:10" ht="15">
      <c r="A831" s="21">
        <v>40991</v>
      </c>
      <c r="B831" s="21">
        <v>40969</v>
      </c>
      <c r="C831" s="17">
        <v>1</v>
      </c>
      <c r="D831" s="17" t="s">
        <v>91</v>
      </c>
      <c r="E831" s="14">
        <v>904195.89</v>
      </c>
      <c r="F831" s="14">
        <v>735317.56</v>
      </c>
      <c r="G831" s="14">
        <v>735317.56</v>
      </c>
      <c r="H831" s="22">
        <f>F831*(1+Assumptions!$B$6+IF(D831="Yes",Assumptions!$C$6,0))</f>
        <v>757377.08680000005</v>
      </c>
      <c r="I831" s="22">
        <f>F831*(1+Assumptions!$B$7+IF(D831="Yes",Assumptions!$C$7,0))</f>
        <v>772083.43800000008</v>
      </c>
      <c r="J831" s="22">
        <f>F831*(1+Assumptions!$B$8+IF(D831="Yes",Assumptions!$C$8,0))</f>
        <v>742670.73560000001</v>
      </c>
    </row>
    <row r="832" spans="1:10" ht="15">
      <c r="A832" s="21">
        <v>40991</v>
      </c>
      <c r="B832" s="21">
        <v>40969</v>
      </c>
      <c r="C832" s="17">
        <v>2</v>
      </c>
      <c r="D832" s="17" t="s">
        <v>91</v>
      </c>
      <c r="E832" s="14">
        <v>1910885.63</v>
      </c>
      <c r="F832" s="14">
        <v>1870694.51</v>
      </c>
      <c r="G832" s="14">
        <v>1870694.51</v>
      </c>
      <c r="H832" s="22">
        <f>F832*(1+Assumptions!$B$6+IF(D832="Yes",Assumptions!$C$6,0))</f>
        <v>1926815.3453000002</v>
      </c>
      <c r="I832" s="22">
        <f>F832*(1+Assumptions!$B$7+IF(D832="Yes",Assumptions!$C$7,0))</f>
        <v>1964229.2355000002</v>
      </c>
      <c r="J832" s="22">
        <f>F832*(1+Assumptions!$B$8+IF(D832="Yes",Assumptions!$C$8,0))</f>
        <v>1889401.4551000001</v>
      </c>
    </row>
    <row r="833" spans="1:10" ht="15">
      <c r="A833" s="21">
        <v>40991</v>
      </c>
      <c r="B833" s="21">
        <v>40969</v>
      </c>
      <c r="C833" s="17">
        <v>3</v>
      </c>
      <c r="D833" s="17" t="s">
        <v>91</v>
      </c>
      <c r="E833" s="14">
        <v>338477.86</v>
      </c>
      <c r="F833" s="14">
        <v>344012.41</v>
      </c>
      <c r="G833" s="14">
        <v>344012.41</v>
      </c>
      <c r="H833" s="22">
        <f>F833*(1+Assumptions!$B$6+IF(D833="Yes",Assumptions!$C$6,0))</f>
        <v>354332.78229999996</v>
      </c>
      <c r="I833" s="22">
        <f>F833*(1+Assumptions!$B$7+IF(D833="Yes",Assumptions!$C$7,0))</f>
        <v>361213.03049999999</v>
      </c>
      <c r="J833" s="22">
        <f>F833*(1+Assumptions!$B$8+IF(D833="Yes",Assumptions!$C$8,0))</f>
        <v>347452.53409999999</v>
      </c>
    </row>
    <row r="834" spans="1:10" ht="15">
      <c r="A834" s="21">
        <v>40991</v>
      </c>
      <c r="B834" s="21">
        <v>40969</v>
      </c>
      <c r="C834" s="17">
        <v>4</v>
      </c>
      <c r="D834" s="17" t="s">
        <v>91</v>
      </c>
      <c r="E834" s="14">
        <v>1098745.6200000001</v>
      </c>
      <c r="F834" s="14">
        <v>1066047.8899999999</v>
      </c>
      <c r="G834" s="14">
        <v>1066047.8899999999</v>
      </c>
      <c r="H834" s="22">
        <f>F834*(1+Assumptions!$B$6+IF(D834="Yes",Assumptions!$C$6,0))</f>
        <v>1098029.3266999999</v>
      </c>
      <c r="I834" s="22">
        <f>F834*(1+Assumptions!$B$7+IF(D834="Yes",Assumptions!$C$7,0))</f>
        <v>1119350.2844999998</v>
      </c>
      <c r="J834" s="22">
        <f>F834*(1+Assumptions!$B$8+IF(D834="Yes",Assumptions!$C$8,0))</f>
        <v>1076708.3688999999</v>
      </c>
    </row>
    <row r="835" spans="1:10" ht="15">
      <c r="A835" s="21">
        <v>40991</v>
      </c>
      <c r="B835" s="21">
        <v>40969</v>
      </c>
      <c r="C835" s="17">
        <v>5</v>
      </c>
      <c r="D835" s="17" t="s">
        <v>91</v>
      </c>
      <c r="E835" s="14">
        <v>809778.01</v>
      </c>
      <c r="F835" s="14">
        <v>775802.3</v>
      </c>
      <c r="G835" s="14">
        <v>775802.3</v>
      </c>
      <c r="H835" s="22">
        <f>F835*(1+Assumptions!$B$6+IF(D835="Yes",Assumptions!$C$6,0))</f>
        <v>799076.36900000006</v>
      </c>
      <c r="I835" s="22">
        <f>F835*(1+Assumptions!$B$7+IF(D835="Yes",Assumptions!$C$7,0))</f>
        <v>814592.41500000004</v>
      </c>
      <c r="J835" s="22">
        <f>F835*(1+Assumptions!$B$8+IF(D835="Yes",Assumptions!$C$8,0))</f>
        <v>783560.32300000009</v>
      </c>
    </row>
    <row r="836" spans="1:10" ht="15">
      <c r="A836" s="21">
        <v>40991</v>
      </c>
      <c r="B836" s="21">
        <v>40969</v>
      </c>
      <c r="C836" s="17">
        <v>6</v>
      </c>
      <c r="D836" s="17" t="s">
        <v>91</v>
      </c>
      <c r="E836" s="14">
        <v>113771.23000000001</v>
      </c>
      <c r="F836" s="14">
        <v>166537.60999999999</v>
      </c>
      <c r="G836" s="14">
        <v>166537.60999999999</v>
      </c>
      <c r="H836" s="22">
        <f>F836*(1+Assumptions!$B$6+IF(D836="Yes",Assumptions!$C$6,0))</f>
        <v>171533.7383</v>
      </c>
      <c r="I836" s="22">
        <f>F836*(1+Assumptions!$B$7+IF(D836="Yes",Assumptions!$C$7,0))</f>
        <v>174864.49049999999</v>
      </c>
      <c r="J836" s="22">
        <f>F836*(1+Assumptions!$B$8+IF(D836="Yes",Assumptions!$C$8,0))</f>
        <v>168202.98609999998</v>
      </c>
    </row>
    <row r="837" spans="1:10" ht="15">
      <c r="A837" s="21">
        <v>40991</v>
      </c>
      <c r="B837" s="21">
        <v>40969</v>
      </c>
      <c r="C837" s="17">
        <v>7</v>
      </c>
      <c r="D837" s="17" t="s">
        <v>91</v>
      </c>
      <c r="E837" s="14">
        <v>887959.92</v>
      </c>
      <c r="F837" s="14">
        <v>801138.57</v>
      </c>
      <c r="G837" s="14">
        <v>801138.57</v>
      </c>
      <c r="H837" s="22">
        <f>F837*(1+Assumptions!$B$6+IF(D837="Yes",Assumptions!$C$6,0))</f>
        <v>825172.72710000002</v>
      </c>
      <c r="I837" s="22">
        <f>F837*(1+Assumptions!$B$7+IF(D837="Yes",Assumptions!$C$7,0))</f>
        <v>841195.49849999999</v>
      </c>
      <c r="J837" s="22">
        <f>F837*(1+Assumptions!$B$8+IF(D837="Yes",Assumptions!$C$8,0))</f>
        <v>809149.95569999993</v>
      </c>
    </row>
    <row r="838" spans="1:10" ht="15">
      <c r="A838" s="21">
        <v>40991</v>
      </c>
      <c r="B838" s="21">
        <v>40969</v>
      </c>
      <c r="C838" s="17">
        <v>8</v>
      </c>
      <c r="D838" s="17" t="s">
        <v>91</v>
      </c>
      <c r="E838" s="14">
        <v>1334346.8799999999</v>
      </c>
      <c r="F838" s="14">
        <v>1294576.5</v>
      </c>
      <c r="G838" s="14">
        <v>1294576.5</v>
      </c>
      <c r="H838" s="22">
        <f>F838*(1+Assumptions!$B$6+IF(D838="Yes",Assumptions!$C$6,0))</f>
        <v>1333413.7949999999</v>
      </c>
      <c r="I838" s="22">
        <f>F838*(1+Assumptions!$B$7+IF(D838="Yes",Assumptions!$C$7,0))</f>
        <v>1359305.325</v>
      </c>
      <c r="J838" s="22">
        <f>F838*(1+Assumptions!$B$8+IF(D838="Yes",Assumptions!$C$8,0))</f>
        <v>1307522.2649999999</v>
      </c>
    </row>
    <row r="839" spans="1:10" ht="15">
      <c r="A839" s="21">
        <v>40991</v>
      </c>
      <c r="B839" s="21">
        <v>40969</v>
      </c>
      <c r="C839" s="17">
        <v>9</v>
      </c>
      <c r="D839" s="17" t="s">
        <v>91</v>
      </c>
      <c r="E839" s="14">
        <v>869526.41</v>
      </c>
      <c r="F839" s="14">
        <v>754433</v>
      </c>
      <c r="G839" s="14">
        <v>754433</v>
      </c>
      <c r="H839" s="22">
        <f>F839*(1+Assumptions!$B$6+IF(D839="Yes",Assumptions!$C$6,0))</f>
        <v>777065.99</v>
      </c>
      <c r="I839" s="22">
        <f>F839*(1+Assumptions!$B$7+IF(D839="Yes",Assumptions!$C$7,0))</f>
        <v>792154.65</v>
      </c>
      <c r="J839" s="22">
        <f>F839*(1+Assumptions!$B$8+IF(D839="Yes",Assumptions!$C$8,0))</f>
        <v>761977.33</v>
      </c>
    </row>
    <row r="840" spans="1:10" ht="15">
      <c r="A840" s="21">
        <v>40991</v>
      </c>
      <c r="B840" s="21">
        <v>40969</v>
      </c>
      <c r="C840" s="17">
        <v>10</v>
      </c>
      <c r="D840" s="17" t="s">
        <v>91</v>
      </c>
      <c r="E840" s="14">
        <v>853658.83</v>
      </c>
      <c r="F840" s="14">
        <v>753193.03</v>
      </c>
      <c r="G840" s="14">
        <v>753193.03</v>
      </c>
      <c r="H840" s="22">
        <f>F840*(1+Assumptions!$B$6+IF(D840="Yes",Assumptions!$C$6,0))</f>
        <v>775788.82090000005</v>
      </c>
      <c r="I840" s="22">
        <f>F840*(1+Assumptions!$B$7+IF(D840="Yes",Assumptions!$C$7,0))</f>
        <v>790852.68150000006</v>
      </c>
      <c r="J840" s="22">
        <f>F840*(1+Assumptions!$B$8+IF(D840="Yes",Assumptions!$C$8,0))</f>
        <v>760724.96030000004</v>
      </c>
    </row>
    <row r="841" spans="1:10" ht="15">
      <c r="A841" s="21">
        <v>40991</v>
      </c>
      <c r="B841" s="21">
        <v>40969</v>
      </c>
      <c r="C841" s="17">
        <v>11</v>
      </c>
      <c r="D841" s="17" t="s">
        <v>91</v>
      </c>
      <c r="E841" s="14">
        <v>536193.48</v>
      </c>
      <c r="F841" s="14">
        <v>517573.20999999996</v>
      </c>
      <c r="G841" s="14">
        <v>517573.20999999996</v>
      </c>
      <c r="H841" s="22">
        <f>F841*(1+Assumptions!$B$6+IF(D841="Yes",Assumptions!$C$6,0))</f>
        <v>533100.40630000003</v>
      </c>
      <c r="I841" s="22">
        <f>F841*(1+Assumptions!$B$7+IF(D841="Yes",Assumptions!$C$7,0))</f>
        <v>543451.87049999996</v>
      </c>
      <c r="J841" s="22">
        <f>F841*(1+Assumptions!$B$8+IF(D841="Yes",Assumptions!$C$8,0))</f>
        <v>522748.94209999999</v>
      </c>
    </row>
    <row r="842" spans="1:10" ht="15">
      <c r="A842" s="21">
        <v>40991</v>
      </c>
      <c r="B842" s="21">
        <v>40969</v>
      </c>
      <c r="C842" s="17">
        <v>12</v>
      </c>
      <c r="D842" s="17" t="s">
        <v>91</v>
      </c>
      <c r="E842" s="14">
        <v>196620.01</v>
      </c>
      <c r="F842" s="14">
        <v>179042.7</v>
      </c>
      <c r="G842" s="14">
        <v>179042.7</v>
      </c>
      <c r="H842" s="22">
        <f>F842*(1+Assumptions!$B$6+IF(D842="Yes",Assumptions!$C$6,0))</f>
        <v>184413.98100000003</v>
      </c>
      <c r="I842" s="22">
        <f>F842*(1+Assumptions!$B$7+IF(D842="Yes",Assumptions!$C$7,0))</f>
        <v>187994.83500000002</v>
      </c>
      <c r="J842" s="22">
        <f>F842*(1+Assumptions!$B$8+IF(D842="Yes",Assumptions!$C$8,0))</f>
        <v>180833.12700000001</v>
      </c>
    </row>
    <row r="843" spans="1:10" ht="15">
      <c r="A843" s="21">
        <v>40991</v>
      </c>
      <c r="B843" s="21">
        <v>40969</v>
      </c>
      <c r="C843" s="17">
        <v>13</v>
      </c>
      <c r="D843" s="17" t="s">
        <v>91</v>
      </c>
      <c r="E843" s="14">
        <v>1345261.68</v>
      </c>
      <c r="F843" s="14">
        <v>1316044.94</v>
      </c>
      <c r="G843" s="14">
        <v>1316044.94</v>
      </c>
      <c r="H843" s="22">
        <f>F843*(1+Assumptions!$B$6+IF(D843="Yes",Assumptions!$C$6,0))</f>
        <v>1355526.2882000001</v>
      </c>
      <c r="I843" s="22">
        <f>F843*(1+Assumptions!$B$7+IF(D843="Yes",Assumptions!$C$7,0))</f>
        <v>1381847.1869999999</v>
      </c>
      <c r="J843" s="22">
        <f>F843*(1+Assumptions!$B$8+IF(D843="Yes",Assumptions!$C$8,0))</f>
        <v>1329205.3894</v>
      </c>
    </row>
    <row r="844" spans="1:10" ht="15">
      <c r="A844" s="21">
        <v>40991</v>
      </c>
      <c r="B844" s="21">
        <v>40969</v>
      </c>
      <c r="C844" s="17">
        <v>14</v>
      </c>
      <c r="D844" s="17" t="s">
        <v>91</v>
      </c>
      <c r="E844" s="14">
        <v>579907.47</v>
      </c>
      <c r="F844" s="14">
        <v>576065.77</v>
      </c>
      <c r="G844" s="14">
        <v>576065.77</v>
      </c>
      <c r="H844" s="22">
        <f>F844*(1+Assumptions!$B$6+IF(D844="Yes",Assumptions!$C$6,0))</f>
        <v>593347.74310000008</v>
      </c>
      <c r="I844" s="22">
        <f>F844*(1+Assumptions!$B$7+IF(D844="Yes",Assumptions!$C$7,0))</f>
        <v>604869.05850000004</v>
      </c>
      <c r="J844" s="22">
        <f>F844*(1+Assumptions!$B$8+IF(D844="Yes",Assumptions!$C$8,0))</f>
        <v>581826.4277</v>
      </c>
    </row>
    <row r="845" spans="1:10" ht="15">
      <c r="A845" s="21">
        <v>40991</v>
      </c>
      <c r="B845" s="21">
        <v>40969</v>
      </c>
      <c r="C845" s="17">
        <v>16</v>
      </c>
      <c r="D845" s="17" t="s">
        <v>91</v>
      </c>
      <c r="E845" s="14">
        <v>870885.02</v>
      </c>
      <c r="F845" s="14">
        <v>683607.51</v>
      </c>
      <c r="G845" s="14">
        <v>683607.51</v>
      </c>
      <c r="H845" s="22">
        <f>F845*(1+Assumptions!$B$6+IF(D845="Yes",Assumptions!$C$6,0))</f>
        <v>704115.73530000006</v>
      </c>
      <c r="I845" s="22">
        <f>F845*(1+Assumptions!$B$7+IF(D845="Yes",Assumptions!$C$7,0))</f>
        <v>717787.88550000009</v>
      </c>
      <c r="J845" s="22">
        <f>F845*(1+Assumptions!$B$8+IF(D845="Yes",Assumptions!$C$8,0))</f>
        <v>690443.58510000003</v>
      </c>
    </row>
    <row r="846" spans="1:10" ht="15">
      <c r="A846" s="21">
        <v>40991</v>
      </c>
      <c r="B846" s="21">
        <v>40969</v>
      </c>
      <c r="C846" s="17">
        <v>17</v>
      </c>
      <c r="D846" s="17" t="s">
        <v>91</v>
      </c>
      <c r="E846" s="14">
        <v>413983.77</v>
      </c>
      <c r="F846" s="14">
        <v>431767.44</v>
      </c>
      <c r="G846" s="14">
        <v>431767.44</v>
      </c>
      <c r="H846" s="22">
        <f>F846*(1+Assumptions!$B$6+IF(D846="Yes",Assumptions!$C$6,0))</f>
        <v>444720.4632</v>
      </c>
      <c r="I846" s="22">
        <f>F846*(1+Assumptions!$B$7+IF(D846="Yes",Assumptions!$C$7,0))</f>
        <v>453355.81200000003</v>
      </c>
      <c r="J846" s="22">
        <f>F846*(1+Assumptions!$B$8+IF(D846="Yes",Assumptions!$C$8,0))</f>
        <v>436085.11440000002</v>
      </c>
    </row>
    <row r="847" spans="1:10" ht="15">
      <c r="A847" s="21">
        <v>40991</v>
      </c>
      <c r="B847" s="21">
        <v>40969</v>
      </c>
      <c r="C847" s="17">
        <v>18</v>
      </c>
      <c r="D847" s="17" t="s">
        <v>91</v>
      </c>
      <c r="E847" s="14">
        <v>104879.9</v>
      </c>
      <c r="F847" s="14">
        <v>69812.22</v>
      </c>
      <c r="G847" s="14">
        <v>69812.22</v>
      </c>
      <c r="H847" s="22">
        <f>F847*(1+Assumptions!$B$6+IF(D847="Yes",Assumptions!$C$6,0))</f>
        <v>71906.58660000001</v>
      </c>
      <c r="I847" s="22">
        <f>F847*(1+Assumptions!$B$7+IF(D847="Yes",Assumptions!$C$7,0))</f>
        <v>73302.831000000006</v>
      </c>
      <c r="J847" s="22">
        <f>F847*(1+Assumptions!$B$8+IF(D847="Yes",Assumptions!$C$8,0))</f>
        <v>70510.342199999999</v>
      </c>
    </row>
    <row r="848" spans="1:10" ht="15">
      <c r="A848" s="21">
        <v>40991</v>
      </c>
      <c r="B848" s="21">
        <v>40969</v>
      </c>
      <c r="C848" s="17">
        <v>19</v>
      </c>
      <c r="D848" s="17" t="s">
        <v>91</v>
      </c>
      <c r="E848" s="14">
        <v>44494.04</v>
      </c>
      <c r="F848" s="14">
        <v>42356.03</v>
      </c>
      <c r="G848" s="14">
        <v>42356.03</v>
      </c>
      <c r="H848" s="22">
        <f>F848*(1+Assumptions!$B$6+IF(D848="Yes",Assumptions!$C$6,0))</f>
        <v>43626.710899999998</v>
      </c>
      <c r="I848" s="22">
        <f>F848*(1+Assumptions!$B$7+IF(D848="Yes",Assumptions!$C$7,0))</f>
        <v>44473.8315</v>
      </c>
      <c r="J848" s="22">
        <f>F848*(1+Assumptions!$B$8+IF(D848="Yes",Assumptions!$C$8,0))</f>
        <v>42779.590299999996</v>
      </c>
    </row>
    <row r="849" spans="1:10" ht="15">
      <c r="A849" s="21">
        <v>40991</v>
      </c>
      <c r="B849" s="21">
        <v>40969</v>
      </c>
      <c r="C849" s="17">
        <v>20</v>
      </c>
      <c r="D849" s="17" t="s">
        <v>91</v>
      </c>
      <c r="E849" s="14">
        <v>221478.66999999998</v>
      </c>
      <c r="F849" s="14">
        <v>224456.98</v>
      </c>
      <c r="G849" s="14">
        <v>224456.98</v>
      </c>
      <c r="H849" s="22">
        <f>F849*(1+Assumptions!$B$6+IF(D849="Yes",Assumptions!$C$6,0))</f>
        <v>231190.6894</v>
      </c>
      <c r="I849" s="22">
        <f>F849*(1+Assumptions!$B$7+IF(D849="Yes",Assumptions!$C$7,0))</f>
        <v>235679.82900000003</v>
      </c>
      <c r="J849" s="22">
        <f>F849*(1+Assumptions!$B$8+IF(D849="Yes",Assumptions!$C$8,0))</f>
        <v>226701.54980000001</v>
      </c>
    </row>
    <row r="850" spans="1:10" ht="15">
      <c r="A850" s="21">
        <v>40991</v>
      </c>
      <c r="B850" s="21">
        <v>40969</v>
      </c>
      <c r="C850" s="17">
        <v>21</v>
      </c>
      <c r="D850" s="17" t="s">
        <v>91</v>
      </c>
      <c r="E850" s="14">
        <v>216928.28</v>
      </c>
      <c r="F850" s="14">
        <v>199561.57</v>
      </c>
      <c r="G850" s="14">
        <v>199561.57</v>
      </c>
      <c r="H850" s="22">
        <f>F850*(1+Assumptions!$B$6+IF(D850="Yes",Assumptions!$C$6,0))</f>
        <v>205548.41710000002</v>
      </c>
      <c r="I850" s="22">
        <f>F850*(1+Assumptions!$B$7+IF(D850="Yes",Assumptions!$C$7,0))</f>
        <v>209539.64850000001</v>
      </c>
      <c r="J850" s="22">
        <f>F850*(1+Assumptions!$B$8+IF(D850="Yes",Assumptions!$C$8,0))</f>
        <v>201557.1857</v>
      </c>
    </row>
    <row r="851" spans="1:10" ht="15">
      <c r="A851" s="21">
        <v>40991</v>
      </c>
      <c r="B851" s="21">
        <v>40969</v>
      </c>
      <c r="C851" s="17">
        <v>22</v>
      </c>
      <c r="D851" s="17" t="s">
        <v>91</v>
      </c>
      <c r="E851" s="14">
        <v>390233.07</v>
      </c>
      <c r="F851" s="14">
        <v>384699.93</v>
      </c>
      <c r="G851" s="14">
        <v>384699.93</v>
      </c>
      <c r="H851" s="22">
        <f>F851*(1+Assumptions!$B$6+IF(D851="Yes",Assumptions!$C$6,0))</f>
        <v>396240.92790000001</v>
      </c>
      <c r="I851" s="22">
        <f>F851*(1+Assumptions!$B$7+IF(D851="Yes",Assumptions!$C$7,0))</f>
        <v>403934.9265</v>
      </c>
      <c r="J851" s="22">
        <f>F851*(1+Assumptions!$B$8+IF(D851="Yes",Assumptions!$C$8,0))</f>
        <v>388546.92930000002</v>
      </c>
    </row>
    <row r="852" spans="1:10" ht="15">
      <c r="A852" s="21">
        <v>40991</v>
      </c>
      <c r="B852" s="21">
        <v>40969</v>
      </c>
      <c r="C852" s="17">
        <v>23</v>
      </c>
      <c r="D852" s="17" t="s">
        <v>91</v>
      </c>
      <c r="E852" s="14">
        <v>958168.57</v>
      </c>
      <c r="F852" s="14">
        <v>810551.81</v>
      </c>
      <c r="G852" s="14">
        <v>810551.81</v>
      </c>
      <c r="H852" s="22">
        <f>F852*(1+Assumptions!$B$6+IF(D852="Yes",Assumptions!$C$6,0))</f>
        <v>834868.36430000013</v>
      </c>
      <c r="I852" s="22">
        <f>F852*(1+Assumptions!$B$7+IF(D852="Yes",Assumptions!$C$7,0))</f>
        <v>851079.40050000011</v>
      </c>
      <c r="J852" s="22">
        <f>F852*(1+Assumptions!$B$8+IF(D852="Yes",Assumptions!$C$8,0))</f>
        <v>818657.32810000004</v>
      </c>
    </row>
    <row r="853" spans="1:10" ht="15">
      <c r="A853" s="21">
        <v>40991</v>
      </c>
      <c r="B853" s="21">
        <v>40969</v>
      </c>
      <c r="C853" s="17">
        <v>24</v>
      </c>
      <c r="D853" s="17" t="s">
        <v>91</v>
      </c>
      <c r="E853" s="14">
        <v>231836.62</v>
      </c>
      <c r="F853" s="14">
        <v>184435.58</v>
      </c>
      <c r="G853" s="14">
        <v>184435.58</v>
      </c>
      <c r="H853" s="22">
        <f>F853*(1+Assumptions!$B$6+IF(D853="Yes",Assumptions!$C$6,0))</f>
        <v>189968.64739999999</v>
      </c>
      <c r="I853" s="22">
        <f>F853*(1+Assumptions!$B$7+IF(D853="Yes",Assumptions!$C$7,0))</f>
        <v>193657.359</v>
      </c>
      <c r="J853" s="22">
        <f>F853*(1+Assumptions!$B$8+IF(D853="Yes",Assumptions!$C$8,0))</f>
        <v>186279.93579999998</v>
      </c>
    </row>
    <row r="854" spans="1:10" ht="15">
      <c r="A854" s="21">
        <v>40991</v>
      </c>
      <c r="B854" s="21">
        <v>40969</v>
      </c>
      <c r="C854" s="17">
        <v>25</v>
      </c>
      <c r="D854" s="17" t="s">
        <v>91</v>
      </c>
      <c r="E854" s="14">
        <v>482402.23</v>
      </c>
      <c r="F854" s="14">
        <v>376098.23</v>
      </c>
      <c r="G854" s="14">
        <v>376098.23</v>
      </c>
      <c r="H854" s="22">
        <f>F854*(1+Assumptions!$B$6+IF(D854="Yes",Assumptions!$C$6,0))</f>
        <v>387381.17689999996</v>
      </c>
      <c r="I854" s="22">
        <f>F854*(1+Assumptions!$B$7+IF(D854="Yes",Assumptions!$C$7,0))</f>
        <v>394903.14149999997</v>
      </c>
      <c r="J854" s="22">
        <f>F854*(1+Assumptions!$B$8+IF(D854="Yes",Assumptions!$C$8,0))</f>
        <v>379859.21229999996</v>
      </c>
    </row>
    <row r="855" spans="1:10" ht="15">
      <c r="A855" s="21">
        <v>40991</v>
      </c>
      <c r="B855" s="21">
        <v>40969</v>
      </c>
      <c r="C855" s="17">
        <v>26</v>
      </c>
      <c r="D855" s="17" t="s">
        <v>91</v>
      </c>
      <c r="E855" s="14">
        <v>352245.85</v>
      </c>
      <c r="F855" s="14">
        <v>289049.43</v>
      </c>
      <c r="G855" s="14">
        <v>289049.43</v>
      </c>
      <c r="H855" s="22">
        <f>F855*(1+Assumptions!$B$6+IF(D855="Yes",Assumptions!$C$6,0))</f>
        <v>297720.9129</v>
      </c>
      <c r="I855" s="22">
        <f>F855*(1+Assumptions!$B$7+IF(D855="Yes",Assumptions!$C$7,0))</f>
        <v>303501.90149999998</v>
      </c>
      <c r="J855" s="22">
        <f>F855*(1+Assumptions!$B$8+IF(D855="Yes",Assumptions!$C$8,0))</f>
        <v>291939.92430000001</v>
      </c>
    </row>
    <row r="856" spans="1:10" ht="15">
      <c r="A856" s="21">
        <v>40991</v>
      </c>
      <c r="B856" s="21">
        <v>40969</v>
      </c>
      <c r="C856" s="17">
        <v>27</v>
      </c>
      <c r="D856" s="17" t="s">
        <v>91</v>
      </c>
      <c r="E856" s="14">
        <v>61319.47</v>
      </c>
      <c r="F856" s="14">
        <v>53112.29</v>
      </c>
      <c r="G856" s="14">
        <v>53112.29</v>
      </c>
      <c r="H856" s="22">
        <f>F856*(1+Assumptions!$B$6+IF(D856="Yes",Assumptions!$C$6,0))</f>
        <v>54705.6587</v>
      </c>
      <c r="I856" s="22">
        <f>F856*(1+Assumptions!$B$7+IF(D856="Yes",Assumptions!$C$7,0))</f>
        <v>55767.904500000004</v>
      </c>
      <c r="J856" s="22">
        <f>F856*(1+Assumptions!$B$8+IF(D856="Yes",Assumptions!$C$8,0))</f>
        <v>53643.412900000003</v>
      </c>
    </row>
    <row r="857" spans="1:10" ht="15">
      <c r="A857" s="21">
        <v>40991</v>
      </c>
      <c r="B857" s="21">
        <v>40969</v>
      </c>
      <c r="C857" s="17">
        <v>28</v>
      </c>
      <c r="D857" s="17" t="s">
        <v>91</v>
      </c>
      <c r="E857" s="14">
        <v>27143.7</v>
      </c>
      <c r="F857" s="14">
        <v>28467.88</v>
      </c>
      <c r="G857" s="14">
        <v>28467.88</v>
      </c>
      <c r="H857" s="22">
        <f>F857*(1+Assumptions!$B$6+IF(D857="Yes",Assumptions!$C$6,0))</f>
        <v>29321.916400000002</v>
      </c>
      <c r="I857" s="22">
        <f>F857*(1+Assumptions!$B$7+IF(D857="Yes",Assumptions!$C$7,0))</f>
        <v>29891.274000000001</v>
      </c>
      <c r="J857" s="22">
        <f>F857*(1+Assumptions!$B$8+IF(D857="Yes",Assumptions!$C$8,0))</f>
        <v>28752.558800000003</v>
      </c>
    </row>
    <row r="858" spans="1:10" ht="15">
      <c r="A858" s="21">
        <v>40991</v>
      </c>
      <c r="B858" s="21">
        <v>40969</v>
      </c>
      <c r="C858" s="17">
        <v>29</v>
      </c>
      <c r="D858" s="17" t="s">
        <v>91</v>
      </c>
      <c r="E858" s="14">
        <v>185176.27</v>
      </c>
      <c r="F858" s="14">
        <v>180433.46</v>
      </c>
      <c r="G858" s="14">
        <v>180433.46</v>
      </c>
      <c r="H858" s="22">
        <f>F858*(1+Assumptions!$B$6+IF(D858="Yes",Assumptions!$C$6,0))</f>
        <v>185846.4638</v>
      </c>
      <c r="I858" s="22">
        <f>F858*(1+Assumptions!$B$7+IF(D858="Yes",Assumptions!$C$7,0))</f>
        <v>189455.133</v>
      </c>
      <c r="J858" s="22">
        <f>F858*(1+Assumptions!$B$8+IF(D858="Yes",Assumptions!$C$8,0))</f>
        <v>182237.79459999999</v>
      </c>
    </row>
    <row r="859" spans="1:10" ht="15">
      <c r="A859" s="21">
        <v>40991</v>
      </c>
      <c r="B859" s="21">
        <v>40969</v>
      </c>
      <c r="C859" s="17">
        <v>30</v>
      </c>
      <c r="D859" s="17" t="s">
        <v>91</v>
      </c>
      <c r="E859" s="14">
        <v>164036.06</v>
      </c>
      <c r="F859" s="14">
        <v>168465.22</v>
      </c>
      <c r="G859" s="14">
        <v>168465.22</v>
      </c>
      <c r="H859" s="22">
        <f>F859*(1+Assumptions!$B$6+IF(D859="Yes",Assumptions!$C$6,0))</f>
        <v>173519.17660000001</v>
      </c>
      <c r="I859" s="22">
        <f>F859*(1+Assumptions!$B$7+IF(D859="Yes",Assumptions!$C$7,0))</f>
        <v>176888.481</v>
      </c>
      <c r="J859" s="22">
        <f>F859*(1+Assumptions!$B$8+IF(D859="Yes",Assumptions!$C$8,0))</f>
        <v>170149.87220000001</v>
      </c>
    </row>
    <row r="860" spans="1:10" ht="15">
      <c r="A860" s="21">
        <v>40991</v>
      </c>
      <c r="B860" s="21">
        <v>40969</v>
      </c>
      <c r="C860" s="17">
        <v>31</v>
      </c>
      <c r="D860" s="17" t="s">
        <v>91</v>
      </c>
      <c r="E860" s="14">
        <v>67505.69</v>
      </c>
      <c r="F860" s="14">
        <v>73763.199999999997</v>
      </c>
      <c r="G860" s="14">
        <v>73763.199999999997</v>
      </c>
      <c r="H860" s="22">
        <f>F860*(1+Assumptions!$B$6+IF(D860="Yes",Assumptions!$C$6,0))</f>
        <v>75976.096000000005</v>
      </c>
      <c r="I860" s="22">
        <f>F860*(1+Assumptions!$B$7+IF(D860="Yes",Assumptions!$C$7,0))</f>
        <v>77451.360000000001</v>
      </c>
      <c r="J860" s="22">
        <f>F860*(1+Assumptions!$B$8+IF(D860="Yes",Assumptions!$C$8,0))</f>
        <v>74500.831999999995</v>
      </c>
    </row>
    <row r="861" spans="1:10" ht="15">
      <c r="A861" s="21">
        <v>40991</v>
      </c>
      <c r="B861" s="21">
        <v>40969</v>
      </c>
      <c r="C861" s="17">
        <v>32</v>
      </c>
      <c r="D861" s="17" t="s">
        <v>91</v>
      </c>
      <c r="E861" s="14">
        <v>242370.33</v>
      </c>
      <c r="F861" s="14">
        <v>224801.7</v>
      </c>
      <c r="G861" s="14">
        <v>224801.7</v>
      </c>
      <c r="H861" s="22">
        <f>F861*(1+Assumptions!$B$6+IF(D861="Yes",Assumptions!$C$6,0))</f>
        <v>231545.75100000002</v>
      </c>
      <c r="I861" s="22">
        <f>F861*(1+Assumptions!$B$7+IF(D861="Yes",Assumptions!$C$7,0))</f>
        <v>236041.78500000003</v>
      </c>
      <c r="J861" s="22">
        <f>F861*(1+Assumptions!$B$8+IF(D861="Yes",Assumptions!$C$8,0))</f>
        <v>227049.717</v>
      </c>
    </row>
    <row r="862" spans="1:10" ht="15">
      <c r="A862" s="21">
        <v>40991</v>
      </c>
      <c r="B862" s="21">
        <v>40969</v>
      </c>
      <c r="C862" s="17">
        <v>33</v>
      </c>
      <c r="D862" s="17" t="s">
        <v>91</v>
      </c>
      <c r="E862" s="14">
        <v>235311.84</v>
      </c>
      <c r="F862" s="14">
        <v>198350.17</v>
      </c>
      <c r="G862" s="14">
        <v>198350.17</v>
      </c>
      <c r="H862" s="22">
        <f>F862*(1+Assumptions!$B$6+IF(D862="Yes",Assumptions!$C$6,0))</f>
        <v>204300.67510000002</v>
      </c>
      <c r="I862" s="22">
        <f>F862*(1+Assumptions!$B$7+IF(D862="Yes",Assumptions!$C$7,0))</f>
        <v>208267.67850000001</v>
      </c>
      <c r="J862" s="22">
        <f>F862*(1+Assumptions!$B$8+IF(D862="Yes",Assumptions!$C$8,0))</f>
        <v>200333.67170000001</v>
      </c>
    </row>
    <row r="863" spans="1:10" ht="15">
      <c r="A863" s="21">
        <v>40991</v>
      </c>
      <c r="B863" s="21">
        <v>40969</v>
      </c>
      <c r="C863" s="17">
        <v>34</v>
      </c>
      <c r="D863" s="17" t="s">
        <v>91</v>
      </c>
      <c r="E863" s="14">
        <v>687852.02</v>
      </c>
      <c r="F863" s="14">
        <v>532425.63</v>
      </c>
      <c r="G863" s="14">
        <v>532425.63</v>
      </c>
      <c r="H863" s="22">
        <f>F863*(1+Assumptions!$B$6+IF(D863="Yes",Assumptions!$C$6,0))</f>
        <v>548398.39890000003</v>
      </c>
      <c r="I863" s="22">
        <f>F863*(1+Assumptions!$B$7+IF(D863="Yes",Assumptions!$C$7,0))</f>
        <v>559046.91150000005</v>
      </c>
      <c r="J863" s="22">
        <f>F863*(1+Assumptions!$B$8+IF(D863="Yes",Assumptions!$C$8,0))</f>
        <v>537749.88630000001</v>
      </c>
    </row>
    <row r="864" spans="1:10" ht="15">
      <c r="A864" s="21">
        <v>40991</v>
      </c>
      <c r="B864" s="21">
        <v>40969</v>
      </c>
      <c r="C864" s="17">
        <v>35</v>
      </c>
      <c r="D864" s="17" t="s">
        <v>91</v>
      </c>
      <c r="E864" s="14">
        <v>126501.36</v>
      </c>
      <c r="F864" s="14">
        <v>114062.36</v>
      </c>
      <c r="G864" s="14">
        <v>114062.36</v>
      </c>
      <c r="H864" s="22">
        <f>F864*(1+Assumptions!$B$6+IF(D864="Yes",Assumptions!$C$6,0))</f>
        <v>117484.2308</v>
      </c>
      <c r="I864" s="22">
        <f>F864*(1+Assumptions!$B$7+IF(D864="Yes",Assumptions!$C$7,0))</f>
        <v>119765.478</v>
      </c>
      <c r="J864" s="22">
        <f>F864*(1+Assumptions!$B$8+IF(D864="Yes",Assumptions!$C$8,0))</f>
        <v>115202.98360000001</v>
      </c>
    </row>
    <row r="865" spans="1:10" ht="15">
      <c r="A865" s="21">
        <v>40991</v>
      </c>
      <c r="B865" s="21">
        <v>40969</v>
      </c>
      <c r="C865" s="17">
        <v>36</v>
      </c>
      <c r="D865" s="17" t="s">
        <v>91</v>
      </c>
      <c r="E865" s="14">
        <v>76621.240000000005</v>
      </c>
      <c r="F865" s="14">
        <v>68097.95</v>
      </c>
      <c r="G865" s="14">
        <v>68097.95</v>
      </c>
      <c r="H865" s="22">
        <f>F865*(1+Assumptions!$B$6+IF(D865="Yes",Assumptions!$C$6,0))</f>
        <v>70140.888500000001</v>
      </c>
      <c r="I865" s="22">
        <f>F865*(1+Assumptions!$B$7+IF(D865="Yes",Assumptions!$C$7,0))</f>
        <v>71502.847500000003</v>
      </c>
      <c r="J865" s="22">
        <f>F865*(1+Assumptions!$B$8+IF(D865="Yes",Assumptions!$C$8,0))</f>
        <v>68778.929499999998</v>
      </c>
    </row>
    <row r="866" spans="1:10" ht="15">
      <c r="A866" s="21">
        <v>40991</v>
      </c>
      <c r="B866" s="21">
        <v>40969</v>
      </c>
      <c r="C866" s="17">
        <v>37</v>
      </c>
      <c r="D866" s="17" t="s">
        <v>91</v>
      </c>
      <c r="E866" s="14">
        <v>53510.07</v>
      </c>
      <c r="F866" s="14">
        <v>54629.479999999996</v>
      </c>
      <c r="G866" s="14">
        <v>54629.479999999996</v>
      </c>
      <c r="H866" s="22">
        <f>F866*(1+Assumptions!$B$6+IF(D866="Yes",Assumptions!$C$6,0))</f>
        <v>56268.364399999999</v>
      </c>
      <c r="I866" s="22">
        <f>F866*(1+Assumptions!$B$7+IF(D866="Yes",Assumptions!$C$7,0))</f>
        <v>57360.953999999998</v>
      </c>
      <c r="J866" s="22">
        <f>F866*(1+Assumptions!$B$8+IF(D866="Yes",Assumptions!$C$8,0))</f>
        <v>55175.774799999999</v>
      </c>
    </row>
    <row r="867" spans="1:10" ht="15">
      <c r="A867" s="21">
        <v>40991</v>
      </c>
      <c r="B867" s="21">
        <v>40969</v>
      </c>
      <c r="C867" s="17">
        <v>38</v>
      </c>
      <c r="D867" s="17" t="s">
        <v>91</v>
      </c>
      <c r="E867" s="14">
        <v>2900676.86</v>
      </c>
      <c r="F867" s="14">
        <v>2677555.15</v>
      </c>
      <c r="G867" s="14">
        <v>2677555.15</v>
      </c>
      <c r="H867" s="22">
        <f>F867*(1+Assumptions!$B$6+IF(D867="Yes",Assumptions!$C$6,0))</f>
        <v>2757881.8045000001</v>
      </c>
      <c r="I867" s="22">
        <f>F867*(1+Assumptions!$B$7+IF(D867="Yes",Assumptions!$C$7,0))</f>
        <v>2811432.9075000002</v>
      </c>
      <c r="J867" s="22">
        <f>F867*(1+Assumptions!$B$8+IF(D867="Yes",Assumptions!$C$8,0))</f>
        <v>2704330.7015</v>
      </c>
    </row>
    <row r="868" spans="1:10" ht="15">
      <c r="A868" s="21">
        <v>40991</v>
      </c>
      <c r="B868" s="21">
        <v>40969</v>
      </c>
      <c r="C868" s="17">
        <v>40</v>
      </c>
      <c r="D868" s="17" t="s">
        <v>91</v>
      </c>
      <c r="E868" s="14">
        <v>2075683.81</v>
      </c>
      <c r="F868" s="14">
        <v>2019366.7</v>
      </c>
      <c r="G868" s="14">
        <v>2019366.7</v>
      </c>
      <c r="H868" s="22">
        <f>F868*(1+Assumptions!$B$6+IF(D868="Yes",Assumptions!$C$6,0))</f>
        <v>2079947.7010000001</v>
      </c>
      <c r="I868" s="22">
        <f>F868*(1+Assumptions!$B$7+IF(D868="Yes",Assumptions!$C$7,0))</f>
        <v>2120335.0350000001</v>
      </c>
      <c r="J868" s="22">
        <f>F868*(1+Assumptions!$B$8+IF(D868="Yes",Assumptions!$C$8,0))</f>
        <v>2039560.3670000001</v>
      </c>
    </row>
    <row r="869" spans="1:10" ht="15">
      <c r="A869" s="21">
        <v>40991</v>
      </c>
      <c r="B869" s="21">
        <v>40969</v>
      </c>
      <c r="C869" s="17">
        <v>41</v>
      </c>
      <c r="D869" s="17" t="s">
        <v>91</v>
      </c>
      <c r="E869" s="14">
        <v>57699.01</v>
      </c>
      <c r="F869" s="14">
        <v>58405.68</v>
      </c>
      <c r="G869" s="14">
        <v>58405.68</v>
      </c>
      <c r="H869" s="22">
        <f>F869*(1+Assumptions!$B$6+IF(D869="Yes",Assumptions!$C$6,0))</f>
        <v>60157.850400000003</v>
      </c>
      <c r="I869" s="22">
        <f>F869*(1+Assumptions!$B$7+IF(D869="Yes",Assumptions!$C$7,0))</f>
        <v>61325.964</v>
      </c>
      <c r="J869" s="22">
        <f>F869*(1+Assumptions!$B$8+IF(D869="Yes",Assumptions!$C$8,0))</f>
        <v>58989.736799999999</v>
      </c>
    </row>
    <row r="870" spans="1:10" ht="15">
      <c r="A870" s="21">
        <v>40991</v>
      </c>
      <c r="B870" s="21">
        <v>40969</v>
      </c>
      <c r="C870" s="17">
        <v>42</v>
      </c>
      <c r="D870" s="17" t="s">
        <v>91</v>
      </c>
      <c r="E870" s="14">
        <v>257354.47999999998</v>
      </c>
      <c r="F870" s="14">
        <v>231225.08</v>
      </c>
      <c r="G870" s="14">
        <v>231225.08</v>
      </c>
      <c r="H870" s="22">
        <f>F870*(1+Assumptions!$B$6+IF(D870="Yes",Assumptions!$C$6,0))</f>
        <v>238161.83239999998</v>
      </c>
      <c r="I870" s="22">
        <f>F870*(1+Assumptions!$B$7+IF(D870="Yes",Assumptions!$C$7,0))</f>
        <v>242786.334</v>
      </c>
      <c r="J870" s="22">
        <f>F870*(1+Assumptions!$B$8+IF(D870="Yes",Assumptions!$C$8,0))</f>
        <v>233537.3308</v>
      </c>
    </row>
    <row r="871" spans="1:10" ht="15">
      <c r="A871" s="21">
        <v>40991</v>
      </c>
      <c r="B871" s="21">
        <v>40969</v>
      </c>
      <c r="C871" s="17">
        <v>44</v>
      </c>
      <c r="D871" s="17" t="s">
        <v>91</v>
      </c>
      <c r="E871" s="14">
        <v>150872.29</v>
      </c>
      <c r="F871" s="14">
        <v>154451.32</v>
      </c>
      <c r="G871" s="14">
        <v>154451.32</v>
      </c>
      <c r="H871" s="22">
        <f>F871*(1+Assumptions!$B$6+IF(D871="Yes",Assumptions!$C$6,0))</f>
        <v>159084.85960000003</v>
      </c>
      <c r="I871" s="22">
        <f>F871*(1+Assumptions!$B$7+IF(D871="Yes",Assumptions!$C$7,0))</f>
        <v>162173.88600000003</v>
      </c>
      <c r="J871" s="22">
        <f>F871*(1+Assumptions!$B$8+IF(D871="Yes",Assumptions!$C$8,0))</f>
        <v>155995.83320000002</v>
      </c>
    </row>
    <row r="872" spans="1:10" ht="15">
      <c r="A872" s="21">
        <v>40991</v>
      </c>
      <c r="B872" s="21">
        <v>40969</v>
      </c>
      <c r="C872" s="17">
        <v>45</v>
      </c>
      <c r="D872" s="17" t="s">
        <v>91</v>
      </c>
      <c r="E872" s="14">
        <v>146.43</v>
      </c>
      <c r="F872" s="14">
        <v>157.88999999999999</v>
      </c>
      <c r="G872" s="14">
        <v>157.88999999999999</v>
      </c>
      <c r="H872" s="22">
        <f>F872*(1+Assumptions!$B$6+IF(D872="Yes",Assumptions!$C$6,0))</f>
        <v>162.6267</v>
      </c>
      <c r="I872" s="22">
        <f>F872*(1+Assumptions!$B$7+IF(D872="Yes",Assumptions!$C$7,0))</f>
        <v>165.78449999999998</v>
      </c>
      <c r="J872" s="22">
        <f>F872*(1+Assumptions!$B$8+IF(D872="Yes",Assumptions!$C$8,0))</f>
        <v>159.46889999999999</v>
      </c>
    </row>
    <row r="873" spans="1:10" ht="15">
      <c r="A873" s="21">
        <v>40991</v>
      </c>
      <c r="B873" s="21">
        <v>40969</v>
      </c>
      <c r="C873" s="17">
        <v>46</v>
      </c>
      <c r="D873" s="17" t="s">
        <v>91</v>
      </c>
      <c r="E873" s="14">
        <v>877795.65</v>
      </c>
      <c r="F873" s="14">
        <v>862333.58</v>
      </c>
      <c r="G873" s="14">
        <v>862333.58</v>
      </c>
      <c r="H873" s="22">
        <f>F873*(1+Assumptions!$B$6+IF(D873="Yes",Assumptions!$C$6,0))</f>
        <v>888203.58739999996</v>
      </c>
      <c r="I873" s="22">
        <f>F873*(1+Assumptions!$B$7+IF(D873="Yes",Assumptions!$C$7,0))</f>
        <v>905450.25899999996</v>
      </c>
      <c r="J873" s="22">
        <f>F873*(1+Assumptions!$B$8+IF(D873="Yes",Assumptions!$C$8,0))</f>
        <v>870956.91579999996</v>
      </c>
    </row>
    <row r="874" spans="1:10" ht="15">
      <c r="A874" s="21">
        <v>40991</v>
      </c>
      <c r="B874" s="21">
        <v>40969</v>
      </c>
      <c r="C874" s="17">
        <v>47</v>
      </c>
      <c r="D874" s="17" t="s">
        <v>91</v>
      </c>
      <c r="E874" s="14">
        <v>-259</v>
      </c>
      <c r="F874" s="14">
        <v>-298</v>
      </c>
      <c r="G874" s="14">
        <v>-298</v>
      </c>
      <c r="H874" s="22">
        <f>F874*(1+Assumptions!$B$6+IF(D874="Yes",Assumptions!$C$6,0))</f>
        <v>-306.94</v>
      </c>
      <c r="I874" s="22">
        <f>F874*(1+Assumptions!$B$7+IF(D874="Yes",Assumptions!$C$7,0))</f>
        <v>-312.90000000000003</v>
      </c>
      <c r="J874" s="22">
        <f>F874*(1+Assumptions!$B$8+IF(D874="Yes",Assumptions!$C$8,0))</f>
        <v>-300.98</v>
      </c>
    </row>
    <row r="875" spans="1:10" ht="15">
      <c r="A875" s="21">
        <v>40991</v>
      </c>
      <c r="B875" s="21">
        <v>40969</v>
      </c>
      <c r="C875" s="17">
        <v>48</v>
      </c>
      <c r="D875" s="17" t="s">
        <v>91</v>
      </c>
      <c r="E875" s="14">
        <v>20571</v>
      </c>
      <c r="F875" s="14">
        <v>11829.3</v>
      </c>
      <c r="G875" s="14">
        <v>11829.3</v>
      </c>
      <c r="H875" s="22">
        <f>F875*(1+Assumptions!$B$6+IF(D875="Yes",Assumptions!$C$6,0))</f>
        <v>12184.179</v>
      </c>
      <c r="I875" s="22">
        <f>F875*(1+Assumptions!$B$7+IF(D875="Yes",Assumptions!$C$7,0))</f>
        <v>12420.764999999999</v>
      </c>
      <c r="J875" s="22">
        <f>F875*(1+Assumptions!$B$8+IF(D875="Yes",Assumptions!$C$8,0))</f>
        <v>11947.592999999999</v>
      </c>
    </row>
    <row r="876" spans="1:10" ht="15">
      <c r="A876" s="21">
        <v>40991</v>
      </c>
      <c r="B876" s="21">
        <v>40969</v>
      </c>
      <c r="C876" s="17">
        <v>49</v>
      </c>
      <c r="D876" s="17" t="s">
        <v>91</v>
      </c>
      <c r="E876" s="14">
        <v>288828.03999999998</v>
      </c>
      <c r="F876" s="14">
        <v>296545.21000000002</v>
      </c>
      <c r="G876" s="14">
        <v>296545.21000000002</v>
      </c>
      <c r="H876" s="22">
        <f>F876*(1+Assumptions!$B$6+IF(D876="Yes",Assumptions!$C$6,0))</f>
        <v>305441.56630000001</v>
      </c>
      <c r="I876" s="22">
        <f>F876*(1+Assumptions!$B$7+IF(D876="Yes",Assumptions!$C$7,0))</f>
        <v>311372.47050000005</v>
      </c>
      <c r="J876" s="22">
        <f>F876*(1+Assumptions!$B$8+IF(D876="Yes",Assumptions!$C$8,0))</f>
        <v>299510.66210000002</v>
      </c>
    </row>
    <row r="877" spans="1:10" ht="15">
      <c r="A877" s="21">
        <v>40991</v>
      </c>
      <c r="B877" s="21">
        <v>40969</v>
      </c>
      <c r="C877" s="17">
        <v>50</v>
      </c>
      <c r="D877" s="17" t="s">
        <v>91</v>
      </c>
      <c r="E877" s="14">
        <v>35849.35</v>
      </c>
      <c r="F877" s="14">
        <v>31302.080000000002</v>
      </c>
      <c r="G877" s="14">
        <v>31302.080000000002</v>
      </c>
      <c r="H877" s="22">
        <f>F877*(1+Assumptions!$B$6+IF(D877="Yes",Assumptions!$C$6,0))</f>
        <v>32241.142400000004</v>
      </c>
      <c r="I877" s="22">
        <f>F877*(1+Assumptions!$B$7+IF(D877="Yes",Assumptions!$C$7,0))</f>
        <v>32867.184000000001</v>
      </c>
      <c r="J877" s="22">
        <f>F877*(1+Assumptions!$B$8+IF(D877="Yes",Assumptions!$C$8,0))</f>
        <v>31615.100800000004</v>
      </c>
    </row>
    <row r="878" spans="1:10" ht="15">
      <c r="A878" s="21">
        <v>40991</v>
      </c>
      <c r="B878" s="21">
        <v>40969</v>
      </c>
      <c r="C878" s="17">
        <v>51</v>
      </c>
      <c r="D878" s="17" t="s">
        <v>91</v>
      </c>
      <c r="E878" s="14">
        <v>9.1199999999999992</v>
      </c>
      <c r="F878" s="14">
        <v>8.68</v>
      </c>
      <c r="G878" s="14">
        <v>8.68</v>
      </c>
      <c r="H878" s="22">
        <f>F878*(1+Assumptions!$B$6+IF(D878="Yes",Assumptions!$C$6,0))</f>
        <v>8.9404000000000003</v>
      </c>
      <c r="I878" s="22">
        <f>F878*(1+Assumptions!$B$7+IF(D878="Yes",Assumptions!$C$7,0))</f>
        <v>9.1140000000000008</v>
      </c>
      <c r="J878" s="22">
        <f>F878*(1+Assumptions!$B$8+IF(D878="Yes",Assumptions!$C$8,0))</f>
        <v>8.7667999999999999</v>
      </c>
    </row>
    <row r="879" spans="1:10" ht="15">
      <c r="A879" s="21">
        <v>40991</v>
      </c>
      <c r="B879" s="21">
        <v>40969</v>
      </c>
      <c r="C879" s="17">
        <v>52</v>
      </c>
      <c r="D879" s="17" t="s">
        <v>91</v>
      </c>
      <c r="E879" s="14">
        <v>80554.899999999994</v>
      </c>
      <c r="F879" s="14">
        <v>83096.22</v>
      </c>
      <c r="G879" s="14">
        <v>83096.22</v>
      </c>
      <c r="H879" s="22">
        <f>F879*(1+Assumptions!$B$6+IF(D879="Yes",Assumptions!$C$6,0))</f>
        <v>85589.106599999999</v>
      </c>
      <c r="I879" s="22">
        <f>F879*(1+Assumptions!$B$7+IF(D879="Yes",Assumptions!$C$7,0))</f>
        <v>87251.031000000003</v>
      </c>
      <c r="J879" s="22">
        <f>F879*(1+Assumptions!$B$8+IF(D879="Yes",Assumptions!$C$8,0))</f>
        <v>83927.182199999996</v>
      </c>
    </row>
    <row r="880" spans="1:10" ht="15">
      <c r="A880" s="21">
        <v>40991</v>
      </c>
      <c r="B880" s="21">
        <v>40969</v>
      </c>
      <c r="C880" s="17">
        <v>54</v>
      </c>
      <c r="D880" s="17" t="s">
        <v>91</v>
      </c>
      <c r="E880" s="14">
        <v>1211.28</v>
      </c>
      <c r="F880" s="14">
        <v>1424.6</v>
      </c>
      <c r="G880" s="14">
        <v>1424.6</v>
      </c>
      <c r="H880" s="22">
        <f>F880*(1+Assumptions!$B$6+IF(D880="Yes",Assumptions!$C$6,0))</f>
        <v>1467.338</v>
      </c>
      <c r="I880" s="22">
        <f>F880*(1+Assumptions!$B$7+IF(D880="Yes",Assumptions!$C$7,0))</f>
        <v>1495.83</v>
      </c>
      <c r="J880" s="22">
        <f>F880*(1+Assumptions!$B$8+IF(D880="Yes",Assumptions!$C$8,0))</f>
        <v>1438.846</v>
      </c>
    </row>
    <row r="881" spans="1:10" ht="15">
      <c r="A881" s="21">
        <v>40991</v>
      </c>
      <c r="B881" s="21">
        <v>40969</v>
      </c>
      <c r="C881" s="17">
        <v>55</v>
      </c>
      <c r="D881" s="17" t="s">
        <v>91</v>
      </c>
      <c r="E881" s="14">
        <v>304503.36</v>
      </c>
      <c r="F881" s="14">
        <v>382349.66</v>
      </c>
      <c r="G881" s="14">
        <v>382349.66</v>
      </c>
      <c r="H881" s="22">
        <f>F881*(1+Assumptions!$B$6+IF(D881="Yes",Assumptions!$C$6,0))</f>
        <v>393820.14979999996</v>
      </c>
      <c r="I881" s="22">
        <f>F881*(1+Assumptions!$B$7+IF(D881="Yes",Assumptions!$C$7,0))</f>
        <v>401467.14299999998</v>
      </c>
      <c r="J881" s="22">
        <f>F881*(1+Assumptions!$B$8+IF(D881="Yes",Assumptions!$C$8,0))</f>
        <v>386173.15659999999</v>
      </c>
    </row>
    <row r="882" spans="1:10" ht="15">
      <c r="A882" s="21">
        <v>40991</v>
      </c>
      <c r="B882" s="21">
        <v>40969</v>
      </c>
      <c r="C882" s="17">
        <v>56</v>
      </c>
      <c r="D882" s="17" t="s">
        <v>91</v>
      </c>
      <c r="E882" s="14">
        <v>246451.16999999998</v>
      </c>
      <c r="F882" s="14">
        <v>236886.53</v>
      </c>
      <c r="G882" s="14">
        <v>236886.53</v>
      </c>
      <c r="H882" s="22">
        <f>F882*(1+Assumptions!$B$6+IF(D882="Yes",Assumptions!$C$6,0))</f>
        <v>243993.12590000001</v>
      </c>
      <c r="I882" s="22">
        <f>F882*(1+Assumptions!$B$7+IF(D882="Yes",Assumptions!$C$7,0))</f>
        <v>248730.85650000002</v>
      </c>
      <c r="J882" s="22">
        <f>F882*(1+Assumptions!$B$8+IF(D882="Yes",Assumptions!$C$8,0))</f>
        <v>239255.3953</v>
      </c>
    </row>
    <row r="883" spans="1:10" ht="15">
      <c r="A883" s="21">
        <v>40991</v>
      </c>
      <c r="B883" s="21">
        <v>40969</v>
      </c>
      <c r="C883" s="17">
        <v>58</v>
      </c>
      <c r="D883" s="17" t="s">
        <v>91</v>
      </c>
      <c r="E883" s="14">
        <v>81989</v>
      </c>
      <c r="F883" s="14">
        <v>83277.97</v>
      </c>
      <c r="G883" s="14">
        <v>83277.97</v>
      </c>
      <c r="H883" s="22">
        <f>F883*(1+Assumptions!$B$6+IF(D883="Yes",Assumptions!$C$6,0))</f>
        <v>85776.309099999999</v>
      </c>
      <c r="I883" s="22">
        <f>F883*(1+Assumptions!$B$7+IF(D883="Yes",Assumptions!$C$7,0))</f>
        <v>87441.868500000011</v>
      </c>
      <c r="J883" s="22">
        <f>F883*(1+Assumptions!$B$8+IF(D883="Yes",Assumptions!$C$8,0))</f>
        <v>84110.7497</v>
      </c>
    </row>
    <row r="884" spans="1:10" ht="15">
      <c r="A884" s="21">
        <v>40991</v>
      </c>
      <c r="B884" s="21">
        <v>40969</v>
      </c>
      <c r="C884" s="17">
        <v>59</v>
      </c>
      <c r="D884" s="17" t="s">
        <v>91</v>
      </c>
      <c r="E884" s="14">
        <v>9372.2900000000009</v>
      </c>
      <c r="F884" s="14">
        <v>15633.26</v>
      </c>
      <c r="G884" s="14">
        <v>15633.26</v>
      </c>
      <c r="H884" s="22">
        <f>F884*(1+Assumptions!$B$6+IF(D884="Yes",Assumptions!$C$6,0))</f>
        <v>16102.257800000001</v>
      </c>
      <c r="I884" s="22">
        <f>F884*(1+Assumptions!$B$7+IF(D884="Yes",Assumptions!$C$7,0))</f>
        <v>16414.923000000003</v>
      </c>
      <c r="J884" s="22">
        <f>F884*(1+Assumptions!$B$8+IF(D884="Yes",Assumptions!$C$8,0))</f>
        <v>15789.5926</v>
      </c>
    </row>
    <row r="885" spans="1:10" ht="15">
      <c r="A885" s="21">
        <v>40991</v>
      </c>
      <c r="B885" s="21">
        <v>40969</v>
      </c>
      <c r="C885" s="17">
        <v>60</v>
      </c>
      <c r="D885" s="17" t="s">
        <v>91</v>
      </c>
      <c r="E885" s="14">
        <v>11465.8</v>
      </c>
      <c r="F885" s="14">
        <v>11885.7</v>
      </c>
      <c r="G885" s="14">
        <v>11885.7</v>
      </c>
      <c r="H885" s="22">
        <f>F885*(1+Assumptions!$B$6+IF(D885="Yes",Assumptions!$C$6,0))</f>
        <v>12242.271000000001</v>
      </c>
      <c r="I885" s="22">
        <f>F885*(1+Assumptions!$B$7+IF(D885="Yes",Assumptions!$C$7,0))</f>
        <v>12479.985000000001</v>
      </c>
      <c r="J885" s="22">
        <f>F885*(1+Assumptions!$B$8+IF(D885="Yes",Assumptions!$C$8,0))</f>
        <v>12004.557000000001</v>
      </c>
    </row>
    <row r="886" spans="1:10" ht="15">
      <c r="A886" s="21">
        <v>40991</v>
      </c>
      <c r="B886" s="21">
        <v>40969</v>
      </c>
      <c r="C886" s="17">
        <v>65</v>
      </c>
      <c r="D886" s="17" t="s">
        <v>91</v>
      </c>
      <c r="E886" s="14">
        <v>47852.85</v>
      </c>
      <c r="F886" s="14">
        <v>42780.77</v>
      </c>
      <c r="G886" s="14">
        <v>42780.77</v>
      </c>
      <c r="H886" s="22">
        <f>F886*(1+Assumptions!$B$6+IF(D886="Yes",Assumptions!$C$6,0))</f>
        <v>44064.193099999997</v>
      </c>
      <c r="I886" s="22">
        <f>F886*(1+Assumptions!$B$7+IF(D886="Yes",Assumptions!$C$7,0))</f>
        <v>44919.808499999999</v>
      </c>
      <c r="J886" s="22">
        <f>F886*(1+Assumptions!$B$8+IF(D886="Yes",Assumptions!$C$8,0))</f>
        <v>43208.577699999994</v>
      </c>
    </row>
    <row r="887" spans="1:10" ht="15">
      <c r="A887" s="21">
        <v>40991</v>
      </c>
      <c r="B887" s="21">
        <v>40969</v>
      </c>
      <c r="C887" s="17">
        <v>67</v>
      </c>
      <c r="D887" s="17" t="s">
        <v>91</v>
      </c>
      <c r="E887" s="14">
        <v>255619.45</v>
      </c>
      <c r="F887" s="14">
        <v>244774.78</v>
      </c>
      <c r="G887" s="14">
        <v>244774.78</v>
      </c>
      <c r="H887" s="22">
        <f>F887*(1+Assumptions!$B$6+IF(D887="Yes",Assumptions!$C$6,0))</f>
        <v>252118.02340000001</v>
      </c>
      <c r="I887" s="22">
        <f>F887*(1+Assumptions!$B$7+IF(D887="Yes",Assumptions!$C$7,0))</f>
        <v>257013.519</v>
      </c>
      <c r="J887" s="22">
        <f>F887*(1+Assumptions!$B$8+IF(D887="Yes",Assumptions!$C$8,0))</f>
        <v>247222.52780000001</v>
      </c>
    </row>
    <row r="888" spans="1:10" ht="15">
      <c r="A888" s="21">
        <v>40991</v>
      </c>
      <c r="B888" s="21">
        <v>40969</v>
      </c>
      <c r="C888" s="17">
        <v>71</v>
      </c>
      <c r="D888" s="17" t="s">
        <v>91</v>
      </c>
      <c r="E888" s="14">
        <v>202719.05</v>
      </c>
      <c r="F888" s="14">
        <v>204523.12</v>
      </c>
      <c r="G888" s="14">
        <v>204523.12</v>
      </c>
      <c r="H888" s="22">
        <f>F888*(1+Assumptions!$B$6+IF(D888="Yes",Assumptions!$C$6,0))</f>
        <v>210658.81359999999</v>
      </c>
      <c r="I888" s="22">
        <f>F888*(1+Assumptions!$B$7+IF(D888="Yes",Assumptions!$C$7,0))</f>
        <v>214749.27600000001</v>
      </c>
      <c r="J888" s="22">
        <f>F888*(1+Assumptions!$B$8+IF(D888="Yes",Assumptions!$C$8,0))</f>
        <v>206568.3512</v>
      </c>
    </row>
    <row r="889" spans="1:10" ht="15">
      <c r="A889" s="21">
        <v>40991</v>
      </c>
      <c r="B889" s="21">
        <v>40969</v>
      </c>
      <c r="C889" s="17">
        <v>72</v>
      </c>
      <c r="D889" s="17" t="s">
        <v>91</v>
      </c>
      <c r="E889" s="14">
        <v>1710140.94</v>
      </c>
      <c r="F889" s="14">
        <v>1855468.96</v>
      </c>
      <c r="G889" s="14">
        <v>1855468.96</v>
      </c>
      <c r="H889" s="22">
        <f>F889*(1+Assumptions!$B$6+IF(D889="Yes",Assumptions!$C$6,0))</f>
        <v>1911133.0288</v>
      </c>
      <c r="I889" s="22">
        <f>F889*(1+Assumptions!$B$7+IF(D889="Yes",Assumptions!$C$7,0))</f>
        <v>1948242.4080000001</v>
      </c>
      <c r="J889" s="22">
        <f>F889*(1+Assumptions!$B$8+IF(D889="Yes",Assumptions!$C$8,0))</f>
        <v>1874023.6495999999</v>
      </c>
    </row>
    <row r="890" spans="1:10" ht="15">
      <c r="A890" s="21">
        <v>40991</v>
      </c>
      <c r="B890" s="21">
        <v>40969</v>
      </c>
      <c r="C890" s="17">
        <v>74</v>
      </c>
      <c r="D890" s="17" t="s">
        <v>91</v>
      </c>
      <c r="E890" s="14">
        <v>582424.43999999994</v>
      </c>
      <c r="F890" s="14">
        <v>580257.03</v>
      </c>
      <c r="G890" s="14">
        <v>580257.03</v>
      </c>
      <c r="H890" s="22">
        <f>F890*(1+Assumptions!$B$6+IF(D890="Yes",Assumptions!$C$6,0))</f>
        <v>597664.74090000009</v>
      </c>
      <c r="I890" s="22">
        <f>F890*(1+Assumptions!$B$7+IF(D890="Yes",Assumptions!$C$7,0))</f>
        <v>609269.88150000002</v>
      </c>
      <c r="J890" s="22">
        <f>F890*(1+Assumptions!$B$8+IF(D890="Yes",Assumptions!$C$8,0))</f>
        <v>586059.60030000005</v>
      </c>
    </row>
    <row r="891" spans="1:10" ht="15">
      <c r="A891" s="21">
        <v>40991</v>
      </c>
      <c r="B891" s="21">
        <v>40969</v>
      </c>
      <c r="C891" s="17">
        <v>79</v>
      </c>
      <c r="D891" s="17" t="s">
        <v>91</v>
      </c>
      <c r="E891" s="14">
        <v>953269.89</v>
      </c>
      <c r="F891" s="14">
        <v>933500.5</v>
      </c>
      <c r="G891" s="14">
        <v>933500.5</v>
      </c>
      <c r="H891" s="22">
        <f>F891*(1+Assumptions!$B$6+IF(D891="Yes",Assumptions!$C$6,0))</f>
        <v>961505.51500000001</v>
      </c>
      <c r="I891" s="22">
        <f>F891*(1+Assumptions!$B$7+IF(D891="Yes",Assumptions!$C$7,0))</f>
        <v>980175.52500000002</v>
      </c>
      <c r="J891" s="22">
        <f>F891*(1+Assumptions!$B$8+IF(D891="Yes",Assumptions!$C$8,0))</f>
        <v>942835.505</v>
      </c>
    </row>
    <row r="892" spans="1:10" ht="15">
      <c r="A892" s="21">
        <v>40991</v>
      </c>
      <c r="B892" s="21">
        <v>40969</v>
      </c>
      <c r="C892" s="17">
        <v>80</v>
      </c>
      <c r="D892" s="17" t="s">
        <v>91</v>
      </c>
      <c r="E892" s="14">
        <v>474003.26</v>
      </c>
      <c r="F892" s="14">
        <v>472997.14</v>
      </c>
      <c r="G892" s="14">
        <v>472997.14</v>
      </c>
      <c r="H892" s="22">
        <f>F892*(1+Assumptions!$B$6+IF(D892="Yes",Assumptions!$C$6,0))</f>
        <v>487187.05420000001</v>
      </c>
      <c r="I892" s="22">
        <f>F892*(1+Assumptions!$B$7+IF(D892="Yes",Assumptions!$C$7,0))</f>
        <v>496646.99700000003</v>
      </c>
      <c r="J892" s="22">
        <f>F892*(1+Assumptions!$B$8+IF(D892="Yes",Assumptions!$C$8,0))</f>
        <v>477727.11139999999</v>
      </c>
    </row>
    <row r="893" spans="1:10" ht="15">
      <c r="A893" s="21">
        <v>40991</v>
      </c>
      <c r="B893" s="21">
        <v>40969</v>
      </c>
      <c r="C893" s="17">
        <v>81</v>
      </c>
      <c r="D893" s="17" t="s">
        <v>91</v>
      </c>
      <c r="E893" s="14">
        <v>676527.84</v>
      </c>
      <c r="F893" s="14">
        <v>667588.28</v>
      </c>
      <c r="G893" s="14">
        <v>667588.28</v>
      </c>
      <c r="H893" s="22">
        <f>F893*(1+Assumptions!$B$6+IF(D893="Yes",Assumptions!$C$6,0))</f>
        <v>687615.92840000009</v>
      </c>
      <c r="I893" s="22">
        <f>F893*(1+Assumptions!$B$7+IF(D893="Yes",Assumptions!$C$7,0))</f>
        <v>700967.69400000002</v>
      </c>
      <c r="J893" s="22">
        <f>F893*(1+Assumptions!$B$8+IF(D893="Yes",Assumptions!$C$8,0))</f>
        <v>674264.16280000005</v>
      </c>
    </row>
    <row r="894" spans="1:10" ht="15">
      <c r="A894" s="21">
        <v>40991</v>
      </c>
      <c r="B894" s="21">
        <v>40969</v>
      </c>
      <c r="C894" s="17">
        <v>82</v>
      </c>
      <c r="D894" s="17" t="s">
        <v>91</v>
      </c>
      <c r="E894" s="14">
        <v>660507.57999999996</v>
      </c>
      <c r="F894" s="14">
        <v>605300.02</v>
      </c>
      <c r="G894" s="14">
        <v>605300.02</v>
      </c>
      <c r="H894" s="22">
        <f>F894*(1+Assumptions!$B$6+IF(D894="Yes",Assumptions!$C$6,0))</f>
        <v>623459.02060000005</v>
      </c>
      <c r="I894" s="22">
        <f>F894*(1+Assumptions!$B$7+IF(D894="Yes",Assumptions!$C$7,0))</f>
        <v>635565.02100000007</v>
      </c>
      <c r="J894" s="22">
        <f>F894*(1+Assumptions!$B$8+IF(D894="Yes",Assumptions!$C$8,0))</f>
        <v>611353.02020000003</v>
      </c>
    </row>
    <row r="895" spans="1:10" ht="15">
      <c r="A895" s="21">
        <v>40991</v>
      </c>
      <c r="B895" s="21">
        <v>40969</v>
      </c>
      <c r="C895" s="17">
        <v>83</v>
      </c>
      <c r="D895" s="17" t="s">
        <v>91</v>
      </c>
      <c r="E895" s="14">
        <v>141495.75</v>
      </c>
      <c r="F895" s="14">
        <v>141174.07</v>
      </c>
      <c r="G895" s="14">
        <v>141174.07</v>
      </c>
      <c r="H895" s="22">
        <f>F895*(1+Assumptions!$B$6+IF(D895="Yes",Assumptions!$C$6,0))</f>
        <v>145409.29210000002</v>
      </c>
      <c r="I895" s="22">
        <f>F895*(1+Assumptions!$B$7+IF(D895="Yes",Assumptions!$C$7,0))</f>
        <v>148232.77350000001</v>
      </c>
      <c r="J895" s="22">
        <f>F895*(1+Assumptions!$B$8+IF(D895="Yes",Assumptions!$C$8,0))</f>
        <v>142585.8107</v>
      </c>
    </row>
    <row r="896" spans="1:10" ht="15">
      <c r="A896" s="21">
        <v>40991</v>
      </c>
      <c r="B896" s="21">
        <v>40969</v>
      </c>
      <c r="C896" s="17">
        <v>85</v>
      </c>
      <c r="D896" s="17" t="s">
        <v>91</v>
      </c>
      <c r="E896" s="14">
        <v>67816.710000000006</v>
      </c>
      <c r="F896" s="14">
        <v>76428.34</v>
      </c>
      <c r="G896" s="14">
        <v>76428.34</v>
      </c>
      <c r="H896" s="22">
        <f>F896*(1+Assumptions!$B$6+IF(D896="Yes",Assumptions!$C$6,0))</f>
        <v>78721.190199999997</v>
      </c>
      <c r="I896" s="22">
        <f>F896*(1+Assumptions!$B$7+IF(D896="Yes",Assumptions!$C$7,0))</f>
        <v>80249.756999999998</v>
      </c>
      <c r="J896" s="22">
        <f>F896*(1+Assumptions!$B$8+IF(D896="Yes",Assumptions!$C$8,0))</f>
        <v>77192.623399999997</v>
      </c>
    </row>
    <row r="897" spans="1:10" ht="15">
      <c r="A897" s="21">
        <v>40991</v>
      </c>
      <c r="B897" s="21">
        <v>40969</v>
      </c>
      <c r="C897" s="17">
        <v>87</v>
      </c>
      <c r="D897" s="17" t="s">
        <v>91</v>
      </c>
      <c r="E897" s="14">
        <v>593970.87</v>
      </c>
      <c r="F897" s="14">
        <v>532509.56999999995</v>
      </c>
      <c r="G897" s="14">
        <v>532509.56999999995</v>
      </c>
      <c r="H897" s="22">
        <f>F897*(1+Assumptions!$B$6+IF(D897="Yes",Assumptions!$C$6,0))</f>
        <v>548484.85709999991</v>
      </c>
      <c r="I897" s="22">
        <f>F897*(1+Assumptions!$B$7+IF(D897="Yes",Assumptions!$C$7,0))</f>
        <v>559135.04849999992</v>
      </c>
      <c r="J897" s="22">
        <f>F897*(1+Assumptions!$B$8+IF(D897="Yes",Assumptions!$C$8,0))</f>
        <v>537834.6656999999</v>
      </c>
    </row>
    <row r="898" spans="1:10" ht="15">
      <c r="A898" s="21">
        <v>40991</v>
      </c>
      <c r="B898" s="21">
        <v>40969</v>
      </c>
      <c r="C898" s="17">
        <v>90</v>
      </c>
      <c r="D898" s="17" t="s">
        <v>91</v>
      </c>
      <c r="E898" s="14">
        <v>1984775.48</v>
      </c>
      <c r="F898" s="14">
        <v>1915915.32</v>
      </c>
      <c r="G898" s="14">
        <v>1915915.32</v>
      </c>
      <c r="H898" s="22">
        <f>F898*(1+Assumptions!$B$6+IF(D898="Yes",Assumptions!$C$6,0))</f>
        <v>1973392.7796</v>
      </c>
      <c r="I898" s="22">
        <f>F898*(1+Assumptions!$B$7+IF(D898="Yes",Assumptions!$C$7,0))</f>
        <v>2011711.0860000001</v>
      </c>
      <c r="J898" s="22">
        <f>F898*(1+Assumptions!$B$8+IF(D898="Yes",Assumptions!$C$8,0))</f>
        <v>1935074.4732000001</v>
      </c>
    </row>
    <row r="899" spans="1:10" ht="15">
      <c r="A899" s="21">
        <v>40991</v>
      </c>
      <c r="B899" s="21">
        <v>40969</v>
      </c>
      <c r="C899" s="17">
        <v>91</v>
      </c>
      <c r="D899" s="17" t="s">
        <v>91</v>
      </c>
      <c r="E899" s="14">
        <v>1435878.79</v>
      </c>
      <c r="F899" s="14">
        <v>1434119.03</v>
      </c>
      <c r="G899" s="14">
        <v>1434119.03</v>
      </c>
      <c r="H899" s="22">
        <f>F899*(1+Assumptions!$B$6+IF(D899="Yes",Assumptions!$C$6,0))</f>
        <v>1477142.6009</v>
      </c>
      <c r="I899" s="22">
        <f>F899*(1+Assumptions!$B$7+IF(D899="Yes",Assumptions!$C$7,0))</f>
        <v>1505824.9815</v>
      </c>
      <c r="J899" s="22">
        <f>F899*(1+Assumptions!$B$8+IF(D899="Yes",Assumptions!$C$8,0))</f>
        <v>1448460.2202999999</v>
      </c>
    </row>
    <row r="900" spans="1:10" ht="15">
      <c r="A900" s="21">
        <v>40991</v>
      </c>
      <c r="B900" s="21">
        <v>40969</v>
      </c>
      <c r="C900" s="17">
        <v>92</v>
      </c>
      <c r="D900" s="17" t="s">
        <v>91</v>
      </c>
      <c r="E900" s="14">
        <v>3246339.72</v>
      </c>
      <c r="F900" s="14">
        <v>3032727.12</v>
      </c>
      <c r="G900" s="14">
        <v>3032727.12</v>
      </c>
      <c r="H900" s="22">
        <f>F900*(1+Assumptions!$B$6+IF(D900="Yes",Assumptions!$C$6,0))</f>
        <v>3123708.9336000001</v>
      </c>
      <c r="I900" s="22">
        <f>F900*(1+Assumptions!$B$7+IF(D900="Yes",Assumptions!$C$7,0))</f>
        <v>3184363.4760000003</v>
      </c>
      <c r="J900" s="22">
        <f>F900*(1+Assumptions!$B$8+IF(D900="Yes",Assumptions!$C$8,0))</f>
        <v>3063054.3912</v>
      </c>
    </row>
    <row r="901" spans="1:10" ht="15">
      <c r="A901" s="21">
        <v>40991</v>
      </c>
      <c r="B901" s="21">
        <v>40969</v>
      </c>
      <c r="C901" s="17">
        <v>93</v>
      </c>
      <c r="D901" s="17" t="s">
        <v>91</v>
      </c>
      <c r="E901" s="14">
        <v>1018643.35</v>
      </c>
      <c r="F901" s="14">
        <v>966773.66</v>
      </c>
      <c r="G901" s="14">
        <v>966773.66</v>
      </c>
      <c r="H901" s="22">
        <f>F901*(1+Assumptions!$B$6+IF(D901="Yes",Assumptions!$C$6,0))</f>
        <v>995776.8698000001</v>
      </c>
      <c r="I901" s="22">
        <f>F901*(1+Assumptions!$B$7+IF(D901="Yes",Assumptions!$C$7,0))</f>
        <v>1015112.3430000001</v>
      </c>
      <c r="J901" s="22">
        <f>F901*(1+Assumptions!$B$8+IF(D901="Yes",Assumptions!$C$8,0))</f>
        <v>976441.39660000009</v>
      </c>
    </row>
    <row r="902" spans="1:10" ht="15">
      <c r="A902" s="21">
        <v>40991</v>
      </c>
      <c r="B902" s="21">
        <v>40969</v>
      </c>
      <c r="C902" s="17">
        <v>94</v>
      </c>
      <c r="D902" s="17" t="s">
        <v>91</v>
      </c>
      <c r="E902" s="14">
        <v>1235878.33</v>
      </c>
      <c r="F902" s="14">
        <v>1300787.92</v>
      </c>
      <c r="G902" s="14">
        <v>1300787.92</v>
      </c>
      <c r="H902" s="22">
        <f>F902*(1+Assumptions!$B$6+IF(D902="Yes",Assumptions!$C$6,0))</f>
        <v>1339811.5575999999</v>
      </c>
      <c r="I902" s="22">
        <f>F902*(1+Assumptions!$B$7+IF(D902="Yes",Assumptions!$C$7,0))</f>
        <v>1365827.3159999999</v>
      </c>
      <c r="J902" s="22">
        <f>F902*(1+Assumptions!$B$8+IF(D902="Yes",Assumptions!$C$8,0))</f>
        <v>1313795.7992</v>
      </c>
    </row>
    <row r="903" spans="1:10" ht="15">
      <c r="A903" s="21">
        <v>40991</v>
      </c>
      <c r="B903" s="21">
        <v>40969</v>
      </c>
      <c r="C903" s="17">
        <v>95</v>
      </c>
      <c r="D903" s="17" t="s">
        <v>91</v>
      </c>
      <c r="E903" s="14">
        <v>2984946.76</v>
      </c>
      <c r="F903" s="14">
        <v>2877009.63</v>
      </c>
      <c r="G903" s="14">
        <v>2877009.63</v>
      </c>
      <c r="H903" s="22">
        <f>F903*(1+Assumptions!$B$6+IF(D903="Yes",Assumptions!$C$6,0))</f>
        <v>2963319.9188999999</v>
      </c>
      <c r="I903" s="22">
        <f>F903*(1+Assumptions!$B$7+IF(D903="Yes",Assumptions!$C$7,0))</f>
        <v>3020860.1115000001</v>
      </c>
      <c r="J903" s="22">
        <f>F903*(1+Assumptions!$B$8+IF(D903="Yes",Assumptions!$C$8,0))</f>
        <v>2905779.7262999997</v>
      </c>
    </row>
    <row r="904" spans="1:10" ht="15">
      <c r="A904" s="21">
        <v>40991</v>
      </c>
      <c r="B904" s="21">
        <v>40969</v>
      </c>
      <c r="C904" s="17">
        <v>96</v>
      </c>
      <c r="D904" s="17" t="s">
        <v>91</v>
      </c>
      <c r="E904" s="14">
        <v>484187.59</v>
      </c>
      <c r="F904" s="14">
        <v>468175.64</v>
      </c>
      <c r="G904" s="14">
        <v>468175.64</v>
      </c>
      <c r="H904" s="22">
        <f>F904*(1+Assumptions!$B$6+IF(D904="Yes",Assumptions!$C$6,0))</f>
        <v>482220.90920000005</v>
      </c>
      <c r="I904" s="22">
        <f>F904*(1+Assumptions!$B$7+IF(D904="Yes",Assumptions!$C$7,0))</f>
        <v>491584.42200000002</v>
      </c>
      <c r="J904" s="22">
        <f>F904*(1+Assumptions!$B$8+IF(D904="Yes",Assumptions!$C$8,0))</f>
        <v>472857.39640000003</v>
      </c>
    </row>
    <row r="905" spans="1:10" ht="15">
      <c r="A905" s="21">
        <v>40991</v>
      </c>
      <c r="B905" s="21">
        <v>40969</v>
      </c>
      <c r="C905" s="17">
        <v>97</v>
      </c>
      <c r="D905" s="17" t="s">
        <v>91</v>
      </c>
      <c r="E905" s="14">
        <v>572162.69999999995</v>
      </c>
      <c r="F905" s="14">
        <v>563037.31000000006</v>
      </c>
      <c r="G905" s="14">
        <v>563037.31000000006</v>
      </c>
      <c r="H905" s="22">
        <f>F905*(1+Assumptions!$B$6+IF(D905="Yes",Assumptions!$C$6,0))</f>
        <v>579928.42930000008</v>
      </c>
      <c r="I905" s="22">
        <f>F905*(1+Assumptions!$B$7+IF(D905="Yes",Assumptions!$C$7,0))</f>
        <v>591189.17550000013</v>
      </c>
      <c r="J905" s="22">
        <f>F905*(1+Assumptions!$B$8+IF(D905="Yes",Assumptions!$C$8,0))</f>
        <v>568667.68310000002</v>
      </c>
    </row>
    <row r="906" spans="1:10" ht="15">
      <c r="A906" s="21">
        <v>40991</v>
      </c>
      <c r="B906" s="21">
        <v>40969</v>
      </c>
      <c r="C906" s="17">
        <v>98</v>
      </c>
      <c r="D906" s="17" t="s">
        <v>91</v>
      </c>
      <c r="E906" s="14">
        <v>251323.88999999998</v>
      </c>
      <c r="F906" s="14">
        <v>253871.68</v>
      </c>
      <c r="G906" s="14">
        <v>253871.68</v>
      </c>
      <c r="H906" s="22">
        <f>F906*(1+Assumptions!$B$6+IF(D906="Yes",Assumptions!$C$6,0))</f>
        <v>261487.83040000001</v>
      </c>
      <c r="I906" s="22">
        <f>F906*(1+Assumptions!$B$7+IF(D906="Yes",Assumptions!$C$7,0))</f>
        <v>266565.26400000002</v>
      </c>
      <c r="J906" s="22">
        <f>F906*(1+Assumptions!$B$8+IF(D906="Yes",Assumptions!$C$8,0))</f>
        <v>256410.39679999999</v>
      </c>
    </row>
    <row r="907" spans="1:10" ht="15">
      <c r="A907" s="21">
        <v>40998</v>
      </c>
      <c r="B907" s="21">
        <v>40969</v>
      </c>
      <c r="C907" s="17">
        <v>1</v>
      </c>
      <c r="D907" s="17" t="s">
        <v>91</v>
      </c>
      <c r="E907" s="14">
        <v>1170557.93</v>
      </c>
      <c r="F907" s="14">
        <v>781166.1</v>
      </c>
      <c r="G907" s="14">
        <v>781166.1</v>
      </c>
      <c r="H907" s="22">
        <f>F907*(1+Assumptions!$B$6+IF(D907="Yes",Assumptions!$C$6,0))</f>
        <v>804601.08299999998</v>
      </c>
      <c r="I907" s="22">
        <f>F907*(1+Assumptions!$B$7+IF(D907="Yes",Assumptions!$C$7,0))</f>
        <v>820224.40500000003</v>
      </c>
      <c r="J907" s="22">
        <f>F907*(1+Assumptions!$B$8+IF(D907="Yes",Assumptions!$C$8,0))</f>
        <v>788977.76099999994</v>
      </c>
    </row>
    <row r="908" spans="1:10" ht="15">
      <c r="A908" s="21">
        <v>40998</v>
      </c>
      <c r="B908" s="21">
        <v>40969</v>
      </c>
      <c r="C908" s="17">
        <v>2</v>
      </c>
      <c r="D908" s="17" t="s">
        <v>91</v>
      </c>
      <c r="E908" s="14">
        <v>1920718.83</v>
      </c>
      <c r="F908" s="14">
        <v>1875748.52</v>
      </c>
      <c r="G908" s="14">
        <v>1875748.52</v>
      </c>
      <c r="H908" s="22">
        <f>F908*(1+Assumptions!$B$6+IF(D908="Yes",Assumptions!$C$6,0))</f>
        <v>1932020.9756</v>
      </c>
      <c r="I908" s="22">
        <f>F908*(1+Assumptions!$B$7+IF(D908="Yes",Assumptions!$C$7,0))</f>
        <v>1969535.946</v>
      </c>
      <c r="J908" s="22">
        <f>F908*(1+Assumptions!$B$8+IF(D908="Yes",Assumptions!$C$8,0))</f>
        <v>1894506.0052</v>
      </c>
    </row>
    <row r="909" spans="1:10" ht="15">
      <c r="A909" s="21">
        <v>40998</v>
      </c>
      <c r="B909" s="21">
        <v>40969</v>
      </c>
      <c r="C909" s="17">
        <v>3</v>
      </c>
      <c r="D909" s="17" t="s">
        <v>91</v>
      </c>
      <c r="E909" s="14">
        <v>350879.96</v>
      </c>
      <c r="F909" s="14">
        <v>348184.67</v>
      </c>
      <c r="G909" s="14">
        <v>348184.67</v>
      </c>
      <c r="H909" s="22">
        <f>F909*(1+Assumptions!$B$6+IF(D909="Yes",Assumptions!$C$6,0))</f>
        <v>358630.21009999997</v>
      </c>
      <c r="I909" s="22">
        <f>F909*(1+Assumptions!$B$7+IF(D909="Yes",Assumptions!$C$7,0))</f>
        <v>365593.90350000001</v>
      </c>
      <c r="J909" s="22">
        <f>F909*(1+Assumptions!$B$8+IF(D909="Yes",Assumptions!$C$8,0))</f>
        <v>351666.51669999998</v>
      </c>
    </row>
    <row r="910" spans="1:10" ht="15">
      <c r="A910" s="21">
        <v>40998</v>
      </c>
      <c r="B910" s="21">
        <v>40969</v>
      </c>
      <c r="C910" s="17">
        <v>4</v>
      </c>
      <c r="D910" s="17" t="s">
        <v>91</v>
      </c>
      <c r="E910" s="14">
        <v>1115067.1000000001</v>
      </c>
      <c r="F910" s="14">
        <v>1090598.68</v>
      </c>
      <c r="G910" s="14">
        <v>1090598.68</v>
      </c>
      <c r="H910" s="22">
        <f>F910*(1+Assumptions!$B$6+IF(D910="Yes",Assumptions!$C$6,0))</f>
        <v>1123316.6403999999</v>
      </c>
      <c r="I910" s="22">
        <f>F910*(1+Assumptions!$B$7+IF(D910="Yes",Assumptions!$C$7,0))</f>
        <v>1145128.6140000001</v>
      </c>
      <c r="J910" s="22">
        <f>F910*(1+Assumptions!$B$8+IF(D910="Yes",Assumptions!$C$8,0))</f>
        <v>1101504.6668</v>
      </c>
    </row>
    <row r="911" spans="1:10" ht="15">
      <c r="A911" s="21">
        <v>40998</v>
      </c>
      <c r="B911" s="21">
        <v>40969</v>
      </c>
      <c r="C911" s="17">
        <v>5</v>
      </c>
      <c r="D911" s="17" t="s">
        <v>91</v>
      </c>
      <c r="E911" s="14">
        <v>864774.65</v>
      </c>
      <c r="F911" s="14">
        <v>951711.6</v>
      </c>
      <c r="G911" s="14">
        <v>951711.6</v>
      </c>
      <c r="H911" s="22">
        <f>F911*(1+Assumptions!$B$6+IF(D911="Yes",Assumptions!$C$6,0))</f>
        <v>980262.94799999997</v>
      </c>
      <c r="I911" s="22">
        <f>F911*(1+Assumptions!$B$7+IF(D911="Yes",Assumptions!$C$7,0))</f>
        <v>999297.18</v>
      </c>
      <c r="J911" s="22">
        <f>F911*(1+Assumptions!$B$8+IF(D911="Yes",Assumptions!$C$8,0))</f>
        <v>961228.71600000001</v>
      </c>
    </row>
    <row r="912" spans="1:10" ht="15">
      <c r="A912" s="21">
        <v>40998</v>
      </c>
      <c r="B912" s="21">
        <v>40969</v>
      </c>
      <c r="C912" s="17">
        <v>6</v>
      </c>
      <c r="D912" s="17" t="s">
        <v>91</v>
      </c>
      <c r="E912" s="14">
        <v>131464.18</v>
      </c>
      <c r="F912" s="14">
        <v>169431.61</v>
      </c>
      <c r="G912" s="14">
        <v>169431.61</v>
      </c>
      <c r="H912" s="22">
        <f>F912*(1+Assumptions!$B$6+IF(D912="Yes",Assumptions!$C$6,0))</f>
        <v>174514.5583</v>
      </c>
      <c r="I912" s="22">
        <f>F912*(1+Assumptions!$B$7+IF(D912="Yes",Assumptions!$C$7,0))</f>
        <v>177903.1905</v>
      </c>
      <c r="J912" s="22">
        <f>F912*(1+Assumptions!$B$8+IF(D912="Yes",Assumptions!$C$8,0))</f>
        <v>171125.92609999998</v>
      </c>
    </row>
    <row r="913" spans="1:10" ht="15">
      <c r="A913" s="21">
        <v>40998</v>
      </c>
      <c r="B913" s="21">
        <v>40969</v>
      </c>
      <c r="C913" s="17">
        <v>7</v>
      </c>
      <c r="D913" s="17" t="s">
        <v>91</v>
      </c>
      <c r="E913" s="14">
        <v>921327.47</v>
      </c>
      <c r="F913" s="14">
        <v>792626.93</v>
      </c>
      <c r="G913" s="14">
        <v>792626.93</v>
      </c>
      <c r="H913" s="22">
        <f>F913*(1+Assumptions!$B$6+IF(D913="Yes",Assumptions!$C$6,0))</f>
        <v>816405.73790000007</v>
      </c>
      <c r="I913" s="22">
        <f>F913*(1+Assumptions!$B$7+IF(D913="Yes",Assumptions!$C$7,0))</f>
        <v>832258.27650000004</v>
      </c>
      <c r="J913" s="22">
        <f>F913*(1+Assumptions!$B$8+IF(D913="Yes",Assumptions!$C$8,0))</f>
        <v>800553.19930000009</v>
      </c>
    </row>
    <row r="914" spans="1:10" ht="15">
      <c r="A914" s="21">
        <v>40998</v>
      </c>
      <c r="B914" s="21">
        <v>40969</v>
      </c>
      <c r="C914" s="17">
        <v>8</v>
      </c>
      <c r="D914" s="17" t="s">
        <v>91</v>
      </c>
      <c r="E914" s="14">
        <v>1353982.58</v>
      </c>
      <c r="F914" s="14">
        <v>1320036.8900000001</v>
      </c>
      <c r="G914" s="14">
        <v>1320036.8900000001</v>
      </c>
      <c r="H914" s="22">
        <f>F914*(1+Assumptions!$B$6+IF(D914="Yes",Assumptions!$C$6,0))</f>
        <v>1359637.9967000003</v>
      </c>
      <c r="I914" s="22">
        <f>F914*(1+Assumptions!$B$7+IF(D914="Yes",Assumptions!$C$7,0))</f>
        <v>1386038.7345000003</v>
      </c>
      <c r="J914" s="22">
        <f>F914*(1+Assumptions!$B$8+IF(D914="Yes",Assumptions!$C$8,0))</f>
        <v>1333237.2589000002</v>
      </c>
    </row>
    <row r="915" spans="1:10" ht="15">
      <c r="A915" s="21">
        <v>40998</v>
      </c>
      <c r="B915" s="21">
        <v>40969</v>
      </c>
      <c r="C915" s="17">
        <v>9</v>
      </c>
      <c r="D915" s="17" t="s">
        <v>91</v>
      </c>
      <c r="E915" s="14">
        <v>913536.13</v>
      </c>
      <c r="F915" s="14">
        <v>750923.96</v>
      </c>
      <c r="G915" s="14">
        <v>750923.96</v>
      </c>
      <c r="H915" s="22">
        <f>F915*(1+Assumptions!$B$6+IF(D915="Yes",Assumptions!$C$6,0))</f>
        <v>773451.67879999999</v>
      </c>
      <c r="I915" s="22">
        <f>F915*(1+Assumptions!$B$7+IF(D915="Yes",Assumptions!$C$7,0))</f>
        <v>788470.15799999994</v>
      </c>
      <c r="J915" s="22">
        <f>F915*(1+Assumptions!$B$8+IF(D915="Yes",Assumptions!$C$8,0))</f>
        <v>758433.19959999993</v>
      </c>
    </row>
    <row r="916" spans="1:10" ht="15">
      <c r="A916" s="21">
        <v>40998</v>
      </c>
      <c r="B916" s="21">
        <v>40969</v>
      </c>
      <c r="C916" s="17">
        <v>10</v>
      </c>
      <c r="D916" s="17" t="s">
        <v>91</v>
      </c>
      <c r="E916" s="14">
        <v>847394.76</v>
      </c>
      <c r="F916" s="14">
        <v>744930.9</v>
      </c>
      <c r="G916" s="14">
        <v>744930.9</v>
      </c>
      <c r="H916" s="22">
        <f>F916*(1+Assumptions!$B$6+IF(D916="Yes",Assumptions!$C$6,0))</f>
        <v>767278.82700000005</v>
      </c>
      <c r="I916" s="22">
        <f>F916*(1+Assumptions!$B$7+IF(D916="Yes",Assumptions!$C$7,0))</f>
        <v>782177.44500000007</v>
      </c>
      <c r="J916" s="22">
        <f>F916*(1+Assumptions!$B$8+IF(D916="Yes",Assumptions!$C$8,0))</f>
        <v>752380.20900000003</v>
      </c>
    </row>
    <row r="917" spans="1:10" ht="15">
      <c r="A917" s="21">
        <v>40998</v>
      </c>
      <c r="B917" s="21">
        <v>40969</v>
      </c>
      <c r="C917" s="17">
        <v>11</v>
      </c>
      <c r="D917" s="17" t="s">
        <v>91</v>
      </c>
      <c r="E917" s="14">
        <v>550662.96</v>
      </c>
      <c r="F917" s="14">
        <v>510298.05</v>
      </c>
      <c r="G917" s="14">
        <v>510298.05</v>
      </c>
      <c r="H917" s="22">
        <f>F917*(1+Assumptions!$B$6+IF(D917="Yes",Assumptions!$C$6,0))</f>
        <v>525606.9915</v>
      </c>
      <c r="I917" s="22">
        <f>F917*(1+Assumptions!$B$7+IF(D917="Yes",Assumptions!$C$7,0))</f>
        <v>535812.95250000001</v>
      </c>
      <c r="J917" s="22">
        <f>F917*(1+Assumptions!$B$8+IF(D917="Yes",Assumptions!$C$8,0))</f>
        <v>515401.03049999999</v>
      </c>
    </row>
    <row r="918" spans="1:10" ht="15">
      <c r="A918" s="21">
        <v>40998</v>
      </c>
      <c r="B918" s="21">
        <v>40969</v>
      </c>
      <c r="C918" s="17">
        <v>12</v>
      </c>
      <c r="D918" s="17" t="s">
        <v>91</v>
      </c>
      <c r="E918" s="14">
        <v>194711.91</v>
      </c>
      <c r="F918" s="14">
        <v>175413.09</v>
      </c>
      <c r="G918" s="14">
        <v>175413.09</v>
      </c>
      <c r="H918" s="22">
        <f>F918*(1+Assumptions!$B$6+IF(D918="Yes",Assumptions!$C$6,0))</f>
        <v>180675.48269999999</v>
      </c>
      <c r="I918" s="22">
        <f>F918*(1+Assumptions!$B$7+IF(D918="Yes",Assumptions!$C$7,0))</f>
        <v>184183.7445</v>
      </c>
      <c r="J918" s="22">
        <f>F918*(1+Assumptions!$B$8+IF(D918="Yes",Assumptions!$C$8,0))</f>
        <v>177167.22089999999</v>
      </c>
    </row>
    <row r="919" spans="1:10" ht="15">
      <c r="A919" s="21">
        <v>40998</v>
      </c>
      <c r="B919" s="21">
        <v>40969</v>
      </c>
      <c r="C919" s="17">
        <v>13</v>
      </c>
      <c r="D919" s="17" t="s">
        <v>91</v>
      </c>
      <c r="E919" s="14">
        <v>1344799.71</v>
      </c>
      <c r="F919" s="14">
        <v>1331022.8999999999</v>
      </c>
      <c r="G919" s="14">
        <v>1331022.8999999999</v>
      </c>
      <c r="H919" s="22">
        <f>F919*(1+Assumptions!$B$6+IF(D919="Yes",Assumptions!$C$6,0))</f>
        <v>1370953.5869999998</v>
      </c>
      <c r="I919" s="22">
        <f>F919*(1+Assumptions!$B$7+IF(D919="Yes",Assumptions!$C$7,0))</f>
        <v>1397574.0449999999</v>
      </c>
      <c r="J919" s="22">
        <f>F919*(1+Assumptions!$B$8+IF(D919="Yes",Assumptions!$C$8,0))</f>
        <v>1344333.129</v>
      </c>
    </row>
    <row r="920" spans="1:10" ht="15">
      <c r="A920" s="21">
        <v>40998</v>
      </c>
      <c r="B920" s="21">
        <v>40969</v>
      </c>
      <c r="C920" s="17">
        <v>14</v>
      </c>
      <c r="D920" s="17" t="s">
        <v>91</v>
      </c>
      <c r="E920" s="14">
        <v>589989.19999999995</v>
      </c>
      <c r="F920" s="14">
        <v>604639.07999999996</v>
      </c>
      <c r="G920" s="14">
        <v>604639.07999999996</v>
      </c>
      <c r="H920" s="22">
        <f>F920*(1+Assumptions!$B$6+IF(D920="Yes",Assumptions!$C$6,0))</f>
        <v>622778.2524</v>
      </c>
      <c r="I920" s="22">
        <f>F920*(1+Assumptions!$B$7+IF(D920="Yes",Assumptions!$C$7,0))</f>
        <v>634871.03399999999</v>
      </c>
      <c r="J920" s="22">
        <f>F920*(1+Assumptions!$B$8+IF(D920="Yes",Assumptions!$C$8,0))</f>
        <v>610685.47080000001</v>
      </c>
    </row>
    <row r="921" spans="1:10" ht="15">
      <c r="A921" s="21">
        <v>40998</v>
      </c>
      <c r="B921" s="21">
        <v>40969</v>
      </c>
      <c r="C921" s="17">
        <v>16</v>
      </c>
      <c r="D921" s="17" t="s">
        <v>91</v>
      </c>
      <c r="E921" s="14">
        <v>919613.5</v>
      </c>
      <c r="F921" s="14">
        <v>663065.29</v>
      </c>
      <c r="G921" s="14">
        <v>663065.29</v>
      </c>
      <c r="H921" s="22">
        <f>F921*(1+Assumptions!$B$6+IF(D921="Yes",Assumptions!$C$6,0))</f>
        <v>682957.24870000011</v>
      </c>
      <c r="I921" s="22">
        <f>F921*(1+Assumptions!$B$7+IF(D921="Yes",Assumptions!$C$7,0))</f>
        <v>696218.55450000009</v>
      </c>
      <c r="J921" s="22">
        <f>F921*(1+Assumptions!$B$8+IF(D921="Yes",Assumptions!$C$8,0))</f>
        <v>669695.94290000002</v>
      </c>
    </row>
    <row r="922" spans="1:10" ht="15">
      <c r="A922" s="21">
        <v>40998</v>
      </c>
      <c r="B922" s="21">
        <v>40969</v>
      </c>
      <c r="C922" s="17">
        <v>17</v>
      </c>
      <c r="D922" s="17" t="s">
        <v>91</v>
      </c>
      <c r="E922" s="14">
        <v>400171.44</v>
      </c>
      <c r="F922" s="14">
        <v>415459.23</v>
      </c>
      <c r="G922" s="14">
        <v>415459.23</v>
      </c>
      <c r="H922" s="22">
        <f>F922*(1+Assumptions!$B$6+IF(D922="Yes",Assumptions!$C$6,0))</f>
        <v>427923.00689999998</v>
      </c>
      <c r="I922" s="22">
        <f>F922*(1+Assumptions!$B$7+IF(D922="Yes",Assumptions!$C$7,0))</f>
        <v>436232.19150000002</v>
      </c>
      <c r="J922" s="22">
        <f>F922*(1+Assumptions!$B$8+IF(D922="Yes",Assumptions!$C$8,0))</f>
        <v>419613.8223</v>
      </c>
    </row>
    <row r="923" spans="1:10" ht="15">
      <c r="A923" s="21">
        <v>40998</v>
      </c>
      <c r="B923" s="21">
        <v>40969</v>
      </c>
      <c r="C923" s="17">
        <v>18</v>
      </c>
      <c r="D923" s="17" t="s">
        <v>91</v>
      </c>
      <c r="E923" s="14">
        <v>181252.32</v>
      </c>
      <c r="F923" s="14">
        <v>83387.16</v>
      </c>
      <c r="G923" s="14">
        <v>83387.16</v>
      </c>
      <c r="H923" s="22">
        <f>F923*(1+Assumptions!$B$6+IF(D923="Yes",Assumptions!$C$6,0))</f>
        <v>85888.774799999999</v>
      </c>
      <c r="I923" s="22">
        <f>F923*(1+Assumptions!$B$7+IF(D923="Yes",Assumptions!$C$7,0))</f>
        <v>87556.518000000011</v>
      </c>
      <c r="J923" s="22">
        <f>F923*(1+Assumptions!$B$8+IF(D923="Yes",Assumptions!$C$8,0))</f>
        <v>84221.031600000002</v>
      </c>
    </row>
    <row r="924" spans="1:10" ht="15">
      <c r="A924" s="21">
        <v>40998</v>
      </c>
      <c r="B924" s="21">
        <v>40969</v>
      </c>
      <c r="C924" s="17">
        <v>19</v>
      </c>
      <c r="D924" s="17" t="s">
        <v>91</v>
      </c>
      <c r="E924" s="14">
        <v>60913.46</v>
      </c>
      <c r="F924" s="14">
        <v>40052.15</v>
      </c>
      <c r="G924" s="14">
        <v>40052.15</v>
      </c>
      <c r="H924" s="22">
        <f>F924*(1+Assumptions!$B$6+IF(D924="Yes",Assumptions!$C$6,0))</f>
        <v>41253.714500000002</v>
      </c>
      <c r="I924" s="22">
        <f>F924*(1+Assumptions!$B$7+IF(D924="Yes",Assumptions!$C$7,0))</f>
        <v>42054.7575</v>
      </c>
      <c r="J924" s="22">
        <f>F924*(1+Assumptions!$B$8+IF(D924="Yes",Assumptions!$C$8,0))</f>
        <v>40452.671500000004</v>
      </c>
    </row>
    <row r="925" spans="1:10" ht="15">
      <c r="A925" s="21">
        <v>40998</v>
      </c>
      <c r="B925" s="21">
        <v>40969</v>
      </c>
      <c r="C925" s="17">
        <v>20</v>
      </c>
      <c r="D925" s="17" t="s">
        <v>91</v>
      </c>
      <c r="E925" s="14">
        <v>220501.62</v>
      </c>
      <c r="F925" s="14">
        <v>225164.83</v>
      </c>
      <c r="G925" s="14">
        <v>225164.83</v>
      </c>
      <c r="H925" s="22">
        <f>F925*(1+Assumptions!$B$6+IF(D925="Yes",Assumptions!$C$6,0))</f>
        <v>231919.77489999999</v>
      </c>
      <c r="I925" s="22">
        <f>F925*(1+Assumptions!$B$7+IF(D925="Yes",Assumptions!$C$7,0))</f>
        <v>236423.07149999999</v>
      </c>
      <c r="J925" s="22">
        <f>F925*(1+Assumptions!$B$8+IF(D925="Yes",Assumptions!$C$8,0))</f>
        <v>227416.47829999999</v>
      </c>
    </row>
    <row r="926" spans="1:10" ht="15">
      <c r="A926" s="21">
        <v>40998</v>
      </c>
      <c r="B926" s="21">
        <v>40969</v>
      </c>
      <c r="C926" s="17">
        <v>21</v>
      </c>
      <c r="D926" s="17" t="s">
        <v>91</v>
      </c>
      <c r="E926" s="14">
        <v>240477.88</v>
      </c>
      <c r="F926" s="14">
        <v>210987.12</v>
      </c>
      <c r="G926" s="14">
        <v>210987.12</v>
      </c>
      <c r="H926" s="22">
        <f>F926*(1+Assumptions!$B$6+IF(D926="Yes",Assumptions!$C$6,0))</f>
        <v>217316.73360000001</v>
      </c>
      <c r="I926" s="22">
        <f>F926*(1+Assumptions!$B$7+IF(D926="Yes",Assumptions!$C$7,0))</f>
        <v>221536.476</v>
      </c>
      <c r="J926" s="22">
        <f>F926*(1+Assumptions!$B$8+IF(D926="Yes",Assumptions!$C$8,0))</f>
        <v>213096.99119999999</v>
      </c>
    </row>
    <row r="927" spans="1:10" ht="15">
      <c r="A927" s="21">
        <v>40998</v>
      </c>
      <c r="B927" s="21">
        <v>40969</v>
      </c>
      <c r="C927" s="17">
        <v>22</v>
      </c>
      <c r="D927" s="17" t="s">
        <v>91</v>
      </c>
      <c r="E927" s="14">
        <v>371627.99</v>
      </c>
      <c r="F927" s="14">
        <v>376269.48</v>
      </c>
      <c r="G927" s="14">
        <v>376269.48</v>
      </c>
      <c r="H927" s="22">
        <f>F927*(1+Assumptions!$B$6+IF(D927="Yes",Assumptions!$C$6,0))</f>
        <v>387557.56439999997</v>
      </c>
      <c r="I927" s="22">
        <f>F927*(1+Assumptions!$B$7+IF(D927="Yes",Assumptions!$C$7,0))</f>
        <v>395082.95399999997</v>
      </c>
      <c r="J927" s="22">
        <f>F927*(1+Assumptions!$B$8+IF(D927="Yes",Assumptions!$C$8,0))</f>
        <v>380032.17479999998</v>
      </c>
    </row>
    <row r="928" spans="1:10" ht="15">
      <c r="A928" s="21">
        <v>40998</v>
      </c>
      <c r="B928" s="21">
        <v>40969</v>
      </c>
      <c r="C928" s="17">
        <v>23</v>
      </c>
      <c r="D928" s="17" t="s">
        <v>91</v>
      </c>
      <c r="E928" s="14">
        <v>905808.52</v>
      </c>
      <c r="F928" s="14">
        <v>784510.73</v>
      </c>
      <c r="G928" s="14">
        <v>784510.73</v>
      </c>
      <c r="H928" s="22">
        <f>F928*(1+Assumptions!$B$6+IF(D928="Yes",Assumptions!$C$6,0))</f>
        <v>808046.05189999996</v>
      </c>
      <c r="I928" s="22">
        <f>F928*(1+Assumptions!$B$7+IF(D928="Yes",Assumptions!$C$7,0))</f>
        <v>823736.26650000003</v>
      </c>
      <c r="J928" s="22">
        <f>F928*(1+Assumptions!$B$8+IF(D928="Yes",Assumptions!$C$8,0))</f>
        <v>792355.83730000001</v>
      </c>
    </row>
    <row r="929" spans="1:10" ht="15">
      <c r="A929" s="21">
        <v>40998</v>
      </c>
      <c r="B929" s="21">
        <v>40969</v>
      </c>
      <c r="C929" s="17">
        <v>24</v>
      </c>
      <c r="D929" s="17" t="s">
        <v>91</v>
      </c>
      <c r="E929" s="14">
        <v>215686.35</v>
      </c>
      <c r="F929" s="14">
        <v>182005.63</v>
      </c>
      <c r="G929" s="14">
        <v>182005.63</v>
      </c>
      <c r="H929" s="22">
        <f>F929*(1+Assumptions!$B$6+IF(D929="Yes",Assumptions!$C$6,0))</f>
        <v>187465.79890000002</v>
      </c>
      <c r="I929" s="22">
        <f>F929*(1+Assumptions!$B$7+IF(D929="Yes",Assumptions!$C$7,0))</f>
        <v>191105.91150000002</v>
      </c>
      <c r="J929" s="22">
        <f>F929*(1+Assumptions!$B$8+IF(D929="Yes",Assumptions!$C$8,0))</f>
        <v>183825.6863</v>
      </c>
    </row>
    <row r="930" spans="1:10" ht="15">
      <c r="A930" s="21">
        <v>40998</v>
      </c>
      <c r="B930" s="21">
        <v>40969</v>
      </c>
      <c r="C930" s="17">
        <v>25</v>
      </c>
      <c r="D930" s="17" t="s">
        <v>91</v>
      </c>
      <c r="E930" s="14">
        <v>432297.84</v>
      </c>
      <c r="F930" s="14">
        <v>365501.62</v>
      </c>
      <c r="G930" s="14">
        <v>365501.62</v>
      </c>
      <c r="H930" s="22">
        <f>F930*(1+Assumptions!$B$6+IF(D930="Yes",Assumptions!$C$6,0))</f>
        <v>376466.66860000003</v>
      </c>
      <c r="I930" s="22">
        <f>F930*(1+Assumptions!$B$7+IF(D930="Yes",Assumptions!$C$7,0))</f>
        <v>383776.701</v>
      </c>
      <c r="J930" s="22">
        <f>F930*(1+Assumptions!$B$8+IF(D930="Yes",Assumptions!$C$8,0))</f>
        <v>369156.63620000001</v>
      </c>
    </row>
    <row r="931" spans="1:10" ht="15">
      <c r="A931" s="21">
        <v>40998</v>
      </c>
      <c r="B931" s="21">
        <v>40969</v>
      </c>
      <c r="C931" s="17">
        <v>26</v>
      </c>
      <c r="D931" s="17" t="s">
        <v>91</v>
      </c>
      <c r="E931" s="14">
        <v>328824.21000000002</v>
      </c>
      <c r="F931" s="14">
        <v>280411.21000000002</v>
      </c>
      <c r="G931" s="14">
        <v>280411.21000000002</v>
      </c>
      <c r="H931" s="22">
        <f>F931*(1+Assumptions!$B$6+IF(D931="Yes",Assumptions!$C$6,0))</f>
        <v>288823.54630000005</v>
      </c>
      <c r="I931" s="22">
        <f>F931*(1+Assumptions!$B$7+IF(D931="Yes",Assumptions!$C$7,0))</f>
        <v>294431.77050000004</v>
      </c>
      <c r="J931" s="22">
        <f>F931*(1+Assumptions!$B$8+IF(D931="Yes",Assumptions!$C$8,0))</f>
        <v>283215.32210000005</v>
      </c>
    </row>
    <row r="932" spans="1:10" ht="15">
      <c r="A932" s="21">
        <v>40998</v>
      </c>
      <c r="B932" s="21">
        <v>40969</v>
      </c>
      <c r="C932" s="17">
        <v>27</v>
      </c>
      <c r="D932" s="17" t="s">
        <v>91</v>
      </c>
      <c r="E932" s="14">
        <v>56016.56</v>
      </c>
      <c r="F932" s="14">
        <v>52050.94</v>
      </c>
      <c r="G932" s="14">
        <v>52050.94</v>
      </c>
      <c r="H932" s="22">
        <f>F932*(1+Assumptions!$B$6+IF(D932="Yes",Assumptions!$C$6,0))</f>
        <v>53612.468200000003</v>
      </c>
      <c r="I932" s="22">
        <f>F932*(1+Assumptions!$B$7+IF(D932="Yes",Assumptions!$C$7,0))</f>
        <v>54653.487000000008</v>
      </c>
      <c r="J932" s="22">
        <f>F932*(1+Assumptions!$B$8+IF(D932="Yes",Assumptions!$C$8,0))</f>
        <v>52571.449400000005</v>
      </c>
    </row>
    <row r="933" spans="1:10" ht="15">
      <c r="A933" s="21">
        <v>40998</v>
      </c>
      <c r="B933" s="21">
        <v>40969</v>
      </c>
      <c r="C933" s="17">
        <v>28</v>
      </c>
      <c r="D933" s="17" t="s">
        <v>91</v>
      </c>
      <c r="E933" s="14">
        <v>26350.99</v>
      </c>
      <c r="F933" s="14">
        <v>28006.31</v>
      </c>
      <c r="G933" s="14">
        <v>28006.31</v>
      </c>
      <c r="H933" s="22">
        <f>F933*(1+Assumptions!$B$6+IF(D933="Yes",Assumptions!$C$6,0))</f>
        <v>28846.499300000003</v>
      </c>
      <c r="I933" s="22">
        <f>F933*(1+Assumptions!$B$7+IF(D933="Yes",Assumptions!$C$7,0))</f>
        <v>29406.625500000002</v>
      </c>
      <c r="J933" s="22">
        <f>F933*(1+Assumptions!$B$8+IF(D933="Yes",Assumptions!$C$8,0))</f>
        <v>28286.373100000001</v>
      </c>
    </row>
    <row r="934" spans="1:10" ht="15">
      <c r="A934" s="21">
        <v>40998</v>
      </c>
      <c r="B934" s="21">
        <v>40969</v>
      </c>
      <c r="C934" s="17">
        <v>29</v>
      </c>
      <c r="D934" s="17" t="s">
        <v>91</v>
      </c>
      <c r="E934" s="14">
        <v>178826.85</v>
      </c>
      <c r="F934" s="14">
        <v>176361.83000000002</v>
      </c>
      <c r="G934" s="14">
        <v>176361.83000000002</v>
      </c>
      <c r="H934" s="22">
        <f>F934*(1+Assumptions!$B$6+IF(D934="Yes",Assumptions!$C$6,0))</f>
        <v>181652.68490000002</v>
      </c>
      <c r="I934" s="22">
        <f>F934*(1+Assumptions!$B$7+IF(D934="Yes",Assumptions!$C$7,0))</f>
        <v>185179.92150000003</v>
      </c>
      <c r="J934" s="22">
        <f>F934*(1+Assumptions!$B$8+IF(D934="Yes",Assumptions!$C$8,0))</f>
        <v>178125.44830000002</v>
      </c>
    </row>
    <row r="935" spans="1:10" ht="15">
      <c r="A935" s="21">
        <v>40998</v>
      </c>
      <c r="B935" s="21">
        <v>40969</v>
      </c>
      <c r="C935" s="17">
        <v>30</v>
      </c>
      <c r="D935" s="17" t="s">
        <v>91</v>
      </c>
      <c r="E935" s="14">
        <v>152248.16</v>
      </c>
      <c r="F935" s="14">
        <v>159003.49</v>
      </c>
      <c r="G935" s="14">
        <v>159003.49</v>
      </c>
      <c r="H935" s="22">
        <f>F935*(1+Assumptions!$B$6+IF(D935="Yes",Assumptions!$C$6,0))</f>
        <v>163773.59469999999</v>
      </c>
      <c r="I935" s="22">
        <f>F935*(1+Assumptions!$B$7+IF(D935="Yes",Assumptions!$C$7,0))</f>
        <v>166953.66449999998</v>
      </c>
      <c r="J935" s="22">
        <f>F935*(1+Assumptions!$B$8+IF(D935="Yes",Assumptions!$C$8,0))</f>
        <v>160593.52489999999</v>
      </c>
    </row>
    <row r="936" spans="1:10" ht="15">
      <c r="A936" s="21">
        <v>40998</v>
      </c>
      <c r="B936" s="21">
        <v>40969</v>
      </c>
      <c r="C936" s="17">
        <v>31</v>
      </c>
      <c r="D936" s="17" t="s">
        <v>91</v>
      </c>
      <c r="E936" s="14">
        <v>60529.65</v>
      </c>
      <c r="F936" s="14">
        <v>73441.83</v>
      </c>
      <c r="G936" s="14">
        <v>73441.83</v>
      </c>
      <c r="H936" s="22">
        <f>F936*(1+Assumptions!$B$6+IF(D936="Yes",Assumptions!$C$6,0))</f>
        <v>75645.084900000002</v>
      </c>
      <c r="I936" s="22">
        <f>F936*(1+Assumptions!$B$7+IF(D936="Yes",Assumptions!$C$7,0))</f>
        <v>77113.921500000011</v>
      </c>
      <c r="J936" s="22">
        <f>F936*(1+Assumptions!$B$8+IF(D936="Yes",Assumptions!$C$8,0))</f>
        <v>74176.248300000007</v>
      </c>
    </row>
    <row r="937" spans="1:10" ht="15">
      <c r="A937" s="21">
        <v>40998</v>
      </c>
      <c r="B937" s="21">
        <v>40969</v>
      </c>
      <c r="C937" s="17">
        <v>32</v>
      </c>
      <c r="D937" s="17" t="s">
        <v>91</v>
      </c>
      <c r="E937" s="14">
        <v>226254.01</v>
      </c>
      <c r="F937" s="14">
        <v>213269.9</v>
      </c>
      <c r="G937" s="14">
        <v>213269.9</v>
      </c>
      <c r="H937" s="22">
        <f>F937*(1+Assumptions!$B$6+IF(D937="Yes",Assumptions!$C$6,0))</f>
        <v>219667.997</v>
      </c>
      <c r="I937" s="22">
        <f>F937*(1+Assumptions!$B$7+IF(D937="Yes",Assumptions!$C$7,0))</f>
        <v>223933.39499999999</v>
      </c>
      <c r="J937" s="22">
        <f>F937*(1+Assumptions!$B$8+IF(D937="Yes",Assumptions!$C$8,0))</f>
        <v>215402.59899999999</v>
      </c>
    </row>
    <row r="938" spans="1:10" ht="15">
      <c r="A938" s="21">
        <v>40998</v>
      </c>
      <c r="B938" s="21">
        <v>40969</v>
      </c>
      <c r="C938" s="17">
        <v>33</v>
      </c>
      <c r="D938" s="17" t="s">
        <v>91</v>
      </c>
      <c r="E938" s="14">
        <v>218277.79</v>
      </c>
      <c r="F938" s="14">
        <v>188799.51</v>
      </c>
      <c r="G938" s="14">
        <v>188799.51</v>
      </c>
      <c r="H938" s="22">
        <f>F938*(1+Assumptions!$B$6+IF(D938="Yes",Assumptions!$C$6,0))</f>
        <v>194463.49530000001</v>
      </c>
      <c r="I938" s="22">
        <f>F938*(1+Assumptions!$B$7+IF(D938="Yes",Assumptions!$C$7,0))</f>
        <v>198239.48550000001</v>
      </c>
      <c r="J938" s="22">
        <f>F938*(1+Assumptions!$B$8+IF(D938="Yes",Assumptions!$C$8,0))</f>
        <v>190687.50510000001</v>
      </c>
    </row>
    <row r="939" spans="1:10" ht="15">
      <c r="A939" s="21">
        <v>40998</v>
      </c>
      <c r="B939" s="21">
        <v>40969</v>
      </c>
      <c r="C939" s="17">
        <v>34</v>
      </c>
      <c r="D939" s="17" t="s">
        <v>91</v>
      </c>
      <c r="E939" s="14">
        <v>604670.25</v>
      </c>
      <c r="F939" s="14">
        <v>505393.05</v>
      </c>
      <c r="G939" s="14">
        <v>505393.05</v>
      </c>
      <c r="H939" s="22">
        <f>F939*(1+Assumptions!$B$6+IF(D939="Yes",Assumptions!$C$6,0))</f>
        <v>520554.84149999998</v>
      </c>
      <c r="I939" s="22">
        <f>F939*(1+Assumptions!$B$7+IF(D939="Yes",Assumptions!$C$7,0))</f>
        <v>530662.70250000001</v>
      </c>
      <c r="J939" s="22">
        <f>F939*(1+Assumptions!$B$8+IF(D939="Yes",Assumptions!$C$8,0))</f>
        <v>510446.98050000001</v>
      </c>
    </row>
    <row r="940" spans="1:10" ht="15">
      <c r="A940" s="21">
        <v>40998</v>
      </c>
      <c r="B940" s="21">
        <v>40969</v>
      </c>
      <c r="C940" s="17">
        <v>35</v>
      </c>
      <c r="D940" s="17" t="s">
        <v>91</v>
      </c>
      <c r="E940" s="14">
        <v>121275.53</v>
      </c>
      <c r="F940" s="14">
        <v>105849.63</v>
      </c>
      <c r="G940" s="14">
        <v>105849.63</v>
      </c>
      <c r="H940" s="22">
        <f>F940*(1+Assumptions!$B$6+IF(D940="Yes",Assumptions!$C$6,0))</f>
        <v>109025.1189</v>
      </c>
      <c r="I940" s="22">
        <f>F940*(1+Assumptions!$B$7+IF(D940="Yes",Assumptions!$C$7,0))</f>
        <v>111142.11150000001</v>
      </c>
      <c r="J940" s="22">
        <f>F940*(1+Assumptions!$B$8+IF(D940="Yes",Assumptions!$C$8,0))</f>
        <v>106908.1263</v>
      </c>
    </row>
    <row r="941" spans="1:10" ht="15">
      <c r="A941" s="21">
        <v>40998</v>
      </c>
      <c r="B941" s="21">
        <v>40969</v>
      </c>
      <c r="C941" s="17">
        <v>36</v>
      </c>
      <c r="D941" s="17" t="s">
        <v>91</v>
      </c>
      <c r="E941" s="14">
        <v>75426.92</v>
      </c>
      <c r="F941" s="14">
        <v>63932.1</v>
      </c>
      <c r="G941" s="14">
        <v>63932.1</v>
      </c>
      <c r="H941" s="22">
        <f>F941*(1+Assumptions!$B$6+IF(D941="Yes",Assumptions!$C$6,0))</f>
        <v>65850.062999999995</v>
      </c>
      <c r="I941" s="22">
        <f>F941*(1+Assumptions!$B$7+IF(D941="Yes",Assumptions!$C$7,0))</f>
        <v>67128.705000000002</v>
      </c>
      <c r="J941" s="22">
        <f>F941*(1+Assumptions!$B$8+IF(D941="Yes",Assumptions!$C$8,0))</f>
        <v>64571.421000000002</v>
      </c>
    </row>
    <row r="942" spans="1:10" ht="15">
      <c r="A942" s="21">
        <v>40998</v>
      </c>
      <c r="B942" s="21">
        <v>40969</v>
      </c>
      <c r="C942" s="17">
        <v>37</v>
      </c>
      <c r="D942" s="17" t="s">
        <v>91</v>
      </c>
      <c r="E942" s="14">
        <v>54968.76</v>
      </c>
      <c r="F942" s="14">
        <v>55340.23</v>
      </c>
      <c r="G942" s="14">
        <v>55340.23</v>
      </c>
      <c r="H942" s="22">
        <f>F942*(1+Assumptions!$B$6+IF(D942="Yes",Assumptions!$C$6,0))</f>
        <v>57000.436900000008</v>
      </c>
      <c r="I942" s="22">
        <f>F942*(1+Assumptions!$B$7+IF(D942="Yes",Assumptions!$C$7,0))</f>
        <v>58107.241500000004</v>
      </c>
      <c r="J942" s="22">
        <f>F942*(1+Assumptions!$B$8+IF(D942="Yes",Assumptions!$C$8,0))</f>
        <v>55893.632300000005</v>
      </c>
    </row>
    <row r="943" spans="1:10" ht="15">
      <c r="A943" s="21">
        <v>40998</v>
      </c>
      <c r="B943" s="21">
        <v>40969</v>
      </c>
      <c r="C943" s="17">
        <v>38</v>
      </c>
      <c r="D943" s="17" t="s">
        <v>91</v>
      </c>
      <c r="E943" s="14">
        <v>2944016.09</v>
      </c>
      <c r="F943" s="14">
        <v>2908079.6</v>
      </c>
      <c r="G943" s="14">
        <v>2908079.6</v>
      </c>
      <c r="H943" s="22">
        <f>F943*(1+Assumptions!$B$6+IF(D943="Yes",Assumptions!$C$6,0))</f>
        <v>2995321.9880000004</v>
      </c>
      <c r="I943" s="22">
        <f>F943*(1+Assumptions!$B$7+IF(D943="Yes",Assumptions!$C$7,0))</f>
        <v>3053483.58</v>
      </c>
      <c r="J943" s="22">
        <f>F943*(1+Assumptions!$B$8+IF(D943="Yes",Assumptions!$C$8,0))</f>
        <v>2937160.3960000002</v>
      </c>
    </row>
    <row r="944" spans="1:10" ht="15">
      <c r="A944" s="21">
        <v>40998</v>
      </c>
      <c r="B944" s="21">
        <v>40969</v>
      </c>
      <c r="C944" s="17">
        <v>40</v>
      </c>
      <c r="D944" s="17" t="s">
        <v>91</v>
      </c>
      <c r="E944" s="14">
        <v>2077302.89</v>
      </c>
      <c r="F944" s="14">
        <v>2022973.32</v>
      </c>
      <c r="G944" s="14">
        <v>2022973.32</v>
      </c>
      <c r="H944" s="22">
        <f>F944*(1+Assumptions!$B$6+IF(D944="Yes",Assumptions!$C$6,0))</f>
        <v>2083662.5196000002</v>
      </c>
      <c r="I944" s="22">
        <f>F944*(1+Assumptions!$B$7+IF(D944="Yes",Assumptions!$C$7,0))</f>
        <v>2124121.986</v>
      </c>
      <c r="J944" s="22">
        <f>F944*(1+Assumptions!$B$8+IF(D944="Yes",Assumptions!$C$8,0))</f>
        <v>2043203.0532000002</v>
      </c>
    </row>
    <row r="945" spans="1:10" ht="15">
      <c r="A945" s="21">
        <v>40998</v>
      </c>
      <c r="B945" s="21">
        <v>40969</v>
      </c>
      <c r="C945" s="17">
        <v>41</v>
      </c>
      <c r="D945" s="17" t="s">
        <v>91</v>
      </c>
      <c r="E945" s="14">
        <v>53308.33</v>
      </c>
      <c r="F945" s="14">
        <v>59160.82</v>
      </c>
      <c r="G945" s="14">
        <v>59160.82</v>
      </c>
      <c r="H945" s="22">
        <f>F945*(1+Assumptions!$B$6+IF(D945="Yes",Assumptions!$C$6,0))</f>
        <v>60935.6446</v>
      </c>
      <c r="I945" s="22">
        <f>F945*(1+Assumptions!$B$7+IF(D945="Yes",Assumptions!$C$7,0))</f>
        <v>62118.861000000004</v>
      </c>
      <c r="J945" s="22">
        <f>F945*(1+Assumptions!$B$8+IF(D945="Yes",Assumptions!$C$8,0))</f>
        <v>59752.428200000002</v>
      </c>
    </row>
    <row r="946" spans="1:10" ht="15">
      <c r="A946" s="21">
        <v>40998</v>
      </c>
      <c r="B946" s="21">
        <v>40969</v>
      </c>
      <c r="C946" s="17">
        <v>42</v>
      </c>
      <c r="D946" s="17" t="s">
        <v>91</v>
      </c>
      <c r="E946" s="14">
        <v>245701.85</v>
      </c>
      <c r="F946" s="14">
        <v>222522.92</v>
      </c>
      <c r="G946" s="14">
        <v>222522.92</v>
      </c>
      <c r="H946" s="22">
        <f>F946*(1+Assumptions!$B$6+IF(D946="Yes",Assumptions!$C$6,0))</f>
        <v>229198.60760000002</v>
      </c>
      <c r="I946" s="22">
        <f>F946*(1+Assumptions!$B$7+IF(D946="Yes",Assumptions!$C$7,0))</f>
        <v>233649.06600000002</v>
      </c>
      <c r="J946" s="22">
        <f>F946*(1+Assumptions!$B$8+IF(D946="Yes",Assumptions!$C$8,0))</f>
        <v>224748.14920000001</v>
      </c>
    </row>
    <row r="947" spans="1:10" ht="15">
      <c r="A947" s="21">
        <v>40998</v>
      </c>
      <c r="B947" s="21">
        <v>40969</v>
      </c>
      <c r="C947" s="17">
        <v>44</v>
      </c>
      <c r="D947" s="17" t="s">
        <v>91</v>
      </c>
      <c r="E947" s="14">
        <v>156559.07999999999</v>
      </c>
      <c r="F947" s="14">
        <v>162266.89000000001</v>
      </c>
      <c r="G947" s="14">
        <v>162266.89000000001</v>
      </c>
      <c r="H947" s="22">
        <f>F947*(1+Assumptions!$B$6+IF(D947="Yes",Assumptions!$C$6,0))</f>
        <v>167134.89670000001</v>
      </c>
      <c r="I947" s="22">
        <f>F947*(1+Assumptions!$B$7+IF(D947="Yes",Assumptions!$C$7,0))</f>
        <v>170380.23450000002</v>
      </c>
      <c r="J947" s="22">
        <f>F947*(1+Assumptions!$B$8+IF(D947="Yes",Assumptions!$C$8,0))</f>
        <v>163889.5589</v>
      </c>
    </row>
    <row r="948" spans="1:10" ht="15">
      <c r="A948" s="21">
        <v>40998</v>
      </c>
      <c r="B948" s="21">
        <v>40969</v>
      </c>
      <c r="C948" s="17">
        <v>45</v>
      </c>
      <c r="D948" s="17" t="s">
        <v>91</v>
      </c>
      <c r="E948" s="14">
        <v>95.7</v>
      </c>
      <c r="F948" s="14">
        <v>129.66</v>
      </c>
      <c r="G948" s="14">
        <v>129.66</v>
      </c>
      <c r="H948" s="22">
        <f>F948*(1+Assumptions!$B$6+IF(D948="Yes",Assumptions!$C$6,0))</f>
        <v>133.5498</v>
      </c>
      <c r="I948" s="22">
        <f>F948*(1+Assumptions!$B$7+IF(D948="Yes",Assumptions!$C$7,0))</f>
        <v>136.143</v>
      </c>
      <c r="J948" s="22">
        <f>F948*(1+Assumptions!$B$8+IF(D948="Yes",Assumptions!$C$8,0))</f>
        <v>130.95660000000001</v>
      </c>
    </row>
    <row r="949" spans="1:10" ht="15">
      <c r="A949" s="21">
        <v>40998</v>
      </c>
      <c r="B949" s="21">
        <v>40969</v>
      </c>
      <c r="C949" s="17">
        <v>46</v>
      </c>
      <c r="D949" s="17" t="s">
        <v>91</v>
      </c>
      <c r="E949" s="14">
        <v>882787.04</v>
      </c>
      <c r="F949" s="14">
        <v>863932.02</v>
      </c>
      <c r="G949" s="14">
        <v>863932.02</v>
      </c>
      <c r="H949" s="22">
        <f>F949*(1+Assumptions!$B$6+IF(D949="Yes",Assumptions!$C$6,0))</f>
        <v>889849.98060000001</v>
      </c>
      <c r="I949" s="22">
        <f>F949*(1+Assumptions!$B$7+IF(D949="Yes",Assumptions!$C$7,0))</f>
        <v>907128.62100000004</v>
      </c>
      <c r="J949" s="22">
        <f>F949*(1+Assumptions!$B$8+IF(D949="Yes",Assumptions!$C$8,0))</f>
        <v>872571.34019999998</v>
      </c>
    </row>
    <row r="950" spans="1:10" ht="15">
      <c r="A950" s="21">
        <v>40998</v>
      </c>
      <c r="B950" s="21">
        <v>40969</v>
      </c>
      <c r="C950" s="17">
        <v>48</v>
      </c>
      <c r="D950" s="17" t="s">
        <v>91</v>
      </c>
      <c r="E950" s="14">
        <v>22502</v>
      </c>
      <c r="F950" s="14">
        <v>12009</v>
      </c>
      <c r="G950" s="14">
        <v>12009</v>
      </c>
      <c r="H950" s="22">
        <f>F950*(1+Assumptions!$B$6+IF(D950="Yes",Assumptions!$C$6,0))</f>
        <v>12369.27</v>
      </c>
      <c r="I950" s="22">
        <f>F950*(1+Assumptions!$B$7+IF(D950="Yes",Assumptions!$C$7,0))</f>
        <v>12609.45</v>
      </c>
      <c r="J950" s="22">
        <f>F950*(1+Assumptions!$B$8+IF(D950="Yes",Assumptions!$C$8,0))</f>
        <v>12129.09</v>
      </c>
    </row>
    <row r="951" spans="1:10" ht="15">
      <c r="A951" s="21">
        <v>40998</v>
      </c>
      <c r="B951" s="21">
        <v>40969</v>
      </c>
      <c r="C951" s="17">
        <v>49</v>
      </c>
      <c r="D951" s="17" t="s">
        <v>91</v>
      </c>
      <c r="E951" s="14">
        <v>255518.49</v>
      </c>
      <c r="F951" s="14">
        <v>297529.28000000003</v>
      </c>
      <c r="G951" s="14">
        <v>297529.28000000003</v>
      </c>
      <c r="H951" s="22">
        <f>F951*(1+Assumptions!$B$6+IF(D951="Yes",Assumptions!$C$6,0))</f>
        <v>306455.15840000001</v>
      </c>
      <c r="I951" s="22">
        <f>F951*(1+Assumptions!$B$7+IF(D951="Yes",Assumptions!$C$7,0))</f>
        <v>312405.74400000006</v>
      </c>
      <c r="J951" s="22">
        <f>F951*(1+Assumptions!$B$8+IF(D951="Yes",Assumptions!$C$8,0))</f>
        <v>300504.57280000002</v>
      </c>
    </row>
    <row r="952" spans="1:10" ht="15">
      <c r="A952" s="21">
        <v>40998</v>
      </c>
      <c r="B952" s="21">
        <v>40969</v>
      </c>
      <c r="C952" s="17">
        <v>50</v>
      </c>
      <c r="D952" s="17" t="s">
        <v>91</v>
      </c>
      <c r="E952" s="14">
        <v>29562.5</v>
      </c>
      <c r="F952" s="14">
        <v>33786.629999999997</v>
      </c>
      <c r="G952" s="14">
        <v>33786.629999999997</v>
      </c>
      <c r="H952" s="22">
        <f>F952*(1+Assumptions!$B$6+IF(D952="Yes",Assumptions!$C$6,0))</f>
        <v>34800.228899999995</v>
      </c>
      <c r="I952" s="22">
        <f>F952*(1+Assumptions!$B$7+IF(D952="Yes",Assumptions!$C$7,0))</f>
        <v>35475.961499999998</v>
      </c>
      <c r="J952" s="22">
        <f>F952*(1+Assumptions!$B$8+IF(D952="Yes",Assumptions!$C$8,0))</f>
        <v>34124.496299999999</v>
      </c>
    </row>
    <row r="953" spans="1:10" ht="15">
      <c r="A953" s="21">
        <v>40998</v>
      </c>
      <c r="B953" s="21">
        <v>40969</v>
      </c>
      <c r="C953" s="17">
        <v>52</v>
      </c>
      <c r="D953" s="17" t="s">
        <v>91</v>
      </c>
      <c r="E953" s="14">
        <v>82647.41</v>
      </c>
      <c r="F953" s="14">
        <v>82132.649999999994</v>
      </c>
      <c r="G953" s="14">
        <v>82132.649999999994</v>
      </c>
      <c r="H953" s="22">
        <f>F953*(1+Assumptions!$B$6+IF(D953="Yes",Assumptions!$C$6,0))</f>
        <v>84596.629499999995</v>
      </c>
      <c r="I953" s="22">
        <f>F953*(1+Assumptions!$B$7+IF(D953="Yes",Assumptions!$C$7,0))</f>
        <v>86239.282500000001</v>
      </c>
      <c r="J953" s="22">
        <f>F953*(1+Assumptions!$B$8+IF(D953="Yes",Assumptions!$C$8,0))</f>
        <v>82953.97649999999</v>
      </c>
    </row>
    <row r="954" spans="1:10" ht="15">
      <c r="A954" s="21">
        <v>40998</v>
      </c>
      <c r="B954" s="21">
        <v>40969</v>
      </c>
      <c r="C954" s="17">
        <v>54</v>
      </c>
      <c r="D954" s="17" t="s">
        <v>91</v>
      </c>
      <c r="E954" s="14">
        <v>944.38</v>
      </c>
      <c r="F954" s="14">
        <v>1866.72</v>
      </c>
      <c r="G954" s="14">
        <v>1866.72</v>
      </c>
      <c r="H954" s="22">
        <f>F954*(1+Assumptions!$B$6+IF(D954="Yes",Assumptions!$C$6,0))</f>
        <v>1922.7216000000001</v>
      </c>
      <c r="I954" s="22">
        <f>F954*(1+Assumptions!$B$7+IF(D954="Yes",Assumptions!$C$7,0))</f>
        <v>1960.056</v>
      </c>
      <c r="J954" s="22">
        <f>F954*(1+Assumptions!$B$8+IF(D954="Yes",Assumptions!$C$8,0))</f>
        <v>1885.3872000000001</v>
      </c>
    </row>
    <row r="955" spans="1:10" ht="15">
      <c r="A955" s="21">
        <v>40998</v>
      </c>
      <c r="B955" s="21">
        <v>40969</v>
      </c>
      <c r="C955" s="17">
        <v>55</v>
      </c>
      <c r="D955" s="17" t="s">
        <v>91</v>
      </c>
      <c r="E955" s="14">
        <v>305874.75</v>
      </c>
      <c r="F955" s="14">
        <v>391298.72</v>
      </c>
      <c r="G955" s="14">
        <v>391298.72</v>
      </c>
      <c r="H955" s="22">
        <f>F955*(1+Assumptions!$B$6+IF(D955="Yes",Assumptions!$C$6,0))</f>
        <v>403037.68159999995</v>
      </c>
      <c r="I955" s="22">
        <f>F955*(1+Assumptions!$B$7+IF(D955="Yes",Assumptions!$C$7,0))</f>
        <v>410863.65599999996</v>
      </c>
      <c r="J955" s="22">
        <f>F955*(1+Assumptions!$B$8+IF(D955="Yes",Assumptions!$C$8,0))</f>
        <v>395211.70719999995</v>
      </c>
    </row>
    <row r="956" spans="1:10" ht="15">
      <c r="A956" s="21">
        <v>40998</v>
      </c>
      <c r="B956" s="21">
        <v>40969</v>
      </c>
      <c r="C956" s="17">
        <v>56</v>
      </c>
      <c r="D956" s="17" t="s">
        <v>91</v>
      </c>
      <c r="E956" s="14">
        <v>282626.21999999997</v>
      </c>
      <c r="F956" s="14">
        <v>226823.71</v>
      </c>
      <c r="G956" s="14">
        <v>226823.71</v>
      </c>
      <c r="H956" s="22">
        <f>F956*(1+Assumptions!$B$6+IF(D956="Yes",Assumptions!$C$6,0))</f>
        <v>233628.42129999999</v>
      </c>
      <c r="I956" s="22">
        <f>F956*(1+Assumptions!$B$7+IF(D956="Yes",Assumptions!$C$7,0))</f>
        <v>238164.89550000001</v>
      </c>
      <c r="J956" s="22">
        <f>F956*(1+Assumptions!$B$8+IF(D956="Yes",Assumptions!$C$8,0))</f>
        <v>229091.94709999999</v>
      </c>
    </row>
    <row r="957" spans="1:10" ht="15">
      <c r="A957" s="21">
        <v>40998</v>
      </c>
      <c r="B957" s="21">
        <v>40969</v>
      </c>
      <c r="C957" s="17">
        <v>58</v>
      </c>
      <c r="D957" s="17" t="s">
        <v>91</v>
      </c>
      <c r="E957" s="14">
        <v>78190</v>
      </c>
      <c r="F957" s="14">
        <v>85429</v>
      </c>
      <c r="G957" s="14">
        <v>85429</v>
      </c>
      <c r="H957" s="22">
        <f>F957*(1+Assumptions!$B$6+IF(D957="Yes",Assumptions!$C$6,0))</f>
        <v>87991.87</v>
      </c>
      <c r="I957" s="22">
        <f>F957*(1+Assumptions!$B$7+IF(D957="Yes",Assumptions!$C$7,0))</f>
        <v>89700.45</v>
      </c>
      <c r="J957" s="22">
        <f>F957*(1+Assumptions!$B$8+IF(D957="Yes",Assumptions!$C$8,0))</f>
        <v>86283.29</v>
      </c>
    </row>
    <row r="958" spans="1:10" ht="15">
      <c r="A958" s="21">
        <v>40998</v>
      </c>
      <c r="B958" s="21">
        <v>40969</v>
      </c>
      <c r="C958" s="17">
        <v>59</v>
      </c>
      <c r="D958" s="17" t="s">
        <v>91</v>
      </c>
      <c r="E958" s="14">
        <v>9334.58</v>
      </c>
      <c r="F958" s="14">
        <v>14045.8</v>
      </c>
      <c r="G958" s="14">
        <v>14045.8</v>
      </c>
      <c r="H958" s="22">
        <f>F958*(1+Assumptions!$B$6+IF(D958="Yes",Assumptions!$C$6,0))</f>
        <v>14467.173999999999</v>
      </c>
      <c r="I958" s="22">
        <f>F958*(1+Assumptions!$B$7+IF(D958="Yes",Assumptions!$C$7,0))</f>
        <v>14748.09</v>
      </c>
      <c r="J958" s="22">
        <f>F958*(1+Assumptions!$B$8+IF(D958="Yes",Assumptions!$C$8,0))</f>
        <v>14186.258</v>
      </c>
    </row>
    <row r="959" spans="1:10" ht="15">
      <c r="A959" s="21">
        <v>40998</v>
      </c>
      <c r="B959" s="21">
        <v>40969</v>
      </c>
      <c r="C959" s="17">
        <v>60</v>
      </c>
      <c r="D959" s="17" t="s">
        <v>91</v>
      </c>
      <c r="E959" s="14">
        <v>11979</v>
      </c>
      <c r="F959" s="14">
        <v>13539.4</v>
      </c>
      <c r="G959" s="14">
        <v>13539.4</v>
      </c>
      <c r="H959" s="22">
        <f>F959*(1+Assumptions!$B$6+IF(D959="Yes",Assumptions!$C$6,0))</f>
        <v>13945.582</v>
      </c>
      <c r="I959" s="22">
        <f>F959*(1+Assumptions!$B$7+IF(D959="Yes",Assumptions!$C$7,0))</f>
        <v>14216.37</v>
      </c>
      <c r="J959" s="22">
        <f>F959*(1+Assumptions!$B$8+IF(D959="Yes",Assumptions!$C$8,0))</f>
        <v>13674.794</v>
      </c>
    </row>
    <row r="960" spans="1:10" ht="15">
      <c r="A960" s="21">
        <v>40998</v>
      </c>
      <c r="B960" s="21">
        <v>40969</v>
      </c>
      <c r="C960" s="17">
        <v>65</v>
      </c>
      <c r="D960" s="17" t="s">
        <v>91</v>
      </c>
      <c r="E960" s="14">
        <v>49625.7</v>
      </c>
      <c r="F960" s="14">
        <v>47281.16</v>
      </c>
      <c r="G960" s="14">
        <v>47281.16</v>
      </c>
      <c r="H960" s="22">
        <f>F960*(1+Assumptions!$B$6+IF(D960="Yes",Assumptions!$C$6,0))</f>
        <v>48699.594800000006</v>
      </c>
      <c r="I960" s="22">
        <f>F960*(1+Assumptions!$B$7+IF(D960="Yes",Assumptions!$C$7,0))</f>
        <v>49645.218000000008</v>
      </c>
      <c r="J960" s="22">
        <f>F960*(1+Assumptions!$B$8+IF(D960="Yes",Assumptions!$C$8,0))</f>
        <v>47753.971600000004</v>
      </c>
    </row>
    <row r="961" spans="1:10" ht="15">
      <c r="A961" s="21">
        <v>40998</v>
      </c>
      <c r="B961" s="21">
        <v>40969</v>
      </c>
      <c r="C961" s="17">
        <v>67</v>
      </c>
      <c r="D961" s="17" t="s">
        <v>91</v>
      </c>
      <c r="E961" s="14">
        <v>285630.58</v>
      </c>
      <c r="F961" s="14">
        <v>247815.24</v>
      </c>
      <c r="G961" s="14">
        <v>247815.24</v>
      </c>
      <c r="H961" s="22">
        <f>F961*(1+Assumptions!$B$6+IF(D961="Yes",Assumptions!$C$6,0))</f>
        <v>255249.6972</v>
      </c>
      <c r="I961" s="22">
        <f>F961*(1+Assumptions!$B$7+IF(D961="Yes",Assumptions!$C$7,0))</f>
        <v>260206.00200000001</v>
      </c>
      <c r="J961" s="22">
        <f>F961*(1+Assumptions!$B$8+IF(D961="Yes",Assumptions!$C$8,0))</f>
        <v>250293.39239999998</v>
      </c>
    </row>
    <row r="962" spans="1:10" ht="15">
      <c r="A962" s="21">
        <v>40998</v>
      </c>
      <c r="B962" s="21">
        <v>40969</v>
      </c>
      <c r="C962" s="17">
        <v>71</v>
      </c>
      <c r="D962" s="17" t="s">
        <v>91</v>
      </c>
      <c r="E962" s="14">
        <v>186863.05</v>
      </c>
      <c r="F962" s="14">
        <v>197136.5</v>
      </c>
      <c r="G962" s="14">
        <v>197136.5</v>
      </c>
      <c r="H962" s="22">
        <f>F962*(1+Assumptions!$B$6+IF(D962="Yes",Assumptions!$C$6,0))</f>
        <v>203050.595</v>
      </c>
      <c r="I962" s="22">
        <f>F962*(1+Assumptions!$B$7+IF(D962="Yes",Assumptions!$C$7,0))</f>
        <v>206993.32500000001</v>
      </c>
      <c r="J962" s="22">
        <f>F962*(1+Assumptions!$B$8+IF(D962="Yes",Assumptions!$C$8,0))</f>
        <v>199107.86499999999</v>
      </c>
    </row>
    <row r="963" spans="1:10" ht="15">
      <c r="A963" s="21">
        <v>40998</v>
      </c>
      <c r="B963" s="21">
        <v>40969</v>
      </c>
      <c r="C963" s="17">
        <v>72</v>
      </c>
      <c r="D963" s="17" t="s">
        <v>91</v>
      </c>
      <c r="E963" s="14">
        <v>1615556.52</v>
      </c>
      <c r="F963" s="14">
        <v>1799801.86</v>
      </c>
      <c r="G963" s="14">
        <v>1799801.86</v>
      </c>
      <c r="H963" s="22">
        <f>F963*(1+Assumptions!$B$6+IF(D963="Yes",Assumptions!$C$6,0))</f>
        <v>1853795.9158000001</v>
      </c>
      <c r="I963" s="22">
        <f>F963*(1+Assumptions!$B$7+IF(D963="Yes",Assumptions!$C$7,0))</f>
        <v>1889791.9530000002</v>
      </c>
      <c r="J963" s="22">
        <f>F963*(1+Assumptions!$B$8+IF(D963="Yes",Assumptions!$C$8,0))</f>
        <v>1817799.8786000002</v>
      </c>
    </row>
    <row r="964" spans="1:10" ht="15">
      <c r="A964" s="21">
        <v>40998</v>
      </c>
      <c r="B964" s="21">
        <v>40969</v>
      </c>
      <c r="C964" s="17">
        <v>74</v>
      </c>
      <c r="D964" s="17" t="s">
        <v>91</v>
      </c>
      <c r="E964" s="14">
        <v>575287.69999999995</v>
      </c>
      <c r="F964" s="14">
        <v>565140.13</v>
      </c>
      <c r="G964" s="14">
        <v>565140.13</v>
      </c>
      <c r="H964" s="22">
        <f>F964*(1+Assumptions!$B$6+IF(D964="Yes",Assumptions!$C$6,0))</f>
        <v>582094.33389999997</v>
      </c>
      <c r="I964" s="22">
        <f>F964*(1+Assumptions!$B$7+IF(D964="Yes",Assumptions!$C$7,0))</f>
        <v>593397.13650000002</v>
      </c>
      <c r="J964" s="22">
        <f>F964*(1+Assumptions!$B$8+IF(D964="Yes",Assumptions!$C$8,0))</f>
        <v>570791.53130000003</v>
      </c>
    </row>
    <row r="965" spans="1:10" ht="15">
      <c r="A965" s="21">
        <v>40998</v>
      </c>
      <c r="B965" s="21">
        <v>40969</v>
      </c>
      <c r="C965" s="17">
        <v>79</v>
      </c>
      <c r="D965" s="17" t="s">
        <v>91</v>
      </c>
      <c r="E965" s="14">
        <v>942583.49</v>
      </c>
      <c r="F965" s="14">
        <v>1001176.87</v>
      </c>
      <c r="G965" s="14">
        <v>1001176.87</v>
      </c>
      <c r="H965" s="22">
        <f>F965*(1+Assumptions!$B$6+IF(D965="Yes",Assumptions!$C$6,0))</f>
        <v>1031212.1761</v>
      </c>
      <c r="I965" s="22">
        <f>F965*(1+Assumptions!$B$7+IF(D965="Yes",Assumptions!$C$7,0))</f>
        <v>1051235.7135000001</v>
      </c>
      <c r="J965" s="22">
        <f>F965*(1+Assumptions!$B$8+IF(D965="Yes",Assumptions!$C$8,0))</f>
        <v>1011188.6387</v>
      </c>
    </row>
    <row r="966" spans="1:10" ht="15">
      <c r="A966" s="21">
        <v>40998</v>
      </c>
      <c r="B966" s="21">
        <v>40969</v>
      </c>
      <c r="C966" s="17">
        <v>80</v>
      </c>
      <c r="D966" s="17" t="s">
        <v>91</v>
      </c>
      <c r="E966" s="14">
        <v>481317.33</v>
      </c>
      <c r="F966" s="14">
        <v>481294.56</v>
      </c>
      <c r="G966" s="14">
        <v>481294.56</v>
      </c>
      <c r="H966" s="22">
        <f>F966*(1+Assumptions!$B$6+IF(D966="Yes",Assumptions!$C$6,0))</f>
        <v>495733.39679999999</v>
      </c>
      <c r="I966" s="22">
        <f>F966*(1+Assumptions!$B$7+IF(D966="Yes",Assumptions!$C$7,0))</f>
        <v>505359.288</v>
      </c>
      <c r="J966" s="22">
        <f>F966*(1+Assumptions!$B$8+IF(D966="Yes",Assumptions!$C$8,0))</f>
        <v>486107.50559999997</v>
      </c>
    </row>
    <row r="967" spans="1:10" ht="15">
      <c r="A967" s="21">
        <v>40998</v>
      </c>
      <c r="B967" s="21">
        <v>40969</v>
      </c>
      <c r="C967" s="17">
        <v>81</v>
      </c>
      <c r="D967" s="17" t="s">
        <v>91</v>
      </c>
      <c r="E967" s="14">
        <v>676691.77</v>
      </c>
      <c r="F967" s="14">
        <v>676863.75</v>
      </c>
      <c r="G967" s="14">
        <v>676863.75</v>
      </c>
      <c r="H967" s="22">
        <f>F967*(1+Assumptions!$B$6+IF(D967="Yes",Assumptions!$C$6,0))</f>
        <v>697169.66249999998</v>
      </c>
      <c r="I967" s="22">
        <f>F967*(1+Assumptions!$B$7+IF(D967="Yes",Assumptions!$C$7,0))</f>
        <v>710706.9375</v>
      </c>
      <c r="J967" s="22">
        <f>F967*(1+Assumptions!$B$8+IF(D967="Yes",Assumptions!$C$8,0))</f>
        <v>683632.38749999995</v>
      </c>
    </row>
    <row r="968" spans="1:10" ht="15">
      <c r="A968" s="21">
        <v>40998</v>
      </c>
      <c r="B968" s="21">
        <v>40969</v>
      </c>
      <c r="C968" s="17">
        <v>82</v>
      </c>
      <c r="D968" s="17" t="s">
        <v>91</v>
      </c>
      <c r="E968" s="14">
        <v>671001.36</v>
      </c>
      <c r="F968" s="14">
        <v>595140.39</v>
      </c>
      <c r="G968" s="14">
        <v>595140.39</v>
      </c>
      <c r="H968" s="22">
        <f>F968*(1+Assumptions!$B$6+IF(D968="Yes",Assumptions!$C$6,0))</f>
        <v>612994.6017</v>
      </c>
      <c r="I968" s="22">
        <f>F968*(1+Assumptions!$B$7+IF(D968="Yes",Assumptions!$C$7,0))</f>
        <v>624897.40950000007</v>
      </c>
      <c r="J968" s="22">
        <f>F968*(1+Assumptions!$B$8+IF(D968="Yes",Assumptions!$C$8,0))</f>
        <v>601091.79390000005</v>
      </c>
    </row>
    <row r="969" spans="1:10" ht="15">
      <c r="A969" s="21">
        <v>40998</v>
      </c>
      <c r="B969" s="21">
        <v>40969</v>
      </c>
      <c r="C969" s="17">
        <v>83</v>
      </c>
      <c r="D969" s="17" t="s">
        <v>91</v>
      </c>
      <c r="E969" s="14">
        <v>134987.51999999999</v>
      </c>
      <c r="F969" s="14">
        <v>144146.85</v>
      </c>
      <c r="G969" s="14">
        <v>144146.85</v>
      </c>
      <c r="H969" s="22">
        <f>F969*(1+Assumptions!$B$6+IF(D969="Yes",Assumptions!$C$6,0))</f>
        <v>148471.2555</v>
      </c>
      <c r="I969" s="22">
        <f>F969*(1+Assumptions!$B$7+IF(D969="Yes",Assumptions!$C$7,0))</f>
        <v>151354.1925</v>
      </c>
      <c r="J969" s="22">
        <f>F969*(1+Assumptions!$B$8+IF(D969="Yes",Assumptions!$C$8,0))</f>
        <v>145588.31849999999</v>
      </c>
    </row>
    <row r="970" spans="1:10" ht="15">
      <c r="A970" s="21">
        <v>40998</v>
      </c>
      <c r="B970" s="21">
        <v>40969</v>
      </c>
      <c r="C970" s="17">
        <v>85</v>
      </c>
      <c r="D970" s="17" t="s">
        <v>91</v>
      </c>
      <c r="E970" s="14">
        <v>69336.55</v>
      </c>
      <c r="F970" s="14">
        <v>75567.13</v>
      </c>
      <c r="G970" s="14">
        <v>75567.13</v>
      </c>
      <c r="H970" s="22">
        <f>F970*(1+Assumptions!$B$6+IF(D970="Yes",Assumptions!$C$6,0))</f>
        <v>77834.14390000001</v>
      </c>
      <c r="I970" s="22">
        <f>F970*(1+Assumptions!$B$7+IF(D970="Yes",Assumptions!$C$7,0))</f>
        <v>79345.486500000014</v>
      </c>
      <c r="J970" s="22">
        <f>F970*(1+Assumptions!$B$8+IF(D970="Yes",Assumptions!$C$8,0))</f>
        <v>76322.801300000006</v>
      </c>
    </row>
    <row r="971" spans="1:10" ht="15">
      <c r="A971" s="21">
        <v>40998</v>
      </c>
      <c r="B971" s="21">
        <v>40969</v>
      </c>
      <c r="C971" s="17">
        <v>87</v>
      </c>
      <c r="D971" s="17" t="s">
        <v>91</v>
      </c>
      <c r="E971" s="14">
        <v>602435.69999999995</v>
      </c>
      <c r="F971" s="14">
        <v>577019.94000000006</v>
      </c>
      <c r="G971" s="14">
        <v>577019.94000000006</v>
      </c>
      <c r="H971" s="22">
        <f>F971*(1+Assumptions!$B$6+IF(D971="Yes",Assumptions!$C$6,0))</f>
        <v>594330.53820000007</v>
      </c>
      <c r="I971" s="22">
        <f>F971*(1+Assumptions!$B$7+IF(D971="Yes",Assumptions!$C$7,0))</f>
        <v>605870.93700000003</v>
      </c>
      <c r="J971" s="22">
        <f>F971*(1+Assumptions!$B$8+IF(D971="Yes",Assumptions!$C$8,0))</f>
        <v>582790.1394000001</v>
      </c>
    </row>
    <row r="972" spans="1:10" ht="15">
      <c r="A972" s="21">
        <v>40998</v>
      </c>
      <c r="B972" s="21">
        <v>40969</v>
      </c>
      <c r="C972" s="17">
        <v>90</v>
      </c>
      <c r="D972" s="17" t="s">
        <v>91</v>
      </c>
      <c r="E972" s="14">
        <v>1977207.27</v>
      </c>
      <c r="F972" s="14">
        <v>1937032.72</v>
      </c>
      <c r="G972" s="14">
        <v>1937032.72</v>
      </c>
      <c r="H972" s="22">
        <f>F972*(1+Assumptions!$B$6+IF(D972="Yes",Assumptions!$C$6,0))</f>
        <v>1995143.7016</v>
      </c>
      <c r="I972" s="22">
        <f>F972*(1+Assumptions!$B$7+IF(D972="Yes",Assumptions!$C$7,0))</f>
        <v>2033884.3560000001</v>
      </c>
      <c r="J972" s="22">
        <f>F972*(1+Assumptions!$B$8+IF(D972="Yes",Assumptions!$C$8,0))</f>
        <v>1956403.0471999999</v>
      </c>
    </row>
    <row r="973" spans="1:10" ht="15">
      <c r="A973" s="21">
        <v>40998</v>
      </c>
      <c r="B973" s="21">
        <v>40969</v>
      </c>
      <c r="C973" s="17">
        <v>91</v>
      </c>
      <c r="D973" s="17" t="s">
        <v>91</v>
      </c>
      <c r="E973" s="14">
        <v>1439058.1</v>
      </c>
      <c r="F973" s="14">
        <v>1462436.47</v>
      </c>
      <c r="G973" s="14">
        <v>1462436.47</v>
      </c>
      <c r="H973" s="22">
        <f>F973*(1+Assumptions!$B$6+IF(D973="Yes",Assumptions!$C$6,0))</f>
        <v>1506309.5641000001</v>
      </c>
      <c r="I973" s="22">
        <f>F973*(1+Assumptions!$B$7+IF(D973="Yes",Assumptions!$C$7,0))</f>
        <v>1535558.2935000001</v>
      </c>
      <c r="J973" s="22">
        <f>F973*(1+Assumptions!$B$8+IF(D973="Yes",Assumptions!$C$8,0))</f>
        <v>1477060.8347</v>
      </c>
    </row>
    <row r="974" spans="1:10" ht="15">
      <c r="A974" s="21">
        <v>40998</v>
      </c>
      <c r="B974" s="21">
        <v>40969</v>
      </c>
      <c r="C974" s="17">
        <v>92</v>
      </c>
      <c r="D974" s="17" t="s">
        <v>91</v>
      </c>
      <c r="E974" s="14">
        <v>3198482.22</v>
      </c>
      <c r="F974" s="14">
        <v>3083409.37</v>
      </c>
      <c r="G974" s="14">
        <v>3083409.37</v>
      </c>
      <c r="H974" s="22">
        <f>F974*(1+Assumptions!$B$6+IF(D974="Yes",Assumptions!$C$6,0))</f>
        <v>3175911.6511000004</v>
      </c>
      <c r="I974" s="22">
        <f>F974*(1+Assumptions!$B$7+IF(D974="Yes",Assumptions!$C$7,0))</f>
        <v>3237579.8385000001</v>
      </c>
      <c r="J974" s="22">
        <f>F974*(1+Assumptions!$B$8+IF(D974="Yes",Assumptions!$C$8,0))</f>
        <v>3114243.4637000002</v>
      </c>
    </row>
    <row r="975" spans="1:10" ht="15">
      <c r="A975" s="21">
        <v>40998</v>
      </c>
      <c r="B975" s="21">
        <v>40969</v>
      </c>
      <c r="C975" s="17">
        <v>93</v>
      </c>
      <c r="D975" s="17" t="s">
        <v>91</v>
      </c>
      <c r="E975" s="14">
        <v>987996.03</v>
      </c>
      <c r="F975" s="14">
        <v>984592.88</v>
      </c>
      <c r="G975" s="14">
        <v>984592.88</v>
      </c>
      <c r="H975" s="22">
        <f>F975*(1+Assumptions!$B$6+IF(D975="Yes",Assumptions!$C$6,0))</f>
        <v>1014130.6664</v>
      </c>
      <c r="I975" s="22">
        <f>F975*(1+Assumptions!$B$7+IF(D975="Yes",Assumptions!$C$7,0))</f>
        <v>1033822.5240000001</v>
      </c>
      <c r="J975" s="22">
        <f>F975*(1+Assumptions!$B$8+IF(D975="Yes",Assumptions!$C$8,0))</f>
        <v>994438.8088</v>
      </c>
    </row>
    <row r="976" spans="1:10" ht="15">
      <c r="A976" s="21">
        <v>40998</v>
      </c>
      <c r="B976" s="21">
        <v>40969</v>
      </c>
      <c r="C976" s="17">
        <v>94</v>
      </c>
      <c r="D976" s="17" t="s">
        <v>91</v>
      </c>
      <c r="E976" s="14">
        <v>1234067.8600000001</v>
      </c>
      <c r="F976" s="14">
        <v>1321730.81</v>
      </c>
      <c r="G976" s="14">
        <v>1321730.81</v>
      </c>
      <c r="H976" s="22">
        <f>F976*(1+Assumptions!$B$6+IF(D976="Yes",Assumptions!$C$6,0))</f>
        <v>1361382.7343000001</v>
      </c>
      <c r="I976" s="22">
        <f>F976*(1+Assumptions!$B$7+IF(D976="Yes",Assumptions!$C$7,0))</f>
        <v>1387817.3505000002</v>
      </c>
      <c r="J976" s="22">
        <f>F976*(1+Assumptions!$B$8+IF(D976="Yes",Assumptions!$C$8,0))</f>
        <v>1334948.1181000001</v>
      </c>
    </row>
    <row r="977" spans="1:10" ht="15">
      <c r="A977" s="21">
        <v>40998</v>
      </c>
      <c r="B977" s="21">
        <v>40969</v>
      </c>
      <c r="C977" s="17">
        <v>95</v>
      </c>
      <c r="D977" s="17" t="s">
        <v>91</v>
      </c>
      <c r="E977" s="14">
        <v>3036695.24</v>
      </c>
      <c r="F977" s="14">
        <v>2883790.44</v>
      </c>
      <c r="G977" s="14">
        <v>2883790.44</v>
      </c>
      <c r="H977" s="22">
        <f>F977*(1+Assumptions!$B$6+IF(D977="Yes",Assumptions!$C$6,0))</f>
        <v>2970304.1532000001</v>
      </c>
      <c r="I977" s="22">
        <f>F977*(1+Assumptions!$B$7+IF(D977="Yes",Assumptions!$C$7,0))</f>
        <v>3027979.9620000003</v>
      </c>
      <c r="J977" s="22">
        <f>F977*(1+Assumptions!$B$8+IF(D977="Yes",Assumptions!$C$8,0))</f>
        <v>2912628.3443999998</v>
      </c>
    </row>
    <row r="978" spans="1:10" ht="15">
      <c r="A978" s="21">
        <v>40998</v>
      </c>
      <c r="B978" s="21">
        <v>40969</v>
      </c>
      <c r="C978" s="17">
        <v>96</v>
      </c>
      <c r="D978" s="17" t="s">
        <v>91</v>
      </c>
      <c r="E978" s="14">
        <v>508307.59</v>
      </c>
      <c r="F978" s="14">
        <v>459331.69</v>
      </c>
      <c r="G978" s="14">
        <v>459331.69</v>
      </c>
      <c r="H978" s="22">
        <f>F978*(1+Assumptions!$B$6+IF(D978="Yes",Assumptions!$C$6,0))</f>
        <v>473111.64069999999</v>
      </c>
      <c r="I978" s="22">
        <f>F978*(1+Assumptions!$B$7+IF(D978="Yes",Assumptions!$C$7,0))</f>
        <v>482298.2745</v>
      </c>
      <c r="J978" s="22">
        <f>F978*(1+Assumptions!$B$8+IF(D978="Yes",Assumptions!$C$8,0))</f>
        <v>463925.00689999998</v>
      </c>
    </row>
    <row r="979" spans="1:10" ht="15">
      <c r="A979" s="21">
        <v>40998</v>
      </c>
      <c r="B979" s="21">
        <v>40969</v>
      </c>
      <c r="C979" s="17">
        <v>97</v>
      </c>
      <c r="D979" s="17" t="s">
        <v>91</v>
      </c>
      <c r="E979" s="14">
        <v>570840.4</v>
      </c>
      <c r="F979" s="14">
        <v>567987.93000000005</v>
      </c>
      <c r="G979" s="14">
        <v>567987.93000000005</v>
      </c>
      <c r="H979" s="22">
        <f>F979*(1+Assumptions!$B$6+IF(D979="Yes",Assumptions!$C$6,0))</f>
        <v>585027.56790000002</v>
      </c>
      <c r="I979" s="22">
        <f>F979*(1+Assumptions!$B$7+IF(D979="Yes",Assumptions!$C$7,0))</f>
        <v>596387.32650000008</v>
      </c>
      <c r="J979" s="22">
        <f>F979*(1+Assumptions!$B$8+IF(D979="Yes",Assumptions!$C$8,0))</f>
        <v>573667.80930000008</v>
      </c>
    </row>
    <row r="980" spans="1:10" ht="15">
      <c r="A980" s="21">
        <v>40998</v>
      </c>
      <c r="B980" s="21">
        <v>40969</v>
      </c>
      <c r="C980" s="17">
        <v>98</v>
      </c>
      <c r="D980" s="17" t="s">
        <v>91</v>
      </c>
      <c r="E980" s="14">
        <v>250607</v>
      </c>
      <c r="F980" s="14">
        <v>255688.98</v>
      </c>
      <c r="G980" s="14">
        <v>255688.98</v>
      </c>
      <c r="H980" s="22">
        <f>F980*(1+Assumptions!$B$6+IF(D980="Yes",Assumptions!$C$6,0))</f>
        <v>263359.64939999999</v>
      </c>
      <c r="I980" s="22">
        <f>F980*(1+Assumptions!$B$7+IF(D980="Yes",Assumptions!$C$7,0))</f>
        <v>268473.429</v>
      </c>
      <c r="J980" s="22">
        <f>F980*(1+Assumptions!$B$8+IF(D980="Yes",Assumptions!$C$8,0))</f>
        <v>258245.86980000001</v>
      </c>
    </row>
    <row r="981" spans="1:10" ht="15">
      <c r="A981" s="21">
        <v>41005</v>
      </c>
      <c r="B981" s="21">
        <v>41000</v>
      </c>
      <c r="C981" s="17">
        <v>1</v>
      </c>
      <c r="D981" s="17" t="s">
        <v>91</v>
      </c>
      <c r="E981" s="14">
        <v>2492989.92</v>
      </c>
      <c r="F981" s="14">
        <v>927417.45000000007</v>
      </c>
      <c r="G981" s="14">
        <v>927417.45000000007</v>
      </c>
      <c r="H981" s="22">
        <f>F981*(1+Assumptions!$B$6+IF(D981="Yes",Assumptions!$C$6,0))</f>
        <v>955239.97350000008</v>
      </c>
      <c r="I981" s="22">
        <f>F981*(1+Assumptions!$B$7+IF(D981="Yes",Assumptions!$C$7,0))</f>
        <v>973788.32250000013</v>
      </c>
      <c r="J981" s="22">
        <f>F981*(1+Assumptions!$B$8+IF(D981="Yes",Assumptions!$C$8,0))</f>
        <v>936691.62450000003</v>
      </c>
    </row>
    <row r="982" spans="1:10" ht="15">
      <c r="A982" s="21">
        <v>41005</v>
      </c>
      <c r="B982" s="21">
        <v>41000</v>
      </c>
      <c r="C982" s="17">
        <v>2</v>
      </c>
      <c r="D982" s="17" t="s">
        <v>91</v>
      </c>
      <c r="E982" s="14">
        <v>2097789.35</v>
      </c>
      <c r="F982" s="14">
        <v>1939021.8399999999</v>
      </c>
      <c r="G982" s="14">
        <v>1939021.8399999999</v>
      </c>
      <c r="H982" s="22">
        <f>F982*(1+Assumptions!$B$6+IF(D982="Yes",Assumptions!$C$6,0))</f>
        <v>1997192.4952</v>
      </c>
      <c r="I982" s="22">
        <f>F982*(1+Assumptions!$B$7+IF(D982="Yes",Assumptions!$C$7,0))</f>
        <v>2035972.932</v>
      </c>
      <c r="J982" s="22">
        <f>F982*(1+Assumptions!$B$8+IF(D982="Yes",Assumptions!$C$8,0))</f>
        <v>1958412.0584</v>
      </c>
    </row>
    <row r="983" spans="1:10" ht="15">
      <c r="A983" s="21">
        <v>41005</v>
      </c>
      <c r="B983" s="21">
        <v>41000</v>
      </c>
      <c r="C983" s="17">
        <v>3</v>
      </c>
      <c r="D983" s="17" t="s">
        <v>91</v>
      </c>
      <c r="E983" s="14">
        <v>370600.21</v>
      </c>
      <c r="F983" s="14">
        <v>372609.8</v>
      </c>
      <c r="G983" s="14">
        <v>372609.8</v>
      </c>
      <c r="H983" s="22">
        <f>F983*(1+Assumptions!$B$6+IF(D983="Yes",Assumptions!$C$6,0))</f>
        <v>383788.09399999998</v>
      </c>
      <c r="I983" s="22">
        <f>F983*(1+Assumptions!$B$7+IF(D983="Yes",Assumptions!$C$7,0))</f>
        <v>391240.29</v>
      </c>
      <c r="J983" s="22">
        <f>F983*(1+Assumptions!$B$8+IF(D983="Yes",Assumptions!$C$8,0))</f>
        <v>376335.89799999999</v>
      </c>
    </row>
    <row r="984" spans="1:10" ht="15">
      <c r="A984" s="21">
        <v>41005</v>
      </c>
      <c r="B984" s="21">
        <v>41000</v>
      </c>
      <c r="C984" s="17">
        <v>4</v>
      </c>
      <c r="D984" s="17" t="s">
        <v>91</v>
      </c>
      <c r="E984" s="14">
        <v>1269378.46</v>
      </c>
      <c r="F984" s="14">
        <v>1130611.7</v>
      </c>
      <c r="G984" s="14">
        <v>1130611.7</v>
      </c>
      <c r="H984" s="22">
        <f>F984*(1+Assumptions!$B$6+IF(D984="Yes",Assumptions!$C$6,0))</f>
        <v>1164530.051</v>
      </c>
      <c r="I984" s="22">
        <f>F984*(1+Assumptions!$B$7+IF(D984="Yes",Assumptions!$C$7,0))</f>
        <v>1187142.2849999999</v>
      </c>
      <c r="J984" s="22">
        <f>F984*(1+Assumptions!$B$8+IF(D984="Yes",Assumptions!$C$8,0))</f>
        <v>1141917.817</v>
      </c>
    </row>
    <row r="985" spans="1:10" ht="15">
      <c r="A985" s="21">
        <v>41005</v>
      </c>
      <c r="B985" s="21">
        <v>41000</v>
      </c>
      <c r="C985" s="17">
        <v>5</v>
      </c>
      <c r="D985" s="17" t="s">
        <v>91</v>
      </c>
      <c r="E985" s="14">
        <v>1045948.79</v>
      </c>
      <c r="F985" s="14">
        <v>934560.37</v>
      </c>
      <c r="G985" s="14">
        <v>934560.37</v>
      </c>
      <c r="H985" s="22">
        <f>F985*(1+Assumptions!$B$6+IF(D985="Yes",Assumptions!$C$6,0))</f>
        <v>962597.18110000005</v>
      </c>
      <c r="I985" s="22">
        <f>F985*(1+Assumptions!$B$7+IF(D985="Yes",Assumptions!$C$7,0))</f>
        <v>981288.3885</v>
      </c>
      <c r="J985" s="22">
        <f>F985*(1+Assumptions!$B$8+IF(D985="Yes",Assumptions!$C$8,0))</f>
        <v>943905.97369999997</v>
      </c>
    </row>
    <row r="986" spans="1:10" ht="15">
      <c r="A986" s="21">
        <v>41005</v>
      </c>
      <c r="B986" s="21">
        <v>41000</v>
      </c>
      <c r="C986" s="17">
        <v>6</v>
      </c>
      <c r="D986" s="17" t="s">
        <v>91</v>
      </c>
      <c r="E986" s="14">
        <v>142991.91</v>
      </c>
      <c r="F986" s="14">
        <v>164073.12</v>
      </c>
      <c r="G986" s="14">
        <v>164073.12</v>
      </c>
      <c r="H986" s="22">
        <f>F986*(1+Assumptions!$B$6+IF(D986="Yes",Assumptions!$C$6,0))</f>
        <v>168995.31359999999</v>
      </c>
      <c r="I986" s="22">
        <f>F986*(1+Assumptions!$B$7+IF(D986="Yes",Assumptions!$C$7,0))</f>
        <v>172276.77600000001</v>
      </c>
      <c r="J986" s="22">
        <f>F986*(1+Assumptions!$B$8+IF(D986="Yes",Assumptions!$C$8,0))</f>
        <v>165713.8512</v>
      </c>
    </row>
    <row r="987" spans="1:10" ht="15">
      <c r="A987" s="21">
        <v>41005</v>
      </c>
      <c r="B987" s="21">
        <v>41000</v>
      </c>
      <c r="C987" s="17">
        <v>7</v>
      </c>
      <c r="D987" s="17" t="s">
        <v>91</v>
      </c>
      <c r="E987" s="14">
        <v>1323253.1000000001</v>
      </c>
      <c r="F987" s="14">
        <v>855734.75</v>
      </c>
      <c r="G987" s="14">
        <v>855734.75</v>
      </c>
      <c r="H987" s="22">
        <f>F987*(1+Assumptions!$B$6+IF(D987="Yes",Assumptions!$C$6,0))</f>
        <v>881406.79249999998</v>
      </c>
      <c r="I987" s="22">
        <f>F987*(1+Assumptions!$B$7+IF(D987="Yes",Assumptions!$C$7,0))</f>
        <v>898521.48750000005</v>
      </c>
      <c r="J987" s="22">
        <f>F987*(1+Assumptions!$B$8+IF(D987="Yes",Assumptions!$C$8,0))</f>
        <v>864292.09750000003</v>
      </c>
    </row>
    <row r="988" spans="1:10" ht="15">
      <c r="A988" s="21">
        <v>41005</v>
      </c>
      <c r="B988" s="21">
        <v>41000</v>
      </c>
      <c r="C988" s="17">
        <v>8</v>
      </c>
      <c r="D988" s="17" t="s">
        <v>91</v>
      </c>
      <c r="E988" s="14">
        <v>1471928.71</v>
      </c>
      <c r="F988" s="14">
        <v>1336494.29</v>
      </c>
      <c r="G988" s="14">
        <v>1336494.29</v>
      </c>
      <c r="H988" s="22">
        <f>F988*(1+Assumptions!$B$6+IF(D988="Yes",Assumptions!$C$6,0))</f>
        <v>1376589.1187</v>
      </c>
      <c r="I988" s="22">
        <f>F988*(1+Assumptions!$B$7+IF(D988="Yes",Assumptions!$C$7,0))</f>
        <v>1403319.0045</v>
      </c>
      <c r="J988" s="22">
        <f>F988*(1+Assumptions!$B$8+IF(D988="Yes",Assumptions!$C$8,0))</f>
        <v>1349859.2328999999</v>
      </c>
    </row>
    <row r="989" spans="1:10" ht="15">
      <c r="A989" s="21">
        <v>41005</v>
      </c>
      <c r="B989" s="21">
        <v>41000</v>
      </c>
      <c r="C989" s="17">
        <v>9</v>
      </c>
      <c r="D989" s="17" t="s">
        <v>91</v>
      </c>
      <c r="E989" s="14">
        <v>1117682.9099999999</v>
      </c>
      <c r="F989" s="14">
        <v>814677.78</v>
      </c>
      <c r="G989" s="14">
        <v>814677.78</v>
      </c>
      <c r="H989" s="22">
        <f>F989*(1+Assumptions!$B$6+IF(D989="Yes",Assumptions!$C$6,0))</f>
        <v>839118.11340000003</v>
      </c>
      <c r="I989" s="22">
        <f>F989*(1+Assumptions!$B$7+IF(D989="Yes",Assumptions!$C$7,0))</f>
        <v>855411.66900000011</v>
      </c>
      <c r="J989" s="22">
        <f>F989*(1+Assumptions!$B$8+IF(D989="Yes",Assumptions!$C$8,0))</f>
        <v>822824.55780000007</v>
      </c>
    </row>
    <row r="990" spans="1:10" ht="15">
      <c r="A990" s="21">
        <v>41005</v>
      </c>
      <c r="B990" s="21">
        <v>41000</v>
      </c>
      <c r="C990" s="17">
        <v>10</v>
      </c>
      <c r="D990" s="17" t="s">
        <v>91</v>
      </c>
      <c r="E990" s="14">
        <v>881009.92</v>
      </c>
      <c r="F990" s="14">
        <v>753824.3</v>
      </c>
      <c r="G990" s="14">
        <v>753824.3</v>
      </c>
      <c r="H990" s="22">
        <f>F990*(1+Assumptions!$B$6+IF(D990="Yes",Assumptions!$C$6,0))</f>
        <v>776439.0290000001</v>
      </c>
      <c r="I990" s="22">
        <f>F990*(1+Assumptions!$B$7+IF(D990="Yes",Assumptions!$C$7,0))</f>
        <v>791515.51500000013</v>
      </c>
      <c r="J990" s="22">
        <f>F990*(1+Assumptions!$B$8+IF(D990="Yes",Assumptions!$C$8,0))</f>
        <v>761362.54300000006</v>
      </c>
    </row>
    <row r="991" spans="1:10" ht="15">
      <c r="A991" s="21">
        <v>41005</v>
      </c>
      <c r="B991" s="21">
        <v>41000</v>
      </c>
      <c r="C991" s="17">
        <v>11</v>
      </c>
      <c r="D991" s="17" t="s">
        <v>91</v>
      </c>
      <c r="E991" s="14">
        <v>576467.24</v>
      </c>
      <c r="F991" s="14">
        <v>544647.35</v>
      </c>
      <c r="G991" s="14">
        <v>544647.35</v>
      </c>
      <c r="H991" s="22">
        <f>F991*(1+Assumptions!$B$6+IF(D991="Yes",Assumptions!$C$6,0))</f>
        <v>560986.77049999998</v>
      </c>
      <c r="I991" s="22">
        <f>F991*(1+Assumptions!$B$7+IF(D991="Yes",Assumptions!$C$7,0))</f>
        <v>571879.71750000003</v>
      </c>
      <c r="J991" s="22">
        <f>F991*(1+Assumptions!$B$8+IF(D991="Yes",Assumptions!$C$8,0))</f>
        <v>550093.82349999994</v>
      </c>
    </row>
    <row r="992" spans="1:10" ht="15">
      <c r="A992" s="21">
        <v>41005</v>
      </c>
      <c r="B992" s="21">
        <v>41000</v>
      </c>
      <c r="C992" s="17">
        <v>12</v>
      </c>
      <c r="D992" s="17" t="s">
        <v>91</v>
      </c>
      <c r="E992" s="14">
        <v>204528.28</v>
      </c>
      <c r="F992" s="14">
        <v>185109.41</v>
      </c>
      <c r="G992" s="14">
        <v>185109.41</v>
      </c>
      <c r="H992" s="22">
        <f>F992*(1+Assumptions!$B$6+IF(D992="Yes",Assumptions!$C$6,0))</f>
        <v>190662.6923</v>
      </c>
      <c r="I992" s="22">
        <f>F992*(1+Assumptions!$B$7+IF(D992="Yes",Assumptions!$C$7,0))</f>
        <v>194364.8805</v>
      </c>
      <c r="J992" s="22">
        <f>F992*(1+Assumptions!$B$8+IF(D992="Yes",Assumptions!$C$8,0))</f>
        <v>186960.50409999999</v>
      </c>
    </row>
    <row r="993" spans="1:10" ht="15">
      <c r="A993" s="21">
        <v>41005</v>
      </c>
      <c r="B993" s="21">
        <v>41000</v>
      </c>
      <c r="C993" s="17">
        <v>13</v>
      </c>
      <c r="D993" s="17" t="s">
        <v>91</v>
      </c>
      <c r="E993" s="14">
        <v>1445925.47</v>
      </c>
      <c r="F993" s="14">
        <v>1366392.27</v>
      </c>
      <c r="G993" s="14">
        <v>1366392.27</v>
      </c>
      <c r="H993" s="22">
        <f>F993*(1+Assumptions!$B$6+IF(D993="Yes",Assumptions!$C$6,0))</f>
        <v>1407384.0381</v>
      </c>
      <c r="I993" s="22">
        <f>F993*(1+Assumptions!$B$7+IF(D993="Yes",Assumptions!$C$7,0))</f>
        <v>1434711.8835</v>
      </c>
      <c r="J993" s="22">
        <f>F993*(1+Assumptions!$B$8+IF(D993="Yes",Assumptions!$C$8,0))</f>
        <v>1380056.1927</v>
      </c>
    </row>
    <row r="994" spans="1:10" ht="15">
      <c r="A994" s="21">
        <v>41005</v>
      </c>
      <c r="B994" s="21">
        <v>41000</v>
      </c>
      <c r="C994" s="17">
        <v>14</v>
      </c>
      <c r="D994" s="17" t="s">
        <v>91</v>
      </c>
      <c r="E994" s="14">
        <v>684005.21</v>
      </c>
      <c r="F994" s="14">
        <v>611555.65</v>
      </c>
      <c r="G994" s="14">
        <v>611555.65</v>
      </c>
      <c r="H994" s="22">
        <f>F994*(1+Assumptions!$B$6+IF(D994="Yes",Assumptions!$C$6,0))</f>
        <v>629902.31949999998</v>
      </c>
      <c r="I994" s="22">
        <f>F994*(1+Assumptions!$B$7+IF(D994="Yes",Assumptions!$C$7,0))</f>
        <v>642133.4325</v>
      </c>
      <c r="J994" s="22">
        <f>F994*(1+Assumptions!$B$8+IF(D994="Yes",Assumptions!$C$8,0))</f>
        <v>617671.20649999997</v>
      </c>
    </row>
    <row r="995" spans="1:10" ht="15">
      <c r="A995" s="21">
        <v>41005</v>
      </c>
      <c r="B995" s="21">
        <v>41000</v>
      </c>
      <c r="C995" s="17">
        <v>16</v>
      </c>
      <c r="D995" s="17" t="s">
        <v>91</v>
      </c>
      <c r="E995" s="14">
        <v>1025526.1</v>
      </c>
      <c r="F995" s="14">
        <v>780092.66</v>
      </c>
      <c r="G995" s="14">
        <v>780092.66</v>
      </c>
      <c r="H995" s="22">
        <f>F995*(1+Assumptions!$B$6+IF(D995="Yes",Assumptions!$C$6,0))</f>
        <v>803495.43980000005</v>
      </c>
      <c r="I995" s="22">
        <f>F995*(1+Assumptions!$B$7+IF(D995="Yes",Assumptions!$C$7,0))</f>
        <v>819097.29300000006</v>
      </c>
      <c r="J995" s="22">
        <f>F995*(1+Assumptions!$B$8+IF(D995="Yes",Assumptions!$C$8,0))</f>
        <v>787893.58660000004</v>
      </c>
    </row>
    <row r="996" spans="1:10" ht="15">
      <c r="A996" s="21">
        <v>41005</v>
      </c>
      <c r="B996" s="21">
        <v>41000</v>
      </c>
      <c r="C996" s="17">
        <v>17</v>
      </c>
      <c r="D996" s="17" t="s">
        <v>91</v>
      </c>
      <c r="E996" s="14">
        <v>441532.15</v>
      </c>
      <c r="F996" s="14">
        <v>427983.88</v>
      </c>
      <c r="G996" s="14">
        <v>427983.88</v>
      </c>
      <c r="H996" s="22">
        <f>F996*(1+Assumptions!$B$6+IF(D996="Yes",Assumptions!$C$6,0))</f>
        <v>440823.39640000003</v>
      </c>
      <c r="I996" s="22">
        <f>F996*(1+Assumptions!$B$7+IF(D996="Yes",Assumptions!$C$7,0))</f>
        <v>449383.07400000002</v>
      </c>
      <c r="J996" s="22">
        <f>F996*(1+Assumptions!$B$8+IF(D996="Yes",Assumptions!$C$8,0))</f>
        <v>432263.71880000003</v>
      </c>
    </row>
    <row r="997" spans="1:10" ht="15">
      <c r="A997" s="21">
        <v>41005</v>
      </c>
      <c r="B997" s="21">
        <v>41000</v>
      </c>
      <c r="C997" s="17">
        <v>18</v>
      </c>
      <c r="D997" s="17" t="s">
        <v>91</v>
      </c>
      <c r="E997" s="14">
        <v>559733.31000000006</v>
      </c>
      <c r="F997" s="14">
        <v>108821.28</v>
      </c>
      <c r="G997" s="14">
        <v>108821.28</v>
      </c>
      <c r="H997" s="22">
        <f>F997*(1+Assumptions!$B$6+IF(D997="Yes",Assumptions!$C$6,0))</f>
        <v>112085.9184</v>
      </c>
      <c r="I997" s="22">
        <f>F997*(1+Assumptions!$B$7+IF(D997="Yes",Assumptions!$C$7,0))</f>
        <v>114262.344</v>
      </c>
      <c r="J997" s="22">
        <f>F997*(1+Assumptions!$B$8+IF(D997="Yes",Assumptions!$C$8,0))</f>
        <v>109909.49279999999</v>
      </c>
    </row>
    <row r="998" spans="1:10" ht="15">
      <c r="A998" s="21">
        <v>41005</v>
      </c>
      <c r="B998" s="21">
        <v>41000</v>
      </c>
      <c r="C998" s="17">
        <v>19</v>
      </c>
      <c r="D998" s="17" t="s">
        <v>91</v>
      </c>
      <c r="E998" s="14">
        <v>44192.800000000003</v>
      </c>
      <c r="F998" s="14">
        <v>42828.13</v>
      </c>
      <c r="G998" s="14">
        <v>42828.13</v>
      </c>
      <c r="H998" s="22">
        <f>F998*(1+Assumptions!$B$6+IF(D998="Yes",Assumptions!$C$6,0))</f>
        <v>44112.973899999997</v>
      </c>
      <c r="I998" s="22">
        <f>F998*(1+Assumptions!$B$7+IF(D998="Yes",Assumptions!$C$7,0))</f>
        <v>44969.536500000002</v>
      </c>
      <c r="J998" s="22">
        <f>F998*(1+Assumptions!$B$8+IF(D998="Yes",Assumptions!$C$8,0))</f>
        <v>43256.4113</v>
      </c>
    </row>
    <row r="999" spans="1:10" ht="15">
      <c r="A999" s="21">
        <v>41005</v>
      </c>
      <c r="B999" s="21">
        <v>41000</v>
      </c>
      <c r="C999" s="17">
        <v>20</v>
      </c>
      <c r="D999" s="17" t="s">
        <v>91</v>
      </c>
      <c r="E999" s="14">
        <v>253543.11000000002</v>
      </c>
      <c r="F999" s="14">
        <v>230095.34</v>
      </c>
      <c r="G999" s="14">
        <v>230095.34</v>
      </c>
      <c r="H999" s="22">
        <f>F999*(1+Assumptions!$B$6+IF(D999="Yes",Assumptions!$C$6,0))</f>
        <v>236998.20019999999</v>
      </c>
      <c r="I999" s="22">
        <f>F999*(1+Assumptions!$B$7+IF(D999="Yes",Assumptions!$C$7,0))</f>
        <v>241600.10700000002</v>
      </c>
      <c r="J999" s="22">
        <f>F999*(1+Assumptions!$B$8+IF(D999="Yes",Assumptions!$C$8,0))</f>
        <v>232396.2934</v>
      </c>
    </row>
    <row r="1000" spans="1:10" ht="15">
      <c r="A1000" s="21">
        <v>41005</v>
      </c>
      <c r="B1000" s="21">
        <v>41000</v>
      </c>
      <c r="C1000" s="17">
        <v>21</v>
      </c>
      <c r="D1000" s="17" t="s">
        <v>91</v>
      </c>
      <c r="E1000" s="14">
        <v>286177.84000000003</v>
      </c>
      <c r="F1000" s="14">
        <v>212497.45</v>
      </c>
      <c r="G1000" s="14">
        <v>212497.45</v>
      </c>
      <c r="H1000" s="22">
        <f>F1000*(1+Assumptions!$B$6+IF(D1000="Yes",Assumptions!$C$6,0))</f>
        <v>218872.37350000002</v>
      </c>
      <c r="I1000" s="22">
        <f>F1000*(1+Assumptions!$B$7+IF(D1000="Yes",Assumptions!$C$7,0))</f>
        <v>223122.32250000001</v>
      </c>
      <c r="J1000" s="22">
        <f>F1000*(1+Assumptions!$B$8+IF(D1000="Yes",Assumptions!$C$8,0))</f>
        <v>214622.42450000002</v>
      </c>
    </row>
    <row r="1001" spans="1:10" ht="15">
      <c r="A1001" s="21">
        <v>41005</v>
      </c>
      <c r="B1001" s="21">
        <v>41000</v>
      </c>
      <c r="C1001" s="17">
        <v>22</v>
      </c>
      <c r="D1001" s="17" t="s">
        <v>91</v>
      </c>
      <c r="E1001" s="14">
        <v>401957.72</v>
      </c>
      <c r="F1001" s="14">
        <v>371505.07</v>
      </c>
      <c r="G1001" s="14">
        <v>371505.07</v>
      </c>
      <c r="H1001" s="22">
        <f>F1001*(1+Assumptions!$B$6+IF(D1001="Yes",Assumptions!$C$6,0))</f>
        <v>382650.22210000001</v>
      </c>
      <c r="I1001" s="22">
        <f>F1001*(1+Assumptions!$B$7+IF(D1001="Yes",Assumptions!$C$7,0))</f>
        <v>390080.3235</v>
      </c>
      <c r="J1001" s="22">
        <f>F1001*(1+Assumptions!$B$8+IF(D1001="Yes",Assumptions!$C$8,0))</f>
        <v>375220.12070000003</v>
      </c>
    </row>
    <row r="1002" spans="1:10" ht="15">
      <c r="A1002" s="21">
        <v>41005</v>
      </c>
      <c r="B1002" s="21">
        <v>41000</v>
      </c>
      <c r="C1002" s="17">
        <v>23</v>
      </c>
      <c r="D1002" s="17" t="s">
        <v>91</v>
      </c>
      <c r="E1002" s="14">
        <v>1003426.87</v>
      </c>
      <c r="F1002" s="14">
        <v>831254.15</v>
      </c>
      <c r="G1002" s="14">
        <v>831254.15</v>
      </c>
      <c r="H1002" s="22">
        <f>F1002*(1+Assumptions!$B$6+IF(D1002="Yes",Assumptions!$C$6,0))</f>
        <v>856191.77450000006</v>
      </c>
      <c r="I1002" s="22">
        <f>F1002*(1+Assumptions!$B$7+IF(D1002="Yes",Assumptions!$C$7,0))</f>
        <v>872816.85750000004</v>
      </c>
      <c r="J1002" s="22">
        <f>F1002*(1+Assumptions!$B$8+IF(D1002="Yes",Assumptions!$C$8,0))</f>
        <v>839566.69150000007</v>
      </c>
    </row>
    <row r="1003" spans="1:10" ht="15">
      <c r="A1003" s="21">
        <v>41005</v>
      </c>
      <c r="B1003" s="21">
        <v>41000</v>
      </c>
      <c r="C1003" s="17">
        <v>24</v>
      </c>
      <c r="D1003" s="17" t="s">
        <v>91</v>
      </c>
      <c r="E1003" s="14">
        <v>274629.92</v>
      </c>
      <c r="F1003" s="14">
        <v>195289.35</v>
      </c>
      <c r="G1003" s="14">
        <v>195289.35</v>
      </c>
      <c r="H1003" s="22">
        <f>F1003*(1+Assumptions!$B$6+IF(D1003="Yes",Assumptions!$C$6,0))</f>
        <v>201148.03050000002</v>
      </c>
      <c r="I1003" s="22">
        <f>F1003*(1+Assumptions!$B$7+IF(D1003="Yes",Assumptions!$C$7,0))</f>
        <v>205053.8175</v>
      </c>
      <c r="J1003" s="22">
        <f>F1003*(1+Assumptions!$B$8+IF(D1003="Yes",Assumptions!$C$8,0))</f>
        <v>197242.24350000001</v>
      </c>
    </row>
    <row r="1004" spans="1:10" ht="15">
      <c r="A1004" s="21">
        <v>41005</v>
      </c>
      <c r="B1004" s="21">
        <v>41000</v>
      </c>
      <c r="C1004" s="17">
        <v>25</v>
      </c>
      <c r="D1004" s="17" t="s">
        <v>91</v>
      </c>
      <c r="E1004" s="14">
        <v>492240.76</v>
      </c>
      <c r="F1004" s="14">
        <v>401908.25</v>
      </c>
      <c r="G1004" s="14">
        <v>401908.25</v>
      </c>
      <c r="H1004" s="22">
        <f>F1004*(1+Assumptions!$B$6+IF(D1004="Yes",Assumptions!$C$6,0))</f>
        <v>413965.4975</v>
      </c>
      <c r="I1004" s="22">
        <f>F1004*(1+Assumptions!$B$7+IF(D1004="Yes",Assumptions!$C$7,0))</f>
        <v>422003.66250000003</v>
      </c>
      <c r="J1004" s="22">
        <f>F1004*(1+Assumptions!$B$8+IF(D1004="Yes",Assumptions!$C$8,0))</f>
        <v>405927.33250000002</v>
      </c>
    </row>
    <row r="1005" spans="1:10" ht="15">
      <c r="A1005" s="21">
        <v>41005</v>
      </c>
      <c r="B1005" s="21">
        <v>41000</v>
      </c>
      <c r="C1005" s="17">
        <v>26</v>
      </c>
      <c r="D1005" s="17" t="s">
        <v>91</v>
      </c>
      <c r="E1005" s="14">
        <v>390390.93</v>
      </c>
      <c r="F1005" s="14">
        <v>291104.13</v>
      </c>
      <c r="G1005" s="14">
        <v>291104.13</v>
      </c>
      <c r="H1005" s="22">
        <f>F1005*(1+Assumptions!$B$6+IF(D1005="Yes",Assumptions!$C$6,0))</f>
        <v>299837.25390000001</v>
      </c>
      <c r="I1005" s="22">
        <f>F1005*(1+Assumptions!$B$7+IF(D1005="Yes",Assumptions!$C$7,0))</f>
        <v>305659.33650000003</v>
      </c>
      <c r="J1005" s="22">
        <f>F1005*(1+Assumptions!$B$8+IF(D1005="Yes",Assumptions!$C$8,0))</f>
        <v>294015.17129999999</v>
      </c>
    </row>
    <row r="1006" spans="1:10" ht="15">
      <c r="A1006" s="21">
        <v>41005</v>
      </c>
      <c r="B1006" s="21">
        <v>41000</v>
      </c>
      <c r="C1006" s="17">
        <v>27</v>
      </c>
      <c r="D1006" s="17" t="s">
        <v>91</v>
      </c>
      <c r="E1006" s="14">
        <v>59725.15</v>
      </c>
      <c r="F1006" s="14">
        <v>53015.78</v>
      </c>
      <c r="G1006" s="14">
        <v>53015.78</v>
      </c>
      <c r="H1006" s="22">
        <f>F1006*(1+Assumptions!$B$6+IF(D1006="Yes",Assumptions!$C$6,0))</f>
        <v>54606.253400000001</v>
      </c>
      <c r="I1006" s="22">
        <f>F1006*(1+Assumptions!$B$7+IF(D1006="Yes",Assumptions!$C$7,0))</f>
        <v>55666.569000000003</v>
      </c>
      <c r="J1006" s="22">
        <f>F1006*(1+Assumptions!$B$8+IF(D1006="Yes",Assumptions!$C$8,0))</f>
        <v>53545.9378</v>
      </c>
    </row>
    <row r="1007" spans="1:10" ht="15">
      <c r="A1007" s="21">
        <v>41005</v>
      </c>
      <c r="B1007" s="21">
        <v>41000</v>
      </c>
      <c r="C1007" s="17">
        <v>28</v>
      </c>
      <c r="D1007" s="17" t="s">
        <v>91</v>
      </c>
      <c r="E1007" s="14">
        <v>29521.23</v>
      </c>
      <c r="F1007" s="14">
        <v>28718.92</v>
      </c>
      <c r="G1007" s="14">
        <v>28718.92</v>
      </c>
      <c r="H1007" s="22">
        <f>F1007*(1+Assumptions!$B$6+IF(D1007="Yes",Assumptions!$C$6,0))</f>
        <v>29580.4876</v>
      </c>
      <c r="I1007" s="22">
        <f>F1007*(1+Assumptions!$B$7+IF(D1007="Yes",Assumptions!$C$7,0))</f>
        <v>30154.865999999998</v>
      </c>
      <c r="J1007" s="22">
        <f>F1007*(1+Assumptions!$B$8+IF(D1007="Yes",Assumptions!$C$8,0))</f>
        <v>29006.109199999999</v>
      </c>
    </row>
    <row r="1008" spans="1:10" ht="15">
      <c r="A1008" s="21">
        <v>41005</v>
      </c>
      <c r="B1008" s="21">
        <v>41000</v>
      </c>
      <c r="C1008" s="17">
        <v>29</v>
      </c>
      <c r="D1008" s="17" t="s">
        <v>91</v>
      </c>
      <c r="E1008" s="14">
        <v>203403.69</v>
      </c>
      <c r="F1008" s="14">
        <v>184827.46</v>
      </c>
      <c r="G1008" s="14">
        <v>184827.46</v>
      </c>
      <c r="H1008" s="22">
        <f>F1008*(1+Assumptions!$B$6+IF(D1008="Yes",Assumptions!$C$6,0))</f>
        <v>190372.2838</v>
      </c>
      <c r="I1008" s="22">
        <f>F1008*(1+Assumptions!$B$7+IF(D1008="Yes",Assumptions!$C$7,0))</f>
        <v>194068.83300000001</v>
      </c>
      <c r="J1008" s="22">
        <f>F1008*(1+Assumptions!$B$8+IF(D1008="Yes",Assumptions!$C$8,0))</f>
        <v>186675.7346</v>
      </c>
    </row>
    <row r="1009" spans="1:10" ht="15">
      <c r="A1009" s="21">
        <v>41005</v>
      </c>
      <c r="B1009" s="21">
        <v>41000</v>
      </c>
      <c r="C1009" s="17">
        <v>30</v>
      </c>
      <c r="D1009" s="17" t="s">
        <v>91</v>
      </c>
      <c r="E1009" s="14">
        <v>163182.70000000001</v>
      </c>
      <c r="F1009" s="14">
        <v>162552.16</v>
      </c>
      <c r="G1009" s="14">
        <v>162552.16</v>
      </c>
      <c r="H1009" s="22">
        <f>F1009*(1+Assumptions!$B$6+IF(D1009="Yes",Assumptions!$C$6,0))</f>
        <v>167428.7248</v>
      </c>
      <c r="I1009" s="22">
        <f>F1009*(1+Assumptions!$B$7+IF(D1009="Yes",Assumptions!$C$7,0))</f>
        <v>170679.76800000001</v>
      </c>
      <c r="J1009" s="22">
        <f>F1009*(1+Assumptions!$B$8+IF(D1009="Yes",Assumptions!$C$8,0))</f>
        <v>164177.68160000001</v>
      </c>
    </row>
    <row r="1010" spans="1:10" ht="15">
      <c r="A1010" s="21">
        <v>41005</v>
      </c>
      <c r="B1010" s="21">
        <v>41000</v>
      </c>
      <c r="C1010" s="17">
        <v>31</v>
      </c>
      <c r="D1010" s="17" t="s">
        <v>91</v>
      </c>
      <c r="E1010" s="14">
        <v>70980.639999999999</v>
      </c>
      <c r="F1010" s="14">
        <v>75231.3</v>
      </c>
      <c r="G1010" s="14">
        <v>75231.3</v>
      </c>
      <c r="H1010" s="22">
        <f>F1010*(1+Assumptions!$B$6+IF(D1010="Yes",Assumptions!$C$6,0))</f>
        <v>77488.239000000001</v>
      </c>
      <c r="I1010" s="22">
        <f>F1010*(1+Assumptions!$B$7+IF(D1010="Yes",Assumptions!$C$7,0))</f>
        <v>78992.865000000005</v>
      </c>
      <c r="J1010" s="22">
        <f>F1010*(1+Assumptions!$B$8+IF(D1010="Yes",Assumptions!$C$8,0))</f>
        <v>75983.612999999998</v>
      </c>
    </row>
    <row r="1011" spans="1:10" ht="15">
      <c r="A1011" s="21">
        <v>41005</v>
      </c>
      <c r="B1011" s="21">
        <v>41000</v>
      </c>
      <c r="C1011" s="17">
        <v>32</v>
      </c>
      <c r="D1011" s="17" t="s">
        <v>91</v>
      </c>
      <c r="E1011" s="14">
        <v>280563.48</v>
      </c>
      <c r="F1011" s="14">
        <v>234200.19</v>
      </c>
      <c r="G1011" s="14">
        <v>234200.19</v>
      </c>
      <c r="H1011" s="22">
        <f>F1011*(1+Assumptions!$B$6+IF(D1011="Yes",Assumptions!$C$6,0))</f>
        <v>241226.19570000001</v>
      </c>
      <c r="I1011" s="22">
        <f>F1011*(1+Assumptions!$B$7+IF(D1011="Yes",Assumptions!$C$7,0))</f>
        <v>245910.19950000002</v>
      </c>
      <c r="J1011" s="22">
        <f>F1011*(1+Assumptions!$B$8+IF(D1011="Yes",Assumptions!$C$8,0))</f>
        <v>236542.19190000001</v>
      </c>
    </row>
    <row r="1012" spans="1:10" ht="15">
      <c r="A1012" s="21">
        <v>41005</v>
      </c>
      <c r="B1012" s="21">
        <v>41000</v>
      </c>
      <c r="C1012" s="17">
        <v>33</v>
      </c>
      <c r="D1012" s="17" t="s">
        <v>91</v>
      </c>
      <c r="E1012" s="14">
        <v>288812.59999999998</v>
      </c>
      <c r="F1012" s="14">
        <v>204619.2</v>
      </c>
      <c r="G1012" s="14">
        <v>204619.2</v>
      </c>
      <c r="H1012" s="22">
        <f>F1012*(1+Assumptions!$B$6+IF(D1012="Yes",Assumptions!$C$6,0))</f>
        <v>210757.77600000001</v>
      </c>
      <c r="I1012" s="22">
        <f>F1012*(1+Assumptions!$B$7+IF(D1012="Yes",Assumptions!$C$7,0))</f>
        <v>214850.16000000003</v>
      </c>
      <c r="J1012" s="22">
        <f>F1012*(1+Assumptions!$B$8+IF(D1012="Yes",Assumptions!$C$8,0))</f>
        <v>206665.39200000002</v>
      </c>
    </row>
    <row r="1013" spans="1:10" ht="15">
      <c r="A1013" s="21">
        <v>41005</v>
      </c>
      <c r="B1013" s="21">
        <v>41000</v>
      </c>
      <c r="C1013" s="17">
        <v>34</v>
      </c>
      <c r="D1013" s="17" t="s">
        <v>91</v>
      </c>
      <c r="E1013" s="14">
        <v>686402.12</v>
      </c>
      <c r="F1013" s="14">
        <v>540113.18000000005</v>
      </c>
      <c r="G1013" s="14">
        <v>540113.18000000005</v>
      </c>
      <c r="H1013" s="22">
        <f>F1013*(1+Assumptions!$B$6+IF(D1013="Yes",Assumptions!$C$6,0))</f>
        <v>556316.57540000009</v>
      </c>
      <c r="I1013" s="22">
        <f>F1013*(1+Assumptions!$B$7+IF(D1013="Yes",Assumptions!$C$7,0))</f>
        <v>567118.83900000004</v>
      </c>
      <c r="J1013" s="22">
        <f>F1013*(1+Assumptions!$B$8+IF(D1013="Yes",Assumptions!$C$8,0))</f>
        <v>545514.31180000002</v>
      </c>
    </row>
    <row r="1014" spans="1:10" ht="15">
      <c r="A1014" s="21">
        <v>41005</v>
      </c>
      <c r="B1014" s="21">
        <v>41000</v>
      </c>
      <c r="C1014" s="17">
        <v>35</v>
      </c>
      <c r="D1014" s="17" t="s">
        <v>91</v>
      </c>
      <c r="E1014" s="14">
        <v>130988.95</v>
      </c>
      <c r="F1014" s="14">
        <v>120041.54</v>
      </c>
      <c r="G1014" s="14">
        <v>120041.54</v>
      </c>
      <c r="H1014" s="22">
        <f>F1014*(1+Assumptions!$B$6+IF(D1014="Yes",Assumptions!$C$6,0))</f>
        <v>123642.7862</v>
      </c>
      <c r="I1014" s="22">
        <f>F1014*(1+Assumptions!$B$7+IF(D1014="Yes",Assumptions!$C$7,0))</f>
        <v>126043.617</v>
      </c>
      <c r="J1014" s="22">
        <f>F1014*(1+Assumptions!$B$8+IF(D1014="Yes",Assumptions!$C$8,0))</f>
        <v>121241.95539999999</v>
      </c>
    </row>
    <row r="1015" spans="1:10" ht="15">
      <c r="A1015" s="21">
        <v>41005</v>
      </c>
      <c r="B1015" s="21">
        <v>41000</v>
      </c>
      <c r="C1015" s="17">
        <v>36</v>
      </c>
      <c r="D1015" s="17" t="s">
        <v>91</v>
      </c>
      <c r="E1015" s="14">
        <v>90972.78</v>
      </c>
      <c r="F1015" s="14">
        <v>68087.3</v>
      </c>
      <c r="G1015" s="14">
        <v>68087.3</v>
      </c>
      <c r="H1015" s="22">
        <f>F1015*(1+Assumptions!$B$6+IF(D1015="Yes",Assumptions!$C$6,0))</f>
        <v>70129.919000000009</v>
      </c>
      <c r="I1015" s="22">
        <f>F1015*(1+Assumptions!$B$7+IF(D1015="Yes",Assumptions!$C$7,0))</f>
        <v>71491.665000000008</v>
      </c>
      <c r="J1015" s="22">
        <f>F1015*(1+Assumptions!$B$8+IF(D1015="Yes",Assumptions!$C$8,0))</f>
        <v>68768.17300000001</v>
      </c>
    </row>
    <row r="1016" spans="1:10" ht="15">
      <c r="A1016" s="21">
        <v>41005</v>
      </c>
      <c r="B1016" s="21">
        <v>41000</v>
      </c>
      <c r="C1016" s="17">
        <v>37</v>
      </c>
      <c r="D1016" s="17" t="s">
        <v>91</v>
      </c>
      <c r="E1016" s="14">
        <v>56725.68</v>
      </c>
      <c r="F1016" s="14">
        <v>53764.59</v>
      </c>
      <c r="G1016" s="14">
        <v>53764.59</v>
      </c>
      <c r="H1016" s="22">
        <f>F1016*(1+Assumptions!$B$6+IF(D1016="Yes",Assumptions!$C$6,0))</f>
        <v>55377.527699999999</v>
      </c>
      <c r="I1016" s="22">
        <f>F1016*(1+Assumptions!$B$7+IF(D1016="Yes",Assumptions!$C$7,0))</f>
        <v>56452.819499999998</v>
      </c>
      <c r="J1016" s="22">
        <f>F1016*(1+Assumptions!$B$8+IF(D1016="Yes",Assumptions!$C$8,0))</f>
        <v>54302.2359</v>
      </c>
    </row>
    <row r="1017" spans="1:10" ht="15">
      <c r="A1017" s="21">
        <v>41005</v>
      </c>
      <c r="B1017" s="21">
        <v>41000</v>
      </c>
      <c r="C1017" s="17">
        <v>38</v>
      </c>
      <c r="D1017" s="17" t="s">
        <v>91</v>
      </c>
      <c r="E1017" s="14">
        <v>3081965.27</v>
      </c>
      <c r="F1017" s="14">
        <v>2862015.73</v>
      </c>
      <c r="G1017" s="14">
        <v>2862015.73</v>
      </c>
      <c r="H1017" s="22">
        <f>F1017*(1+Assumptions!$B$6+IF(D1017="Yes",Assumptions!$C$6,0))</f>
        <v>2947876.2019000002</v>
      </c>
      <c r="I1017" s="22">
        <f>F1017*(1+Assumptions!$B$7+IF(D1017="Yes",Assumptions!$C$7,0))</f>
        <v>3005116.5164999999</v>
      </c>
      <c r="J1017" s="22">
        <f>F1017*(1+Assumptions!$B$8+IF(D1017="Yes",Assumptions!$C$8,0))</f>
        <v>2890635.8873000001</v>
      </c>
    </row>
    <row r="1018" spans="1:10" ht="15">
      <c r="A1018" s="21">
        <v>41005</v>
      </c>
      <c r="B1018" s="21">
        <v>41000</v>
      </c>
      <c r="C1018" s="17">
        <v>40</v>
      </c>
      <c r="D1018" s="17" t="s">
        <v>91</v>
      </c>
      <c r="E1018" s="14">
        <v>2171153.25</v>
      </c>
      <c r="F1018" s="14">
        <v>2042282.37</v>
      </c>
      <c r="G1018" s="14">
        <v>2042282.37</v>
      </c>
      <c r="H1018" s="22">
        <f>F1018*(1+Assumptions!$B$6+IF(D1018="Yes",Assumptions!$C$6,0))</f>
        <v>2103550.8411000003</v>
      </c>
      <c r="I1018" s="22">
        <f>F1018*(1+Assumptions!$B$7+IF(D1018="Yes",Assumptions!$C$7,0))</f>
        <v>2144396.4885</v>
      </c>
      <c r="J1018" s="22">
        <f>F1018*(1+Assumptions!$B$8+IF(D1018="Yes",Assumptions!$C$8,0))</f>
        <v>2062705.1937000002</v>
      </c>
    </row>
    <row r="1019" spans="1:10" ht="15">
      <c r="A1019" s="21">
        <v>41005</v>
      </c>
      <c r="B1019" s="21">
        <v>41000</v>
      </c>
      <c r="C1019" s="17">
        <v>41</v>
      </c>
      <c r="D1019" s="17" t="s">
        <v>91</v>
      </c>
      <c r="E1019" s="14">
        <v>71460.639999999999</v>
      </c>
      <c r="F1019" s="14">
        <v>62848.93</v>
      </c>
      <c r="G1019" s="14">
        <v>62848.93</v>
      </c>
      <c r="H1019" s="22">
        <f>F1019*(1+Assumptions!$B$6+IF(D1019="Yes",Assumptions!$C$6,0))</f>
        <v>64734.397900000004</v>
      </c>
      <c r="I1019" s="22">
        <f>F1019*(1+Assumptions!$B$7+IF(D1019="Yes",Assumptions!$C$7,0))</f>
        <v>65991.376499999998</v>
      </c>
      <c r="J1019" s="22">
        <f>F1019*(1+Assumptions!$B$8+IF(D1019="Yes",Assumptions!$C$8,0))</f>
        <v>63477.419300000001</v>
      </c>
    </row>
    <row r="1020" spans="1:10" ht="15">
      <c r="A1020" s="21">
        <v>41005</v>
      </c>
      <c r="B1020" s="21">
        <v>41000</v>
      </c>
      <c r="C1020" s="17">
        <v>42</v>
      </c>
      <c r="D1020" s="17" t="s">
        <v>91</v>
      </c>
      <c r="E1020" s="14">
        <v>265394.74</v>
      </c>
      <c r="F1020" s="14">
        <v>231767.67999999999</v>
      </c>
      <c r="G1020" s="14">
        <v>231767.67999999999</v>
      </c>
      <c r="H1020" s="22">
        <f>F1020*(1+Assumptions!$B$6+IF(D1020="Yes",Assumptions!$C$6,0))</f>
        <v>238720.71040000001</v>
      </c>
      <c r="I1020" s="22">
        <f>F1020*(1+Assumptions!$B$7+IF(D1020="Yes",Assumptions!$C$7,0))</f>
        <v>243356.06400000001</v>
      </c>
      <c r="J1020" s="22">
        <f>F1020*(1+Assumptions!$B$8+IF(D1020="Yes",Assumptions!$C$8,0))</f>
        <v>234085.35680000001</v>
      </c>
    </row>
    <row r="1021" spans="1:10" ht="15">
      <c r="A1021" s="21">
        <v>41005</v>
      </c>
      <c r="B1021" s="21">
        <v>41000</v>
      </c>
      <c r="C1021" s="17">
        <v>44</v>
      </c>
      <c r="D1021" s="17" t="s">
        <v>91</v>
      </c>
      <c r="E1021" s="14">
        <v>171895.23</v>
      </c>
      <c r="F1021" s="14">
        <v>161156.25</v>
      </c>
      <c r="G1021" s="14">
        <v>161156.25</v>
      </c>
      <c r="H1021" s="22">
        <f>F1021*(1+Assumptions!$B$6+IF(D1021="Yes",Assumptions!$C$6,0))</f>
        <v>165990.9375</v>
      </c>
      <c r="I1021" s="22">
        <f>F1021*(1+Assumptions!$B$7+IF(D1021="Yes",Assumptions!$C$7,0))</f>
        <v>169214.0625</v>
      </c>
      <c r="J1021" s="22">
        <f>F1021*(1+Assumptions!$B$8+IF(D1021="Yes",Assumptions!$C$8,0))</f>
        <v>162767.8125</v>
      </c>
    </row>
    <row r="1022" spans="1:10" ht="15">
      <c r="A1022" s="21">
        <v>41005</v>
      </c>
      <c r="B1022" s="21">
        <v>41000</v>
      </c>
      <c r="C1022" s="17">
        <v>45</v>
      </c>
      <c r="D1022" s="17" t="s">
        <v>91</v>
      </c>
      <c r="E1022" s="14">
        <v>82.17</v>
      </c>
      <c r="F1022" s="14">
        <v>108.77000000000001</v>
      </c>
      <c r="G1022" s="14">
        <v>108.77000000000001</v>
      </c>
      <c r="H1022" s="22">
        <f>F1022*(1+Assumptions!$B$6+IF(D1022="Yes",Assumptions!$C$6,0))</f>
        <v>112.03310000000002</v>
      </c>
      <c r="I1022" s="22">
        <f>F1022*(1+Assumptions!$B$7+IF(D1022="Yes",Assumptions!$C$7,0))</f>
        <v>114.20850000000002</v>
      </c>
      <c r="J1022" s="22">
        <f>F1022*(1+Assumptions!$B$8+IF(D1022="Yes",Assumptions!$C$8,0))</f>
        <v>109.85770000000001</v>
      </c>
    </row>
    <row r="1023" spans="1:10" ht="15">
      <c r="A1023" s="21">
        <v>41005</v>
      </c>
      <c r="B1023" s="21">
        <v>41000</v>
      </c>
      <c r="C1023" s="17">
        <v>46</v>
      </c>
      <c r="D1023" s="17" t="s">
        <v>91</v>
      </c>
      <c r="E1023" s="14">
        <v>990215.61</v>
      </c>
      <c r="F1023" s="14">
        <v>884719.1</v>
      </c>
      <c r="G1023" s="14">
        <v>884719.1</v>
      </c>
      <c r="H1023" s="22">
        <f>F1023*(1+Assumptions!$B$6+IF(D1023="Yes",Assumptions!$C$6,0))</f>
        <v>911260.67299999995</v>
      </c>
      <c r="I1023" s="22">
        <f>F1023*(1+Assumptions!$B$7+IF(D1023="Yes",Assumptions!$C$7,0))</f>
        <v>928955.05500000005</v>
      </c>
      <c r="J1023" s="22">
        <f>F1023*(1+Assumptions!$B$8+IF(D1023="Yes",Assumptions!$C$8,0))</f>
        <v>893566.29099999997</v>
      </c>
    </row>
    <row r="1024" spans="1:10" ht="15">
      <c r="A1024" s="21">
        <v>41005</v>
      </c>
      <c r="B1024" s="21">
        <v>41000</v>
      </c>
      <c r="C1024" s="17">
        <v>48</v>
      </c>
      <c r="D1024" s="17" t="s">
        <v>91</v>
      </c>
      <c r="E1024" s="14">
        <v>20172.989999999998</v>
      </c>
      <c r="F1024" s="14">
        <v>12031</v>
      </c>
      <c r="G1024" s="14">
        <v>12031</v>
      </c>
      <c r="H1024" s="22">
        <f>F1024*(1+Assumptions!$B$6+IF(D1024="Yes",Assumptions!$C$6,0))</f>
        <v>12391.93</v>
      </c>
      <c r="I1024" s="22">
        <f>F1024*(1+Assumptions!$B$7+IF(D1024="Yes",Assumptions!$C$7,0))</f>
        <v>12632.550000000001</v>
      </c>
      <c r="J1024" s="22">
        <f>F1024*(1+Assumptions!$B$8+IF(D1024="Yes",Assumptions!$C$8,0))</f>
        <v>12151.31</v>
      </c>
    </row>
    <row r="1025" spans="1:10" ht="15">
      <c r="A1025" s="21">
        <v>41005</v>
      </c>
      <c r="B1025" s="21">
        <v>41000</v>
      </c>
      <c r="C1025" s="17">
        <v>49</v>
      </c>
      <c r="D1025" s="17" t="s">
        <v>91</v>
      </c>
      <c r="E1025" s="14">
        <v>272774.96000000002</v>
      </c>
      <c r="F1025" s="14">
        <v>276357.06</v>
      </c>
      <c r="G1025" s="14">
        <v>276357.06</v>
      </c>
      <c r="H1025" s="22">
        <f>F1025*(1+Assumptions!$B$6+IF(D1025="Yes",Assumptions!$C$6,0))</f>
        <v>284647.77179999999</v>
      </c>
      <c r="I1025" s="22">
        <f>F1025*(1+Assumptions!$B$7+IF(D1025="Yes",Assumptions!$C$7,0))</f>
        <v>290174.913</v>
      </c>
      <c r="J1025" s="22">
        <f>F1025*(1+Assumptions!$B$8+IF(D1025="Yes",Assumptions!$C$8,0))</f>
        <v>279120.63059999997</v>
      </c>
    </row>
    <row r="1026" spans="1:10" ht="15">
      <c r="A1026" s="21">
        <v>41005</v>
      </c>
      <c r="B1026" s="21">
        <v>41000</v>
      </c>
      <c r="C1026" s="17">
        <v>50</v>
      </c>
      <c r="D1026" s="17" t="s">
        <v>91</v>
      </c>
      <c r="E1026" s="14">
        <v>34492.339999999997</v>
      </c>
      <c r="F1026" s="14">
        <v>30704.91</v>
      </c>
      <c r="G1026" s="14">
        <v>30704.91</v>
      </c>
      <c r="H1026" s="22">
        <f>F1026*(1+Assumptions!$B$6+IF(D1026="Yes",Assumptions!$C$6,0))</f>
        <v>31626.0573</v>
      </c>
      <c r="I1026" s="22">
        <f>F1026*(1+Assumptions!$B$7+IF(D1026="Yes",Assumptions!$C$7,0))</f>
        <v>32240.155500000001</v>
      </c>
      <c r="J1026" s="22">
        <f>F1026*(1+Assumptions!$B$8+IF(D1026="Yes",Assumptions!$C$8,0))</f>
        <v>31011.9591</v>
      </c>
    </row>
    <row r="1027" spans="1:10" ht="15">
      <c r="A1027" s="21">
        <v>41005</v>
      </c>
      <c r="B1027" s="21">
        <v>41000</v>
      </c>
      <c r="C1027" s="17">
        <v>51</v>
      </c>
      <c r="D1027" s="17" t="s">
        <v>91</v>
      </c>
      <c r="E1027" s="14">
        <v>1.56</v>
      </c>
      <c r="F1027" s="14">
        <v>6</v>
      </c>
      <c r="G1027" s="14">
        <v>6</v>
      </c>
      <c r="H1027" s="22">
        <f>F1027*(1+Assumptions!$B$6+IF(D1027="Yes",Assumptions!$C$6,0))</f>
        <v>6.18</v>
      </c>
      <c r="I1027" s="22">
        <f>F1027*(1+Assumptions!$B$7+IF(D1027="Yes",Assumptions!$C$7,0))</f>
        <v>6.3000000000000007</v>
      </c>
      <c r="J1027" s="22">
        <f>F1027*(1+Assumptions!$B$8+IF(D1027="Yes",Assumptions!$C$8,0))</f>
        <v>6.0600000000000005</v>
      </c>
    </row>
    <row r="1028" spans="1:10" ht="15">
      <c r="A1028" s="21">
        <v>41005</v>
      </c>
      <c r="B1028" s="21">
        <v>41000</v>
      </c>
      <c r="C1028" s="17">
        <v>52</v>
      </c>
      <c r="D1028" s="17" t="s">
        <v>91</v>
      </c>
      <c r="E1028" s="14">
        <v>86402.76</v>
      </c>
      <c r="F1028" s="14">
        <v>82491.600000000006</v>
      </c>
      <c r="G1028" s="14">
        <v>82491.600000000006</v>
      </c>
      <c r="H1028" s="22">
        <f>F1028*(1+Assumptions!$B$6+IF(D1028="Yes",Assumptions!$C$6,0))</f>
        <v>84966.348000000013</v>
      </c>
      <c r="I1028" s="22">
        <f>F1028*(1+Assumptions!$B$7+IF(D1028="Yes",Assumptions!$C$7,0))</f>
        <v>86616.180000000008</v>
      </c>
      <c r="J1028" s="22">
        <f>F1028*(1+Assumptions!$B$8+IF(D1028="Yes",Assumptions!$C$8,0))</f>
        <v>83316.516000000003</v>
      </c>
    </row>
    <row r="1029" spans="1:10" ht="15">
      <c r="A1029" s="21">
        <v>41005</v>
      </c>
      <c r="B1029" s="21">
        <v>41000</v>
      </c>
      <c r="C1029" s="17">
        <v>54</v>
      </c>
      <c r="D1029" s="17" t="s">
        <v>91</v>
      </c>
      <c r="E1029" s="14">
        <v>996.4</v>
      </c>
      <c r="F1029" s="14">
        <v>2053.66</v>
      </c>
      <c r="G1029" s="14">
        <v>2053.66</v>
      </c>
      <c r="H1029" s="22">
        <f>F1029*(1+Assumptions!$B$6+IF(D1029="Yes",Assumptions!$C$6,0))</f>
        <v>2115.2698</v>
      </c>
      <c r="I1029" s="22">
        <f>F1029*(1+Assumptions!$B$7+IF(D1029="Yes",Assumptions!$C$7,0))</f>
        <v>2156.3429999999998</v>
      </c>
      <c r="J1029" s="22">
        <f>F1029*(1+Assumptions!$B$8+IF(D1029="Yes",Assumptions!$C$8,0))</f>
        <v>2074.1965999999998</v>
      </c>
    </row>
    <row r="1030" spans="1:10" ht="15">
      <c r="A1030" s="21">
        <v>41005</v>
      </c>
      <c r="B1030" s="21">
        <v>41000</v>
      </c>
      <c r="C1030" s="17">
        <v>55</v>
      </c>
      <c r="D1030" s="17" t="s">
        <v>91</v>
      </c>
      <c r="E1030" s="14">
        <v>379285.21</v>
      </c>
      <c r="F1030" s="14">
        <v>346111.24</v>
      </c>
      <c r="G1030" s="14">
        <v>346111.24</v>
      </c>
      <c r="H1030" s="22">
        <f>F1030*(1+Assumptions!$B$6+IF(D1030="Yes",Assumptions!$C$6,0))</f>
        <v>356494.5772</v>
      </c>
      <c r="I1030" s="22">
        <f>F1030*(1+Assumptions!$B$7+IF(D1030="Yes",Assumptions!$C$7,0))</f>
        <v>363416.80200000003</v>
      </c>
      <c r="J1030" s="22">
        <f>F1030*(1+Assumptions!$B$8+IF(D1030="Yes",Assumptions!$C$8,0))</f>
        <v>349572.35239999997</v>
      </c>
    </row>
    <row r="1031" spans="1:10" ht="15">
      <c r="A1031" s="21">
        <v>41005</v>
      </c>
      <c r="B1031" s="21">
        <v>41000</v>
      </c>
      <c r="C1031" s="17">
        <v>56</v>
      </c>
      <c r="D1031" s="17" t="s">
        <v>91</v>
      </c>
      <c r="E1031" s="14">
        <v>380904.2</v>
      </c>
      <c r="F1031" s="14">
        <v>263269.28000000003</v>
      </c>
      <c r="G1031" s="14">
        <v>263269.28000000003</v>
      </c>
      <c r="H1031" s="22">
        <f>F1031*(1+Assumptions!$B$6+IF(D1031="Yes",Assumptions!$C$6,0))</f>
        <v>271167.35840000003</v>
      </c>
      <c r="I1031" s="22">
        <f>F1031*(1+Assumptions!$B$7+IF(D1031="Yes",Assumptions!$C$7,0))</f>
        <v>276432.74400000006</v>
      </c>
      <c r="J1031" s="22">
        <f>F1031*(1+Assumptions!$B$8+IF(D1031="Yes",Assumptions!$C$8,0))</f>
        <v>265901.97280000005</v>
      </c>
    </row>
    <row r="1032" spans="1:10" ht="15">
      <c r="A1032" s="21">
        <v>41005</v>
      </c>
      <c r="B1032" s="21">
        <v>41000</v>
      </c>
      <c r="C1032" s="17">
        <v>58</v>
      </c>
      <c r="D1032" s="17" t="s">
        <v>91</v>
      </c>
      <c r="E1032" s="14">
        <v>97995</v>
      </c>
      <c r="F1032" s="14">
        <v>76955</v>
      </c>
      <c r="G1032" s="14">
        <v>76955</v>
      </c>
      <c r="H1032" s="22">
        <f>F1032*(1+Assumptions!$B$6+IF(D1032="Yes",Assumptions!$C$6,0))</f>
        <v>79263.650000000009</v>
      </c>
      <c r="I1032" s="22">
        <f>F1032*(1+Assumptions!$B$7+IF(D1032="Yes",Assumptions!$C$7,0))</f>
        <v>80802.75</v>
      </c>
      <c r="J1032" s="22">
        <f>F1032*(1+Assumptions!$B$8+IF(D1032="Yes",Assumptions!$C$8,0))</f>
        <v>77724.55</v>
      </c>
    </row>
    <row r="1033" spans="1:10" ht="15">
      <c r="A1033" s="21">
        <v>41005</v>
      </c>
      <c r="B1033" s="21">
        <v>41000</v>
      </c>
      <c r="C1033" s="17">
        <v>59</v>
      </c>
      <c r="D1033" s="17" t="s">
        <v>91</v>
      </c>
      <c r="E1033" s="14">
        <v>10001.68</v>
      </c>
      <c r="F1033" s="14">
        <v>14238.449999999999</v>
      </c>
      <c r="G1033" s="14">
        <v>14238.449999999999</v>
      </c>
      <c r="H1033" s="22">
        <f>F1033*(1+Assumptions!$B$6+IF(D1033="Yes",Assumptions!$C$6,0))</f>
        <v>14665.603499999999</v>
      </c>
      <c r="I1033" s="22">
        <f>F1033*(1+Assumptions!$B$7+IF(D1033="Yes",Assumptions!$C$7,0))</f>
        <v>14950.372499999999</v>
      </c>
      <c r="J1033" s="22">
        <f>F1033*(1+Assumptions!$B$8+IF(D1033="Yes",Assumptions!$C$8,0))</f>
        <v>14380.834499999999</v>
      </c>
    </row>
    <row r="1034" spans="1:10" ht="15">
      <c r="A1034" s="21">
        <v>41005</v>
      </c>
      <c r="B1034" s="21">
        <v>41000</v>
      </c>
      <c r="C1034" s="17">
        <v>60</v>
      </c>
      <c r="D1034" s="17" t="s">
        <v>91</v>
      </c>
      <c r="E1034" s="14">
        <v>16164</v>
      </c>
      <c r="F1034" s="14">
        <v>14481</v>
      </c>
      <c r="G1034" s="14">
        <v>14481</v>
      </c>
      <c r="H1034" s="22">
        <f>F1034*(1+Assumptions!$B$6+IF(D1034="Yes",Assumptions!$C$6,0))</f>
        <v>14915.43</v>
      </c>
      <c r="I1034" s="22">
        <f>F1034*(1+Assumptions!$B$7+IF(D1034="Yes",Assumptions!$C$7,0))</f>
        <v>15205.050000000001</v>
      </c>
      <c r="J1034" s="22">
        <f>F1034*(1+Assumptions!$B$8+IF(D1034="Yes",Assumptions!$C$8,0))</f>
        <v>14625.81</v>
      </c>
    </row>
    <row r="1035" spans="1:10" ht="15">
      <c r="A1035" s="21">
        <v>41005</v>
      </c>
      <c r="B1035" s="21">
        <v>41000</v>
      </c>
      <c r="C1035" s="17">
        <v>65</v>
      </c>
      <c r="D1035" s="17" t="s">
        <v>91</v>
      </c>
      <c r="E1035" s="14">
        <v>52606.09</v>
      </c>
      <c r="F1035" s="14">
        <v>49947.519999999997</v>
      </c>
      <c r="G1035" s="14">
        <v>49947.519999999997</v>
      </c>
      <c r="H1035" s="22">
        <f>F1035*(1+Assumptions!$B$6+IF(D1035="Yes",Assumptions!$C$6,0))</f>
        <v>51445.945599999999</v>
      </c>
      <c r="I1035" s="22">
        <f>F1035*(1+Assumptions!$B$7+IF(D1035="Yes",Assumptions!$C$7,0))</f>
        <v>52444.896000000001</v>
      </c>
      <c r="J1035" s="22">
        <f>F1035*(1+Assumptions!$B$8+IF(D1035="Yes",Assumptions!$C$8,0))</f>
        <v>50446.995199999998</v>
      </c>
    </row>
    <row r="1036" spans="1:10" ht="15">
      <c r="A1036" s="21">
        <v>41005</v>
      </c>
      <c r="B1036" s="21">
        <v>41000</v>
      </c>
      <c r="C1036" s="17">
        <v>67</v>
      </c>
      <c r="D1036" s="17" t="s">
        <v>91</v>
      </c>
      <c r="E1036" s="14">
        <v>389584.77</v>
      </c>
      <c r="F1036" s="14">
        <v>268120.40000000002</v>
      </c>
      <c r="G1036" s="14">
        <v>268120.40000000002</v>
      </c>
      <c r="H1036" s="22">
        <f>F1036*(1+Assumptions!$B$6+IF(D1036="Yes",Assumptions!$C$6,0))</f>
        <v>276164.01200000005</v>
      </c>
      <c r="I1036" s="22">
        <f>F1036*(1+Assumptions!$B$7+IF(D1036="Yes",Assumptions!$C$7,0))</f>
        <v>281526.42000000004</v>
      </c>
      <c r="J1036" s="22">
        <f>F1036*(1+Assumptions!$B$8+IF(D1036="Yes",Assumptions!$C$8,0))</f>
        <v>270801.60400000005</v>
      </c>
    </row>
    <row r="1037" spans="1:10" ht="15">
      <c r="A1037" s="21">
        <v>41005</v>
      </c>
      <c r="B1037" s="21">
        <v>41000</v>
      </c>
      <c r="C1037" s="17">
        <v>71</v>
      </c>
      <c r="D1037" s="17" t="s">
        <v>91</v>
      </c>
      <c r="E1037" s="14">
        <v>207233.38</v>
      </c>
      <c r="F1037" s="14">
        <v>203531.74</v>
      </c>
      <c r="G1037" s="14">
        <v>203531.74</v>
      </c>
      <c r="H1037" s="22">
        <f>F1037*(1+Assumptions!$B$6+IF(D1037="Yes",Assumptions!$C$6,0))</f>
        <v>209637.69219999999</v>
      </c>
      <c r="I1037" s="22">
        <f>F1037*(1+Assumptions!$B$7+IF(D1037="Yes",Assumptions!$C$7,0))</f>
        <v>213708.32699999999</v>
      </c>
      <c r="J1037" s="22">
        <f>F1037*(1+Assumptions!$B$8+IF(D1037="Yes",Assumptions!$C$8,0))</f>
        <v>205567.05739999999</v>
      </c>
    </row>
    <row r="1038" spans="1:10" ht="15">
      <c r="A1038" s="21">
        <v>41005</v>
      </c>
      <c r="B1038" s="21">
        <v>41000</v>
      </c>
      <c r="C1038" s="17">
        <v>72</v>
      </c>
      <c r="D1038" s="17" t="s">
        <v>91</v>
      </c>
      <c r="E1038" s="14">
        <v>1815304.88</v>
      </c>
      <c r="F1038" s="14">
        <v>1834547.86</v>
      </c>
      <c r="G1038" s="14">
        <v>1834547.86</v>
      </c>
      <c r="H1038" s="22">
        <f>F1038*(1+Assumptions!$B$6+IF(D1038="Yes",Assumptions!$C$6,0))</f>
        <v>1889584.2958000002</v>
      </c>
      <c r="I1038" s="22">
        <f>F1038*(1+Assumptions!$B$7+IF(D1038="Yes",Assumptions!$C$7,0))</f>
        <v>1926275.2530000003</v>
      </c>
      <c r="J1038" s="22">
        <f>F1038*(1+Assumptions!$B$8+IF(D1038="Yes",Assumptions!$C$8,0))</f>
        <v>1852893.3386000001</v>
      </c>
    </row>
    <row r="1039" spans="1:10" ht="15">
      <c r="A1039" s="21">
        <v>41005</v>
      </c>
      <c r="B1039" s="21">
        <v>41000</v>
      </c>
      <c r="C1039" s="17">
        <v>74</v>
      </c>
      <c r="D1039" s="17" t="s">
        <v>91</v>
      </c>
      <c r="E1039" s="14">
        <v>606416.5</v>
      </c>
      <c r="F1039" s="14">
        <v>603957.19999999995</v>
      </c>
      <c r="G1039" s="14">
        <v>603957.19999999995</v>
      </c>
      <c r="H1039" s="22">
        <f>F1039*(1+Assumptions!$B$6+IF(D1039="Yes",Assumptions!$C$6,0))</f>
        <v>622075.91599999997</v>
      </c>
      <c r="I1039" s="22">
        <f>F1039*(1+Assumptions!$B$7+IF(D1039="Yes",Assumptions!$C$7,0))</f>
        <v>634155.05999999994</v>
      </c>
      <c r="J1039" s="22">
        <f>F1039*(1+Assumptions!$B$8+IF(D1039="Yes",Assumptions!$C$8,0))</f>
        <v>609996.772</v>
      </c>
    </row>
    <row r="1040" spans="1:10" ht="15">
      <c r="A1040" s="21">
        <v>41005</v>
      </c>
      <c r="B1040" s="21">
        <v>41000</v>
      </c>
      <c r="C1040" s="17">
        <v>79</v>
      </c>
      <c r="D1040" s="17" t="s">
        <v>91</v>
      </c>
      <c r="E1040" s="14">
        <v>1122028.71</v>
      </c>
      <c r="F1040" s="14">
        <v>1029536.74</v>
      </c>
      <c r="G1040" s="14">
        <v>1029536.74</v>
      </c>
      <c r="H1040" s="22">
        <f>F1040*(1+Assumptions!$B$6+IF(D1040="Yes",Assumptions!$C$6,0))</f>
        <v>1060422.8422000001</v>
      </c>
      <c r="I1040" s="22">
        <f>F1040*(1+Assumptions!$B$7+IF(D1040="Yes",Assumptions!$C$7,0))</f>
        <v>1081013.577</v>
      </c>
      <c r="J1040" s="22">
        <f>F1040*(1+Assumptions!$B$8+IF(D1040="Yes",Assumptions!$C$8,0))</f>
        <v>1039832.1074</v>
      </c>
    </row>
    <row r="1041" spans="1:10" ht="15">
      <c r="A1041" s="21">
        <v>41005</v>
      </c>
      <c r="B1041" s="21">
        <v>41000</v>
      </c>
      <c r="C1041" s="17">
        <v>80</v>
      </c>
      <c r="D1041" s="17" t="s">
        <v>91</v>
      </c>
      <c r="E1041" s="14">
        <v>538969.51</v>
      </c>
      <c r="F1041" s="14">
        <v>520116.72000000003</v>
      </c>
      <c r="G1041" s="14">
        <v>520116.72000000003</v>
      </c>
      <c r="H1041" s="22">
        <f>F1041*(1+Assumptions!$B$6+IF(D1041="Yes",Assumptions!$C$6,0))</f>
        <v>535720.22160000005</v>
      </c>
      <c r="I1041" s="22">
        <f>F1041*(1+Assumptions!$B$7+IF(D1041="Yes",Assumptions!$C$7,0))</f>
        <v>546122.5560000001</v>
      </c>
      <c r="J1041" s="22">
        <f>F1041*(1+Assumptions!$B$8+IF(D1041="Yes",Assumptions!$C$8,0))</f>
        <v>525317.8872</v>
      </c>
    </row>
    <row r="1042" spans="1:10" ht="15">
      <c r="A1042" s="21">
        <v>41005</v>
      </c>
      <c r="B1042" s="21">
        <v>41000</v>
      </c>
      <c r="C1042" s="17">
        <v>81</v>
      </c>
      <c r="D1042" s="17" t="s">
        <v>91</v>
      </c>
      <c r="E1042" s="14">
        <v>760868.91</v>
      </c>
      <c r="F1042" s="14">
        <v>718737.3</v>
      </c>
      <c r="G1042" s="14">
        <v>718737.3</v>
      </c>
      <c r="H1042" s="22">
        <f>F1042*(1+Assumptions!$B$6+IF(D1042="Yes",Assumptions!$C$6,0))</f>
        <v>740299.41900000011</v>
      </c>
      <c r="I1042" s="22">
        <f>F1042*(1+Assumptions!$B$7+IF(D1042="Yes",Assumptions!$C$7,0))</f>
        <v>754674.16500000004</v>
      </c>
      <c r="J1042" s="22">
        <f>F1042*(1+Assumptions!$B$8+IF(D1042="Yes",Assumptions!$C$8,0))</f>
        <v>725924.67300000007</v>
      </c>
    </row>
    <row r="1043" spans="1:10" ht="15">
      <c r="A1043" s="21">
        <v>41005</v>
      </c>
      <c r="B1043" s="21">
        <v>41000</v>
      </c>
      <c r="C1043" s="17">
        <v>82</v>
      </c>
      <c r="D1043" s="17" t="s">
        <v>91</v>
      </c>
      <c r="E1043" s="14">
        <v>807438.76</v>
      </c>
      <c r="F1043" s="14">
        <v>609972.30999999994</v>
      </c>
      <c r="G1043" s="14">
        <v>609972.30999999994</v>
      </c>
      <c r="H1043" s="22">
        <f>F1043*(1+Assumptions!$B$6+IF(D1043="Yes",Assumptions!$C$6,0))</f>
        <v>628271.47930000001</v>
      </c>
      <c r="I1043" s="22">
        <f>F1043*(1+Assumptions!$B$7+IF(D1043="Yes",Assumptions!$C$7,0))</f>
        <v>640470.92550000001</v>
      </c>
      <c r="J1043" s="22">
        <f>F1043*(1+Assumptions!$B$8+IF(D1043="Yes",Assumptions!$C$8,0))</f>
        <v>616072.0331</v>
      </c>
    </row>
    <row r="1044" spans="1:10" ht="15">
      <c r="A1044" s="21">
        <v>41005</v>
      </c>
      <c r="B1044" s="21">
        <v>41000</v>
      </c>
      <c r="C1044" s="17">
        <v>83</v>
      </c>
      <c r="D1044" s="17" t="s">
        <v>91</v>
      </c>
      <c r="E1044" s="14">
        <v>185426</v>
      </c>
      <c r="F1044" s="14">
        <v>163919.57999999999</v>
      </c>
      <c r="G1044" s="14">
        <v>163919.57999999999</v>
      </c>
      <c r="H1044" s="22">
        <f>F1044*(1+Assumptions!$B$6+IF(D1044="Yes",Assumptions!$C$6,0))</f>
        <v>168837.16739999998</v>
      </c>
      <c r="I1044" s="22">
        <f>F1044*(1+Assumptions!$B$7+IF(D1044="Yes",Assumptions!$C$7,0))</f>
        <v>172115.55900000001</v>
      </c>
      <c r="J1044" s="22">
        <f>F1044*(1+Assumptions!$B$8+IF(D1044="Yes",Assumptions!$C$8,0))</f>
        <v>165558.7758</v>
      </c>
    </row>
    <row r="1045" spans="1:10" ht="15">
      <c r="A1045" s="21">
        <v>41005</v>
      </c>
      <c r="B1045" s="21">
        <v>41000</v>
      </c>
      <c r="C1045" s="17">
        <v>85</v>
      </c>
      <c r="D1045" s="17" t="s">
        <v>91</v>
      </c>
      <c r="E1045" s="14">
        <v>74424.2</v>
      </c>
      <c r="F1045" s="14">
        <v>72915.98</v>
      </c>
      <c r="G1045" s="14">
        <v>72915.98</v>
      </c>
      <c r="H1045" s="22">
        <f>F1045*(1+Assumptions!$B$6+IF(D1045="Yes",Assumptions!$C$6,0))</f>
        <v>75103.459399999992</v>
      </c>
      <c r="I1045" s="22">
        <f>F1045*(1+Assumptions!$B$7+IF(D1045="Yes",Assumptions!$C$7,0))</f>
        <v>76561.778999999995</v>
      </c>
      <c r="J1045" s="22">
        <f>F1045*(1+Assumptions!$B$8+IF(D1045="Yes",Assumptions!$C$8,0))</f>
        <v>73645.13979999999</v>
      </c>
    </row>
    <row r="1046" spans="1:10" ht="15">
      <c r="A1046" s="21">
        <v>41005</v>
      </c>
      <c r="B1046" s="21">
        <v>41000</v>
      </c>
      <c r="C1046" s="17">
        <v>87</v>
      </c>
      <c r="D1046" s="17" t="s">
        <v>91</v>
      </c>
      <c r="E1046" s="14">
        <v>720541.78</v>
      </c>
      <c r="F1046" s="14">
        <v>567171.68999999994</v>
      </c>
      <c r="G1046" s="14">
        <v>567171.68999999994</v>
      </c>
      <c r="H1046" s="22">
        <f>F1046*(1+Assumptions!$B$6+IF(D1046="Yes",Assumptions!$C$6,0))</f>
        <v>584186.84069999994</v>
      </c>
      <c r="I1046" s="22">
        <f>F1046*(1+Assumptions!$B$7+IF(D1046="Yes",Assumptions!$C$7,0))</f>
        <v>595530.27449999994</v>
      </c>
      <c r="J1046" s="22">
        <f>F1046*(1+Assumptions!$B$8+IF(D1046="Yes",Assumptions!$C$8,0))</f>
        <v>572843.40689999994</v>
      </c>
    </row>
    <row r="1047" spans="1:10" ht="15">
      <c r="A1047" s="21">
        <v>41005</v>
      </c>
      <c r="B1047" s="21">
        <v>41000</v>
      </c>
      <c r="C1047" s="17">
        <v>90</v>
      </c>
      <c r="D1047" s="17" t="s">
        <v>91</v>
      </c>
      <c r="E1047" s="14">
        <v>2354364.0699999998</v>
      </c>
      <c r="F1047" s="14">
        <v>2087421.3</v>
      </c>
      <c r="G1047" s="14">
        <v>2087421.3</v>
      </c>
      <c r="H1047" s="22">
        <f>F1047*(1+Assumptions!$B$6+IF(D1047="Yes",Assumptions!$C$6,0))</f>
        <v>2150043.9390000002</v>
      </c>
      <c r="I1047" s="22">
        <f>F1047*(1+Assumptions!$B$7+IF(D1047="Yes",Assumptions!$C$7,0))</f>
        <v>2191792.3650000002</v>
      </c>
      <c r="J1047" s="22">
        <f>F1047*(1+Assumptions!$B$8+IF(D1047="Yes",Assumptions!$C$8,0))</f>
        <v>2108295.5130000003</v>
      </c>
    </row>
    <row r="1048" spans="1:10" ht="15">
      <c r="A1048" s="21">
        <v>41005</v>
      </c>
      <c r="B1048" s="21">
        <v>41000</v>
      </c>
      <c r="C1048" s="17">
        <v>91</v>
      </c>
      <c r="D1048" s="17" t="s">
        <v>91</v>
      </c>
      <c r="E1048" s="14">
        <v>1727740.56</v>
      </c>
      <c r="F1048" s="14">
        <v>1657938.57</v>
      </c>
      <c r="G1048" s="14">
        <v>1657938.57</v>
      </c>
      <c r="H1048" s="22">
        <f>F1048*(1+Assumptions!$B$6+IF(D1048="Yes",Assumptions!$C$6,0))</f>
        <v>1707676.7271</v>
      </c>
      <c r="I1048" s="22">
        <f>F1048*(1+Assumptions!$B$7+IF(D1048="Yes",Assumptions!$C$7,0))</f>
        <v>1740835.4985000002</v>
      </c>
      <c r="J1048" s="22">
        <f>F1048*(1+Assumptions!$B$8+IF(D1048="Yes",Assumptions!$C$8,0))</f>
        <v>1674517.9557</v>
      </c>
    </row>
    <row r="1049" spans="1:10" ht="15">
      <c r="A1049" s="21">
        <v>41005</v>
      </c>
      <c r="B1049" s="21">
        <v>41000</v>
      </c>
      <c r="C1049" s="17">
        <v>92</v>
      </c>
      <c r="D1049" s="17" t="s">
        <v>91</v>
      </c>
      <c r="E1049" s="14">
        <v>3961282.39</v>
      </c>
      <c r="F1049" s="14">
        <v>3458597.39</v>
      </c>
      <c r="G1049" s="14">
        <v>3458597.39</v>
      </c>
      <c r="H1049" s="22">
        <f>F1049*(1+Assumptions!$B$6+IF(D1049="Yes",Assumptions!$C$6,0))</f>
        <v>3562355.3117000004</v>
      </c>
      <c r="I1049" s="22">
        <f>F1049*(1+Assumptions!$B$7+IF(D1049="Yes",Assumptions!$C$7,0))</f>
        <v>3631527.2595000002</v>
      </c>
      <c r="J1049" s="22">
        <f>F1049*(1+Assumptions!$B$8+IF(D1049="Yes",Assumptions!$C$8,0))</f>
        <v>3493183.3639000002</v>
      </c>
    </row>
    <row r="1050" spans="1:10" ht="15">
      <c r="A1050" s="21">
        <v>41005</v>
      </c>
      <c r="B1050" s="21">
        <v>41000</v>
      </c>
      <c r="C1050" s="17">
        <v>93</v>
      </c>
      <c r="D1050" s="17" t="s">
        <v>91</v>
      </c>
      <c r="E1050" s="14">
        <v>1343070.17</v>
      </c>
      <c r="F1050" s="14">
        <v>1162476.24</v>
      </c>
      <c r="G1050" s="14">
        <v>1162476.24</v>
      </c>
      <c r="H1050" s="22">
        <f>F1050*(1+Assumptions!$B$6+IF(D1050="Yes",Assumptions!$C$6,0))</f>
        <v>1197350.5272000001</v>
      </c>
      <c r="I1050" s="22">
        <f>F1050*(1+Assumptions!$B$7+IF(D1050="Yes",Assumptions!$C$7,0))</f>
        <v>1220600.0520000001</v>
      </c>
      <c r="J1050" s="22">
        <f>F1050*(1+Assumptions!$B$8+IF(D1050="Yes",Assumptions!$C$8,0))</f>
        <v>1174101.0024000001</v>
      </c>
    </row>
    <row r="1051" spans="1:10" ht="15">
      <c r="A1051" s="21">
        <v>41005</v>
      </c>
      <c r="B1051" s="21">
        <v>41000</v>
      </c>
      <c r="C1051" s="17">
        <v>94</v>
      </c>
      <c r="D1051" s="17" t="s">
        <v>91</v>
      </c>
      <c r="E1051" s="14">
        <v>1432308.96</v>
      </c>
      <c r="F1051" s="14">
        <v>1425435.11</v>
      </c>
      <c r="G1051" s="14">
        <v>1425435.11</v>
      </c>
      <c r="H1051" s="22">
        <f>F1051*(1+Assumptions!$B$6+IF(D1051="Yes",Assumptions!$C$6,0))</f>
        <v>1468198.1633000001</v>
      </c>
      <c r="I1051" s="22">
        <f>F1051*(1+Assumptions!$B$7+IF(D1051="Yes",Assumptions!$C$7,0))</f>
        <v>1496706.8655000001</v>
      </c>
      <c r="J1051" s="22">
        <f>F1051*(1+Assumptions!$B$8+IF(D1051="Yes",Assumptions!$C$8,0))</f>
        <v>1439689.4611000002</v>
      </c>
    </row>
    <row r="1052" spans="1:10" ht="15">
      <c r="A1052" s="21">
        <v>41005</v>
      </c>
      <c r="B1052" s="21">
        <v>41000</v>
      </c>
      <c r="C1052" s="17">
        <v>95</v>
      </c>
      <c r="D1052" s="17" t="s">
        <v>91</v>
      </c>
      <c r="E1052" s="14">
        <v>3407441.81</v>
      </c>
      <c r="F1052" s="14">
        <v>3130019.9</v>
      </c>
      <c r="G1052" s="14">
        <v>3130019.9</v>
      </c>
      <c r="H1052" s="22">
        <f>F1052*(1+Assumptions!$B$6+IF(D1052="Yes",Assumptions!$C$6,0))</f>
        <v>3223920.497</v>
      </c>
      <c r="I1052" s="22">
        <f>F1052*(1+Assumptions!$B$7+IF(D1052="Yes",Assumptions!$C$7,0))</f>
        <v>3286520.895</v>
      </c>
      <c r="J1052" s="22">
        <f>F1052*(1+Assumptions!$B$8+IF(D1052="Yes",Assumptions!$C$8,0))</f>
        <v>3161320.0989999999</v>
      </c>
    </row>
    <row r="1053" spans="1:10" ht="15">
      <c r="A1053" s="21">
        <v>41005</v>
      </c>
      <c r="B1053" s="21">
        <v>41000</v>
      </c>
      <c r="C1053" s="17">
        <v>96</v>
      </c>
      <c r="D1053" s="17" t="s">
        <v>91</v>
      </c>
      <c r="E1053" s="14">
        <v>557850.67000000004</v>
      </c>
      <c r="F1053" s="14">
        <v>471590.51</v>
      </c>
      <c r="G1053" s="14">
        <v>471590.51</v>
      </c>
      <c r="H1053" s="22">
        <f>F1053*(1+Assumptions!$B$6+IF(D1053="Yes",Assumptions!$C$6,0))</f>
        <v>485738.22530000005</v>
      </c>
      <c r="I1053" s="22">
        <f>F1053*(1+Assumptions!$B$7+IF(D1053="Yes",Assumptions!$C$7,0))</f>
        <v>495170.03550000006</v>
      </c>
      <c r="J1053" s="22">
        <f>F1053*(1+Assumptions!$B$8+IF(D1053="Yes",Assumptions!$C$8,0))</f>
        <v>476306.41510000004</v>
      </c>
    </row>
    <row r="1054" spans="1:10" ht="15">
      <c r="A1054" s="21">
        <v>41005</v>
      </c>
      <c r="B1054" s="21">
        <v>41000</v>
      </c>
      <c r="C1054" s="17">
        <v>97</v>
      </c>
      <c r="D1054" s="17" t="s">
        <v>91</v>
      </c>
      <c r="E1054" s="14">
        <v>689761.2</v>
      </c>
      <c r="F1054" s="14">
        <v>655619.76</v>
      </c>
      <c r="G1054" s="14">
        <v>655619.76</v>
      </c>
      <c r="H1054" s="22">
        <f>F1054*(1+Assumptions!$B$6+IF(D1054="Yes",Assumptions!$C$6,0))</f>
        <v>675288.35279999999</v>
      </c>
      <c r="I1054" s="22">
        <f>F1054*(1+Assumptions!$B$7+IF(D1054="Yes",Assumptions!$C$7,0))</f>
        <v>688400.74800000002</v>
      </c>
      <c r="J1054" s="22">
        <f>F1054*(1+Assumptions!$B$8+IF(D1054="Yes",Assumptions!$C$8,0))</f>
        <v>662175.95759999997</v>
      </c>
    </row>
    <row r="1055" spans="1:10" ht="15">
      <c r="A1055" s="21">
        <v>41005</v>
      </c>
      <c r="B1055" s="21">
        <v>41000</v>
      </c>
      <c r="C1055" s="17">
        <v>98</v>
      </c>
      <c r="D1055" s="17" t="s">
        <v>91</v>
      </c>
      <c r="E1055" s="14">
        <v>310429.46999999997</v>
      </c>
      <c r="F1055" s="14">
        <v>270520.76</v>
      </c>
      <c r="G1055" s="14">
        <v>270520.76</v>
      </c>
      <c r="H1055" s="22">
        <f>F1055*(1+Assumptions!$B$6+IF(D1055="Yes",Assumptions!$C$6,0))</f>
        <v>278636.38280000002</v>
      </c>
      <c r="I1055" s="22">
        <f>F1055*(1+Assumptions!$B$7+IF(D1055="Yes",Assumptions!$C$7,0))</f>
        <v>284046.79800000001</v>
      </c>
      <c r="J1055" s="22">
        <f>F1055*(1+Assumptions!$B$8+IF(D1055="Yes",Assumptions!$C$8,0))</f>
        <v>273225.96760000003</v>
      </c>
    </row>
    <row r="1056" spans="1:10" ht="15">
      <c r="A1056" s="21">
        <v>41005</v>
      </c>
      <c r="B1056" s="21">
        <v>41000</v>
      </c>
      <c r="C1056" s="17">
        <v>99</v>
      </c>
      <c r="D1056" s="17" t="s">
        <v>91</v>
      </c>
      <c r="E1056" s="14">
        <v>140</v>
      </c>
      <c r="F1056" s="14">
        <v>175</v>
      </c>
      <c r="G1056" s="14">
        <v>175</v>
      </c>
      <c r="H1056" s="22">
        <f>F1056*(1+Assumptions!$B$6+IF(D1056="Yes",Assumptions!$C$6,0))</f>
        <v>180.25</v>
      </c>
      <c r="I1056" s="22">
        <f>F1056*(1+Assumptions!$B$7+IF(D1056="Yes",Assumptions!$C$7,0))</f>
        <v>183.75</v>
      </c>
      <c r="J1056" s="22">
        <f>F1056*(1+Assumptions!$B$8+IF(D1056="Yes",Assumptions!$C$8,0))</f>
        <v>176.75</v>
      </c>
    </row>
    <row r="1057" spans="1:10" ht="15">
      <c r="A1057" s="21">
        <v>41012</v>
      </c>
      <c r="B1057" s="21">
        <v>41000</v>
      </c>
      <c r="C1057" s="17">
        <v>1</v>
      </c>
      <c r="D1057" s="17" t="s">
        <v>91</v>
      </c>
      <c r="E1057" s="14">
        <v>1508832.27</v>
      </c>
      <c r="F1057" s="14">
        <v>1140811.1399999999</v>
      </c>
      <c r="G1057" s="14">
        <v>1140811.1399999999</v>
      </c>
      <c r="H1057" s="22">
        <f>F1057*(1+Assumptions!$B$6+IF(D1057="Yes",Assumptions!$C$6,0))</f>
        <v>1175035.4741999998</v>
      </c>
      <c r="I1057" s="22">
        <f>F1057*(1+Assumptions!$B$7+IF(D1057="Yes",Assumptions!$C$7,0))</f>
        <v>1197851.6969999999</v>
      </c>
      <c r="J1057" s="22">
        <f>F1057*(1+Assumptions!$B$8+IF(D1057="Yes",Assumptions!$C$8,0))</f>
        <v>1152219.2514</v>
      </c>
    </row>
    <row r="1058" spans="1:10" ht="15">
      <c r="A1058" s="21">
        <v>41012</v>
      </c>
      <c r="B1058" s="21">
        <v>41000</v>
      </c>
      <c r="C1058" s="17">
        <v>2</v>
      </c>
      <c r="D1058" s="17" t="s">
        <v>91</v>
      </c>
      <c r="E1058" s="14">
        <v>1878746.16</v>
      </c>
      <c r="F1058" s="14">
        <v>1883416.84</v>
      </c>
      <c r="G1058" s="14">
        <v>1883416.84</v>
      </c>
      <c r="H1058" s="22">
        <f>F1058*(1+Assumptions!$B$6+IF(D1058="Yes",Assumptions!$C$6,0))</f>
        <v>1939919.3452000001</v>
      </c>
      <c r="I1058" s="22">
        <f>F1058*(1+Assumptions!$B$7+IF(D1058="Yes",Assumptions!$C$7,0))</f>
        <v>1977587.6820000003</v>
      </c>
      <c r="J1058" s="22">
        <f>F1058*(1+Assumptions!$B$8+IF(D1058="Yes",Assumptions!$C$8,0))</f>
        <v>1902251.0084000002</v>
      </c>
    </row>
    <row r="1059" spans="1:10" ht="15">
      <c r="A1059" s="21">
        <v>41012</v>
      </c>
      <c r="B1059" s="21">
        <v>41000</v>
      </c>
      <c r="C1059" s="17">
        <v>3</v>
      </c>
      <c r="D1059" s="17" t="s">
        <v>91</v>
      </c>
      <c r="E1059" s="14">
        <v>334182.72000000003</v>
      </c>
      <c r="F1059" s="14">
        <v>358246.5</v>
      </c>
      <c r="G1059" s="14">
        <v>358246.5</v>
      </c>
      <c r="H1059" s="22">
        <f>F1059*(1+Assumptions!$B$6+IF(D1059="Yes",Assumptions!$C$6,0))</f>
        <v>368993.89500000002</v>
      </c>
      <c r="I1059" s="22">
        <f>F1059*(1+Assumptions!$B$7+IF(D1059="Yes",Assumptions!$C$7,0))</f>
        <v>376158.82500000001</v>
      </c>
      <c r="J1059" s="22">
        <f>F1059*(1+Assumptions!$B$8+IF(D1059="Yes",Assumptions!$C$8,0))</f>
        <v>361828.96500000003</v>
      </c>
    </row>
    <row r="1060" spans="1:10" ht="15">
      <c r="A1060" s="21">
        <v>41012</v>
      </c>
      <c r="B1060" s="21">
        <v>41000</v>
      </c>
      <c r="C1060" s="17">
        <v>4</v>
      </c>
      <c r="D1060" s="17" t="s">
        <v>91</v>
      </c>
      <c r="E1060" s="14">
        <v>1141175.8500000001</v>
      </c>
      <c r="F1060" s="14">
        <v>1068864.96</v>
      </c>
      <c r="G1060" s="14">
        <v>1068864.96</v>
      </c>
      <c r="H1060" s="22">
        <f>F1060*(1+Assumptions!$B$6+IF(D1060="Yes",Assumptions!$C$6,0))</f>
        <v>1100930.9088000001</v>
      </c>
      <c r="I1060" s="22">
        <f>F1060*(1+Assumptions!$B$7+IF(D1060="Yes",Assumptions!$C$7,0))</f>
        <v>1122308.2080000001</v>
      </c>
      <c r="J1060" s="22">
        <f>F1060*(1+Assumptions!$B$8+IF(D1060="Yes",Assumptions!$C$8,0))</f>
        <v>1079553.6096000001</v>
      </c>
    </row>
    <row r="1061" spans="1:10" ht="15">
      <c r="A1061" s="21">
        <v>41012</v>
      </c>
      <c r="B1061" s="21">
        <v>41000</v>
      </c>
      <c r="C1061" s="17">
        <v>5</v>
      </c>
      <c r="D1061" s="17" t="s">
        <v>91</v>
      </c>
      <c r="E1061" s="14">
        <v>783557.65</v>
      </c>
      <c r="F1061" s="14">
        <v>924741.02</v>
      </c>
      <c r="G1061" s="14">
        <v>924741.02</v>
      </c>
      <c r="H1061" s="22">
        <f>F1061*(1+Assumptions!$B$6+IF(D1061="Yes",Assumptions!$C$6,0))</f>
        <v>952483.25060000003</v>
      </c>
      <c r="I1061" s="22">
        <f>F1061*(1+Assumptions!$B$7+IF(D1061="Yes",Assumptions!$C$7,0))</f>
        <v>970978.07100000011</v>
      </c>
      <c r="J1061" s="22">
        <f>F1061*(1+Assumptions!$B$8+IF(D1061="Yes",Assumptions!$C$8,0))</f>
        <v>933988.43020000006</v>
      </c>
    </row>
    <row r="1062" spans="1:10" ht="15">
      <c r="A1062" s="21">
        <v>41012</v>
      </c>
      <c r="B1062" s="21">
        <v>41000</v>
      </c>
      <c r="C1062" s="17">
        <v>6</v>
      </c>
      <c r="D1062" s="17" t="s">
        <v>91</v>
      </c>
      <c r="E1062" s="14">
        <v>142962.72</v>
      </c>
      <c r="F1062" s="14">
        <v>170932.2</v>
      </c>
      <c r="G1062" s="14">
        <v>170932.2</v>
      </c>
      <c r="H1062" s="22">
        <f>F1062*(1+Assumptions!$B$6+IF(D1062="Yes",Assumptions!$C$6,0))</f>
        <v>176060.16600000003</v>
      </c>
      <c r="I1062" s="22">
        <f>F1062*(1+Assumptions!$B$7+IF(D1062="Yes",Assumptions!$C$7,0))</f>
        <v>179478.81000000003</v>
      </c>
      <c r="J1062" s="22">
        <f>F1062*(1+Assumptions!$B$8+IF(D1062="Yes",Assumptions!$C$8,0))</f>
        <v>172641.52200000003</v>
      </c>
    </row>
    <row r="1063" spans="1:10" ht="15">
      <c r="A1063" s="21">
        <v>41012</v>
      </c>
      <c r="B1063" s="21">
        <v>41000</v>
      </c>
      <c r="C1063" s="17">
        <v>7</v>
      </c>
      <c r="D1063" s="17" t="s">
        <v>91</v>
      </c>
      <c r="E1063" s="14">
        <v>1071800.68</v>
      </c>
      <c r="F1063" s="14">
        <v>933163.75</v>
      </c>
      <c r="G1063" s="14">
        <v>933163.75</v>
      </c>
      <c r="H1063" s="22">
        <f>F1063*(1+Assumptions!$B$6+IF(D1063="Yes",Assumptions!$C$6,0))</f>
        <v>961158.66249999998</v>
      </c>
      <c r="I1063" s="22">
        <f>F1063*(1+Assumptions!$B$7+IF(D1063="Yes",Assumptions!$C$7,0))</f>
        <v>979821.9375</v>
      </c>
      <c r="J1063" s="22">
        <f>F1063*(1+Assumptions!$B$8+IF(D1063="Yes",Assumptions!$C$8,0))</f>
        <v>942495.38749999995</v>
      </c>
    </row>
    <row r="1064" spans="1:10" ht="15">
      <c r="A1064" s="21">
        <v>41012</v>
      </c>
      <c r="B1064" s="21">
        <v>41000</v>
      </c>
      <c r="C1064" s="17">
        <v>8</v>
      </c>
      <c r="D1064" s="17" t="s">
        <v>91</v>
      </c>
      <c r="E1064" s="14">
        <v>1307035.8400000001</v>
      </c>
      <c r="F1064" s="14">
        <v>1298737.77</v>
      </c>
      <c r="G1064" s="14">
        <v>1298737.77</v>
      </c>
      <c r="H1064" s="22">
        <f>F1064*(1+Assumptions!$B$6+IF(D1064="Yes",Assumptions!$C$6,0))</f>
        <v>1337699.9031</v>
      </c>
      <c r="I1064" s="22">
        <f>F1064*(1+Assumptions!$B$7+IF(D1064="Yes",Assumptions!$C$7,0))</f>
        <v>1363674.6585000001</v>
      </c>
      <c r="J1064" s="22">
        <f>F1064*(1+Assumptions!$B$8+IF(D1064="Yes",Assumptions!$C$8,0))</f>
        <v>1311725.1477000001</v>
      </c>
    </row>
    <row r="1065" spans="1:10" ht="15">
      <c r="A1065" s="21">
        <v>41012</v>
      </c>
      <c r="B1065" s="21">
        <v>41000</v>
      </c>
      <c r="C1065" s="17">
        <v>9</v>
      </c>
      <c r="D1065" s="17" t="s">
        <v>91</v>
      </c>
      <c r="E1065" s="14">
        <v>1057052.1499999999</v>
      </c>
      <c r="F1065" s="14">
        <v>901350.96</v>
      </c>
      <c r="G1065" s="14">
        <v>901350.96</v>
      </c>
      <c r="H1065" s="22">
        <f>F1065*(1+Assumptions!$B$6+IF(D1065="Yes",Assumptions!$C$6,0))</f>
        <v>928391.48879999993</v>
      </c>
      <c r="I1065" s="22">
        <f>F1065*(1+Assumptions!$B$7+IF(D1065="Yes",Assumptions!$C$7,0))</f>
        <v>946418.50800000003</v>
      </c>
      <c r="J1065" s="22">
        <f>F1065*(1+Assumptions!$B$8+IF(D1065="Yes",Assumptions!$C$8,0))</f>
        <v>910364.46959999995</v>
      </c>
    </row>
    <row r="1066" spans="1:10" ht="15">
      <c r="A1066" s="21">
        <v>41012</v>
      </c>
      <c r="B1066" s="21">
        <v>41000</v>
      </c>
      <c r="C1066" s="17">
        <v>10</v>
      </c>
      <c r="D1066" s="17" t="s">
        <v>91</v>
      </c>
      <c r="E1066" s="14">
        <v>776273.71</v>
      </c>
      <c r="F1066" s="14">
        <v>779586.44000000006</v>
      </c>
      <c r="G1066" s="14">
        <v>779586.44000000006</v>
      </c>
      <c r="H1066" s="22">
        <f>F1066*(1+Assumptions!$B$6+IF(D1066="Yes",Assumptions!$C$6,0))</f>
        <v>802974.03320000006</v>
      </c>
      <c r="I1066" s="22">
        <f>F1066*(1+Assumptions!$B$7+IF(D1066="Yes",Assumptions!$C$7,0))</f>
        <v>818565.7620000001</v>
      </c>
      <c r="J1066" s="22">
        <f>F1066*(1+Assumptions!$B$8+IF(D1066="Yes",Assumptions!$C$8,0))</f>
        <v>787382.30440000002</v>
      </c>
    </row>
    <row r="1067" spans="1:10" ht="15">
      <c r="A1067" s="21">
        <v>41012</v>
      </c>
      <c r="B1067" s="21">
        <v>41000</v>
      </c>
      <c r="C1067" s="17">
        <v>11</v>
      </c>
      <c r="D1067" s="17" t="s">
        <v>91</v>
      </c>
      <c r="E1067" s="14">
        <v>498568.98</v>
      </c>
      <c r="F1067" s="14">
        <v>522160.27</v>
      </c>
      <c r="G1067" s="14">
        <v>522160.27</v>
      </c>
      <c r="H1067" s="22">
        <f>F1067*(1+Assumptions!$B$6+IF(D1067="Yes",Assumptions!$C$6,0))</f>
        <v>537825.07810000004</v>
      </c>
      <c r="I1067" s="22">
        <f>F1067*(1+Assumptions!$B$7+IF(D1067="Yes",Assumptions!$C$7,0))</f>
        <v>548268.28350000002</v>
      </c>
      <c r="J1067" s="22">
        <f>F1067*(1+Assumptions!$B$8+IF(D1067="Yes",Assumptions!$C$8,0))</f>
        <v>527381.87270000007</v>
      </c>
    </row>
    <row r="1068" spans="1:10" ht="15">
      <c r="A1068" s="21">
        <v>41012</v>
      </c>
      <c r="B1068" s="21">
        <v>41000</v>
      </c>
      <c r="C1068" s="17">
        <v>12</v>
      </c>
      <c r="D1068" s="17" t="s">
        <v>91</v>
      </c>
      <c r="E1068" s="14">
        <v>188374.53</v>
      </c>
      <c r="F1068" s="14">
        <v>189579.17</v>
      </c>
      <c r="G1068" s="14">
        <v>189579.17</v>
      </c>
      <c r="H1068" s="22">
        <f>F1068*(1+Assumptions!$B$6+IF(D1068="Yes",Assumptions!$C$6,0))</f>
        <v>195266.54510000002</v>
      </c>
      <c r="I1068" s="22">
        <f>F1068*(1+Assumptions!$B$7+IF(D1068="Yes",Assumptions!$C$7,0))</f>
        <v>199058.12850000002</v>
      </c>
      <c r="J1068" s="22">
        <f>F1068*(1+Assumptions!$B$8+IF(D1068="Yes",Assumptions!$C$8,0))</f>
        <v>191474.96170000001</v>
      </c>
    </row>
    <row r="1069" spans="1:10" ht="15">
      <c r="A1069" s="21">
        <v>41012</v>
      </c>
      <c r="B1069" s="21">
        <v>41000</v>
      </c>
      <c r="C1069" s="17">
        <v>13</v>
      </c>
      <c r="D1069" s="17" t="s">
        <v>91</v>
      </c>
      <c r="E1069" s="14">
        <v>1287435.07</v>
      </c>
      <c r="F1069" s="14">
        <v>1304994.92</v>
      </c>
      <c r="G1069" s="14">
        <v>1304994.92</v>
      </c>
      <c r="H1069" s="22">
        <f>F1069*(1+Assumptions!$B$6+IF(D1069="Yes",Assumptions!$C$6,0))</f>
        <v>1344144.7675999999</v>
      </c>
      <c r="I1069" s="22">
        <f>F1069*(1+Assumptions!$B$7+IF(D1069="Yes",Assumptions!$C$7,0))</f>
        <v>1370244.666</v>
      </c>
      <c r="J1069" s="22">
        <f>F1069*(1+Assumptions!$B$8+IF(D1069="Yes",Assumptions!$C$8,0))</f>
        <v>1318044.8691999998</v>
      </c>
    </row>
    <row r="1070" spans="1:10" ht="15">
      <c r="A1070" s="21">
        <v>41012</v>
      </c>
      <c r="B1070" s="21">
        <v>41000</v>
      </c>
      <c r="C1070" s="17">
        <v>14</v>
      </c>
      <c r="D1070" s="17" t="s">
        <v>91</v>
      </c>
      <c r="E1070" s="14">
        <v>613293.23</v>
      </c>
      <c r="F1070" s="14">
        <v>581107.22</v>
      </c>
      <c r="G1070" s="14">
        <v>581107.22</v>
      </c>
      <c r="H1070" s="22">
        <f>F1070*(1+Assumptions!$B$6+IF(D1070="Yes",Assumptions!$C$6,0))</f>
        <v>598540.43660000002</v>
      </c>
      <c r="I1070" s="22">
        <f>F1070*(1+Assumptions!$B$7+IF(D1070="Yes",Assumptions!$C$7,0))</f>
        <v>610162.58100000001</v>
      </c>
      <c r="J1070" s="22">
        <f>F1070*(1+Assumptions!$B$8+IF(D1070="Yes",Assumptions!$C$8,0))</f>
        <v>586918.29220000003</v>
      </c>
    </row>
    <row r="1071" spans="1:10" ht="15">
      <c r="A1071" s="21">
        <v>41012</v>
      </c>
      <c r="B1071" s="21">
        <v>41000</v>
      </c>
      <c r="C1071" s="17">
        <v>16</v>
      </c>
      <c r="D1071" s="17" t="s">
        <v>91</v>
      </c>
      <c r="E1071" s="14">
        <v>974225.29</v>
      </c>
      <c r="F1071" s="14">
        <v>847420.74</v>
      </c>
      <c r="G1071" s="14">
        <v>847420.74</v>
      </c>
      <c r="H1071" s="22">
        <f>F1071*(1+Assumptions!$B$6+IF(D1071="Yes",Assumptions!$C$6,0))</f>
        <v>872843.36219999997</v>
      </c>
      <c r="I1071" s="22">
        <f>F1071*(1+Assumptions!$B$7+IF(D1071="Yes",Assumptions!$C$7,0))</f>
        <v>889791.777</v>
      </c>
      <c r="J1071" s="22">
        <f>F1071*(1+Assumptions!$B$8+IF(D1071="Yes",Assumptions!$C$8,0))</f>
        <v>855894.94739999995</v>
      </c>
    </row>
    <row r="1072" spans="1:10" ht="15">
      <c r="A1072" s="21">
        <v>41012</v>
      </c>
      <c r="B1072" s="21">
        <v>41000</v>
      </c>
      <c r="C1072" s="17">
        <v>17</v>
      </c>
      <c r="D1072" s="17" t="s">
        <v>91</v>
      </c>
      <c r="E1072" s="14">
        <v>378569.84</v>
      </c>
      <c r="F1072" s="14">
        <v>399767.72</v>
      </c>
      <c r="G1072" s="14">
        <v>399767.72</v>
      </c>
      <c r="H1072" s="22">
        <f>F1072*(1+Assumptions!$B$6+IF(D1072="Yes",Assumptions!$C$6,0))</f>
        <v>411760.75159999996</v>
      </c>
      <c r="I1072" s="22">
        <f>F1072*(1+Assumptions!$B$7+IF(D1072="Yes",Assumptions!$C$7,0))</f>
        <v>419756.10599999997</v>
      </c>
      <c r="J1072" s="22">
        <f>F1072*(1+Assumptions!$B$8+IF(D1072="Yes",Assumptions!$C$8,0))</f>
        <v>403765.39719999995</v>
      </c>
    </row>
    <row r="1073" spans="1:10" ht="15">
      <c r="A1073" s="21">
        <v>41012</v>
      </c>
      <c r="B1073" s="21">
        <v>41000</v>
      </c>
      <c r="C1073" s="17">
        <v>18</v>
      </c>
      <c r="D1073" s="17" t="s">
        <v>91</v>
      </c>
      <c r="E1073" s="14">
        <v>261000.05</v>
      </c>
      <c r="F1073" s="14">
        <v>174453.76000000001</v>
      </c>
      <c r="G1073" s="14">
        <v>174453.76000000001</v>
      </c>
      <c r="H1073" s="22">
        <f>F1073*(1+Assumptions!$B$6+IF(D1073="Yes",Assumptions!$C$6,0))</f>
        <v>179687.37280000001</v>
      </c>
      <c r="I1073" s="22">
        <f>F1073*(1+Assumptions!$B$7+IF(D1073="Yes",Assumptions!$C$7,0))</f>
        <v>183176.448</v>
      </c>
      <c r="J1073" s="22">
        <f>F1073*(1+Assumptions!$B$8+IF(D1073="Yes",Assumptions!$C$8,0))</f>
        <v>176198.29760000002</v>
      </c>
    </row>
    <row r="1074" spans="1:10" ht="15">
      <c r="A1074" s="21">
        <v>41012</v>
      </c>
      <c r="B1074" s="21">
        <v>41000</v>
      </c>
      <c r="C1074" s="17">
        <v>19</v>
      </c>
      <c r="D1074" s="17" t="s">
        <v>91</v>
      </c>
      <c r="E1074" s="14">
        <v>41507.81</v>
      </c>
      <c r="F1074" s="14">
        <v>41482.33</v>
      </c>
      <c r="G1074" s="14">
        <v>41482.33</v>
      </c>
      <c r="H1074" s="22">
        <f>F1074*(1+Assumptions!$B$6+IF(D1074="Yes",Assumptions!$C$6,0))</f>
        <v>42726.799900000005</v>
      </c>
      <c r="I1074" s="22">
        <f>F1074*(1+Assumptions!$B$7+IF(D1074="Yes",Assumptions!$C$7,0))</f>
        <v>43556.446500000005</v>
      </c>
      <c r="J1074" s="22">
        <f>F1074*(1+Assumptions!$B$8+IF(D1074="Yes",Assumptions!$C$8,0))</f>
        <v>41897.153300000005</v>
      </c>
    </row>
    <row r="1075" spans="1:10" ht="15">
      <c r="A1075" s="21">
        <v>41012</v>
      </c>
      <c r="B1075" s="21">
        <v>41000</v>
      </c>
      <c r="C1075" s="17">
        <v>20</v>
      </c>
      <c r="D1075" s="17" t="s">
        <v>91</v>
      </c>
      <c r="E1075" s="14">
        <v>211928.84</v>
      </c>
      <c r="F1075" s="14">
        <v>217422.66</v>
      </c>
      <c r="G1075" s="14">
        <v>217422.66</v>
      </c>
      <c r="H1075" s="22">
        <f>F1075*(1+Assumptions!$B$6+IF(D1075="Yes",Assumptions!$C$6,0))</f>
        <v>223945.33980000002</v>
      </c>
      <c r="I1075" s="22">
        <f>F1075*(1+Assumptions!$B$7+IF(D1075="Yes",Assumptions!$C$7,0))</f>
        <v>228293.79300000001</v>
      </c>
      <c r="J1075" s="22">
        <f>F1075*(1+Assumptions!$B$8+IF(D1075="Yes",Assumptions!$C$8,0))</f>
        <v>219596.8866</v>
      </c>
    </row>
    <row r="1076" spans="1:10" ht="15">
      <c r="A1076" s="21">
        <v>41012</v>
      </c>
      <c r="B1076" s="21">
        <v>41000</v>
      </c>
      <c r="C1076" s="17">
        <v>21</v>
      </c>
      <c r="D1076" s="17" t="s">
        <v>91</v>
      </c>
      <c r="E1076" s="14">
        <v>229875.49</v>
      </c>
      <c r="F1076" s="14">
        <v>212225.83000000002</v>
      </c>
      <c r="G1076" s="14">
        <v>212225.83000000002</v>
      </c>
      <c r="H1076" s="22">
        <f>F1076*(1+Assumptions!$B$6+IF(D1076="Yes",Assumptions!$C$6,0))</f>
        <v>218592.60490000003</v>
      </c>
      <c r="I1076" s="22">
        <f>F1076*(1+Assumptions!$B$7+IF(D1076="Yes",Assumptions!$C$7,0))</f>
        <v>222837.12150000004</v>
      </c>
      <c r="J1076" s="22">
        <f>F1076*(1+Assumptions!$B$8+IF(D1076="Yes",Assumptions!$C$8,0))</f>
        <v>214348.08830000003</v>
      </c>
    </row>
    <row r="1077" spans="1:10" ht="15">
      <c r="A1077" s="21">
        <v>41012</v>
      </c>
      <c r="B1077" s="21">
        <v>41000</v>
      </c>
      <c r="C1077" s="17">
        <v>22</v>
      </c>
      <c r="D1077" s="17" t="s">
        <v>91</v>
      </c>
      <c r="E1077" s="14">
        <v>349738.79</v>
      </c>
      <c r="F1077" s="14">
        <v>343377.89</v>
      </c>
      <c r="G1077" s="14">
        <v>343377.89</v>
      </c>
      <c r="H1077" s="22">
        <f>F1077*(1+Assumptions!$B$6+IF(D1077="Yes",Assumptions!$C$6,0))</f>
        <v>353679.2267</v>
      </c>
      <c r="I1077" s="22">
        <f>F1077*(1+Assumptions!$B$7+IF(D1077="Yes",Assumptions!$C$7,0))</f>
        <v>360546.78450000001</v>
      </c>
      <c r="J1077" s="22">
        <f>F1077*(1+Assumptions!$B$8+IF(D1077="Yes",Assumptions!$C$8,0))</f>
        <v>346811.66889999999</v>
      </c>
    </row>
    <row r="1078" spans="1:10" ht="15">
      <c r="A1078" s="21">
        <v>41012</v>
      </c>
      <c r="B1078" s="21">
        <v>41000</v>
      </c>
      <c r="C1078" s="17">
        <v>23</v>
      </c>
      <c r="D1078" s="17" t="s">
        <v>91</v>
      </c>
      <c r="E1078" s="14">
        <v>905746.37</v>
      </c>
      <c r="F1078" s="14">
        <v>842324.73</v>
      </c>
      <c r="G1078" s="14">
        <v>842324.73</v>
      </c>
      <c r="H1078" s="22">
        <f>F1078*(1+Assumptions!$B$6+IF(D1078="Yes",Assumptions!$C$6,0))</f>
        <v>867594.4719</v>
      </c>
      <c r="I1078" s="22">
        <f>F1078*(1+Assumptions!$B$7+IF(D1078="Yes",Assumptions!$C$7,0))</f>
        <v>884440.96649999998</v>
      </c>
      <c r="J1078" s="22">
        <f>F1078*(1+Assumptions!$B$8+IF(D1078="Yes",Assumptions!$C$8,0))</f>
        <v>850747.97730000003</v>
      </c>
    </row>
    <row r="1079" spans="1:10" ht="15">
      <c r="A1079" s="21">
        <v>41012</v>
      </c>
      <c r="B1079" s="21">
        <v>41000</v>
      </c>
      <c r="C1079" s="17">
        <v>24</v>
      </c>
      <c r="D1079" s="17" t="s">
        <v>91</v>
      </c>
      <c r="E1079" s="14">
        <v>220101.5</v>
      </c>
      <c r="F1079" s="14">
        <v>200433.11000000002</v>
      </c>
      <c r="G1079" s="14">
        <v>200433.11000000002</v>
      </c>
      <c r="H1079" s="22">
        <f>F1079*(1+Assumptions!$B$6+IF(D1079="Yes",Assumptions!$C$6,0))</f>
        <v>206446.10330000002</v>
      </c>
      <c r="I1079" s="22">
        <f>F1079*(1+Assumptions!$B$7+IF(D1079="Yes",Assumptions!$C$7,0))</f>
        <v>210454.76550000004</v>
      </c>
      <c r="J1079" s="22">
        <f>F1079*(1+Assumptions!$B$8+IF(D1079="Yes",Assumptions!$C$8,0))</f>
        <v>202437.44110000003</v>
      </c>
    </row>
    <row r="1080" spans="1:10" ht="15">
      <c r="A1080" s="21">
        <v>41012</v>
      </c>
      <c r="B1080" s="21">
        <v>41000</v>
      </c>
      <c r="C1080" s="17">
        <v>25</v>
      </c>
      <c r="D1080" s="17" t="s">
        <v>91</v>
      </c>
      <c r="E1080" s="14">
        <v>431892.31</v>
      </c>
      <c r="F1080" s="14">
        <v>406191.52</v>
      </c>
      <c r="G1080" s="14">
        <v>406191.52</v>
      </c>
      <c r="H1080" s="22">
        <f>F1080*(1+Assumptions!$B$6+IF(D1080="Yes",Assumptions!$C$6,0))</f>
        <v>418377.26560000004</v>
      </c>
      <c r="I1080" s="22">
        <f>F1080*(1+Assumptions!$B$7+IF(D1080="Yes",Assumptions!$C$7,0))</f>
        <v>426501.09600000002</v>
      </c>
      <c r="J1080" s="22">
        <f>F1080*(1+Assumptions!$B$8+IF(D1080="Yes",Assumptions!$C$8,0))</f>
        <v>410253.43520000001</v>
      </c>
    </row>
    <row r="1081" spans="1:10" ht="15">
      <c r="A1081" s="21">
        <v>41012</v>
      </c>
      <c r="B1081" s="21">
        <v>41000</v>
      </c>
      <c r="C1081" s="17">
        <v>26</v>
      </c>
      <c r="D1081" s="17" t="s">
        <v>91</v>
      </c>
      <c r="E1081" s="14">
        <v>304579.84999999998</v>
      </c>
      <c r="F1081" s="14">
        <v>299633.96999999997</v>
      </c>
      <c r="G1081" s="14">
        <v>299633.96999999997</v>
      </c>
      <c r="H1081" s="22">
        <f>F1081*(1+Assumptions!$B$6+IF(D1081="Yes",Assumptions!$C$6,0))</f>
        <v>308622.98910000001</v>
      </c>
      <c r="I1081" s="22">
        <f>F1081*(1+Assumptions!$B$7+IF(D1081="Yes",Assumptions!$C$7,0))</f>
        <v>314615.66849999997</v>
      </c>
      <c r="J1081" s="22">
        <f>F1081*(1+Assumptions!$B$8+IF(D1081="Yes",Assumptions!$C$8,0))</f>
        <v>302630.30969999998</v>
      </c>
    </row>
    <row r="1082" spans="1:10" ht="15">
      <c r="A1082" s="21">
        <v>41012</v>
      </c>
      <c r="B1082" s="21">
        <v>41000</v>
      </c>
      <c r="C1082" s="17">
        <v>27</v>
      </c>
      <c r="D1082" s="17" t="s">
        <v>91</v>
      </c>
      <c r="E1082" s="14">
        <v>53701.47</v>
      </c>
      <c r="F1082" s="14">
        <v>50961.86</v>
      </c>
      <c r="G1082" s="14">
        <v>50961.86</v>
      </c>
      <c r="H1082" s="22">
        <f>F1082*(1+Assumptions!$B$6+IF(D1082="Yes",Assumptions!$C$6,0))</f>
        <v>52490.715800000005</v>
      </c>
      <c r="I1082" s="22">
        <f>F1082*(1+Assumptions!$B$7+IF(D1082="Yes",Assumptions!$C$7,0))</f>
        <v>53509.953000000001</v>
      </c>
      <c r="J1082" s="22">
        <f>F1082*(1+Assumptions!$B$8+IF(D1082="Yes",Assumptions!$C$8,0))</f>
        <v>51471.478600000002</v>
      </c>
    </row>
    <row r="1083" spans="1:10" ht="15">
      <c r="A1083" s="21">
        <v>41012</v>
      </c>
      <c r="B1083" s="21">
        <v>41000</v>
      </c>
      <c r="C1083" s="17">
        <v>28</v>
      </c>
      <c r="D1083" s="17" t="s">
        <v>91</v>
      </c>
      <c r="E1083" s="14">
        <v>28408.15</v>
      </c>
      <c r="F1083" s="14">
        <v>27213.38</v>
      </c>
      <c r="G1083" s="14">
        <v>27213.38</v>
      </c>
      <c r="H1083" s="22">
        <f>F1083*(1+Assumptions!$B$6+IF(D1083="Yes",Assumptions!$C$6,0))</f>
        <v>28029.781400000003</v>
      </c>
      <c r="I1083" s="22">
        <f>F1083*(1+Assumptions!$B$7+IF(D1083="Yes",Assumptions!$C$7,0))</f>
        <v>28574.049000000003</v>
      </c>
      <c r="J1083" s="22">
        <f>F1083*(1+Assumptions!$B$8+IF(D1083="Yes",Assumptions!$C$8,0))</f>
        <v>27485.513800000001</v>
      </c>
    </row>
    <row r="1084" spans="1:10" ht="15">
      <c r="A1084" s="21">
        <v>41012</v>
      </c>
      <c r="B1084" s="21">
        <v>41000</v>
      </c>
      <c r="C1084" s="17">
        <v>29</v>
      </c>
      <c r="D1084" s="17" t="s">
        <v>91</v>
      </c>
      <c r="E1084" s="14">
        <v>181394.53</v>
      </c>
      <c r="F1084" s="14">
        <v>169637.07</v>
      </c>
      <c r="G1084" s="14">
        <v>169637.07</v>
      </c>
      <c r="H1084" s="22">
        <f>F1084*(1+Assumptions!$B$6+IF(D1084="Yes",Assumptions!$C$6,0))</f>
        <v>174726.18210000001</v>
      </c>
      <c r="I1084" s="22">
        <f>F1084*(1+Assumptions!$B$7+IF(D1084="Yes",Assumptions!$C$7,0))</f>
        <v>178118.9235</v>
      </c>
      <c r="J1084" s="22">
        <f>F1084*(1+Assumptions!$B$8+IF(D1084="Yes",Assumptions!$C$8,0))</f>
        <v>171333.44070000001</v>
      </c>
    </row>
    <row r="1085" spans="1:10" ht="15">
      <c r="A1085" s="21">
        <v>41012</v>
      </c>
      <c r="B1085" s="21">
        <v>41000</v>
      </c>
      <c r="C1085" s="17">
        <v>30</v>
      </c>
      <c r="D1085" s="17" t="s">
        <v>91</v>
      </c>
      <c r="E1085" s="14">
        <v>152207.35</v>
      </c>
      <c r="F1085" s="14">
        <v>161599.87</v>
      </c>
      <c r="G1085" s="14">
        <v>161599.87</v>
      </c>
      <c r="H1085" s="22">
        <f>F1085*(1+Assumptions!$B$6+IF(D1085="Yes",Assumptions!$C$6,0))</f>
        <v>166447.86610000001</v>
      </c>
      <c r="I1085" s="22">
        <f>F1085*(1+Assumptions!$B$7+IF(D1085="Yes",Assumptions!$C$7,0))</f>
        <v>169679.86350000001</v>
      </c>
      <c r="J1085" s="22">
        <f>F1085*(1+Assumptions!$B$8+IF(D1085="Yes",Assumptions!$C$8,0))</f>
        <v>163215.86869999999</v>
      </c>
    </row>
    <row r="1086" spans="1:10" ht="15">
      <c r="A1086" s="21">
        <v>41012</v>
      </c>
      <c r="B1086" s="21">
        <v>41000</v>
      </c>
      <c r="C1086" s="17">
        <v>31</v>
      </c>
      <c r="D1086" s="17" t="s">
        <v>91</v>
      </c>
      <c r="E1086" s="14">
        <v>65574.210000000006</v>
      </c>
      <c r="F1086" s="14">
        <v>74314.679999999993</v>
      </c>
      <c r="G1086" s="14">
        <v>74314.679999999993</v>
      </c>
      <c r="H1086" s="22">
        <f>F1086*(1+Assumptions!$B$6+IF(D1086="Yes",Assumptions!$C$6,0))</f>
        <v>76544.1204</v>
      </c>
      <c r="I1086" s="22">
        <f>F1086*(1+Assumptions!$B$7+IF(D1086="Yes",Assumptions!$C$7,0))</f>
        <v>78030.41399999999</v>
      </c>
      <c r="J1086" s="22">
        <f>F1086*(1+Assumptions!$B$8+IF(D1086="Yes",Assumptions!$C$8,0))</f>
        <v>75057.826799999995</v>
      </c>
    </row>
    <row r="1087" spans="1:10" ht="15">
      <c r="A1087" s="21">
        <v>41012</v>
      </c>
      <c r="B1087" s="21">
        <v>41000</v>
      </c>
      <c r="C1087" s="17">
        <v>32</v>
      </c>
      <c r="D1087" s="17" t="s">
        <v>91</v>
      </c>
      <c r="E1087" s="14">
        <v>260691.53</v>
      </c>
      <c r="F1087" s="14">
        <v>232162.86</v>
      </c>
      <c r="G1087" s="14">
        <v>232162.86</v>
      </c>
      <c r="H1087" s="22">
        <f>F1087*(1+Assumptions!$B$6+IF(D1087="Yes",Assumptions!$C$6,0))</f>
        <v>239127.7458</v>
      </c>
      <c r="I1087" s="22">
        <f>F1087*(1+Assumptions!$B$7+IF(D1087="Yes",Assumptions!$C$7,0))</f>
        <v>243771.003</v>
      </c>
      <c r="J1087" s="22">
        <f>F1087*(1+Assumptions!$B$8+IF(D1087="Yes",Assumptions!$C$8,0))</f>
        <v>234484.48859999998</v>
      </c>
    </row>
    <row r="1088" spans="1:10" ht="15">
      <c r="A1088" s="21">
        <v>41012</v>
      </c>
      <c r="B1088" s="21">
        <v>41000</v>
      </c>
      <c r="C1088" s="17">
        <v>33</v>
      </c>
      <c r="D1088" s="17" t="s">
        <v>91</v>
      </c>
      <c r="E1088" s="14">
        <v>217315.06</v>
      </c>
      <c r="F1088" s="14">
        <v>212329.33</v>
      </c>
      <c r="G1088" s="14">
        <v>212329.33</v>
      </c>
      <c r="H1088" s="22">
        <f>F1088*(1+Assumptions!$B$6+IF(D1088="Yes",Assumptions!$C$6,0))</f>
        <v>218699.20989999999</v>
      </c>
      <c r="I1088" s="22">
        <f>F1088*(1+Assumptions!$B$7+IF(D1088="Yes",Assumptions!$C$7,0))</f>
        <v>222945.7965</v>
      </c>
      <c r="J1088" s="22">
        <f>F1088*(1+Assumptions!$B$8+IF(D1088="Yes",Assumptions!$C$8,0))</f>
        <v>214452.62329999998</v>
      </c>
    </row>
    <row r="1089" spans="1:10" ht="15">
      <c r="A1089" s="21">
        <v>41012</v>
      </c>
      <c r="B1089" s="21">
        <v>41000</v>
      </c>
      <c r="C1089" s="17">
        <v>34</v>
      </c>
      <c r="D1089" s="17" t="s">
        <v>91</v>
      </c>
      <c r="E1089" s="14">
        <v>643446.47</v>
      </c>
      <c r="F1089" s="14">
        <v>569736.68999999994</v>
      </c>
      <c r="G1089" s="14">
        <v>569736.68999999994</v>
      </c>
      <c r="H1089" s="22">
        <f>F1089*(1+Assumptions!$B$6+IF(D1089="Yes",Assumptions!$C$6,0))</f>
        <v>586828.79070000001</v>
      </c>
      <c r="I1089" s="22">
        <f>F1089*(1+Assumptions!$B$7+IF(D1089="Yes",Assumptions!$C$7,0))</f>
        <v>598223.52449999994</v>
      </c>
      <c r="J1089" s="22">
        <f>F1089*(1+Assumptions!$B$8+IF(D1089="Yes",Assumptions!$C$8,0))</f>
        <v>575434.05689999997</v>
      </c>
    </row>
    <row r="1090" spans="1:10" ht="15">
      <c r="A1090" s="21">
        <v>41012</v>
      </c>
      <c r="B1090" s="21">
        <v>41000</v>
      </c>
      <c r="C1090" s="17">
        <v>35</v>
      </c>
      <c r="D1090" s="17" t="s">
        <v>91</v>
      </c>
      <c r="E1090" s="14">
        <v>113985.64</v>
      </c>
      <c r="F1090" s="14">
        <v>122808.54000000001</v>
      </c>
      <c r="G1090" s="14">
        <v>122808.54000000001</v>
      </c>
      <c r="H1090" s="22">
        <f>F1090*(1+Assumptions!$B$6+IF(D1090="Yes",Assumptions!$C$6,0))</f>
        <v>126492.79620000001</v>
      </c>
      <c r="I1090" s="22">
        <f>F1090*(1+Assumptions!$B$7+IF(D1090="Yes",Assumptions!$C$7,0))</f>
        <v>128948.96700000002</v>
      </c>
      <c r="J1090" s="22">
        <f>F1090*(1+Assumptions!$B$8+IF(D1090="Yes",Assumptions!$C$8,0))</f>
        <v>124036.6254</v>
      </c>
    </row>
    <row r="1091" spans="1:10" ht="15">
      <c r="A1091" s="21">
        <v>41012</v>
      </c>
      <c r="B1091" s="21">
        <v>41000</v>
      </c>
      <c r="C1091" s="17">
        <v>36</v>
      </c>
      <c r="D1091" s="17" t="s">
        <v>91</v>
      </c>
      <c r="E1091" s="14">
        <v>66094.31</v>
      </c>
      <c r="F1091" s="14">
        <v>66175.63</v>
      </c>
      <c r="G1091" s="14">
        <v>66175.63</v>
      </c>
      <c r="H1091" s="22">
        <f>F1091*(1+Assumptions!$B$6+IF(D1091="Yes",Assumptions!$C$6,0))</f>
        <v>68160.8989</v>
      </c>
      <c r="I1091" s="22">
        <f>F1091*(1+Assumptions!$B$7+IF(D1091="Yes",Assumptions!$C$7,0))</f>
        <v>69484.411500000002</v>
      </c>
      <c r="J1091" s="22">
        <f>F1091*(1+Assumptions!$B$8+IF(D1091="Yes",Assumptions!$C$8,0))</f>
        <v>66837.386299999998</v>
      </c>
    </row>
    <row r="1092" spans="1:10" ht="15">
      <c r="A1092" s="21">
        <v>41012</v>
      </c>
      <c r="B1092" s="21">
        <v>41000</v>
      </c>
      <c r="C1092" s="17">
        <v>37</v>
      </c>
      <c r="D1092" s="17" t="s">
        <v>91</v>
      </c>
      <c r="E1092" s="14">
        <v>49830.62</v>
      </c>
      <c r="F1092" s="14">
        <v>55972.5</v>
      </c>
      <c r="G1092" s="14">
        <v>55972.5</v>
      </c>
      <c r="H1092" s="22">
        <f>F1092*(1+Assumptions!$B$6+IF(D1092="Yes",Assumptions!$C$6,0))</f>
        <v>57651.675000000003</v>
      </c>
      <c r="I1092" s="22">
        <f>F1092*(1+Assumptions!$B$7+IF(D1092="Yes",Assumptions!$C$7,0))</f>
        <v>58771.125</v>
      </c>
      <c r="J1092" s="22">
        <f>F1092*(1+Assumptions!$B$8+IF(D1092="Yes",Assumptions!$C$8,0))</f>
        <v>56532.224999999999</v>
      </c>
    </row>
    <row r="1093" spans="1:10" ht="15">
      <c r="A1093" s="21">
        <v>41012</v>
      </c>
      <c r="B1093" s="21">
        <v>41000</v>
      </c>
      <c r="C1093" s="17">
        <v>38</v>
      </c>
      <c r="D1093" s="17" t="s">
        <v>91</v>
      </c>
      <c r="E1093" s="14">
        <v>2898806.7</v>
      </c>
      <c r="F1093" s="14">
        <v>2735846.28</v>
      </c>
      <c r="G1093" s="14">
        <v>2735846.28</v>
      </c>
      <c r="H1093" s="22">
        <f>F1093*(1+Assumptions!$B$6+IF(D1093="Yes",Assumptions!$C$6,0))</f>
        <v>2817921.6683999998</v>
      </c>
      <c r="I1093" s="22">
        <f>F1093*(1+Assumptions!$B$7+IF(D1093="Yes",Assumptions!$C$7,0))</f>
        <v>2872638.594</v>
      </c>
      <c r="J1093" s="22">
        <f>F1093*(1+Assumptions!$B$8+IF(D1093="Yes",Assumptions!$C$8,0))</f>
        <v>2763204.7427999997</v>
      </c>
    </row>
    <row r="1094" spans="1:10" ht="15">
      <c r="A1094" s="21">
        <v>41012</v>
      </c>
      <c r="B1094" s="21">
        <v>41000</v>
      </c>
      <c r="C1094" s="17">
        <v>40</v>
      </c>
      <c r="D1094" s="17" t="s">
        <v>91</v>
      </c>
      <c r="E1094" s="14">
        <v>2008446.41</v>
      </c>
      <c r="F1094" s="14">
        <v>1956504.29</v>
      </c>
      <c r="G1094" s="14">
        <v>1956504.29</v>
      </c>
      <c r="H1094" s="22">
        <f>F1094*(1+Assumptions!$B$6+IF(D1094="Yes",Assumptions!$C$6,0))</f>
        <v>2015199.4187</v>
      </c>
      <c r="I1094" s="22">
        <f>F1094*(1+Assumptions!$B$7+IF(D1094="Yes",Assumptions!$C$7,0))</f>
        <v>2054329.5045</v>
      </c>
      <c r="J1094" s="22">
        <f>F1094*(1+Assumptions!$B$8+IF(D1094="Yes",Assumptions!$C$8,0))</f>
        <v>1976069.3329</v>
      </c>
    </row>
    <row r="1095" spans="1:10" ht="15">
      <c r="A1095" s="21">
        <v>41012</v>
      </c>
      <c r="B1095" s="21">
        <v>41000</v>
      </c>
      <c r="C1095" s="17">
        <v>41</v>
      </c>
      <c r="D1095" s="17" t="s">
        <v>91</v>
      </c>
      <c r="E1095" s="14">
        <v>65920.39</v>
      </c>
      <c r="F1095" s="14">
        <v>59241.83</v>
      </c>
      <c r="G1095" s="14">
        <v>59241.83</v>
      </c>
      <c r="H1095" s="22">
        <f>F1095*(1+Assumptions!$B$6+IF(D1095="Yes",Assumptions!$C$6,0))</f>
        <v>61019.084900000002</v>
      </c>
      <c r="I1095" s="22">
        <f>F1095*(1+Assumptions!$B$7+IF(D1095="Yes",Assumptions!$C$7,0))</f>
        <v>62203.921500000004</v>
      </c>
      <c r="J1095" s="22">
        <f>F1095*(1+Assumptions!$B$8+IF(D1095="Yes",Assumptions!$C$8,0))</f>
        <v>59834.248299999999</v>
      </c>
    </row>
    <row r="1096" spans="1:10" ht="15">
      <c r="A1096" s="21">
        <v>41012</v>
      </c>
      <c r="B1096" s="21">
        <v>41000</v>
      </c>
      <c r="C1096" s="17">
        <v>42</v>
      </c>
      <c r="D1096" s="17" t="s">
        <v>91</v>
      </c>
      <c r="E1096" s="14">
        <v>244568.82</v>
      </c>
      <c r="F1096" s="14">
        <v>234698.06</v>
      </c>
      <c r="G1096" s="14">
        <v>234698.06</v>
      </c>
      <c r="H1096" s="22">
        <f>F1096*(1+Assumptions!$B$6+IF(D1096="Yes",Assumptions!$C$6,0))</f>
        <v>241739.0018</v>
      </c>
      <c r="I1096" s="22">
        <f>F1096*(1+Assumptions!$B$7+IF(D1096="Yes",Assumptions!$C$7,0))</f>
        <v>246432.96300000002</v>
      </c>
      <c r="J1096" s="22">
        <f>F1096*(1+Assumptions!$B$8+IF(D1096="Yes",Assumptions!$C$8,0))</f>
        <v>237045.04060000001</v>
      </c>
    </row>
    <row r="1097" spans="1:10" ht="15">
      <c r="A1097" s="21">
        <v>41012</v>
      </c>
      <c r="B1097" s="21">
        <v>41000</v>
      </c>
      <c r="C1097" s="17">
        <v>44</v>
      </c>
      <c r="D1097" s="17" t="s">
        <v>91</v>
      </c>
      <c r="E1097" s="14">
        <v>146808.51999999999</v>
      </c>
      <c r="F1097" s="14">
        <v>163202.26999999999</v>
      </c>
      <c r="G1097" s="14">
        <v>163202.26999999999</v>
      </c>
      <c r="H1097" s="22">
        <f>F1097*(1+Assumptions!$B$6+IF(D1097="Yes",Assumptions!$C$6,0))</f>
        <v>168098.33809999999</v>
      </c>
      <c r="I1097" s="22">
        <f>F1097*(1+Assumptions!$B$7+IF(D1097="Yes",Assumptions!$C$7,0))</f>
        <v>171362.3835</v>
      </c>
      <c r="J1097" s="22">
        <f>F1097*(1+Assumptions!$B$8+IF(D1097="Yes",Assumptions!$C$8,0))</f>
        <v>164834.29269999999</v>
      </c>
    </row>
    <row r="1098" spans="1:10" ht="15">
      <c r="A1098" s="21">
        <v>41012</v>
      </c>
      <c r="B1098" s="21">
        <v>41000</v>
      </c>
      <c r="C1098" s="17">
        <v>45</v>
      </c>
      <c r="D1098" s="17" t="s">
        <v>91</v>
      </c>
      <c r="E1098" s="14">
        <v>17.940000000000001</v>
      </c>
      <c r="F1098" s="14">
        <v>99.76</v>
      </c>
      <c r="G1098" s="14">
        <v>99.76</v>
      </c>
      <c r="H1098" s="22">
        <f>F1098*(1+Assumptions!$B$6+IF(D1098="Yes",Assumptions!$C$6,0))</f>
        <v>102.75280000000001</v>
      </c>
      <c r="I1098" s="22">
        <f>F1098*(1+Assumptions!$B$7+IF(D1098="Yes",Assumptions!$C$7,0))</f>
        <v>104.748</v>
      </c>
      <c r="J1098" s="22">
        <f>F1098*(1+Assumptions!$B$8+IF(D1098="Yes",Assumptions!$C$8,0))</f>
        <v>100.75760000000001</v>
      </c>
    </row>
    <row r="1099" spans="1:10" ht="15">
      <c r="A1099" s="21">
        <v>41012</v>
      </c>
      <c r="B1099" s="21">
        <v>41000</v>
      </c>
      <c r="C1099" s="17">
        <v>46</v>
      </c>
      <c r="D1099" s="17" t="s">
        <v>91</v>
      </c>
      <c r="E1099" s="14">
        <v>910779.22</v>
      </c>
      <c r="F1099" s="14">
        <v>877676.3</v>
      </c>
      <c r="G1099" s="14">
        <v>877676.3</v>
      </c>
      <c r="H1099" s="22">
        <f>F1099*(1+Assumptions!$B$6+IF(D1099="Yes",Assumptions!$C$6,0))</f>
        <v>904006.58900000004</v>
      </c>
      <c r="I1099" s="22">
        <f>F1099*(1+Assumptions!$B$7+IF(D1099="Yes",Assumptions!$C$7,0))</f>
        <v>921560.11500000011</v>
      </c>
      <c r="J1099" s="22">
        <f>F1099*(1+Assumptions!$B$8+IF(D1099="Yes",Assumptions!$C$8,0))</f>
        <v>886453.06300000008</v>
      </c>
    </row>
    <row r="1100" spans="1:10" ht="15">
      <c r="A1100" s="21">
        <v>41012</v>
      </c>
      <c r="B1100" s="21">
        <v>41000</v>
      </c>
      <c r="C1100" s="17">
        <v>48</v>
      </c>
      <c r="D1100" s="17" t="s">
        <v>91</v>
      </c>
      <c r="E1100" s="14">
        <v>13480</v>
      </c>
      <c r="F1100" s="14">
        <v>11415</v>
      </c>
      <c r="G1100" s="14">
        <v>11415</v>
      </c>
      <c r="H1100" s="22">
        <f>F1100*(1+Assumptions!$B$6+IF(D1100="Yes",Assumptions!$C$6,0))</f>
        <v>11757.45</v>
      </c>
      <c r="I1100" s="22">
        <f>F1100*(1+Assumptions!$B$7+IF(D1100="Yes",Assumptions!$C$7,0))</f>
        <v>11985.75</v>
      </c>
      <c r="J1100" s="22">
        <f>F1100*(1+Assumptions!$B$8+IF(D1100="Yes",Assumptions!$C$8,0))</f>
        <v>11529.15</v>
      </c>
    </row>
    <row r="1101" spans="1:10" ht="15">
      <c r="A1101" s="21">
        <v>41012</v>
      </c>
      <c r="B1101" s="21">
        <v>41000</v>
      </c>
      <c r="C1101" s="17">
        <v>49</v>
      </c>
      <c r="D1101" s="17" t="s">
        <v>91</v>
      </c>
      <c r="E1101" s="14">
        <v>249844.78</v>
      </c>
      <c r="F1101" s="14">
        <v>257091.88</v>
      </c>
      <c r="G1101" s="14">
        <v>257091.88</v>
      </c>
      <c r="H1101" s="22">
        <f>F1101*(1+Assumptions!$B$6+IF(D1101="Yes",Assumptions!$C$6,0))</f>
        <v>264804.63640000002</v>
      </c>
      <c r="I1101" s="22">
        <f>F1101*(1+Assumptions!$B$7+IF(D1101="Yes",Assumptions!$C$7,0))</f>
        <v>269946.47399999999</v>
      </c>
      <c r="J1101" s="22">
        <f>F1101*(1+Assumptions!$B$8+IF(D1101="Yes",Assumptions!$C$8,0))</f>
        <v>259662.79880000002</v>
      </c>
    </row>
    <row r="1102" spans="1:10" ht="15">
      <c r="A1102" s="21">
        <v>41012</v>
      </c>
      <c r="B1102" s="21">
        <v>41000</v>
      </c>
      <c r="C1102" s="17">
        <v>50</v>
      </c>
      <c r="D1102" s="17" t="s">
        <v>91</v>
      </c>
      <c r="E1102" s="14">
        <v>25468.5</v>
      </c>
      <c r="F1102" s="14">
        <v>32506.35</v>
      </c>
      <c r="G1102" s="14">
        <v>32506.35</v>
      </c>
      <c r="H1102" s="22">
        <f>F1102*(1+Assumptions!$B$6+IF(D1102="Yes",Assumptions!$C$6,0))</f>
        <v>33481.540500000003</v>
      </c>
      <c r="I1102" s="22">
        <f>F1102*(1+Assumptions!$B$7+IF(D1102="Yes",Assumptions!$C$7,0))</f>
        <v>34131.667500000003</v>
      </c>
      <c r="J1102" s="22">
        <f>F1102*(1+Assumptions!$B$8+IF(D1102="Yes",Assumptions!$C$8,0))</f>
        <v>32831.413500000002</v>
      </c>
    </row>
    <row r="1103" spans="1:10" ht="15">
      <c r="A1103" s="21">
        <v>41012</v>
      </c>
      <c r="B1103" s="21">
        <v>41000</v>
      </c>
      <c r="C1103" s="17">
        <v>51</v>
      </c>
      <c r="D1103" s="17" t="s">
        <v>91</v>
      </c>
      <c r="E1103" s="14">
        <v>4.16</v>
      </c>
      <c r="F1103" s="14">
        <v>0.75</v>
      </c>
      <c r="G1103" s="14">
        <v>0.75</v>
      </c>
      <c r="H1103" s="22">
        <f>F1103*(1+Assumptions!$B$6+IF(D1103="Yes",Assumptions!$C$6,0))</f>
        <v>0.77249999999999996</v>
      </c>
      <c r="I1103" s="22">
        <f>F1103*(1+Assumptions!$B$7+IF(D1103="Yes",Assumptions!$C$7,0))</f>
        <v>0.78750000000000009</v>
      </c>
      <c r="J1103" s="22">
        <f>F1103*(1+Assumptions!$B$8+IF(D1103="Yes",Assumptions!$C$8,0))</f>
        <v>0.75750000000000006</v>
      </c>
    </row>
    <row r="1104" spans="1:10" ht="15">
      <c r="A1104" s="21">
        <v>41012</v>
      </c>
      <c r="B1104" s="21">
        <v>41000</v>
      </c>
      <c r="C1104" s="17">
        <v>52</v>
      </c>
      <c r="D1104" s="17" t="s">
        <v>91</v>
      </c>
      <c r="E1104" s="14">
        <v>68668.17</v>
      </c>
      <c r="F1104" s="14">
        <v>80627.56</v>
      </c>
      <c r="G1104" s="14">
        <v>80627.56</v>
      </c>
      <c r="H1104" s="22">
        <f>F1104*(1+Assumptions!$B$6+IF(D1104="Yes",Assumptions!$C$6,0))</f>
        <v>83046.386799999993</v>
      </c>
      <c r="I1104" s="22">
        <f>F1104*(1+Assumptions!$B$7+IF(D1104="Yes",Assumptions!$C$7,0))</f>
        <v>84658.937999999995</v>
      </c>
      <c r="J1104" s="22">
        <f>F1104*(1+Assumptions!$B$8+IF(D1104="Yes",Assumptions!$C$8,0))</f>
        <v>81433.835599999991</v>
      </c>
    </row>
    <row r="1105" spans="1:10" ht="15">
      <c r="A1105" s="21">
        <v>41012</v>
      </c>
      <c r="B1105" s="21">
        <v>41000</v>
      </c>
      <c r="C1105" s="17">
        <v>54</v>
      </c>
      <c r="D1105" s="17" t="s">
        <v>91</v>
      </c>
      <c r="E1105" s="14">
        <v>789.44</v>
      </c>
      <c r="F1105" s="14">
        <v>1681.82</v>
      </c>
      <c r="G1105" s="14">
        <v>1681.82</v>
      </c>
      <c r="H1105" s="22">
        <f>F1105*(1+Assumptions!$B$6+IF(D1105="Yes",Assumptions!$C$6,0))</f>
        <v>1732.2746</v>
      </c>
      <c r="I1105" s="22">
        <f>F1105*(1+Assumptions!$B$7+IF(D1105="Yes",Assumptions!$C$7,0))</f>
        <v>1765.9110000000001</v>
      </c>
      <c r="J1105" s="22">
        <f>F1105*(1+Assumptions!$B$8+IF(D1105="Yes",Assumptions!$C$8,0))</f>
        <v>1698.6381999999999</v>
      </c>
    </row>
    <row r="1106" spans="1:10" ht="15">
      <c r="A1106" s="21">
        <v>41012</v>
      </c>
      <c r="B1106" s="21">
        <v>41000</v>
      </c>
      <c r="C1106" s="17">
        <v>55</v>
      </c>
      <c r="D1106" s="17" t="s">
        <v>91</v>
      </c>
      <c r="E1106" s="14">
        <v>321835.53000000003</v>
      </c>
      <c r="F1106" s="14">
        <v>317916.87</v>
      </c>
      <c r="G1106" s="14">
        <v>317916.87</v>
      </c>
      <c r="H1106" s="22">
        <f>F1106*(1+Assumptions!$B$6+IF(D1106="Yes",Assumptions!$C$6,0))</f>
        <v>327454.37609999999</v>
      </c>
      <c r="I1106" s="22">
        <f>F1106*(1+Assumptions!$B$7+IF(D1106="Yes",Assumptions!$C$7,0))</f>
        <v>333812.71350000001</v>
      </c>
      <c r="J1106" s="22">
        <f>F1106*(1+Assumptions!$B$8+IF(D1106="Yes",Assumptions!$C$8,0))</f>
        <v>321096.03869999998</v>
      </c>
    </row>
    <row r="1107" spans="1:10" ht="15">
      <c r="A1107" s="21">
        <v>41012</v>
      </c>
      <c r="B1107" s="21">
        <v>41000</v>
      </c>
      <c r="C1107" s="17">
        <v>56</v>
      </c>
      <c r="D1107" s="17" t="s">
        <v>91</v>
      </c>
      <c r="E1107" s="14">
        <v>305054.09999999998</v>
      </c>
      <c r="F1107" s="14">
        <v>291996.01</v>
      </c>
      <c r="G1107" s="14">
        <v>291996.01</v>
      </c>
      <c r="H1107" s="22">
        <f>F1107*(1+Assumptions!$B$6+IF(D1107="Yes",Assumptions!$C$6,0))</f>
        <v>300755.89030000003</v>
      </c>
      <c r="I1107" s="22">
        <f>F1107*(1+Assumptions!$B$7+IF(D1107="Yes",Assumptions!$C$7,0))</f>
        <v>306595.81050000002</v>
      </c>
      <c r="J1107" s="22">
        <f>F1107*(1+Assumptions!$B$8+IF(D1107="Yes",Assumptions!$C$8,0))</f>
        <v>294915.97010000004</v>
      </c>
    </row>
    <row r="1108" spans="1:10" ht="15">
      <c r="A1108" s="21">
        <v>41012</v>
      </c>
      <c r="B1108" s="21">
        <v>41000</v>
      </c>
      <c r="C1108" s="17">
        <v>58</v>
      </c>
      <c r="D1108" s="17" t="s">
        <v>91</v>
      </c>
      <c r="E1108" s="14">
        <v>95732</v>
      </c>
      <c r="F1108" s="14">
        <v>78325</v>
      </c>
      <c r="G1108" s="14">
        <v>78325</v>
      </c>
      <c r="H1108" s="22">
        <f>F1108*(1+Assumptions!$B$6+IF(D1108="Yes",Assumptions!$C$6,0))</f>
        <v>80674.75</v>
      </c>
      <c r="I1108" s="22">
        <f>F1108*(1+Assumptions!$B$7+IF(D1108="Yes",Assumptions!$C$7,0))</f>
        <v>82241.25</v>
      </c>
      <c r="J1108" s="22">
        <f>F1108*(1+Assumptions!$B$8+IF(D1108="Yes",Assumptions!$C$8,0))</f>
        <v>79108.25</v>
      </c>
    </row>
    <row r="1109" spans="1:10" ht="15">
      <c r="A1109" s="21">
        <v>41012</v>
      </c>
      <c r="B1109" s="21">
        <v>41000</v>
      </c>
      <c r="C1109" s="17">
        <v>59</v>
      </c>
      <c r="D1109" s="17" t="s">
        <v>91</v>
      </c>
      <c r="E1109" s="14">
        <v>9382.33</v>
      </c>
      <c r="F1109" s="14">
        <v>13533.18</v>
      </c>
      <c r="G1109" s="14">
        <v>13533.18</v>
      </c>
      <c r="H1109" s="22">
        <f>F1109*(1+Assumptions!$B$6+IF(D1109="Yes",Assumptions!$C$6,0))</f>
        <v>13939.1754</v>
      </c>
      <c r="I1109" s="22">
        <f>F1109*(1+Assumptions!$B$7+IF(D1109="Yes",Assumptions!$C$7,0))</f>
        <v>14209.839000000002</v>
      </c>
      <c r="J1109" s="22">
        <f>F1109*(1+Assumptions!$B$8+IF(D1109="Yes",Assumptions!$C$8,0))</f>
        <v>13668.5118</v>
      </c>
    </row>
    <row r="1110" spans="1:10" ht="15">
      <c r="A1110" s="21">
        <v>41012</v>
      </c>
      <c r="B1110" s="21">
        <v>41000</v>
      </c>
      <c r="C1110" s="17">
        <v>60</v>
      </c>
      <c r="D1110" s="17" t="s">
        <v>91</v>
      </c>
      <c r="E1110" s="14">
        <v>12195</v>
      </c>
      <c r="F1110" s="14">
        <v>12671.800000000001</v>
      </c>
      <c r="G1110" s="14">
        <v>12671.800000000001</v>
      </c>
      <c r="H1110" s="22">
        <f>F1110*(1+Assumptions!$B$6+IF(D1110="Yes",Assumptions!$C$6,0))</f>
        <v>13051.954000000002</v>
      </c>
      <c r="I1110" s="22">
        <f>F1110*(1+Assumptions!$B$7+IF(D1110="Yes",Assumptions!$C$7,0))</f>
        <v>13305.390000000001</v>
      </c>
      <c r="J1110" s="22">
        <f>F1110*(1+Assumptions!$B$8+IF(D1110="Yes",Assumptions!$C$8,0))</f>
        <v>12798.518000000002</v>
      </c>
    </row>
    <row r="1111" spans="1:10" ht="15">
      <c r="A1111" s="21">
        <v>41012</v>
      </c>
      <c r="B1111" s="21">
        <v>41000</v>
      </c>
      <c r="C1111" s="17">
        <v>65</v>
      </c>
      <c r="D1111" s="17" t="s">
        <v>91</v>
      </c>
      <c r="E1111" s="14">
        <v>51824.93</v>
      </c>
      <c r="F1111" s="14">
        <v>50907.34</v>
      </c>
      <c r="G1111" s="14">
        <v>50907.34</v>
      </c>
      <c r="H1111" s="22">
        <f>F1111*(1+Assumptions!$B$6+IF(D1111="Yes",Assumptions!$C$6,0))</f>
        <v>52434.5602</v>
      </c>
      <c r="I1111" s="22">
        <f>F1111*(1+Assumptions!$B$7+IF(D1111="Yes",Assumptions!$C$7,0))</f>
        <v>53452.707000000002</v>
      </c>
      <c r="J1111" s="22">
        <f>F1111*(1+Assumptions!$B$8+IF(D1111="Yes",Assumptions!$C$8,0))</f>
        <v>51416.413399999998</v>
      </c>
    </row>
    <row r="1112" spans="1:10" ht="15">
      <c r="A1112" s="21">
        <v>41012</v>
      </c>
      <c r="B1112" s="21">
        <v>41000</v>
      </c>
      <c r="C1112" s="17">
        <v>67</v>
      </c>
      <c r="D1112" s="17" t="s">
        <v>91</v>
      </c>
      <c r="E1112" s="14">
        <v>293922.65999999997</v>
      </c>
      <c r="F1112" s="14">
        <v>290774.63</v>
      </c>
      <c r="G1112" s="14">
        <v>290774.63</v>
      </c>
      <c r="H1112" s="22">
        <f>F1112*(1+Assumptions!$B$6+IF(D1112="Yes",Assumptions!$C$6,0))</f>
        <v>299497.8689</v>
      </c>
      <c r="I1112" s="22">
        <f>F1112*(1+Assumptions!$B$7+IF(D1112="Yes",Assumptions!$C$7,0))</f>
        <v>305313.3615</v>
      </c>
      <c r="J1112" s="22">
        <f>F1112*(1+Assumptions!$B$8+IF(D1112="Yes",Assumptions!$C$8,0))</f>
        <v>293682.3763</v>
      </c>
    </row>
    <row r="1113" spans="1:10" ht="15">
      <c r="A1113" s="21">
        <v>41012</v>
      </c>
      <c r="B1113" s="21">
        <v>41000</v>
      </c>
      <c r="C1113" s="17">
        <v>71</v>
      </c>
      <c r="D1113" s="17" t="s">
        <v>91</v>
      </c>
      <c r="E1113" s="14">
        <v>184137.75</v>
      </c>
      <c r="F1113" s="14">
        <v>191195.5</v>
      </c>
      <c r="G1113" s="14">
        <v>191195.5</v>
      </c>
      <c r="H1113" s="22">
        <f>F1113*(1+Assumptions!$B$6+IF(D1113="Yes",Assumptions!$C$6,0))</f>
        <v>196931.36499999999</v>
      </c>
      <c r="I1113" s="22">
        <f>F1113*(1+Assumptions!$B$7+IF(D1113="Yes",Assumptions!$C$7,0))</f>
        <v>200755.27499999999</v>
      </c>
      <c r="J1113" s="22">
        <f>F1113*(1+Assumptions!$B$8+IF(D1113="Yes",Assumptions!$C$8,0))</f>
        <v>193107.45499999999</v>
      </c>
    </row>
    <row r="1114" spans="1:10" ht="15">
      <c r="A1114" s="21">
        <v>41012</v>
      </c>
      <c r="B1114" s="21">
        <v>41000</v>
      </c>
      <c r="C1114" s="17">
        <v>72</v>
      </c>
      <c r="D1114" s="17" t="s">
        <v>91</v>
      </c>
      <c r="E1114" s="14">
        <v>1705945.28</v>
      </c>
      <c r="F1114" s="14">
        <v>1809401.93</v>
      </c>
      <c r="G1114" s="14">
        <v>1809401.93</v>
      </c>
      <c r="H1114" s="22">
        <f>F1114*(1+Assumptions!$B$6+IF(D1114="Yes",Assumptions!$C$6,0))</f>
        <v>1863683.9879000001</v>
      </c>
      <c r="I1114" s="22">
        <f>F1114*(1+Assumptions!$B$7+IF(D1114="Yes",Assumptions!$C$7,0))</f>
        <v>1899872.0264999999</v>
      </c>
      <c r="J1114" s="22">
        <f>F1114*(1+Assumptions!$B$8+IF(D1114="Yes",Assumptions!$C$8,0))</f>
        <v>1827495.9493</v>
      </c>
    </row>
    <row r="1115" spans="1:10" ht="15">
      <c r="A1115" s="21">
        <v>41012</v>
      </c>
      <c r="B1115" s="21">
        <v>41000</v>
      </c>
      <c r="C1115" s="17">
        <v>74</v>
      </c>
      <c r="D1115" s="17" t="s">
        <v>91</v>
      </c>
      <c r="E1115" s="14">
        <v>550157.76</v>
      </c>
      <c r="F1115" s="14">
        <v>565180.43999999994</v>
      </c>
      <c r="G1115" s="14">
        <v>565180.43999999994</v>
      </c>
      <c r="H1115" s="22">
        <f>F1115*(1+Assumptions!$B$6+IF(D1115="Yes",Assumptions!$C$6,0))</f>
        <v>582135.85320000001</v>
      </c>
      <c r="I1115" s="22">
        <f>F1115*(1+Assumptions!$B$7+IF(D1115="Yes",Assumptions!$C$7,0))</f>
        <v>593439.46199999994</v>
      </c>
      <c r="J1115" s="22">
        <f>F1115*(1+Assumptions!$B$8+IF(D1115="Yes",Assumptions!$C$8,0))</f>
        <v>570832.24439999997</v>
      </c>
    </row>
    <row r="1116" spans="1:10" ht="15">
      <c r="A1116" s="21">
        <v>41012</v>
      </c>
      <c r="B1116" s="21">
        <v>41000</v>
      </c>
      <c r="C1116" s="17">
        <v>79</v>
      </c>
      <c r="D1116" s="17" t="s">
        <v>91</v>
      </c>
      <c r="E1116" s="14">
        <v>953294.79</v>
      </c>
      <c r="F1116" s="14">
        <v>956462.36</v>
      </c>
      <c r="G1116" s="14">
        <v>956462.36</v>
      </c>
      <c r="H1116" s="22">
        <f>F1116*(1+Assumptions!$B$6+IF(D1116="Yes",Assumptions!$C$6,0))</f>
        <v>985156.23080000002</v>
      </c>
      <c r="I1116" s="22">
        <f>F1116*(1+Assumptions!$B$7+IF(D1116="Yes",Assumptions!$C$7,0))</f>
        <v>1004285.478</v>
      </c>
      <c r="J1116" s="22">
        <f>F1116*(1+Assumptions!$B$8+IF(D1116="Yes",Assumptions!$C$8,0))</f>
        <v>966026.98360000004</v>
      </c>
    </row>
    <row r="1117" spans="1:10" ht="15">
      <c r="A1117" s="21">
        <v>41012</v>
      </c>
      <c r="B1117" s="21">
        <v>41000</v>
      </c>
      <c r="C1117" s="17">
        <v>80</v>
      </c>
      <c r="D1117" s="17" t="s">
        <v>91</v>
      </c>
      <c r="E1117" s="14">
        <v>497291.35</v>
      </c>
      <c r="F1117" s="14">
        <v>502739.07</v>
      </c>
      <c r="G1117" s="14">
        <v>502739.07</v>
      </c>
      <c r="H1117" s="22">
        <f>F1117*(1+Assumptions!$B$6+IF(D1117="Yes",Assumptions!$C$6,0))</f>
        <v>517821.24210000003</v>
      </c>
      <c r="I1117" s="22">
        <f>F1117*(1+Assumptions!$B$7+IF(D1117="Yes",Assumptions!$C$7,0))</f>
        <v>527876.02350000001</v>
      </c>
      <c r="J1117" s="22">
        <f>F1117*(1+Assumptions!$B$8+IF(D1117="Yes",Assumptions!$C$8,0))</f>
        <v>507766.4607</v>
      </c>
    </row>
    <row r="1118" spans="1:10" ht="15">
      <c r="A1118" s="21">
        <v>41012</v>
      </c>
      <c r="B1118" s="21">
        <v>41000</v>
      </c>
      <c r="C1118" s="17">
        <v>81</v>
      </c>
      <c r="D1118" s="17" t="s">
        <v>91</v>
      </c>
      <c r="E1118" s="14">
        <v>683310.4</v>
      </c>
      <c r="F1118" s="14">
        <v>692962.27</v>
      </c>
      <c r="G1118" s="14">
        <v>692962.27</v>
      </c>
      <c r="H1118" s="22">
        <f>F1118*(1+Assumptions!$B$6+IF(D1118="Yes",Assumptions!$C$6,0))</f>
        <v>713751.13809999998</v>
      </c>
      <c r="I1118" s="22">
        <f>F1118*(1+Assumptions!$B$7+IF(D1118="Yes",Assumptions!$C$7,0))</f>
        <v>727610.3835</v>
      </c>
      <c r="J1118" s="22">
        <f>F1118*(1+Assumptions!$B$8+IF(D1118="Yes",Assumptions!$C$8,0))</f>
        <v>699891.89269999997</v>
      </c>
    </row>
    <row r="1119" spans="1:10" ht="15">
      <c r="A1119" s="21">
        <v>41012</v>
      </c>
      <c r="B1119" s="21">
        <v>41000</v>
      </c>
      <c r="C1119" s="17">
        <v>82</v>
      </c>
      <c r="D1119" s="17" t="s">
        <v>91</v>
      </c>
      <c r="E1119" s="14">
        <v>698087.68</v>
      </c>
      <c r="F1119" s="14">
        <v>599745.98</v>
      </c>
      <c r="G1119" s="14">
        <v>599745.98</v>
      </c>
      <c r="H1119" s="22">
        <f>F1119*(1+Assumptions!$B$6+IF(D1119="Yes",Assumptions!$C$6,0))</f>
        <v>617738.35939999996</v>
      </c>
      <c r="I1119" s="22">
        <f>F1119*(1+Assumptions!$B$7+IF(D1119="Yes",Assumptions!$C$7,0))</f>
        <v>629733.27899999998</v>
      </c>
      <c r="J1119" s="22">
        <f>F1119*(1+Assumptions!$B$8+IF(D1119="Yes",Assumptions!$C$8,0))</f>
        <v>605743.43979999993</v>
      </c>
    </row>
    <row r="1120" spans="1:10" ht="15">
      <c r="A1120" s="21">
        <v>41012</v>
      </c>
      <c r="B1120" s="21">
        <v>41000</v>
      </c>
      <c r="C1120" s="17">
        <v>83</v>
      </c>
      <c r="D1120" s="17" t="s">
        <v>91</v>
      </c>
      <c r="E1120" s="14">
        <v>147143.52000000002</v>
      </c>
      <c r="F1120" s="14">
        <v>149308.58000000002</v>
      </c>
      <c r="G1120" s="14">
        <v>149308.58000000002</v>
      </c>
      <c r="H1120" s="22">
        <f>F1120*(1+Assumptions!$B$6+IF(D1120="Yes",Assumptions!$C$6,0))</f>
        <v>153787.83740000002</v>
      </c>
      <c r="I1120" s="22">
        <f>F1120*(1+Assumptions!$B$7+IF(D1120="Yes",Assumptions!$C$7,0))</f>
        <v>156774.00900000002</v>
      </c>
      <c r="J1120" s="22">
        <f>F1120*(1+Assumptions!$B$8+IF(D1120="Yes",Assumptions!$C$8,0))</f>
        <v>150801.66580000002</v>
      </c>
    </row>
    <row r="1121" spans="1:10" ht="15">
      <c r="A1121" s="21">
        <v>41012</v>
      </c>
      <c r="B1121" s="21">
        <v>41000</v>
      </c>
      <c r="C1121" s="17">
        <v>85</v>
      </c>
      <c r="D1121" s="17" t="s">
        <v>91</v>
      </c>
      <c r="E1121" s="14">
        <v>71012.55</v>
      </c>
      <c r="F1121" s="14">
        <v>75442.91</v>
      </c>
      <c r="G1121" s="14">
        <v>75442.91</v>
      </c>
      <c r="H1121" s="22">
        <f>F1121*(1+Assumptions!$B$6+IF(D1121="Yes",Assumptions!$C$6,0))</f>
        <v>77706.1973</v>
      </c>
      <c r="I1121" s="22">
        <f>F1121*(1+Assumptions!$B$7+IF(D1121="Yes",Assumptions!$C$7,0))</f>
        <v>79215.055500000002</v>
      </c>
      <c r="J1121" s="22">
        <f>F1121*(1+Assumptions!$B$8+IF(D1121="Yes",Assumptions!$C$8,0))</f>
        <v>76197.339099999997</v>
      </c>
    </row>
    <row r="1122" spans="1:10" ht="15">
      <c r="A1122" s="21">
        <v>41012</v>
      </c>
      <c r="B1122" s="21">
        <v>41000</v>
      </c>
      <c r="C1122" s="17">
        <v>87</v>
      </c>
      <c r="D1122" s="17" t="s">
        <v>91</v>
      </c>
      <c r="E1122" s="14">
        <v>603384.42000000004</v>
      </c>
      <c r="F1122" s="14">
        <v>509734.33999999997</v>
      </c>
      <c r="G1122" s="14">
        <v>509734.33999999997</v>
      </c>
      <c r="H1122" s="22">
        <f>F1122*(1+Assumptions!$B$6+IF(D1122="Yes",Assumptions!$C$6,0))</f>
        <v>525026.3702</v>
      </c>
      <c r="I1122" s="22">
        <f>F1122*(1+Assumptions!$B$7+IF(D1122="Yes",Assumptions!$C$7,0))</f>
        <v>535221.05700000003</v>
      </c>
      <c r="J1122" s="22">
        <f>F1122*(1+Assumptions!$B$8+IF(D1122="Yes",Assumptions!$C$8,0))</f>
        <v>514831.68339999998</v>
      </c>
    </row>
    <row r="1123" spans="1:10" ht="15">
      <c r="A1123" s="21">
        <v>41012</v>
      </c>
      <c r="B1123" s="21">
        <v>41000</v>
      </c>
      <c r="C1123" s="17">
        <v>90</v>
      </c>
      <c r="D1123" s="17" t="s">
        <v>91</v>
      </c>
      <c r="E1123" s="14">
        <v>2055286.54</v>
      </c>
      <c r="F1123" s="14">
        <v>1994317.59</v>
      </c>
      <c r="G1123" s="14">
        <v>1994317.59</v>
      </c>
      <c r="H1123" s="22">
        <f>F1123*(1+Assumptions!$B$6+IF(D1123="Yes",Assumptions!$C$6,0))</f>
        <v>2054147.1177000001</v>
      </c>
      <c r="I1123" s="22">
        <f>F1123*(1+Assumptions!$B$7+IF(D1123="Yes",Assumptions!$C$7,0))</f>
        <v>2094033.4695000001</v>
      </c>
      <c r="J1123" s="22">
        <f>F1123*(1+Assumptions!$B$8+IF(D1123="Yes",Assumptions!$C$8,0))</f>
        <v>2014260.7659</v>
      </c>
    </row>
    <row r="1124" spans="1:10" ht="15">
      <c r="A1124" s="21">
        <v>41012</v>
      </c>
      <c r="B1124" s="21">
        <v>41000</v>
      </c>
      <c r="C1124" s="17">
        <v>91</v>
      </c>
      <c r="D1124" s="17" t="s">
        <v>91</v>
      </c>
      <c r="E1124" s="14">
        <v>1506578.8599999999</v>
      </c>
      <c r="F1124" s="14">
        <v>1555390.52</v>
      </c>
      <c r="G1124" s="14">
        <v>1555390.52</v>
      </c>
      <c r="H1124" s="22">
        <f>F1124*(1+Assumptions!$B$6+IF(D1124="Yes",Assumptions!$C$6,0))</f>
        <v>1602052.2356</v>
      </c>
      <c r="I1124" s="22">
        <f>F1124*(1+Assumptions!$B$7+IF(D1124="Yes",Assumptions!$C$7,0))</f>
        <v>1633160.0460000001</v>
      </c>
      <c r="J1124" s="22">
        <f>F1124*(1+Assumptions!$B$8+IF(D1124="Yes",Assumptions!$C$8,0))</f>
        <v>1570944.4251999999</v>
      </c>
    </row>
    <row r="1125" spans="1:10" ht="15">
      <c r="A1125" s="21">
        <v>41012</v>
      </c>
      <c r="B1125" s="21">
        <v>41000</v>
      </c>
      <c r="C1125" s="17">
        <v>92</v>
      </c>
      <c r="D1125" s="17" t="s">
        <v>91</v>
      </c>
      <c r="E1125" s="14">
        <v>3418386.55</v>
      </c>
      <c r="F1125" s="14">
        <v>3229946.21</v>
      </c>
      <c r="G1125" s="14">
        <v>3229946.21</v>
      </c>
      <c r="H1125" s="22">
        <f>F1125*(1+Assumptions!$B$6+IF(D1125="Yes",Assumptions!$C$6,0))</f>
        <v>3326844.5962999999</v>
      </c>
      <c r="I1125" s="22">
        <f>F1125*(1+Assumptions!$B$7+IF(D1125="Yes",Assumptions!$C$7,0))</f>
        <v>3391443.5205000001</v>
      </c>
      <c r="J1125" s="22">
        <f>F1125*(1+Assumptions!$B$8+IF(D1125="Yes",Assumptions!$C$8,0))</f>
        <v>3262245.6721000001</v>
      </c>
    </row>
    <row r="1126" spans="1:10" ht="15">
      <c r="A1126" s="21">
        <v>41012</v>
      </c>
      <c r="B1126" s="21">
        <v>41000</v>
      </c>
      <c r="C1126" s="17">
        <v>93</v>
      </c>
      <c r="D1126" s="17" t="s">
        <v>91</v>
      </c>
      <c r="E1126" s="14">
        <v>1175773.4099999999</v>
      </c>
      <c r="F1126" s="14">
        <v>1111609.82</v>
      </c>
      <c r="G1126" s="14">
        <v>1111609.82</v>
      </c>
      <c r="H1126" s="22">
        <f>F1126*(1+Assumptions!$B$6+IF(D1126="Yes",Assumptions!$C$6,0))</f>
        <v>1144958.1146000002</v>
      </c>
      <c r="I1126" s="22">
        <f>F1126*(1+Assumptions!$B$7+IF(D1126="Yes",Assumptions!$C$7,0))</f>
        <v>1167190.3110000002</v>
      </c>
      <c r="J1126" s="22">
        <f>F1126*(1+Assumptions!$B$8+IF(D1126="Yes",Assumptions!$C$8,0))</f>
        <v>1122725.9182000002</v>
      </c>
    </row>
    <row r="1127" spans="1:10" ht="15">
      <c r="A1127" s="21">
        <v>41012</v>
      </c>
      <c r="B1127" s="21">
        <v>41000</v>
      </c>
      <c r="C1127" s="17">
        <v>94</v>
      </c>
      <c r="D1127" s="17" t="s">
        <v>91</v>
      </c>
      <c r="E1127" s="14">
        <v>1374815.22</v>
      </c>
      <c r="F1127" s="14">
        <v>1386580.81</v>
      </c>
      <c r="G1127" s="14">
        <v>1386580.81</v>
      </c>
      <c r="H1127" s="22">
        <f>F1127*(1+Assumptions!$B$6+IF(D1127="Yes",Assumptions!$C$6,0))</f>
        <v>1428178.2343000001</v>
      </c>
      <c r="I1127" s="22">
        <f>F1127*(1+Assumptions!$B$7+IF(D1127="Yes",Assumptions!$C$7,0))</f>
        <v>1455909.8505000002</v>
      </c>
      <c r="J1127" s="22">
        <f>F1127*(1+Assumptions!$B$8+IF(D1127="Yes",Assumptions!$C$8,0))</f>
        <v>1400446.6181000001</v>
      </c>
    </row>
    <row r="1128" spans="1:10" ht="15">
      <c r="A1128" s="21">
        <v>41012</v>
      </c>
      <c r="B1128" s="21">
        <v>41000</v>
      </c>
      <c r="C1128" s="17">
        <v>95</v>
      </c>
      <c r="D1128" s="17" t="s">
        <v>91</v>
      </c>
      <c r="E1128" s="14">
        <v>3091855.68</v>
      </c>
      <c r="F1128" s="14">
        <v>3039989.22</v>
      </c>
      <c r="G1128" s="14">
        <v>3039989.22</v>
      </c>
      <c r="H1128" s="22">
        <f>F1128*(1+Assumptions!$B$6+IF(D1128="Yes",Assumptions!$C$6,0))</f>
        <v>3131188.8966000001</v>
      </c>
      <c r="I1128" s="22">
        <f>F1128*(1+Assumptions!$B$7+IF(D1128="Yes",Assumptions!$C$7,0))</f>
        <v>3191988.6810000003</v>
      </c>
      <c r="J1128" s="22">
        <f>F1128*(1+Assumptions!$B$8+IF(D1128="Yes",Assumptions!$C$8,0))</f>
        <v>3070389.1122000003</v>
      </c>
    </row>
    <row r="1129" spans="1:10" ht="15">
      <c r="A1129" s="21">
        <v>41012</v>
      </c>
      <c r="B1129" s="21">
        <v>41000</v>
      </c>
      <c r="C1129" s="17">
        <v>96</v>
      </c>
      <c r="D1129" s="17" t="s">
        <v>91</v>
      </c>
      <c r="E1129" s="14">
        <v>541491.36</v>
      </c>
      <c r="F1129" s="14">
        <v>459608.46</v>
      </c>
      <c r="G1129" s="14">
        <v>459608.46</v>
      </c>
      <c r="H1129" s="22">
        <f>F1129*(1+Assumptions!$B$6+IF(D1129="Yes",Assumptions!$C$6,0))</f>
        <v>473396.71380000003</v>
      </c>
      <c r="I1129" s="22">
        <f>F1129*(1+Assumptions!$B$7+IF(D1129="Yes",Assumptions!$C$7,0))</f>
        <v>482588.88300000003</v>
      </c>
      <c r="J1129" s="22">
        <f>F1129*(1+Assumptions!$B$8+IF(D1129="Yes",Assumptions!$C$8,0))</f>
        <v>464204.54460000002</v>
      </c>
    </row>
    <row r="1130" spans="1:10" ht="15">
      <c r="A1130" s="21">
        <v>41012</v>
      </c>
      <c r="B1130" s="21">
        <v>41000</v>
      </c>
      <c r="C1130" s="17">
        <v>97</v>
      </c>
      <c r="D1130" s="17" t="s">
        <v>91</v>
      </c>
      <c r="E1130" s="14">
        <v>612877.88</v>
      </c>
      <c r="F1130" s="14">
        <v>615061</v>
      </c>
      <c r="G1130" s="14">
        <v>615061</v>
      </c>
      <c r="H1130" s="22">
        <f>F1130*(1+Assumptions!$B$6+IF(D1130="Yes",Assumptions!$C$6,0))</f>
        <v>633512.83000000007</v>
      </c>
      <c r="I1130" s="22">
        <f>F1130*(1+Assumptions!$B$7+IF(D1130="Yes",Assumptions!$C$7,0))</f>
        <v>645814.05000000005</v>
      </c>
      <c r="J1130" s="22">
        <f>F1130*(1+Assumptions!$B$8+IF(D1130="Yes",Assumptions!$C$8,0))</f>
        <v>621211.61</v>
      </c>
    </row>
    <row r="1131" spans="1:10" ht="15">
      <c r="A1131" s="21">
        <v>41012</v>
      </c>
      <c r="B1131" s="21">
        <v>41000</v>
      </c>
      <c r="C1131" s="17">
        <v>98</v>
      </c>
      <c r="D1131" s="17" t="s">
        <v>91</v>
      </c>
      <c r="E1131" s="14">
        <v>289613.38</v>
      </c>
      <c r="F1131" s="14">
        <v>273413.46999999997</v>
      </c>
      <c r="G1131" s="14">
        <v>273413.46999999997</v>
      </c>
      <c r="H1131" s="22">
        <f>F1131*(1+Assumptions!$B$6+IF(D1131="Yes",Assumptions!$C$6,0))</f>
        <v>281615.87409999996</v>
      </c>
      <c r="I1131" s="22">
        <f>F1131*(1+Assumptions!$B$7+IF(D1131="Yes",Assumptions!$C$7,0))</f>
        <v>287084.14350000001</v>
      </c>
      <c r="J1131" s="22">
        <f>F1131*(1+Assumptions!$B$8+IF(D1131="Yes",Assumptions!$C$8,0))</f>
        <v>276147.60469999997</v>
      </c>
    </row>
    <row r="1132" spans="1:10" ht="15">
      <c r="A1132" s="21">
        <v>41012</v>
      </c>
      <c r="B1132" s="21">
        <v>41000</v>
      </c>
      <c r="C1132" s="17">
        <v>99</v>
      </c>
      <c r="D1132" s="17" t="s">
        <v>91</v>
      </c>
      <c r="E1132" s="14">
        <v>40</v>
      </c>
      <c r="F1132" s="14">
        <v>0.01</v>
      </c>
      <c r="G1132" s="14">
        <v>0.01</v>
      </c>
      <c r="H1132" s="22">
        <f>F1132*(1+Assumptions!$B$6+IF(D1132="Yes",Assumptions!$C$6,0))</f>
        <v>1.03E-2</v>
      </c>
      <c r="I1132" s="22">
        <f>F1132*(1+Assumptions!$B$7+IF(D1132="Yes",Assumptions!$C$7,0))</f>
        <v>1.0500000000000001E-2</v>
      </c>
      <c r="J1132" s="22">
        <f>F1132*(1+Assumptions!$B$8+IF(D1132="Yes",Assumptions!$C$8,0))</f>
        <v>1.01E-2</v>
      </c>
    </row>
    <row r="1133" spans="1:10" ht="15">
      <c r="A1133" s="21">
        <v>41019</v>
      </c>
      <c r="B1133" s="21">
        <v>41000</v>
      </c>
      <c r="C1133" s="17">
        <v>1</v>
      </c>
      <c r="D1133" s="17" t="s">
        <v>91</v>
      </c>
      <c r="E1133" s="14">
        <v>611916.31999999995</v>
      </c>
      <c r="F1133" s="14">
        <v>2301887.84</v>
      </c>
      <c r="G1133" s="14">
        <v>2301887.84</v>
      </c>
      <c r="H1133" s="22">
        <f>F1133*(1+Assumptions!$B$6+IF(D1133="Yes",Assumptions!$C$6,0))</f>
        <v>2370944.4751999998</v>
      </c>
      <c r="I1133" s="22">
        <f>F1133*(1+Assumptions!$B$7+IF(D1133="Yes",Assumptions!$C$7,0))</f>
        <v>2416982.2319999998</v>
      </c>
      <c r="J1133" s="22">
        <f>F1133*(1+Assumptions!$B$8+IF(D1133="Yes",Assumptions!$C$8,0))</f>
        <v>2324906.7183999997</v>
      </c>
    </row>
    <row r="1134" spans="1:10" ht="15">
      <c r="A1134" s="21">
        <v>41019</v>
      </c>
      <c r="B1134" s="21">
        <v>41000</v>
      </c>
      <c r="C1134" s="17">
        <v>2</v>
      </c>
      <c r="D1134" s="17" t="s">
        <v>91</v>
      </c>
      <c r="E1134" s="14">
        <v>1966964.1400000001</v>
      </c>
      <c r="F1134" s="14">
        <v>1973286.35</v>
      </c>
      <c r="G1134" s="14">
        <v>1973286.35</v>
      </c>
      <c r="H1134" s="22">
        <f>F1134*(1+Assumptions!$B$6+IF(D1134="Yes",Assumptions!$C$6,0))</f>
        <v>2032484.9405000003</v>
      </c>
      <c r="I1134" s="22">
        <f>F1134*(1+Assumptions!$B$7+IF(D1134="Yes",Assumptions!$C$7,0))</f>
        <v>2071950.6675000002</v>
      </c>
      <c r="J1134" s="22">
        <f>F1134*(1+Assumptions!$B$8+IF(D1134="Yes",Assumptions!$C$8,0))</f>
        <v>1993019.2135000001</v>
      </c>
    </row>
    <row r="1135" spans="1:10" ht="15">
      <c r="A1135" s="21">
        <v>41019</v>
      </c>
      <c r="B1135" s="21">
        <v>41000</v>
      </c>
      <c r="C1135" s="17">
        <v>3</v>
      </c>
      <c r="D1135" s="17" t="s">
        <v>91</v>
      </c>
      <c r="E1135" s="14">
        <v>351136.99</v>
      </c>
      <c r="F1135" s="14">
        <v>377171.8</v>
      </c>
      <c r="G1135" s="14">
        <v>377171.8</v>
      </c>
      <c r="H1135" s="22">
        <f>F1135*(1+Assumptions!$B$6+IF(D1135="Yes",Assumptions!$C$6,0))</f>
        <v>388486.95400000003</v>
      </c>
      <c r="I1135" s="22">
        <f>F1135*(1+Assumptions!$B$7+IF(D1135="Yes",Assumptions!$C$7,0))</f>
        <v>396030.39</v>
      </c>
      <c r="J1135" s="22">
        <f>F1135*(1+Assumptions!$B$8+IF(D1135="Yes",Assumptions!$C$8,0))</f>
        <v>380943.51799999998</v>
      </c>
    </row>
    <row r="1136" spans="1:10" ht="15">
      <c r="A1136" s="21">
        <v>41019</v>
      </c>
      <c r="B1136" s="21">
        <v>41000</v>
      </c>
      <c r="C1136" s="17">
        <v>4</v>
      </c>
      <c r="D1136" s="17" t="s">
        <v>91</v>
      </c>
      <c r="E1136" s="14">
        <v>1167435.21</v>
      </c>
      <c r="F1136" s="14">
        <v>1121396.17</v>
      </c>
      <c r="G1136" s="14">
        <v>1121396.17</v>
      </c>
      <c r="H1136" s="22">
        <f>F1136*(1+Assumptions!$B$6+IF(D1136="Yes",Assumptions!$C$6,0))</f>
        <v>1155038.0551</v>
      </c>
      <c r="I1136" s="22">
        <f>F1136*(1+Assumptions!$B$7+IF(D1136="Yes",Assumptions!$C$7,0))</f>
        <v>1177465.9785</v>
      </c>
      <c r="J1136" s="22">
        <f>F1136*(1+Assumptions!$B$8+IF(D1136="Yes",Assumptions!$C$8,0))</f>
        <v>1132610.1317</v>
      </c>
    </row>
    <row r="1137" spans="1:10" ht="15">
      <c r="A1137" s="21">
        <v>41019</v>
      </c>
      <c r="B1137" s="21">
        <v>41000</v>
      </c>
      <c r="C1137" s="17">
        <v>5</v>
      </c>
      <c r="D1137" s="17" t="s">
        <v>91</v>
      </c>
      <c r="E1137" s="14">
        <v>615079.51</v>
      </c>
      <c r="F1137" s="14">
        <v>1055687.79</v>
      </c>
      <c r="G1137" s="14">
        <v>1055687.79</v>
      </c>
      <c r="H1137" s="22">
        <f>F1137*(1+Assumptions!$B$6+IF(D1137="Yes",Assumptions!$C$6,0))</f>
        <v>1087358.4237000002</v>
      </c>
      <c r="I1137" s="22">
        <f>F1137*(1+Assumptions!$B$7+IF(D1137="Yes",Assumptions!$C$7,0))</f>
        <v>1108472.1795000001</v>
      </c>
      <c r="J1137" s="22">
        <f>F1137*(1+Assumptions!$B$8+IF(D1137="Yes",Assumptions!$C$8,0))</f>
        <v>1066244.6679</v>
      </c>
    </row>
    <row r="1138" spans="1:10" ht="15">
      <c r="A1138" s="21">
        <v>41019</v>
      </c>
      <c r="B1138" s="21">
        <v>41000</v>
      </c>
      <c r="C1138" s="17">
        <v>6</v>
      </c>
      <c r="D1138" s="17" t="s">
        <v>91</v>
      </c>
      <c r="E1138" s="14">
        <v>125737.17</v>
      </c>
      <c r="F1138" s="14">
        <v>185640.09</v>
      </c>
      <c r="G1138" s="14">
        <v>185640.09</v>
      </c>
      <c r="H1138" s="22">
        <f>F1138*(1+Assumptions!$B$6+IF(D1138="Yes",Assumptions!$C$6,0))</f>
        <v>191209.29269999999</v>
      </c>
      <c r="I1138" s="22">
        <f>F1138*(1+Assumptions!$B$7+IF(D1138="Yes",Assumptions!$C$7,0))</f>
        <v>194922.09450000001</v>
      </c>
      <c r="J1138" s="22">
        <f>F1138*(1+Assumptions!$B$8+IF(D1138="Yes",Assumptions!$C$8,0))</f>
        <v>187496.4909</v>
      </c>
    </row>
    <row r="1139" spans="1:10" ht="15">
      <c r="A1139" s="21">
        <v>41019</v>
      </c>
      <c r="B1139" s="21">
        <v>41000</v>
      </c>
      <c r="C1139" s="17">
        <v>7</v>
      </c>
      <c r="D1139" s="17" t="s">
        <v>91</v>
      </c>
      <c r="E1139" s="14">
        <v>871182.77</v>
      </c>
      <c r="F1139" s="14">
        <v>1317667.1199999999</v>
      </c>
      <c r="G1139" s="14">
        <v>1317667.1199999999</v>
      </c>
      <c r="H1139" s="22">
        <f>F1139*(1+Assumptions!$B$6+IF(D1139="Yes",Assumptions!$C$6,0))</f>
        <v>1357197.1335999998</v>
      </c>
      <c r="I1139" s="22">
        <f>F1139*(1+Assumptions!$B$7+IF(D1139="Yes",Assumptions!$C$7,0))</f>
        <v>1383550.476</v>
      </c>
      <c r="J1139" s="22">
        <f>F1139*(1+Assumptions!$B$8+IF(D1139="Yes",Assumptions!$C$8,0))</f>
        <v>1330843.7911999999</v>
      </c>
    </row>
    <row r="1140" spans="1:10" ht="15">
      <c r="A1140" s="21">
        <v>41019</v>
      </c>
      <c r="B1140" s="21">
        <v>41000</v>
      </c>
      <c r="C1140" s="17">
        <v>8</v>
      </c>
      <c r="D1140" s="17" t="s">
        <v>91</v>
      </c>
      <c r="E1140" s="14">
        <v>1362547.57</v>
      </c>
      <c r="F1140" s="14">
        <v>1343899.12</v>
      </c>
      <c r="G1140" s="14">
        <v>1343899.12</v>
      </c>
      <c r="H1140" s="22">
        <f>F1140*(1+Assumptions!$B$6+IF(D1140="Yes",Assumptions!$C$6,0))</f>
        <v>1384216.0936000003</v>
      </c>
      <c r="I1140" s="22">
        <f>F1140*(1+Assumptions!$B$7+IF(D1140="Yes",Assumptions!$C$7,0))</f>
        <v>1411094.0760000001</v>
      </c>
      <c r="J1140" s="22">
        <f>F1140*(1+Assumptions!$B$8+IF(D1140="Yes",Assumptions!$C$8,0))</f>
        <v>1357338.1112000002</v>
      </c>
    </row>
    <row r="1141" spans="1:10" ht="15">
      <c r="A1141" s="21">
        <v>41019</v>
      </c>
      <c r="B1141" s="21">
        <v>41000</v>
      </c>
      <c r="C1141" s="17">
        <v>9</v>
      </c>
      <c r="D1141" s="17" t="s">
        <v>91</v>
      </c>
      <c r="E1141" s="14">
        <v>975726.5</v>
      </c>
      <c r="F1141" s="14">
        <v>955907.09</v>
      </c>
      <c r="G1141" s="14">
        <v>955907.09</v>
      </c>
      <c r="H1141" s="22">
        <f>F1141*(1+Assumptions!$B$6+IF(D1141="Yes",Assumptions!$C$6,0))</f>
        <v>984584.3027</v>
      </c>
      <c r="I1141" s="22">
        <f>F1141*(1+Assumptions!$B$7+IF(D1141="Yes",Assumptions!$C$7,0))</f>
        <v>1003702.4445</v>
      </c>
      <c r="J1141" s="22">
        <f>F1141*(1+Assumptions!$B$8+IF(D1141="Yes",Assumptions!$C$8,0))</f>
        <v>965466.16090000002</v>
      </c>
    </row>
    <row r="1142" spans="1:10" ht="15">
      <c r="A1142" s="21">
        <v>41019</v>
      </c>
      <c r="B1142" s="21">
        <v>41000</v>
      </c>
      <c r="C1142" s="17">
        <v>10</v>
      </c>
      <c r="D1142" s="17" t="s">
        <v>91</v>
      </c>
      <c r="E1142" s="14">
        <v>822745.75</v>
      </c>
      <c r="F1142" s="14">
        <v>791450.67</v>
      </c>
      <c r="G1142" s="14">
        <v>791450.67</v>
      </c>
      <c r="H1142" s="22">
        <f>F1142*(1+Assumptions!$B$6+IF(D1142="Yes",Assumptions!$C$6,0))</f>
        <v>815194.19010000001</v>
      </c>
      <c r="I1142" s="22">
        <f>F1142*(1+Assumptions!$B$7+IF(D1142="Yes",Assumptions!$C$7,0))</f>
        <v>831023.20350000006</v>
      </c>
      <c r="J1142" s="22">
        <f>F1142*(1+Assumptions!$B$8+IF(D1142="Yes",Assumptions!$C$8,0))</f>
        <v>799365.17670000007</v>
      </c>
    </row>
    <row r="1143" spans="1:10" ht="15">
      <c r="A1143" s="21">
        <v>41019</v>
      </c>
      <c r="B1143" s="21">
        <v>41000</v>
      </c>
      <c r="C1143" s="17">
        <v>11</v>
      </c>
      <c r="D1143" s="17" t="s">
        <v>91</v>
      </c>
      <c r="E1143" s="14">
        <v>604852.41</v>
      </c>
      <c r="F1143" s="14">
        <v>558276.57999999996</v>
      </c>
      <c r="G1143" s="14">
        <v>558276.57999999996</v>
      </c>
      <c r="H1143" s="22">
        <f>F1143*(1+Assumptions!$B$6+IF(D1143="Yes",Assumptions!$C$6,0))</f>
        <v>575024.8774</v>
      </c>
      <c r="I1143" s="22">
        <f>F1143*(1+Assumptions!$B$7+IF(D1143="Yes",Assumptions!$C$7,0))</f>
        <v>586190.40899999999</v>
      </c>
      <c r="J1143" s="22">
        <f>F1143*(1+Assumptions!$B$8+IF(D1143="Yes",Assumptions!$C$8,0))</f>
        <v>563859.34580000001</v>
      </c>
    </row>
    <row r="1144" spans="1:10" ht="15">
      <c r="A1144" s="21">
        <v>41019</v>
      </c>
      <c r="B1144" s="21">
        <v>41000</v>
      </c>
      <c r="C1144" s="17">
        <v>12</v>
      </c>
      <c r="D1144" s="17" t="s">
        <v>91</v>
      </c>
      <c r="E1144" s="14">
        <v>204771.19</v>
      </c>
      <c r="F1144" s="14">
        <v>199423.9</v>
      </c>
      <c r="G1144" s="14">
        <v>199423.9</v>
      </c>
      <c r="H1144" s="22">
        <f>F1144*(1+Assumptions!$B$6+IF(D1144="Yes",Assumptions!$C$6,0))</f>
        <v>205406.617</v>
      </c>
      <c r="I1144" s="22">
        <f>F1144*(1+Assumptions!$B$7+IF(D1144="Yes",Assumptions!$C$7,0))</f>
        <v>209395.095</v>
      </c>
      <c r="J1144" s="22">
        <f>F1144*(1+Assumptions!$B$8+IF(D1144="Yes",Assumptions!$C$8,0))</f>
        <v>201418.139</v>
      </c>
    </row>
    <row r="1145" spans="1:10" ht="15">
      <c r="A1145" s="21">
        <v>41019</v>
      </c>
      <c r="B1145" s="21">
        <v>41000</v>
      </c>
      <c r="C1145" s="17">
        <v>13</v>
      </c>
      <c r="D1145" s="17" t="s">
        <v>91</v>
      </c>
      <c r="E1145" s="14">
        <v>1366994.61</v>
      </c>
      <c r="F1145" s="14">
        <v>1332730.94</v>
      </c>
      <c r="G1145" s="14">
        <v>1332730.94</v>
      </c>
      <c r="H1145" s="22">
        <f>F1145*(1+Assumptions!$B$6+IF(D1145="Yes",Assumptions!$C$6,0))</f>
        <v>1372712.8681999999</v>
      </c>
      <c r="I1145" s="22">
        <f>F1145*(1+Assumptions!$B$7+IF(D1145="Yes",Assumptions!$C$7,0))</f>
        <v>1399367.487</v>
      </c>
      <c r="J1145" s="22">
        <f>F1145*(1+Assumptions!$B$8+IF(D1145="Yes",Assumptions!$C$8,0))</f>
        <v>1346058.2493999999</v>
      </c>
    </row>
    <row r="1146" spans="1:10" ht="15">
      <c r="A1146" s="21">
        <v>41019</v>
      </c>
      <c r="B1146" s="21">
        <v>41000</v>
      </c>
      <c r="C1146" s="17">
        <v>14</v>
      </c>
      <c r="D1146" s="17" t="s">
        <v>91</v>
      </c>
      <c r="E1146" s="14">
        <v>595538.04</v>
      </c>
      <c r="F1146" s="14">
        <v>624847.34</v>
      </c>
      <c r="G1146" s="14">
        <v>624847.34</v>
      </c>
      <c r="H1146" s="22">
        <f>F1146*(1+Assumptions!$B$6+IF(D1146="Yes",Assumptions!$C$6,0))</f>
        <v>643592.76020000002</v>
      </c>
      <c r="I1146" s="22">
        <f>F1146*(1+Assumptions!$B$7+IF(D1146="Yes",Assumptions!$C$7,0))</f>
        <v>656089.70699999994</v>
      </c>
      <c r="J1146" s="22">
        <f>F1146*(1+Assumptions!$B$8+IF(D1146="Yes",Assumptions!$C$8,0))</f>
        <v>631095.81339999998</v>
      </c>
    </row>
    <row r="1147" spans="1:10" ht="15">
      <c r="A1147" s="21">
        <v>41019</v>
      </c>
      <c r="B1147" s="21">
        <v>41000</v>
      </c>
      <c r="C1147" s="17">
        <v>16</v>
      </c>
      <c r="D1147" s="17" t="s">
        <v>91</v>
      </c>
      <c r="E1147" s="14">
        <v>1068190.1599999999</v>
      </c>
      <c r="F1147" s="14">
        <v>901858.96</v>
      </c>
      <c r="G1147" s="14">
        <v>901858.96</v>
      </c>
      <c r="H1147" s="22">
        <f>F1147*(1+Assumptions!$B$6+IF(D1147="Yes",Assumptions!$C$6,0))</f>
        <v>928914.72880000004</v>
      </c>
      <c r="I1147" s="22">
        <f>F1147*(1+Assumptions!$B$7+IF(D1147="Yes",Assumptions!$C$7,0))</f>
        <v>946951.90800000005</v>
      </c>
      <c r="J1147" s="22">
        <f>F1147*(1+Assumptions!$B$8+IF(D1147="Yes",Assumptions!$C$8,0))</f>
        <v>910877.54960000003</v>
      </c>
    </row>
    <row r="1148" spans="1:10" ht="15">
      <c r="A1148" s="21">
        <v>41019</v>
      </c>
      <c r="B1148" s="21">
        <v>41000</v>
      </c>
      <c r="C1148" s="17">
        <v>17</v>
      </c>
      <c r="D1148" s="17" t="s">
        <v>91</v>
      </c>
      <c r="E1148" s="14">
        <v>375798.18</v>
      </c>
      <c r="F1148" s="14">
        <v>425372.28</v>
      </c>
      <c r="G1148" s="14">
        <v>425372.28</v>
      </c>
      <c r="H1148" s="22">
        <f>F1148*(1+Assumptions!$B$6+IF(D1148="Yes",Assumptions!$C$6,0))</f>
        <v>438133.44840000005</v>
      </c>
      <c r="I1148" s="22">
        <f>F1148*(1+Assumptions!$B$7+IF(D1148="Yes",Assumptions!$C$7,0))</f>
        <v>446640.89400000003</v>
      </c>
      <c r="J1148" s="22">
        <f>F1148*(1+Assumptions!$B$8+IF(D1148="Yes",Assumptions!$C$8,0))</f>
        <v>429626.00280000002</v>
      </c>
    </row>
    <row r="1149" spans="1:10" ht="15">
      <c r="A1149" s="21">
        <v>41019</v>
      </c>
      <c r="B1149" s="21">
        <v>41000</v>
      </c>
      <c r="C1149" s="17">
        <v>18</v>
      </c>
      <c r="D1149" s="17" t="s">
        <v>91</v>
      </c>
      <c r="E1149" s="14">
        <v>14722.5</v>
      </c>
      <c r="F1149" s="14">
        <v>529453.80000000005</v>
      </c>
      <c r="G1149" s="14">
        <v>529453.80000000005</v>
      </c>
      <c r="H1149" s="22">
        <f>F1149*(1+Assumptions!$B$6+IF(D1149="Yes",Assumptions!$C$6,0))</f>
        <v>545337.41400000011</v>
      </c>
      <c r="I1149" s="22">
        <f>F1149*(1+Assumptions!$B$7+IF(D1149="Yes",Assumptions!$C$7,0))</f>
        <v>555926.49000000011</v>
      </c>
      <c r="J1149" s="22">
        <f>F1149*(1+Assumptions!$B$8+IF(D1149="Yes",Assumptions!$C$8,0))</f>
        <v>534748.33800000011</v>
      </c>
    </row>
    <row r="1150" spans="1:10" ht="15">
      <c r="A1150" s="21">
        <v>41019</v>
      </c>
      <c r="B1150" s="21">
        <v>41000</v>
      </c>
      <c r="C1150" s="17">
        <v>19</v>
      </c>
      <c r="D1150" s="17" t="s">
        <v>91</v>
      </c>
      <c r="E1150" s="14">
        <v>40410.21</v>
      </c>
      <c r="F1150" s="14">
        <v>39913.15</v>
      </c>
      <c r="G1150" s="14">
        <v>39913.15</v>
      </c>
      <c r="H1150" s="22">
        <f>F1150*(1+Assumptions!$B$6+IF(D1150="Yes",Assumptions!$C$6,0))</f>
        <v>41110.544500000004</v>
      </c>
      <c r="I1150" s="22">
        <f>F1150*(1+Assumptions!$B$7+IF(D1150="Yes",Assumptions!$C$7,0))</f>
        <v>41908.807500000003</v>
      </c>
      <c r="J1150" s="22">
        <f>F1150*(1+Assumptions!$B$8+IF(D1150="Yes",Assumptions!$C$8,0))</f>
        <v>40312.281500000005</v>
      </c>
    </row>
    <row r="1151" spans="1:10" ht="15">
      <c r="A1151" s="21">
        <v>41019</v>
      </c>
      <c r="B1151" s="21">
        <v>41000</v>
      </c>
      <c r="C1151" s="17">
        <v>20</v>
      </c>
      <c r="D1151" s="17" t="s">
        <v>91</v>
      </c>
      <c r="E1151" s="14">
        <v>220770.86</v>
      </c>
      <c r="F1151" s="14">
        <v>233356.97</v>
      </c>
      <c r="G1151" s="14">
        <v>233356.97</v>
      </c>
      <c r="H1151" s="22">
        <f>F1151*(1+Assumptions!$B$6+IF(D1151="Yes",Assumptions!$C$6,0))</f>
        <v>240357.67910000001</v>
      </c>
      <c r="I1151" s="22">
        <f>F1151*(1+Assumptions!$B$7+IF(D1151="Yes",Assumptions!$C$7,0))</f>
        <v>245024.81850000002</v>
      </c>
      <c r="J1151" s="22">
        <f>F1151*(1+Assumptions!$B$8+IF(D1151="Yes",Assumptions!$C$8,0))</f>
        <v>235690.53969999999</v>
      </c>
    </row>
    <row r="1152" spans="1:10" ht="15">
      <c r="A1152" s="21">
        <v>41019</v>
      </c>
      <c r="B1152" s="21">
        <v>41000</v>
      </c>
      <c r="C1152" s="17">
        <v>21</v>
      </c>
      <c r="D1152" s="17" t="s">
        <v>91</v>
      </c>
      <c r="E1152" s="14">
        <v>197077.75</v>
      </c>
      <c r="F1152" s="14">
        <v>245032.39</v>
      </c>
      <c r="G1152" s="14">
        <v>245032.39</v>
      </c>
      <c r="H1152" s="22">
        <f>F1152*(1+Assumptions!$B$6+IF(D1152="Yes",Assumptions!$C$6,0))</f>
        <v>252383.36170000001</v>
      </c>
      <c r="I1152" s="22">
        <f>F1152*(1+Assumptions!$B$7+IF(D1152="Yes",Assumptions!$C$7,0))</f>
        <v>257284.00950000001</v>
      </c>
      <c r="J1152" s="22">
        <f>F1152*(1+Assumptions!$B$8+IF(D1152="Yes",Assumptions!$C$8,0))</f>
        <v>247482.7139</v>
      </c>
    </row>
    <row r="1153" spans="1:10" ht="15">
      <c r="A1153" s="21">
        <v>41019</v>
      </c>
      <c r="B1153" s="21">
        <v>41000</v>
      </c>
      <c r="C1153" s="17">
        <v>22</v>
      </c>
      <c r="D1153" s="17" t="s">
        <v>91</v>
      </c>
      <c r="E1153" s="14">
        <v>352896.06</v>
      </c>
      <c r="F1153" s="14">
        <v>369743.84</v>
      </c>
      <c r="G1153" s="14">
        <v>369743.84</v>
      </c>
      <c r="H1153" s="22">
        <f>F1153*(1+Assumptions!$B$6+IF(D1153="Yes",Assumptions!$C$6,0))</f>
        <v>380836.15520000004</v>
      </c>
      <c r="I1153" s="22">
        <f>F1153*(1+Assumptions!$B$7+IF(D1153="Yes",Assumptions!$C$7,0))</f>
        <v>388231.03200000006</v>
      </c>
      <c r="J1153" s="22">
        <f>F1153*(1+Assumptions!$B$8+IF(D1153="Yes",Assumptions!$C$8,0))</f>
        <v>373441.27840000001</v>
      </c>
    </row>
    <row r="1154" spans="1:10" ht="15">
      <c r="A1154" s="21">
        <v>41019</v>
      </c>
      <c r="B1154" s="21">
        <v>41000</v>
      </c>
      <c r="C1154" s="17">
        <v>23</v>
      </c>
      <c r="D1154" s="17" t="s">
        <v>91</v>
      </c>
      <c r="E1154" s="14">
        <v>922141.24</v>
      </c>
      <c r="F1154" s="14">
        <v>900319.22</v>
      </c>
      <c r="G1154" s="14">
        <v>900319.22</v>
      </c>
      <c r="H1154" s="22">
        <f>F1154*(1+Assumptions!$B$6+IF(D1154="Yes",Assumptions!$C$6,0))</f>
        <v>927328.7966</v>
      </c>
      <c r="I1154" s="22">
        <f>F1154*(1+Assumptions!$B$7+IF(D1154="Yes",Assumptions!$C$7,0))</f>
        <v>945335.18099999998</v>
      </c>
      <c r="J1154" s="22">
        <f>F1154*(1+Assumptions!$B$8+IF(D1154="Yes",Assumptions!$C$8,0))</f>
        <v>909322.41220000002</v>
      </c>
    </row>
    <row r="1155" spans="1:10" ht="15">
      <c r="A1155" s="21">
        <v>41019</v>
      </c>
      <c r="B1155" s="21">
        <v>41000</v>
      </c>
      <c r="C1155" s="17">
        <v>24</v>
      </c>
      <c r="D1155" s="17" t="s">
        <v>91</v>
      </c>
      <c r="E1155" s="14">
        <v>195919.2</v>
      </c>
      <c r="F1155" s="14">
        <v>239963.91</v>
      </c>
      <c r="G1155" s="14">
        <v>239963.91</v>
      </c>
      <c r="H1155" s="22">
        <f>F1155*(1+Assumptions!$B$6+IF(D1155="Yes",Assumptions!$C$6,0))</f>
        <v>247162.8273</v>
      </c>
      <c r="I1155" s="22">
        <f>F1155*(1+Assumptions!$B$7+IF(D1155="Yes",Assumptions!$C$7,0))</f>
        <v>251962.10550000001</v>
      </c>
      <c r="J1155" s="22">
        <f>F1155*(1+Assumptions!$B$8+IF(D1155="Yes",Assumptions!$C$8,0))</f>
        <v>242363.5491</v>
      </c>
    </row>
    <row r="1156" spans="1:10" ht="15">
      <c r="A1156" s="21">
        <v>41019</v>
      </c>
      <c r="B1156" s="21">
        <v>41000</v>
      </c>
      <c r="C1156" s="17">
        <v>25</v>
      </c>
      <c r="D1156" s="17" t="s">
        <v>91</v>
      </c>
      <c r="E1156" s="14">
        <v>409105.49</v>
      </c>
      <c r="F1156" s="14">
        <v>443137.89</v>
      </c>
      <c r="G1156" s="14">
        <v>443137.89</v>
      </c>
      <c r="H1156" s="22">
        <f>F1156*(1+Assumptions!$B$6+IF(D1156="Yes",Assumptions!$C$6,0))</f>
        <v>456432.02670000005</v>
      </c>
      <c r="I1156" s="22">
        <f>F1156*(1+Assumptions!$B$7+IF(D1156="Yes",Assumptions!$C$7,0))</f>
        <v>465294.78450000001</v>
      </c>
      <c r="J1156" s="22">
        <f>F1156*(1+Assumptions!$B$8+IF(D1156="Yes",Assumptions!$C$8,0))</f>
        <v>447569.26890000002</v>
      </c>
    </row>
    <row r="1157" spans="1:10" ht="15">
      <c r="A1157" s="21">
        <v>41019</v>
      </c>
      <c r="B1157" s="21">
        <v>41000</v>
      </c>
      <c r="C1157" s="17">
        <v>26</v>
      </c>
      <c r="D1157" s="17" t="s">
        <v>91</v>
      </c>
      <c r="E1157" s="14">
        <v>303282.38</v>
      </c>
      <c r="F1157" s="14">
        <v>350132.61</v>
      </c>
      <c r="G1157" s="14">
        <v>350132.61</v>
      </c>
      <c r="H1157" s="22">
        <f>F1157*(1+Assumptions!$B$6+IF(D1157="Yes",Assumptions!$C$6,0))</f>
        <v>360636.5883</v>
      </c>
      <c r="I1157" s="22">
        <f>F1157*(1+Assumptions!$B$7+IF(D1157="Yes",Assumptions!$C$7,0))</f>
        <v>367639.24050000001</v>
      </c>
      <c r="J1157" s="22">
        <f>F1157*(1+Assumptions!$B$8+IF(D1157="Yes",Assumptions!$C$8,0))</f>
        <v>353633.93609999999</v>
      </c>
    </row>
    <row r="1158" spans="1:10" ht="15">
      <c r="A1158" s="21">
        <v>41019</v>
      </c>
      <c r="B1158" s="21">
        <v>41000</v>
      </c>
      <c r="C1158" s="17">
        <v>27</v>
      </c>
      <c r="D1158" s="17" t="s">
        <v>91</v>
      </c>
      <c r="E1158" s="14">
        <v>53104.439999999995</v>
      </c>
      <c r="F1158" s="14">
        <v>51136.24</v>
      </c>
      <c r="G1158" s="14">
        <v>51136.24</v>
      </c>
      <c r="H1158" s="22">
        <f>F1158*(1+Assumptions!$B$6+IF(D1158="Yes",Assumptions!$C$6,0))</f>
        <v>52670.3272</v>
      </c>
      <c r="I1158" s="22">
        <f>F1158*(1+Assumptions!$B$7+IF(D1158="Yes",Assumptions!$C$7,0))</f>
        <v>53693.052000000003</v>
      </c>
      <c r="J1158" s="22">
        <f>F1158*(1+Assumptions!$B$8+IF(D1158="Yes",Assumptions!$C$8,0))</f>
        <v>51647.602399999996</v>
      </c>
    </row>
    <row r="1159" spans="1:10" ht="15">
      <c r="A1159" s="21">
        <v>41019</v>
      </c>
      <c r="B1159" s="21">
        <v>41000</v>
      </c>
      <c r="C1159" s="17">
        <v>28</v>
      </c>
      <c r="D1159" s="17" t="s">
        <v>91</v>
      </c>
      <c r="E1159" s="14">
        <v>24157.98</v>
      </c>
      <c r="F1159" s="14">
        <v>29925.64</v>
      </c>
      <c r="G1159" s="14">
        <v>29925.64</v>
      </c>
      <c r="H1159" s="22">
        <f>F1159*(1+Assumptions!$B$6+IF(D1159="Yes",Assumptions!$C$6,0))</f>
        <v>30823.409200000002</v>
      </c>
      <c r="I1159" s="22">
        <f>F1159*(1+Assumptions!$B$7+IF(D1159="Yes",Assumptions!$C$7,0))</f>
        <v>31421.922000000002</v>
      </c>
      <c r="J1159" s="22">
        <f>F1159*(1+Assumptions!$B$8+IF(D1159="Yes",Assumptions!$C$8,0))</f>
        <v>30224.896400000001</v>
      </c>
    </row>
    <row r="1160" spans="1:10" ht="15">
      <c r="A1160" s="21">
        <v>41019</v>
      </c>
      <c r="B1160" s="21">
        <v>41000</v>
      </c>
      <c r="C1160" s="17">
        <v>29</v>
      </c>
      <c r="D1160" s="17" t="s">
        <v>91</v>
      </c>
      <c r="E1160" s="14">
        <v>185139.34</v>
      </c>
      <c r="F1160" s="14">
        <v>181442.38</v>
      </c>
      <c r="G1160" s="14">
        <v>181442.38</v>
      </c>
      <c r="H1160" s="22">
        <f>F1160*(1+Assumptions!$B$6+IF(D1160="Yes",Assumptions!$C$6,0))</f>
        <v>186885.6514</v>
      </c>
      <c r="I1160" s="22">
        <f>F1160*(1+Assumptions!$B$7+IF(D1160="Yes",Assumptions!$C$7,0))</f>
        <v>190514.49900000001</v>
      </c>
      <c r="J1160" s="22">
        <f>F1160*(1+Assumptions!$B$8+IF(D1160="Yes",Assumptions!$C$8,0))</f>
        <v>183256.80379999999</v>
      </c>
    </row>
    <row r="1161" spans="1:10" ht="15">
      <c r="A1161" s="21">
        <v>41019</v>
      </c>
      <c r="B1161" s="21">
        <v>41000</v>
      </c>
      <c r="C1161" s="17">
        <v>30</v>
      </c>
      <c r="D1161" s="17" t="s">
        <v>91</v>
      </c>
      <c r="E1161" s="14">
        <v>158317.56</v>
      </c>
      <c r="F1161" s="14">
        <v>159252.48000000001</v>
      </c>
      <c r="G1161" s="14">
        <v>159252.48000000001</v>
      </c>
      <c r="H1161" s="22">
        <f>F1161*(1+Assumptions!$B$6+IF(D1161="Yes",Assumptions!$C$6,0))</f>
        <v>164030.05440000002</v>
      </c>
      <c r="I1161" s="22">
        <f>F1161*(1+Assumptions!$B$7+IF(D1161="Yes",Assumptions!$C$7,0))</f>
        <v>167215.10400000002</v>
      </c>
      <c r="J1161" s="22">
        <f>F1161*(1+Assumptions!$B$8+IF(D1161="Yes",Assumptions!$C$8,0))</f>
        <v>160845.00480000002</v>
      </c>
    </row>
    <row r="1162" spans="1:10" ht="15">
      <c r="A1162" s="21">
        <v>41019</v>
      </c>
      <c r="B1162" s="21">
        <v>41000</v>
      </c>
      <c r="C1162" s="17">
        <v>31</v>
      </c>
      <c r="D1162" s="17" t="s">
        <v>91</v>
      </c>
      <c r="E1162" s="14">
        <v>64324.15</v>
      </c>
      <c r="F1162" s="14">
        <v>78109.25</v>
      </c>
      <c r="G1162" s="14">
        <v>78109.25</v>
      </c>
      <c r="H1162" s="22">
        <f>F1162*(1+Assumptions!$B$6+IF(D1162="Yes",Assumptions!$C$6,0))</f>
        <v>80452.527499999997</v>
      </c>
      <c r="I1162" s="22">
        <f>F1162*(1+Assumptions!$B$7+IF(D1162="Yes",Assumptions!$C$7,0))</f>
        <v>82014.712500000009</v>
      </c>
      <c r="J1162" s="22">
        <f>F1162*(1+Assumptions!$B$8+IF(D1162="Yes",Assumptions!$C$8,0))</f>
        <v>78890.342499999999</v>
      </c>
    </row>
    <row r="1163" spans="1:10" ht="15">
      <c r="A1163" s="21">
        <v>41019</v>
      </c>
      <c r="B1163" s="21">
        <v>41000</v>
      </c>
      <c r="C1163" s="17">
        <v>32</v>
      </c>
      <c r="D1163" s="17" t="s">
        <v>91</v>
      </c>
      <c r="E1163" s="14">
        <v>242062.31</v>
      </c>
      <c r="F1163" s="14">
        <v>260678.39999999999</v>
      </c>
      <c r="G1163" s="14">
        <v>260678.39999999999</v>
      </c>
      <c r="H1163" s="22">
        <f>F1163*(1+Assumptions!$B$6+IF(D1163="Yes",Assumptions!$C$6,0))</f>
        <v>268498.75199999998</v>
      </c>
      <c r="I1163" s="22">
        <f>F1163*(1+Assumptions!$B$7+IF(D1163="Yes",Assumptions!$C$7,0))</f>
        <v>273712.32</v>
      </c>
      <c r="J1163" s="22">
        <f>F1163*(1+Assumptions!$B$8+IF(D1163="Yes",Assumptions!$C$8,0))</f>
        <v>263285.18400000001</v>
      </c>
    </row>
    <row r="1164" spans="1:10" ht="15">
      <c r="A1164" s="21">
        <v>41019</v>
      </c>
      <c r="B1164" s="21">
        <v>41000</v>
      </c>
      <c r="C1164" s="17">
        <v>33</v>
      </c>
      <c r="D1164" s="17" t="s">
        <v>91</v>
      </c>
      <c r="E1164" s="14">
        <v>188585.17</v>
      </c>
      <c r="F1164" s="14">
        <v>260526.47</v>
      </c>
      <c r="G1164" s="14">
        <v>260526.47</v>
      </c>
      <c r="H1164" s="22">
        <f>F1164*(1+Assumptions!$B$6+IF(D1164="Yes",Assumptions!$C$6,0))</f>
        <v>268342.26410000003</v>
      </c>
      <c r="I1164" s="22">
        <f>F1164*(1+Assumptions!$B$7+IF(D1164="Yes",Assumptions!$C$7,0))</f>
        <v>273552.79350000003</v>
      </c>
      <c r="J1164" s="22">
        <f>F1164*(1+Assumptions!$B$8+IF(D1164="Yes",Assumptions!$C$8,0))</f>
        <v>263131.73470000003</v>
      </c>
    </row>
    <row r="1165" spans="1:10" ht="15">
      <c r="A1165" s="21">
        <v>41019</v>
      </c>
      <c r="B1165" s="21">
        <v>41000</v>
      </c>
      <c r="C1165" s="17">
        <v>34</v>
      </c>
      <c r="D1165" s="17" t="s">
        <v>91</v>
      </c>
      <c r="E1165" s="14">
        <v>661876.4</v>
      </c>
      <c r="F1165" s="14">
        <v>572666.5</v>
      </c>
      <c r="G1165" s="14">
        <v>572666.5</v>
      </c>
      <c r="H1165" s="22">
        <f>F1165*(1+Assumptions!$B$6+IF(D1165="Yes",Assumptions!$C$6,0))</f>
        <v>589846.495</v>
      </c>
      <c r="I1165" s="22">
        <f>F1165*(1+Assumptions!$B$7+IF(D1165="Yes",Assumptions!$C$7,0))</f>
        <v>601299.82500000007</v>
      </c>
      <c r="J1165" s="22">
        <f>F1165*(1+Assumptions!$B$8+IF(D1165="Yes",Assumptions!$C$8,0))</f>
        <v>578393.16500000004</v>
      </c>
    </row>
    <row r="1166" spans="1:10" ht="15">
      <c r="A1166" s="21">
        <v>41019</v>
      </c>
      <c r="B1166" s="21">
        <v>41000</v>
      </c>
      <c r="C1166" s="17">
        <v>35</v>
      </c>
      <c r="D1166" s="17" t="s">
        <v>91</v>
      </c>
      <c r="E1166" s="14">
        <v>129907.06</v>
      </c>
      <c r="F1166" s="14">
        <v>129270.41</v>
      </c>
      <c r="G1166" s="14">
        <v>129270.41</v>
      </c>
      <c r="H1166" s="22">
        <f>F1166*(1+Assumptions!$B$6+IF(D1166="Yes",Assumptions!$C$6,0))</f>
        <v>133148.52230000001</v>
      </c>
      <c r="I1166" s="22">
        <f>F1166*(1+Assumptions!$B$7+IF(D1166="Yes",Assumptions!$C$7,0))</f>
        <v>135733.93050000002</v>
      </c>
      <c r="J1166" s="22">
        <f>F1166*(1+Assumptions!$B$8+IF(D1166="Yes",Assumptions!$C$8,0))</f>
        <v>130563.11410000001</v>
      </c>
    </row>
    <row r="1167" spans="1:10" ht="15">
      <c r="A1167" s="21">
        <v>41019</v>
      </c>
      <c r="B1167" s="21">
        <v>41000</v>
      </c>
      <c r="C1167" s="17">
        <v>36</v>
      </c>
      <c r="D1167" s="17" t="s">
        <v>91</v>
      </c>
      <c r="E1167" s="14">
        <v>65444.98</v>
      </c>
      <c r="F1167" s="14">
        <v>74855.8</v>
      </c>
      <c r="G1167" s="14">
        <v>74855.8</v>
      </c>
      <c r="H1167" s="22">
        <f>F1167*(1+Assumptions!$B$6+IF(D1167="Yes",Assumptions!$C$6,0))</f>
        <v>77101.474000000002</v>
      </c>
      <c r="I1167" s="22">
        <f>F1167*(1+Assumptions!$B$7+IF(D1167="Yes",Assumptions!$C$7,0))</f>
        <v>78598.590000000011</v>
      </c>
      <c r="J1167" s="22">
        <f>F1167*(1+Assumptions!$B$8+IF(D1167="Yes",Assumptions!$C$8,0))</f>
        <v>75604.358000000007</v>
      </c>
    </row>
    <row r="1168" spans="1:10" ht="15">
      <c r="A1168" s="21">
        <v>41019</v>
      </c>
      <c r="B1168" s="21">
        <v>41000</v>
      </c>
      <c r="C1168" s="17">
        <v>37</v>
      </c>
      <c r="D1168" s="17" t="s">
        <v>91</v>
      </c>
      <c r="E1168" s="14">
        <v>54681.58</v>
      </c>
      <c r="F1168" s="14">
        <v>54857.06</v>
      </c>
      <c r="G1168" s="14">
        <v>54857.06</v>
      </c>
      <c r="H1168" s="22">
        <f>F1168*(1+Assumptions!$B$6+IF(D1168="Yes",Assumptions!$C$6,0))</f>
        <v>56502.771800000002</v>
      </c>
      <c r="I1168" s="22">
        <f>F1168*(1+Assumptions!$B$7+IF(D1168="Yes",Assumptions!$C$7,0))</f>
        <v>57599.913</v>
      </c>
      <c r="J1168" s="22">
        <f>F1168*(1+Assumptions!$B$8+IF(D1168="Yes",Assumptions!$C$8,0))</f>
        <v>55405.630599999997</v>
      </c>
    </row>
    <row r="1169" spans="1:10" ht="15">
      <c r="A1169" s="21">
        <v>41019</v>
      </c>
      <c r="B1169" s="21">
        <v>41000</v>
      </c>
      <c r="C1169" s="17">
        <v>38</v>
      </c>
      <c r="D1169" s="17" t="s">
        <v>91</v>
      </c>
      <c r="E1169" s="14">
        <v>2878236.3</v>
      </c>
      <c r="F1169" s="14">
        <v>2651489.92</v>
      </c>
      <c r="G1169" s="14">
        <v>2651489.92</v>
      </c>
      <c r="H1169" s="22">
        <f>F1169*(1+Assumptions!$B$6+IF(D1169="Yes",Assumptions!$C$6,0))</f>
        <v>2731034.6176</v>
      </c>
      <c r="I1169" s="22">
        <f>F1169*(1+Assumptions!$B$7+IF(D1169="Yes",Assumptions!$C$7,0))</f>
        <v>2784064.4160000002</v>
      </c>
      <c r="J1169" s="22">
        <f>F1169*(1+Assumptions!$B$8+IF(D1169="Yes",Assumptions!$C$8,0))</f>
        <v>2678004.8191999998</v>
      </c>
    </row>
    <row r="1170" spans="1:10" ht="15">
      <c r="A1170" s="21">
        <v>41019</v>
      </c>
      <c r="B1170" s="21">
        <v>41000</v>
      </c>
      <c r="C1170" s="17">
        <v>40</v>
      </c>
      <c r="D1170" s="17" t="s">
        <v>91</v>
      </c>
      <c r="E1170" s="14">
        <v>2111299.35</v>
      </c>
      <c r="F1170" s="14">
        <v>1970814.68</v>
      </c>
      <c r="G1170" s="14">
        <v>1970814.68</v>
      </c>
      <c r="H1170" s="22">
        <f>F1170*(1+Assumptions!$B$6+IF(D1170="Yes",Assumptions!$C$6,0))</f>
        <v>2029939.1203999999</v>
      </c>
      <c r="I1170" s="22">
        <f>F1170*(1+Assumptions!$B$7+IF(D1170="Yes",Assumptions!$C$7,0))</f>
        <v>2069355.4140000001</v>
      </c>
      <c r="J1170" s="22">
        <f>F1170*(1+Assumptions!$B$8+IF(D1170="Yes",Assumptions!$C$8,0))</f>
        <v>1990522.8267999999</v>
      </c>
    </row>
    <row r="1171" spans="1:10" ht="15">
      <c r="A1171" s="21">
        <v>41019</v>
      </c>
      <c r="B1171" s="21">
        <v>41000</v>
      </c>
      <c r="C1171" s="17">
        <v>41</v>
      </c>
      <c r="D1171" s="17" t="s">
        <v>91</v>
      </c>
      <c r="E1171" s="14">
        <v>52380.369999999995</v>
      </c>
      <c r="F1171" s="14">
        <v>62987.85</v>
      </c>
      <c r="G1171" s="14">
        <v>62987.85</v>
      </c>
      <c r="H1171" s="22">
        <f>F1171*(1+Assumptions!$B$6+IF(D1171="Yes",Assumptions!$C$6,0))</f>
        <v>64877.485500000003</v>
      </c>
      <c r="I1171" s="22">
        <f>F1171*(1+Assumptions!$B$7+IF(D1171="Yes",Assumptions!$C$7,0))</f>
        <v>66137.242500000008</v>
      </c>
      <c r="J1171" s="22">
        <f>F1171*(1+Assumptions!$B$8+IF(D1171="Yes",Assumptions!$C$8,0))</f>
        <v>63617.728499999997</v>
      </c>
    </row>
    <row r="1172" spans="1:10" ht="15">
      <c r="A1172" s="21">
        <v>41019</v>
      </c>
      <c r="B1172" s="21">
        <v>41000</v>
      </c>
      <c r="C1172" s="17">
        <v>42</v>
      </c>
      <c r="D1172" s="17" t="s">
        <v>91</v>
      </c>
      <c r="E1172" s="14">
        <v>246248.66</v>
      </c>
      <c r="F1172" s="14">
        <v>232538.76</v>
      </c>
      <c r="G1172" s="14">
        <v>232538.76</v>
      </c>
      <c r="H1172" s="22">
        <f>F1172*(1+Assumptions!$B$6+IF(D1172="Yes",Assumptions!$C$6,0))</f>
        <v>239514.92280000003</v>
      </c>
      <c r="I1172" s="22">
        <f>F1172*(1+Assumptions!$B$7+IF(D1172="Yes",Assumptions!$C$7,0))</f>
        <v>244165.69800000003</v>
      </c>
      <c r="J1172" s="22">
        <f>F1172*(1+Assumptions!$B$8+IF(D1172="Yes",Assumptions!$C$8,0))</f>
        <v>234864.14760000003</v>
      </c>
    </row>
    <row r="1173" spans="1:10" ht="15">
      <c r="A1173" s="21">
        <v>41019</v>
      </c>
      <c r="B1173" s="21">
        <v>41000</v>
      </c>
      <c r="C1173" s="17">
        <v>44</v>
      </c>
      <c r="D1173" s="17" t="s">
        <v>91</v>
      </c>
      <c r="E1173" s="14">
        <v>144883.89000000001</v>
      </c>
      <c r="F1173" s="14">
        <v>171743.14</v>
      </c>
      <c r="G1173" s="14">
        <v>171743.14</v>
      </c>
      <c r="H1173" s="22">
        <f>F1173*(1+Assumptions!$B$6+IF(D1173="Yes",Assumptions!$C$6,0))</f>
        <v>176895.43420000002</v>
      </c>
      <c r="I1173" s="22">
        <f>F1173*(1+Assumptions!$B$7+IF(D1173="Yes",Assumptions!$C$7,0))</f>
        <v>180330.29700000002</v>
      </c>
      <c r="J1173" s="22">
        <f>F1173*(1+Assumptions!$B$8+IF(D1173="Yes",Assumptions!$C$8,0))</f>
        <v>173460.57140000002</v>
      </c>
    </row>
    <row r="1174" spans="1:10" ht="15">
      <c r="A1174" s="21">
        <v>41019</v>
      </c>
      <c r="B1174" s="21">
        <v>41000</v>
      </c>
      <c r="C1174" s="17">
        <v>45</v>
      </c>
      <c r="D1174" s="17" t="s">
        <v>91</v>
      </c>
      <c r="E1174" s="14">
        <v>203.87</v>
      </c>
      <c r="F1174" s="14">
        <v>199.44</v>
      </c>
      <c r="G1174" s="14">
        <v>199.44</v>
      </c>
      <c r="H1174" s="22">
        <f>F1174*(1+Assumptions!$B$6+IF(D1174="Yes",Assumptions!$C$6,0))</f>
        <v>205.42320000000001</v>
      </c>
      <c r="I1174" s="22">
        <f>F1174*(1+Assumptions!$B$7+IF(D1174="Yes",Assumptions!$C$7,0))</f>
        <v>209.41200000000001</v>
      </c>
      <c r="J1174" s="22">
        <f>F1174*(1+Assumptions!$B$8+IF(D1174="Yes",Assumptions!$C$8,0))</f>
        <v>201.43440000000001</v>
      </c>
    </row>
    <row r="1175" spans="1:10" ht="15">
      <c r="A1175" s="21">
        <v>41019</v>
      </c>
      <c r="B1175" s="21">
        <v>41000</v>
      </c>
      <c r="C1175" s="17">
        <v>46</v>
      </c>
      <c r="D1175" s="17" t="s">
        <v>91</v>
      </c>
      <c r="E1175" s="14">
        <v>925222.57</v>
      </c>
      <c r="F1175" s="14">
        <v>932175.91</v>
      </c>
      <c r="G1175" s="14">
        <v>932175.91</v>
      </c>
      <c r="H1175" s="22">
        <f>F1175*(1+Assumptions!$B$6+IF(D1175="Yes",Assumptions!$C$6,0))</f>
        <v>960141.18730000011</v>
      </c>
      <c r="I1175" s="22">
        <f>F1175*(1+Assumptions!$B$7+IF(D1175="Yes",Assumptions!$C$7,0))</f>
        <v>978784.70550000004</v>
      </c>
      <c r="J1175" s="22">
        <f>F1175*(1+Assumptions!$B$8+IF(D1175="Yes",Assumptions!$C$8,0))</f>
        <v>941497.66910000006</v>
      </c>
    </row>
    <row r="1176" spans="1:10" ht="15">
      <c r="A1176" s="21">
        <v>41019</v>
      </c>
      <c r="B1176" s="21">
        <v>41000</v>
      </c>
      <c r="C1176" s="17">
        <v>48</v>
      </c>
      <c r="D1176" s="17" t="s">
        <v>91</v>
      </c>
      <c r="E1176" s="14">
        <v>18142</v>
      </c>
      <c r="F1176" s="14">
        <v>6940.3</v>
      </c>
      <c r="G1176" s="14">
        <v>6940.3</v>
      </c>
      <c r="H1176" s="22">
        <f>F1176*(1+Assumptions!$B$6+IF(D1176="Yes",Assumptions!$C$6,0))</f>
        <v>7148.509</v>
      </c>
      <c r="I1176" s="22">
        <f>F1176*(1+Assumptions!$B$7+IF(D1176="Yes",Assumptions!$C$7,0))</f>
        <v>7287.3150000000005</v>
      </c>
      <c r="J1176" s="22">
        <f>F1176*(1+Assumptions!$B$8+IF(D1176="Yes",Assumptions!$C$8,0))</f>
        <v>7009.7030000000004</v>
      </c>
    </row>
    <row r="1177" spans="1:10" ht="15">
      <c r="A1177" s="21">
        <v>41019</v>
      </c>
      <c r="B1177" s="21">
        <v>41000</v>
      </c>
      <c r="C1177" s="17">
        <v>49</v>
      </c>
      <c r="D1177" s="17" t="s">
        <v>91</v>
      </c>
      <c r="E1177" s="14">
        <v>268472.28999999998</v>
      </c>
      <c r="F1177" s="14">
        <v>258304.62</v>
      </c>
      <c r="G1177" s="14">
        <v>258304.62</v>
      </c>
      <c r="H1177" s="22">
        <f>F1177*(1+Assumptions!$B$6+IF(D1177="Yes",Assumptions!$C$6,0))</f>
        <v>266053.7586</v>
      </c>
      <c r="I1177" s="22">
        <f>F1177*(1+Assumptions!$B$7+IF(D1177="Yes",Assumptions!$C$7,0))</f>
        <v>271219.85100000002</v>
      </c>
      <c r="J1177" s="22">
        <f>F1177*(1+Assumptions!$B$8+IF(D1177="Yes",Assumptions!$C$8,0))</f>
        <v>260887.66620000001</v>
      </c>
    </row>
    <row r="1178" spans="1:10" ht="15">
      <c r="A1178" s="21">
        <v>41019</v>
      </c>
      <c r="B1178" s="21">
        <v>41000</v>
      </c>
      <c r="C1178" s="17">
        <v>50</v>
      </c>
      <c r="D1178" s="17" t="s">
        <v>91</v>
      </c>
      <c r="E1178" s="14">
        <v>26844</v>
      </c>
      <c r="F1178" s="14">
        <v>29727.22</v>
      </c>
      <c r="G1178" s="14">
        <v>29727.22</v>
      </c>
      <c r="H1178" s="22">
        <f>F1178*(1+Assumptions!$B$6+IF(D1178="Yes",Assumptions!$C$6,0))</f>
        <v>30619.036600000003</v>
      </c>
      <c r="I1178" s="22">
        <f>F1178*(1+Assumptions!$B$7+IF(D1178="Yes",Assumptions!$C$7,0))</f>
        <v>31213.581000000002</v>
      </c>
      <c r="J1178" s="22">
        <f>F1178*(1+Assumptions!$B$8+IF(D1178="Yes",Assumptions!$C$8,0))</f>
        <v>30024.492200000001</v>
      </c>
    </row>
    <row r="1179" spans="1:10" ht="15">
      <c r="A1179" s="21">
        <v>41019</v>
      </c>
      <c r="B1179" s="21">
        <v>41000</v>
      </c>
      <c r="C1179" s="17">
        <v>51</v>
      </c>
      <c r="D1179" s="17" t="s">
        <v>91</v>
      </c>
      <c r="E1179" s="14">
        <v>17.260000000000002</v>
      </c>
      <c r="F1179" s="14">
        <v>20.34</v>
      </c>
      <c r="G1179" s="14">
        <v>20.34</v>
      </c>
      <c r="H1179" s="22">
        <f>F1179*(1+Assumptions!$B$6+IF(D1179="Yes",Assumptions!$C$6,0))</f>
        <v>20.950199999999999</v>
      </c>
      <c r="I1179" s="22">
        <f>F1179*(1+Assumptions!$B$7+IF(D1179="Yes",Assumptions!$C$7,0))</f>
        <v>21.356999999999999</v>
      </c>
      <c r="J1179" s="22">
        <f>F1179*(1+Assumptions!$B$8+IF(D1179="Yes",Assumptions!$C$8,0))</f>
        <v>20.543399999999998</v>
      </c>
    </row>
    <row r="1180" spans="1:10" ht="15">
      <c r="A1180" s="21">
        <v>41019</v>
      </c>
      <c r="B1180" s="21">
        <v>41000</v>
      </c>
      <c r="C1180" s="17">
        <v>52</v>
      </c>
      <c r="D1180" s="17" t="s">
        <v>91</v>
      </c>
      <c r="E1180" s="14">
        <v>75715.05</v>
      </c>
      <c r="F1180" s="14">
        <v>87387.55</v>
      </c>
      <c r="G1180" s="14">
        <v>87387.55</v>
      </c>
      <c r="H1180" s="22">
        <f>F1180*(1+Assumptions!$B$6+IF(D1180="Yes",Assumptions!$C$6,0))</f>
        <v>90009.176500000001</v>
      </c>
      <c r="I1180" s="22">
        <f>F1180*(1+Assumptions!$B$7+IF(D1180="Yes",Assumptions!$C$7,0))</f>
        <v>91756.927500000005</v>
      </c>
      <c r="J1180" s="22">
        <f>F1180*(1+Assumptions!$B$8+IF(D1180="Yes",Assumptions!$C$8,0))</f>
        <v>88261.425499999998</v>
      </c>
    </row>
    <row r="1181" spans="1:10" ht="15">
      <c r="A1181" s="21">
        <v>41019</v>
      </c>
      <c r="B1181" s="21">
        <v>41000</v>
      </c>
      <c r="C1181" s="17">
        <v>54</v>
      </c>
      <c r="D1181" s="17" t="s">
        <v>91</v>
      </c>
      <c r="E1181" s="14">
        <v>1294.94</v>
      </c>
      <c r="F1181" s="14">
        <v>1780.27</v>
      </c>
      <c r="G1181" s="14">
        <v>1780.27</v>
      </c>
      <c r="H1181" s="22">
        <f>F1181*(1+Assumptions!$B$6+IF(D1181="Yes",Assumptions!$C$6,0))</f>
        <v>1833.6781000000001</v>
      </c>
      <c r="I1181" s="22">
        <f>F1181*(1+Assumptions!$B$7+IF(D1181="Yes",Assumptions!$C$7,0))</f>
        <v>1869.2835</v>
      </c>
      <c r="J1181" s="22">
        <f>F1181*(1+Assumptions!$B$8+IF(D1181="Yes",Assumptions!$C$8,0))</f>
        <v>1798.0726999999999</v>
      </c>
    </row>
    <row r="1182" spans="1:10" ht="15">
      <c r="A1182" s="21">
        <v>41019</v>
      </c>
      <c r="B1182" s="21">
        <v>41000</v>
      </c>
      <c r="C1182" s="17">
        <v>55</v>
      </c>
      <c r="D1182" s="17" t="s">
        <v>91</v>
      </c>
      <c r="E1182" s="14">
        <v>257131.82</v>
      </c>
      <c r="F1182" s="14">
        <v>447294.2</v>
      </c>
      <c r="G1182" s="14">
        <v>447294.2</v>
      </c>
      <c r="H1182" s="22">
        <f>F1182*(1+Assumptions!$B$6+IF(D1182="Yes",Assumptions!$C$6,0))</f>
        <v>460713.02600000001</v>
      </c>
      <c r="I1182" s="22">
        <f>F1182*(1+Assumptions!$B$7+IF(D1182="Yes",Assumptions!$C$7,0))</f>
        <v>469658.91000000003</v>
      </c>
      <c r="J1182" s="22">
        <f>F1182*(1+Assumptions!$B$8+IF(D1182="Yes",Assumptions!$C$8,0))</f>
        <v>451767.14199999999</v>
      </c>
    </row>
    <row r="1183" spans="1:10" ht="15">
      <c r="A1183" s="21">
        <v>41019</v>
      </c>
      <c r="B1183" s="21">
        <v>41000</v>
      </c>
      <c r="C1183" s="17">
        <v>56</v>
      </c>
      <c r="D1183" s="17" t="s">
        <v>91</v>
      </c>
      <c r="E1183" s="14">
        <v>339506.33999999997</v>
      </c>
      <c r="F1183" s="14">
        <v>392628.64</v>
      </c>
      <c r="G1183" s="14">
        <v>392628.64</v>
      </c>
      <c r="H1183" s="22">
        <f>F1183*(1+Assumptions!$B$6+IF(D1183="Yes",Assumptions!$C$6,0))</f>
        <v>404407.49920000002</v>
      </c>
      <c r="I1183" s="22">
        <f>F1183*(1+Assumptions!$B$7+IF(D1183="Yes",Assumptions!$C$7,0))</f>
        <v>412260.07200000004</v>
      </c>
      <c r="J1183" s="22">
        <f>F1183*(1+Assumptions!$B$8+IF(D1183="Yes",Assumptions!$C$8,0))</f>
        <v>396554.9264</v>
      </c>
    </row>
    <row r="1184" spans="1:10" ht="15">
      <c r="A1184" s="21">
        <v>41019</v>
      </c>
      <c r="B1184" s="21">
        <v>41000</v>
      </c>
      <c r="C1184" s="17">
        <v>58</v>
      </c>
      <c r="D1184" s="17" t="s">
        <v>91</v>
      </c>
      <c r="E1184" s="14">
        <v>97073.08</v>
      </c>
      <c r="F1184" s="14">
        <v>73205</v>
      </c>
      <c r="G1184" s="14">
        <v>73205</v>
      </c>
      <c r="H1184" s="22">
        <f>F1184*(1+Assumptions!$B$6+IF(D1184="Yes",Assumptions!$C$6,0))</f>
        <v>75401.150000000009</v>
      </c>
      <c r="I1184" s="22">
        <f>F1184*(1+Assumptions!$B$7+IF(D1184="Yes",Assumptions!$C$7,0))</f>
        <v>76865.25</v>
      </c>
      <c r="J1184" s="22">
        <f>F1184*(1+Assumptions!$B$8+IF(D1184="Yes",Assumptions!$C$8,0))</f>
        <v>73937.05</v>
      </c>
    </row>
    <row r="1185" spans="1:10" ht="15">
      <c r="A1185" s="21">
        <v>41019</v>
      </c>
      <c r="B1185" s="21">
        <v>41000</v>
      </c>
      <c r="C1185" s="17">
        <v>59</v>
      </c>
      <c r="D1185" s="17" t="s">
        <v>91</v>
      </c>
      <c r="E1185" s="14">
        <v>9237.6299999999992</v>
      </c>
      <c r="F1185" s="14">
        <v>15183.449999999999</v>
      </c>
      <c r="G1185" s="14">
        <v>15183.449999999999</v>
      </c>
      <c r="H1185" s="22">
        <f>F1185*(1+Assumptions!$B$6+IF(D1185="Yes",Assumptions!$C$6,0))</f>
        <v>15638.9535</v>
      </c>
      <c r="I1185" s="22">
        <f>F1185*(1+Assumptions!$B$7+IF(D1185="Yes",Assumptions!$C$7,0))</f>
        <v>15942.622499999999</v>
      </c>
      <c r="J1185" s="22">
        <f>F1185*(1+Assumptions!$B$8+IF(D1185="Yes",Assumptions!$C$8,0))</f>
        <v>15335.2845</v>
      </c>
    </row>
    <row r="1186" spans="1:10" ht="15">
      <c r="A1186" s="21">
        <v>41019</v>
      </c>
      <c r="B1186" s="21">
        <v>41000</v>
      </c>
      <c r="C1186" s="17">
        <v>60</v>
      </c>
      <c r="D1186" s="17" t="s">
        <v>91</v>
      </c>
      <c r="E1186" s="14">
        <v>12779.6</v>
      </c>
      <c r="F1186" s="14">
        <v>13705</v>
      </c>
      <c r="G1186" s="14">
        <v>13705</v>
      </c>
      <c r="H1186" s="22">
        <f>F1186*(1+Assumptions!$B$6+IF(D1186="Yes",Assumptions!$C$6,0))</f>
        <v>14116.15</v>
      </c>
      <c r="I1186" s="22">
        <f>F1186*(1+Assumptions!$B$7+IF(D1186="Yes",Assumptions!$C$7,0))</f>
        <v>14390.25</v>
      </c>
      <c r="J1186" s="22">
        <f>F1186*(1+Assumptions!$B$8+IF(D1186="Yes",Assumptions!$C$8,0))</f>
        <v>13842.05</v>
      </c>
    </row>
    <row r="1187" spans="1:10" ht="15">
      <c r="A1187" s="21">
        <v>41019</v>
      </c>
      <c r="B1187" s="21">
        <v>41000</v>
      </c>
      <c r="C1187" s="17">
        <v>65</v>
      </c>
      <c r="D1187" s="17" t="s">
        <v>91</v>
      </c>
      <c r="E1187" s="14">
        <v>49829.59</v>
      </c>
      <c r="F1187" s="14">
        <v>47020.3</v>
      </c>
      <c r="G1187" s="14">
        <v>47020.3</v>
      </c>
      <c r="H1187" s="22">
        <f>F1187*(1+Assumptions!$B$6+IF(D1187="Yes",Assumptions!$C$6,0))</f>
        <v>48430.909000000007</v>
      </c>
      <c r="I1187" s="22">
        <f>F1187*(1+Assumptions!$B$7+IF(D1187="Yes",Assumptions!$C$7,0))</f>
        <v>49371.315000000002</v>
      </c>
      <c r="J1187" s="22">
        <f>F1187*(1+Assumptions!$B$8+IF(D1187="Yes",Assumptions!$C$8,0))</f>
        <v>47490.503000000004</v>
      </c>
    </row>
    <row r="1188" spans="1:10" ht="15">
      <c r="A1188" s="21">
        <v>41019</v>
      </c>
      <c r="B1188" s="21">
        <v>41000</v>
      </c>
      <c r="C1188" s="17">
        <v>67</v>
      </c>
      <c r="D1188" s="17" t="s">
        <v>91</v>
      </c>
      <c r="E1188" s="14">
        <v>266714.66000000003</v>
      </c>
      <c r="F1188" s="14">
        <v>380263.67999999999</v>
      </c>
      <c r="G1188" s="14">
        <v>380263.67999999999</v>
      </c>
      <c r="H1188" s="22">
        <f>F1188*(1+Assumptions!$B$6+IF(D1188="Yes",Assumptions!$C$6,0))</f>
        <v>391671.59039999999</v>
      </c>
      <c r="I1188" s="22">
        <f>F1188*(1+Assumptions!$B$7+IF(D1188="Yes",Assumptions!$C$7,0))</f>
        <v>399276.864</v>
      </c>
      <c r="J1188" s="22">
        <f>F1188*(1+Assumptions!$B$8+IF(D1188="Yes",Assumptions!$C$8,0))</f>
        <v>384066.31679999997</v>
      </c>
    </row>
    <row r="1189" spans="1:10" ht="15">
      <c r="A1189" s="21">
        <v>41019</v>
      </c>
      <c r="B1189" s="21">
        <v>41000</v>
      </c>
      <c r="C1189" s="17">
        <v>71</v>
      </c>
      <c r="D1189" s="17" t="s">
        <v>91</v>
      </c>
      <c r="E1189" s="14">
        <v>183173.33</v>
      </c>
      <c r="F1189" s="14">
        <v>188250.37</v>
      </c>
      <c r="G1189" s="14">
        <v>188250.37</v>
      </c>
      <c r="H1189" s="22">
        <f>F1189*(1+Assumptions!$B$6+IF(D1189="Yes",Assumptions!$C$6,0))</f>
        <v>193897.8811</v>
      </c>
      <c r="I1189" s="22">
        <f>F1189*(1+Assumptions!$B$7+IF(D1189="Yes",Assumptions!$C$7,0))</f>
        <v>197662.8885</v>
      </c>
      <c r="J1189" s="22">
        <f>F1189*(1+Assumptions!$B$8+IF(D1189="Yes",Assumptions!$C$8,0))</f>
        <v>190132.8737</v>
      </c>
    </row>
    <row r="1190" spans="1:10" ht="15">
      <c r="A1190" s="21">
        <v>41019</v>
      </c>
      <c r="B1190" s="21">
        <v>41000</v>
      </c>
      <c r="C1190" s="17">
        <v>72</v>
      </c>
      <c r="D1190" s="17" t="s">
        <v>91</v>
      </c>
      <c r="E1190" s="14">
        <v>1661944.14</v>
      </c>
      <c r="F1190" s="14">
        <v>1832561.99</v>
      </c>
      <c r="G1190" s="14">
        <v>1832561.99</v>
      </c>
      <c r="H1190" s="22">
        <f>F1190*(1+Assumptions!$B$6+IF(D1190="Yes",Assumptions!$C$6,0))</f>
        <v>1887538.8497000001</v>
      </c>
      <c r="I1190" s="22">
        <f>F1190*(1+Assumptions!$B$7+IF(D1190="Yes",Assumptions!$C$7,0))</f>
        <v>1924190.0895</v>
      </c>
      <c r="J1190" s="22">
        <f>F1190*(1+Assumptions!$B$8+IF(D1190="Yes",Assumptions!$C$8,0))</f>
        <v>1850887.6099</v>
      </c>
    </row>
    <row r="1191" spans="1:10" ht="15">
      <c r="A1191" s="21">
        <v>41019</v>
      </c>
      <c r="B1191" s="21">
        <v>41000</v>
      </c>
      <c r="C1191" s="17">
        <v>74</v>
      </c>
      <c r="D1191" s="17" t="s">
        <v>91</v>
      </c>
      <c r="E1191" s="14">
        <v>564799.52</v>
      </c>
      <c r="F1191" s="14">
        <v>577786.98</v>
      </c>
      <c r="G1191" s="14">
        <v>577786.98</v>
      </c>
      <c r="H1191" s="22">
        <f>F1191*(1+Assumptions!$B$6+IF(D1191="Yes",Assumptions!$C$6,0))</f>
        <v>595120.58939999994</v>
      </c>
      <c r="I1191" s="22">
        <f>F1191*(1+Assumptions!$B$7+IF(D1191="Yes",Assumptions!$C$7,0))</f>
        <v>606676.32900000003</v>
      </c>
      <c r="J1191" s="22">
        <f>F1191*(1+Assumptions!$B$8+IF(D1191="Yes",Assumptions!$C$8,0))</f>
        <v>583564.84979999997</v>
      </c>
    </row>
    <row r="1192" spans="1:10" ht="15">
      <c r="A1192" s="21">
        <v>41019</v>
      </c>
      <c r="B1192" s="21">
        <v>41000</v>
      </c>
      <c r="C1192" s="17">
        <v>79</v>
      </c>
      <c r="D1192" s="17" t="s">
        <v>91</v>
      </c>
      <c r="E1192" s="14">
        <v>963260.41</v>
      </c>
      <c r="F1192" s="14">
        <v>971334.14</v>
      </c>
      <c r="G1192" s="14">
        <v>971334.14</v>
      </c>
      <c r="H1192" s="22">
        <f>F1192*(1+Assumptions!$B$6+IF(D1192="Yes",Assumptions!$C$6,0))</f>
        <v>1000474.1642</v>
      </c>
      <c r="I1192" s="22">
        <f>F1192*(1+Assumptions!$B$7+IF(D1192="Yes",Assumptions!$C$7,0))</f>
        <v>1019900.8470000001</v>
      </c>
      <c r="J1192" s="22">
        <f>F1192*(1+Assumptions!$B$8+IF(D1192="Yes",Assumptions!$C$8,0))</f>
        <v>981047.48140000005</v>
      </c>
    </row>
    <row r="1193" spans="1:10" ht="15">
      <c r="A1193" s="21">
        <v>41019</v>
      </c>
      <c r="B1193" s="21">
        <v>41000</v>
      </c>
      <c r="C1193" s="17">
        <v>80</v>
      </c>
      <c r="D1193" s="17" t="s">
        <v>91</v>
      </c>
      <c r="E1193" s="14">
        <v>496377.22</v>
      </c>
      <c r="F1193" s="14">
        <v>506712.41</v>
      </c>
      <c r="G1193" s="14">
        <v>506712.41</v>
      </c>
      <c r="H1193" s="22">
        <f>F1193*(1+Assumptions!$B$6+IF(D1193="Yes",Assumptions!$C$6,0))</f>
        <v>521913.78229999996</v>
      </c>
      <c r="I1193" s="22">
        <f>F1193*(1+Assumptions!$B$7+IF(D1193="Yes",Assumptions!$C$7,0))</f>
        <v>532048.03049999999</v>
      </c>
      <c r="J1193" s="22">
        <f>F1193*(1+Assumptions!$B$8+IF(D1193="Yes",Assumptions!$C$8,0))</f>
        <v>511779.53409999999</v>
      </c>
    </row>
    <row r="1194" spans="1:10" ht="15">
      <c r="A1194" s="21">
        <v>41019</v>
      </c>
      <c r="B1194" s="21">
        <v>41000</v>
      </c>
      <c r="C1194" s="17">
        <v>81</v>
      </c>
      <c r="D1194" s="17" t="s">
        <v>91</v>
      </c>
      <c r="E1194" s="14">
        <v>705537.02</v>
      </c>
      <c r="F1194" s="14">
        <v>694689.72</v>
      </c>
      <c r="G1194" s="14">
        <v>694689.72</v>
      </c>
      <c r="H1194" s="22">
        <f>F1194*(1+Assumptions!$B$6+IF(D1194="Yes",Assumptions!$C$6,0))</f>
        <v>715530.41159999999</v>
      </c>
      <c r="I1194" s="22">
        <f>F1194*(1+Assumptions!$B$7+IF(D1194="Yes",Assumptions!$C$7,0))</f>
        <v>729424.20600000001</v>
      </c>
      <c r="J1194" s="22">
        <f>F1194*(1+Assumptions!$B$8+IF(D1194="Yes",Assumptions!$C$8,0))</f>
        <v>701636.61719999998</v>
      </c>
    </row>
    <row r="1195" spans="1:10" ht="15">
      <c r="A1195" s="21">
        <v>41019</v>
      </c>
      <c r="B1195" s="21">
        <v>41000</v>
      </c>
      <c r="C1195" s="17">
        <v>82</v>
      </c>
      <c r="D1195" s="17" t="s">
        <v>91</v>
      </c>
      <c r="E1195" s="14">
        <v>631839.37</v>
      </c>
      <c r="F1195" s="14">
        <v>691192.77</v>
      </c>
      <c r="G1195" s="14">
        <v>691192.77</v>
      </c>
      <c r="H1195" s="22">
        <f>F1195*(1+Assumptions!$B$6+IF(D1195="Yes",Assumptions!$C$6,0))</f>
        <v>711928.55310000002</v>
      </c>
      <c r="I1195" s="22">
        <f>F1195*(1+Assumptions!$B$7+IF(D1195="Yes",Assumptions!$C$7,0))</f>
        <v>725752.40850000002</v>
      </c>
      <c r="J1195" s="22">
        <f>F1195*(1+Assumptions!$B$8+IF(D1195="Yes",Assumptions!$C$8,0))</f>
        <v>698104.69770000002</v>
      </c>
    </row>
    <row r="1196" spans="1:10" ht="15">
      <c r="A1196" s="21">
        <v>41019</v>
      </c>
      <c r="B1196" s="21">
        <v>41000</v>
      </c>
      <c r="C1196" s="17">
        <v>83</v>
      </c>
      <c r="D1196" s="17" t="s">
        <v>91</v>
      </c>
      <c r="E1196" s="14">
        <v>132041.41</v>
      </c>
      <c r="F1196" s="14">
        <v>159814.96</v>
      </c>
      <c r="G1196" s="14">
        <v>159814.96</v>
      </c>
      <c r="H1196" s="22">
        <f>F1196*(1+Assumptions!$B$6+IF(D1196="Yes",Assumptions!$C$6,0))</f>
        <v>164609.4088</v>
      </c>
      <c r="I1196" s="22">
        <f>F1196*(1+Assumptions!$B$7+IF(D1196="Yes",Assumptions!$C$7,0))</f>
        <v>167805.70799999998</v>
      </c>
      <c r="J1196" s="22">
        <f>F1196*(1+Assumptions!$B$8+IF(D1196="Yes",Assumptions!$C$8,0))</f>
        <v>161413.1096</v>
      </c>
    </row>
    <row r="1197" spans="1:10" ht="15">
      <c r="A1197" s="21">
        <v>41019</v>
      </c>
      <c r="B1197" s="21">
        <v>41000</v>
      </c>
      <c r="C1197" s="17">
        <v>85</v>
      </c>
      <c r="D1197" s="17" t="s">
        <v>91</v>
      </c>
      <c r="E1197" s="14">
        <v>74757.58</v>
      </c>
      <c r="F1197" s="14">
        <v>83862.48</v>
      </c>
      <c r="G1197" s="14">
        <v>83862.48</v>
      </c>
      <c r="H1197" s="22">
        <f>F1197*(1+Assumptions!$B$6+IF(D1197="Yes",Assumptions!$C$6,0))</f>
        <v>86378.354399999997</v>
      </c>
      <c r="I1197" s="22">
        <f>F1197*(1+Assumptions!$B$7+IF(D1197="Yes",Assumptions!$C$7,0))</f>
        <v>88055.604000000007</v>
      </c>
      <c r="J1197" s="22">
        <f>F1197*(1+Assumptions!$B$8+IF(D1197="Yes",Assumptions!$C$8,0))</f>
        <v>84701.104800000001</v>
      </c>
    </row>
    <row r="1198" spans="1:10" ht="15">
      <c r="A1198" s="21">
        <v>41019</v>
      </c>
      <c r="B1198" s="21">
        <v>41000</v>
      </c>
      <c r="C1198" s="17">
        <v>87</v>
      </c>
      <c r="D1198" s="17" t="s">
        <v>91</v>
      </c>
      <c r="E1198" s="14">
        <v>579937.75</v>
      </c>
      <c r="F1198" s="14">
        <v>514770.97</v>
      </c>
      <c r="G1198" s="14">
        <v>514770.97</v>
      </c>
      <c r="H1198" s="22">
        <f>F1198*(1+Assumptions!$B$6+IF(D1198="Yes",Assumptions!$C$6,0))</f>
        <v>530214.09909999999</v>
      </c>
      <c r="I1198" s="22">
        <f>F1198*(1+Assumptions!$B$7+IF(D1198="Yes",Assumptions!$C$7,0))</f>
        <v>540509.51850000001</v>
      </c>
      <c r="J1198" s="22">
        <f>F1198*(1+Assumptions!$B$8+IF(D1198="Yes",Assumptions!$C$8,0))</f>
        <v>519918.67969999998</v>
      </c>
    </row>
    <row r="1199" spans="1:10" ht="15">
      <c r="A1199" s="21">
        <v>41019</v>
      </c>
      <c r="B1199" s="21">
        <v>41000</v>
      </c>
      <c r="C1199" s="17">
        <v>90</v>
      </c>
      <c r="D1199" s="17" t="s">
        <v>91</v>
      </c>
      <c r="E1199" s="14">
        <v>2000077.6400000001</v>
      </c>
      <c r="F1199" s="14">
        <v>2122778.4900000002</v>
      </c>
      <c r="G1199" s="14">
        <v>2122778.4900000002</v>
      </c>
      <c r="H1199" s="22">
        <f>F1199*(1+Assumptions!$B$6+IF(D1199="Yes",Assumptions!$C$6,0))</f>
        <v>2186461.8447000002</v>
      </c>
      <c r="I1199" s="22">
        <f>F1199*(1+Assumptions!$B$7+IF(D1199="Yes",Assumptions!$C$7,0))</f>
        <v>2228917.4145000004</v>
      </c>
      <c r="J1199" s="22">
        <f>F1199*(1+Assumptions!$B$8+IF(D1199="Yes",Assumptions!$C$8,0))</f>
        <v>2144006.2749000001</v>
      </c>
    </row>
    <row r="1200" spans="1:10" ht="15">
      <c r="A1200" s="21">
        <v>41019</v>
      </c>
      <c r="B1200" s="21">
        <v>41000</v>
      </c>
      <c r="C1200" s="17">
        <v>91</v>
      </c>
      <c r="D1200" s="17" t="s">
        <v>91</v>
      </c>
      <c r="E1200" s="14">
        <v>1502634.24</v>
      </c>
      <c r="F1200" s="14">
        <v>1514943.97</v>
      </c>
      <c r="G1200" s="14">
        <v>1514943.97</v>
      </c>
      <c r="H1200" s="22">
        <f>F1200*(1+Assumptions!$B$6+IF(D1200="Yes",Assumptions!$C$6,0))</f>
        <v>1560392.2890999999</v>
      </c>
      <c r="I1200" s="22">
        <f>F1200*(1+Assumptions!$B$7+IF(D1200="Yes",Assumptions!$C$7,0))</f>
        <v>1590691.1685000001</v>
      </c>
      <c r="J1200" s="22">
        <f>F1200*(1+Assumptions!$B$8+IF(D1200="Yes",Assumptions!$C$8,0))</f>
        <v>1530093.4097</v>
      </c>
    </row>
    <row r="1201" spans="1:10" ht="15">
      <c r="A1201" s="21">
        <v>41019</v>
      </c>
      <c r="B1201" s="21">
        <v>41000</v>
      </c>
      <c r="C1201" s="17">
        <v>92</v>
      </c>
      <c r="D1201" s="17" t="s">
        <v>91</v>
      </c>
      <c r="E1201" s="14">
        <v>3376507.94</v>
      </c>
      <c r="F1201" s="14">
        <v>3284953.86</v>
      </c>
      <c r="G1201" s="14">
        <v>3284953.86</v>
      </c>
      <c r="H1201" s="22">
        <f>F1201*(1+Assumptions!$B$6+IF(D1201="Yes",Assumptions!$C$6,0))</f>
        <v>3383502.4758000001</v>
      </c>
      <c r="I1201" s="22">
        <f>F1201*(1+Assumptions!$B$7+IF(D1201="Yes",Assumptions!$C$7,0))</f>
        <v>3449201.5529999998</v>
      </c>
      <c r="J1201" s="22">
        <f>F1201*(1+Assumptions!$B$8+IF(D1201="Yes",Assumptions!$C$8,0))</f>
        <v>3317803.3986</v>
      </c>
    </row>
    <row r="1202" spans="1:10" ht="15">
      <c r="A1202" s="21">
        <v>41019</v>
      </c>
      <c r="B1202" s="21">
        <v>41000</v>
      </c>
      <c r="C1202" s="17">
        <v>93</v>
      </c>
      <c r="D1202" s="17" t="s">
        <v>91</v>
      </c>
      <c r="E1202" s="14">
        <v>1057690.83</v>
      </c>
      <c r="F1202" s="14">
        <v>1153997.98</v>
      </c>
      <c r="G1202" s="14">
        <v>1153997.98</v>
      </c>
      <c r="H1202" s="22">
        <f>F1202*(1+Assumptions!$B$6+IF(D1202="Yes",Assumptions!$C$6,0))</f>
        <v>1188617.9194</v>
      </c>
      <c r="I1202" s="22">
        <f>F1202*(1+Assumptions!$B$7+IF(D1202="Yes",Assumptions!$C$7,0))</f>
        <v>1211697.879</v>
      </c>
      <c r="J1202" s="22">
        <f>F1202*(1+Assumptions!$B$8+IF(D1202="Yes",Assumptions!$C$8,0))</f>
        <v>1165537.9598000001</v>
      </c>
    </row>
    <row r="1203" spans="1:10" ht="15">
      <c r="A1203" s="21">
        <v>41019</v>
      </c>
      <c r="B1203" s="21">
        <v>41000</v>
      </c>
      <c r="C1203" s="17">
        <v>94</v>
      </c>
      <c r="D1203" s="17" t="s">
        <v>91</v>
      </c>
      <c r="E1203" s="14">
        <v>1301678.76</v>
      </c>
      <c r="F1203" s="14">
        <v>1440289.25</v>
      </c>
      <c r="G1203" s="14">
        <v>1440289.25</v>
      </c>
      <c r="H1203" s="22">
        <f>F1203*(1+Assumptions!$B$6+IF(D1203="Yes",Assumptions!$C$6,0))</f>
        <v>1483497.9275</v>
      </c>
      <c r="I1203" s="22">
        <f>F1203*(1+Assumptions!$B$7+IF(D1203="Yes",Assumptions!$C$7,0))</f>
        <v>1512303.7125000001</v>
      </c>
      <c r="J1203" s="22">
        <f>F1203*(1+Assumptions!$B$8+IF(D1203="Yes",Assumptions!$C$8,0))</f>
        <v>1454692.1425000001</v>
      </c>
    </row>
    <row r="1204" spans="1:10" ht="15">
      <c r="A1204" s="21">
        <v>41019</v>
      </c>
      <c r="B1204" s="21">
        <v>41000</v>
      </c>
      <c r="C1204" s="17">
        <v>95</v>
      </c>
      <c r="D1204" s="17" t="s">
        <v>91</v>
      </c>
      <c r="E1204" s="14">
        <v>3123172.36</v>
      </c>
      <c r="F1204" s="14">
        <v>3060862.39</v>
      </c>
      <c r="G1204" s="14">
        <v>3060862.39</v>
      </c>
      <c r="H1204" s="22">
        <f>F1204*(1+Assumptions!$B$6+IF(D1204="Yes",Assumptions!$C$6,0))</f>
        <v>3152688.2617000001</v>
      </c>
      <c r="I1204" s="22">
        <f>F1204*(1+Assumptions!$B$7+IF(D1204="Yes",Assumptions!$C$7,0))</f>
        <v>3213905.5095000002</v>
      </c>
      <c r="J1204" s="22">
        <f>F1204*(1+Assumptions!$B$8+IF(D1204="Yes",Assumptions!$C$8,0))</f>
        <v>3091471.0139000001</v>
      </c>
    </row>
    <row r="1205" spans="1:10" ht="15">
      <c r="A1205" s="21">
        <v>41019</v>
      </c>
      <c r="B1205" s="21">
        <v>41000</v>
      </c>
      <c r="C1205" s="17">
        <v>96</v>
      </c>
      <c r="D1205" s="17" t="s">
        <v>91</v>
      </c>
      <c r="E1205" s="14">
        <v>501344.41</v>
      </c>
      <c r="F1205" s="14">
        <v>508485.27999999997</v>
      </c>
      <c r="G1205" s="14">
        <v>508485.27999999997</v>
      </c>
      <c r="H1205" s="22">
        <f>F1205*(1+Assumptions!$B$6+IF(D1205="Yes",Assumptions!$C$6,0))</f>
        <v>523739.83840000001</v>
      </c>
      <c r="I1205" s="22">
        <f>F1205*(1+Assumptions!$B$7+IF(D1205="Yes",Assumptions!$C$7,0))</f>
        <v>533909.54399999999</v>
      </c>
      <c r="J1205" s="22">
        <f>F1205*(1+Assumptions!$B$8+IF(D1205="Yes",Assumptions!$C$8,0))</f>
        <v>513570.13279999996</v>
      </c>
    </row>
    <row r="1206" spans="1:10" ht="15">
      <c r="A1206" s="21">
        <v>41019</v>
      </c>
      <c r="B1206" s="21">
        <v>41000</v>
      </c>
      <c r="C1206" s="17">
        <v>97</v>
      </c>
      <c r="D1206" s="17" t="s">
        <v>91</v>
      </c>
      <c r="E1206" s="14">
        <v>603253.79</v>
      </c>
      <c r="F1206" s="14">
        <v>604421.99</v>
      </c>
      <c r="G1206" s="14">
        <v>604421.99</v>
      </c>
      <c r="H1206" s="22">
        <f>F1206*(1+Assumptions!$B$6+IF(D1206="Yes",Assumptions!$C$6,0))</f>
        <v>622554.64969999995</v>
      </c>
      <c r="I1206" s="22">
        <f>F1206*(1+Assumptions!$B$7+IF(D1206="Yes",Assumptions!$C$7,0))</f>
        <v>634643.0895</v>
      </c>
      <c r="J1206" s="22">
        <f>F1206*(1+Assumptions!$B$8+IF(D1206="Yes",Assumptions!$C$8,0))</f>
        <v>610466.20990000002</v>
      </c>
    </row>
    <row r="1207" spans="1:10" ht="15">
      <c r="A1207" s="21">
        <v>41019</v>
      </c>
      <c r="B1207" s="21">
        <v>41000</v>
      </c>
      <c r="C1207" s="17">
        <v>98</v>
      </c>
      <c r="D1207" s="17" t="s">
        <v>91</v>
      </c>
      <c r="E1207" s="14">
        <v>244813.69999999998</v>
      </c>
      <c r="F1207" s="14">
        <v>314215.63</v>
      </c>
      <c r="G1207" s="14">
        <v>314215.63</v>
      </c>
      <c r="H1207" s="22">
        <f>F1207*(1+Assumptions!$B$6+IF(D1207="Yes",Assumptions!$C$6,0))</f>
        <v>323642.09890000004</v>
      </c>
      <c r="I1207" s="22">
        <f>F1207*(1+Assumptions!$B$7+IF(D1207="Yes",Assumptions!$C$7,0))</f>
        <v>329926.41150000005</v>
      </c>
      <c r="J1207" s="22">
        <f>F1207*(1+Assumptions!$B$8+IF(D1207="Yes",Assumptions!$C$8,0))</f>
        <v>317357.78630000004</v>
      </c>
    </row>
    <row r="1208" spans="1:10" ht="15">
      <c r="A1208" s="21">
        <v>41019</v>
      </c>
      <c r="B1208" s="21">
        <v>41000</v>
      </c>
      <c r="C1208" s="17">
        <v>99</v>
      </c>
      <c r="D1208" s="17" t="s">
        <v>91</v>
      </c>
      <c r="E1208" s="14">
        <v>0.02</v>
      </c>
      <c r="F1208" s="14">
        <v>100</v>
      </c>
      <c r="G1208" s="14">
        <v>100</v>
      </c>
      <c r="H1208" s="22">
        <f>F1208*(1+Assumptions!$B$6+IF(D1208="Yes",Assumptions!$C$6,0))</f>
        <v>103</v>
      </c>
      <c r="I1208" s="22">
        <f>F1208*(1+Assumptions!$B$7+IF(D1208="Yes",Assumptions!$C$7,0))</f>
        <v>105</v>
      </c>
      <c r="J1208" s="22">
        <f>F1208*(1+Assumptions!$B$8+IF(D1208="Yes",Assumptions!$C$8,0))</f>
        <v>101</v>
      </c>
    </row>
    <row r="1209" spans="1:10" ht="15">
      <c r="A1209" s="21">
        <v>41026</v>
      </c>
      <c r="B1209" s="21">
        <v>41000</v>
      </c>
      <c r="C1209" s="17">
        <v>1</v>
      </c>
      <c r="D1209" s="17" t="s">
        <v>91</v>
      </c>
      <c r="E1209" s="14">
        <v>602250.63</v>
      </c>
      <c r="F1209" s="14">
        <v>1484108.24</v>
      </c>
      <c r="G1209" s="14">
        <v>1484108.24</v>
      </c>
      <c r="H1209" s="22">
        <f>F1209*(1+Assumptions!$B$6+IF(D1209="Yes",Assumptions!$C$6,0))</f>
        <v>1528631.4872000001</v>
      </c>
      <c r="I1209" s="22">
        <f>F1209*(1+Assumptions!$B$7+IF(D1209="Yes",Assumptions!$C$7,0))</f>
        <v>1558313.652</v>
      </c>
      <c r="J1209" s="22">
        <f>F1209*(1+Assumptions!$B$8+IF(D1209="Yes",Assumptions!$C$8,0))</f>
        <v>1498949.3223999999</v>
      </c>
    </row>
    <row r="1210" spans="1:10" ht="15">
      <c r="A1210" s="21">
        <v>41026</v>
      </c>
      <c r="B1210" s="21">
        <v>41000</v>
      </c>
      <c r="C1210" s="17">
        <v>2</v>
      </c>
      <c r="D1210" s="17" t="s">
        <v>91</v>
      </c>
      <c r="E1210" s="14">
        <v>1884426.2</v>
      </c>
      <c r="F1210" s="14">
        <v>1810197.72</v>
      </c>
      <c r="G1210" s="14">
        <v>1810197.72</v>
      </c>
      <c r="H1210" s="22">
        <f>F1210*(1+Assumptions!$B$6+IF(D1210="Yes",Assumptions!$C$6,0))</f>
        <v>1864503.6516</v>
      </c>
      <c r="I1210" s="22">
        <f>F1210*(1+Assumptions!$B$7+IF(D1210="Yes",Assumptions!$C$7,0))</f>
        <v>1900707.6060000001</v>
      </c>
      <c r="J1210" s="22">
        <f>F1210*(1+Assumptions!$B$8+IF(D1210="Yes",Assumptions!$C$8,0))</f>
        <v>1828299.6972000001</v>
      </c>
    </row>
    <row r="1211" spans="1:10" ht="15">
      <c r="A1211" s="21">
        <v>41026</v>
      </c>
      <c r="B1211" s="21">
        <v>41000</v>
      </c>
      <c r="C1211" s="17">
        <v>3</v>
      </c>
      <c r="D1211" s="17" t="s">
        <v>91</v>
      </c>
      <c r="E1211" s="14">
        <v>329118.01</v>
      </c>
      <c r="F1211" s="14">
        <v>332808.82</v>
      </c>
      <c r="G1211" s="14">
        <v>332808.82</v>
      </c>
      <c r="H1211" s="22">
        <f>F1211*(1+Assumptions!$B$6+IF(D1211="Yes",Assumptions!$C$6,0))</f>
        <v>342793.0846</v>
      </c>
      <c r="I1211" s="22">
        <f>F1211*(1+Assumptions!$B$7+IF(D1211="Yes",Assumptions!$C$7,0))</f>
        <v>349449.261</v>
      </c>
      <c r="J1211" s="22">
        <f>F1211*(1+Assumptions!$B$8+IF(D1211="Yes",Assumptions!$C$8,0))</f>
        <v>336136.90820000001</v>
      </c>
    </row>
    <row r="1212" spans="1:10" ht="15">
      <c r="A1212" s="21">
        <v>41026</v>
      </c>
      <c r="B1212" s="21">
        <v>41000</v>
      </c>
      <c r="C1212" s="17">
        <v>4</v>
      </c>
      <c r="D1212" s="17" t="s">
        <v>91</v>
      </c>
      <c r="E1212" s="14">
        <v>1119801.1099999999</v>
      </c>
      <c r="F1212" s="14">
        <v>1069561.49</v>
      </c>
      <c r="G1212" s="14">
        <v>1069561.49</v>
      </c>
      <c r="H1212" s="22">
        <f>F1212*(1+Assumptions!$B$6+IF(D1212="Yes",Assumptions!$C$6,0))</f>
        <v>1101648.3347</v>
      </c>
      <c r="I1212" s="22">
        <f>F1212*(1+Assumptions!$B$7+IF(D1212="Yes",Assumptions!$C$7,0))</f>
        <v>1123039.5645000001</v>
      </c>
      <c r="J1212" s="22">
        <f>F1212*(1+Assumptions!$B$8+IF(D1212="Yes",Assumptions!$C$8,0))</f>
        <v>1080257.1048999999</v>
      </c>
    </row>
    <row r="1213" spans="1:10" ht="15">
      <c r="A1213" s="21">
        <v>41026</v>
      </c>
      <c r="B1213" s="21">
        <v>41000</v>
      </c>
      <c r="C1213" s="17">
        <v>5</v>
      </c>
      <c r="D1213" s="17" t="s">
        <v>91</v>
      </c>
      <c r="E1213" s="14">
        <v>589554.6</v>
      </c>
      <c r="F1213" s="14">
        <v>758223.57</v>
      </c>
      <c r="G1213" s="14">
        <v>758223.57</v>
      </c>
      <c r="H1213" s="22">
        <f>F1213*(1+Assumptions!$B$6+IF(D1213="Yes",Assumptions!$C$6,0))</f>
        <v>780970.27709999995</v>
      </c>
      <c r="I1213" s="22">
        <f>F1213*(1+Assumptions!$B$7+IF(D1213="Yes",Assumptions!$C$7,0))</f>
        <v>796134.74849999999</v>
      </c>
      <c r="J1213" s="22">
        <f>F1213*(1+Assumptions!$B$8+IF(D1213="Yes",Assumptions!$C$8,0))</f>
        <v>765805.80569999991</v>
      </c>
    </row>
    <row r="1214" spans="1:10" ht="15">
      <c r="A1214" s="21">
        <v>41026</v>
      </c>
      <c r="B1214" s="21">
        <v>41000</v>
      </c>
      <c r="C1214" s="17">
        <v>6</v>
      </c>
      <c r="D1214" s="17" t="s">
        <v>91</v>
      </c>
      <c r="E1214" s="14">
        <v>128326.58</v>
      </c>
      <c r="F1214" s="14">
        <v>181648.73</v>
      </c>
      <c r="G1214" s="14">
        <v>181648.73</v>
      </c>
      <c r="H1214" s="22">
        <f>F1214*(1+Assumptions!$B$6+IF(D1214="Yes",Assumptions!$C$6,0))</f>
        <v>187098.19190000001</v>
      </c>
      <c r="I1214" s="22">
        <f>F1214*(1+Assumptions!$B$7+IF(D1214="Yes",Assumptions!$C$7,0))</f>
        <v>190731.16650000002</v>
      </c>
      <c r="J1214" s="22">
        <f>F1214*(1+Assumptions!$B$8+IF(D1214="Yes",Assumptions!$C$8,0))</f>
        <v>183465.21730000002</v>
      </c>
    </row>
    <row r="1215" spans="1:10" ht="15">
      <c r="A1215" s="21">
        <v>41026</v>
      </c>
      <c r="B1215" s="21">
        <v>41000</v>
      </c>
      <c r="C1215" s="17">
        <v>7</v>
      </c>
      <c r="D1215" s="17" t="s">
        <v>91</v>
      </c>
      <c r="E1215" s="14">
        <v>841882.24</v>
      </c>
      <c r="F1215" s="14">
        <v>1024503.14</v>
      </c>
      <c r="G1215" s="14">
        <v>1024503.14</v>
      </c>
      <c r="H1215" s="22">
        <f>F1215*(1+Assumptions!$B$6+IF(D1215="Yes",Assumptions!$C$6,0))</f>
        <v>1055238.2342000001</v>
      </c>
      <c r="I1215" s="22">
        <f>F1215*(1+Assumptions!$B$7+IF(D1215="Yes",Assumptions!$C$7,0))</f>
        <v>1075728.297</v>
      </c>
      <c r="J1215" s="22">
        <f>F1215*(1+Assumptions!$B$8+IF(D1215="Yes",Assumptions!$C$8,0))</f>
        <v>1034748.1714</v>
      </c>
    </row>
    <row r="1216" spans="1:10" ht="15">
      <c r="A1216" s="21">
        <v>41026</v>
      </c>
      <c r="B1216" s="21">
        <v>41000</v>
      </c>
      <c r="C1216" s="17">
        <v>8</v>
      </c>
      <c r="D1216" s="17" t="s">
        <v>91</v>
      </c>
      <c r="E1216" s="14">
        <v>1334521.07</v>
      </c>
      <c r="F1216" s="14">
        <v>1248815.23</v>
      </c>
      <c r="G1216" s="14">
        <v>1248815.23</v>
      </c>
      <c r="H1216" s="22">
        <f>F1216*(1+Assumptions!$B$6+IF(D1216="Yes",Assumptions!$C$6,0))</f>
        <v>1286279.6869000001</v>
      </c>
      <c r="I1216" s="22">
        <f>F1216*(1+Assumptions!$B$7+IF(D1216="Yes",Assumptions!$C$7,0))</f>
        <v>1311255.9915</v>
      </c>
      <c r="J1216" s="22">
        <f>F1216*(1+Assumptions!$B$8+IF(D1216="Yes",Assumptions!$C$8,0))</f>
        <v>1261303.3822999999</v>
      </c>
    </row>
    <row r="1217" spans="1:10" ht="15">
      <c r="A1217" s="21">
        <v>41026</v>
      </c>
      <c r="B1217" s="21">
        <v>41000</v>
      </c>
      <c r="C1217" s="17">
        <v>9</v>
      </c>
      <c r="D1217" s="17" t="s">
        <v>91</v>
      </c>
      <c r="E1217" s="14">
        <v>968665.96</v>
      </c>
      <c r="F1217" s="14">
        <v>848387.29</v>
      </c>
      <c r="G1217" s="14">
        <v>848387.29</v>
      </c>
      <c r="H1217" s="22">
        <f>F1217*(1+Assumptions!$B$6+IF(D1217="Yes",Assumptions!$C$6,0))</f>
        <v>873838.90870000003</v>
      </c>
      <c r="I1217" s="22">
        <f>F1217*(1+Assumptions!$B$7+IF(D1217="Yes",Assumptions!$C$7,0))</f>
        <v>890806.65450000006</v>
      </c>
      <c r="J1217" s="22">
        <f>F1217*(1+Assumptions!$B$8+IF(D1217="Yes",Assumptions!$C$8,0))</f>
        <v>856871.1629</v>
      </c>
    </row>
    <row r="1218" spans="1:10" ht="15">
      <c r="A1218" s="21">
        <v>41026</v>
      </c>
      <c r="B1218" s="21">
        <v>41000</v>
      </c>
      <c r="C1218" s="17">
        <v>10</v>
      </c>
      <c r="D1218" s="17" t="s">
        <v>91</v>
      </c>
      <c r="E1218" s="14">
        <v>812491.58</v>
      </c>
      <c r="F1218" s="14">
        <v>744129.32</v>
      </c>
      <c r="G1218" s="14">
        <v>744129.32</v>
      </c>
      <c r="H1218" s="22">
        <f>F1218*(1+Assumptions!$B$6+IF(D1218="Yes",Assumptions!$C$6,0))</f>
        <v>766453.19959999993</v>
      </c>
      <c r="I1218" s="22">
        <f>F1218*(1+Assumptions!$B$7+IF(D1218="Yes",Assumptions!$C$7,0))</f>
        <v>781335.78599999996</v>
      </c>
      <c r="J1218" s="22">
        <f>F1218*(1+Assumptions!$B$8+IF(D1218="Yes",Assumptions!$C$8,0))</f>
        <v>751570.61319999991</v>
      </c>
    </row>
    <row r="1219" spans="1:10" ht="15">
      <c r="A1219" s="21">
        <v>41026</v>
      </c>
      <c r="B1219" s="21">
        <v>41000</v>
      </c>
      <c r="C1219" s="17">
        <v>11</v>
      </c>
      <c r="D1219" s="17" t="s">
        <v>91</v>
      </c>
      <c r="E1219" s="14">
        <v>578512.63</v>
      </c>
      <c r="F1219" s="14">
        <v>585094.47</v>
      </c>
      <c r="G1219" s="14">
        <v>585094.47</v>
      </c>
      <c r="H1219" s="22">
        <f>F1219*(1+Assumptions!$B$6+IF(D1219="Yes",Assumptions!$C$6,0))</f>
        <v>602647.30409999995</v>
      </c>
      <c r="I1219" s="22">
        <f>F1219*(1+Assumptions!$B$7+IF(D1219="Yes",Assumptions!$C$7,0))</f>
        <v>614349.19350000005</v>
      </c>
      <c r="J1219" s="22">
        <f>F1219*(1+Assumptions!$B$8+IF(D1219="Yes",Assumptions!$C$8,0))</f>
        <v>590945.41469999996</v>
      </c>
    </row>
    <row r="1220" spans="1:10" ht="15">
      <c r="A1220" s="21">
        <v>41026</v>
      </c>
      <c r="B1220" s="21">
        <v>41000</v>
      </c>
      <c r="C1220" s="17">
        <v>12</v>
      </c>
      <c r="D1220" s="17" t="s">
        <v>91</v>
      </c>
      <c r="E1220" s="14">
        <v>199666.57</v>
      </c>
      <c r="F1220" s="14">
        <v>171596.38</v>
      </c>
      <c r="G1220" s="14">
        <v>171596.38</v>
      </c>
      <c r="H1220" s="22">
        <f>F1220*(1+Assumptions!$B$6+IF(D1220="Yes",Assumptions!$C$6,0))</f>
        <v>176744.2714</v>
      </c>
      <c r="I1220" s="22">
        <f>F1220*(1+Assumptions!$B$7+IF(D1220="Yes",Assumptions!$C$7,0))</f>
        <v>180176.19900000002</v>
      </c>
      <c r="J1220" s="22">
        <f>F1220*(1+Assumptions!$B$8+IF(D1220="Yes",Assumptions!$C$8,0))</f>
        <v>173312.3438</v>
      </c>
    </row>
    <row r="1221" spans="1:10" ht="15">
      <c r="A1221" s="21">
        <v>41026</v>
      </c>
      <c r="B1221" s="21">
        <v>41000</v>
      </c>
      <c r="C1221" s="17">
        <v>13</v>
      </c>
      <c r="D1221" s="17" t="s">
        <v>91</v>
      </c>
      <c r="E1221" s="14">
        <v>1311185.08</v>
      </c>
      <c r="F1221" s="14">
        <v>1237086.98</v>
      </c>
      <c r="G1221" s="14">
        <v>1237086.98</v>
      </c>
      <c r="H1221" s="22">
        <f>F1221*(1+Assumptions!$B$6+IF(D1221="Yes",Assumptions!$C$6,0))</f>
        <v>1274199.5893999999</v>
      </c>
      <c r="I1221" s="22">
        <f>F1221*(1+Assumptions!$B$7+IF(D1221="Yes",Assumptions!$C$7,0))</f>
        <v>1298941.3290000001</v>
      </c>
      <c r="J1221" s="22">
        <f>F1221*(1+Assumptions!$B$8+IF(D1221="Yes",Assumptions!$C$8,0))</f>
        <v>1249457.8498</v>
      </c>
    </row>
    <row r="1222" spans="1:10" ht="15">
      <c r="A1222" s="21">
        <v>41026</v>
      </c>
      <c r="B1222" s="21">
        <v>41000</v>
      </c>
      <c r="C1222" s="17">
        <v>14</v>
      </c>
      <c r="D1222" s="17" t="s">
        <v>91</v>
      </c>
      <c r="E1222" s="14">
        <v>583500.12</v>
      </c>
      <c r="F1222" s="14">
        <v>576589.52</v>
      </c>
      <c r="G1222" s="14">
        <v>576589.52</v>
      </c>
      <c r="H1222" s="22">
        <f>F1222*(1+Assumptions!$B$6+IF(D1222="Yes",Assumptions!$C$6,0))</f>
        <v>593887.20559999999</v>
      </c>
      <c r="I1222" s="22">
        <f>F1222*(1+Assumptions!$B$7+IF(D1222="Yes",Assumptions!$C$7,0))</f>
        <v>605418.99600000004</v>
      </c>
      <c r="J1222" s="22">
        <f>F1222*(1+Assumptions!$B$8+IF(D1222="Yes",Assumptions!$C$8,0))</f>
        <v>582355.41520000005</v>
      </c>
    </row>
    <row r="1223" spans="1:10" ht="15">
      <c r="A1223" s="21">
        <v>41026</v>
      </c>
      <c r="B1223" s="21">
        <v>41000</v>
      </c>
      <c r="C1223" s="17">
        <v>16</v>
      </c>
      <c r="D1223" s="17" t="s">
        <v>91</v>
      </c>
      <c r="E1223" s="14">
        <v>1043108.77</v>
      </c>
      <c r="F1223" s="14">
        <v>885543.14</v>
      </c>
      <c r="G1223" s="14">
        <v>885543.14</v>
      </c>
      <c r="H1223" s="22">
        <f>F1223*(1+Assumptions!$B$6+IF(D1223="Yes",Assumptions!$C$6,0))</f>
        <v>912109.43420000002</v>
      </c>
      <c r="I1223" s="22">
        <f>F1223*(1+Assumptions!$B$7+IF(D1223="Yes",Assumptions!$C$7,0))</f>
        <v>929820.29700000002</v>
      </c>
      <c r="J1223" s="22">
        <f>F1223*(1+Assumptions!$B$8+IF(D1223="Yes",Assumptions!$C$8,0))</f>
        <v>894398.57140000002</v>
      </c>
    </row>
    <row r="1224" spans="1:10" ht="15">
      <c r="A1224" s="21">
        <v>41026</v>
      </c>
      <c r="B1224" s="21">
        <v>41000</v>
      </c>
      <c r="C1224" s="17">
        <v>17</v>
      </c>
      <c r="D1224" s="17" t="s">
        <v>91</v>
      </c>
      <c r="E1224" s="14">
        <v>383886.75</v>
      </c>
      <c r="F1224" s="14">
        <v>375318.38</v>
      </c>
      <c r="G1224" s="14">
        <v>375318.38</v>
      </c>
      <c r="H1224" s="22">
        <f>F1224*(1+Assumptions!$B$6+IF(D1224="Yes",Assumptions!$C$6,0))</f>
        <v>386577.9314</v>
      </c>
      <c r="I1224" s="22">
        <f>F1224*(1+Assumptions!$B$7+IF(D1224="Yes",Assumptions!$C$7,0))</f>
        <v>394084.299</v>
      </c>
      <c r="J1224" s="22">
        <f>F1224*(1+Assumptions!$B$8+IF(D1224="Yes",Assumptions!$C$8,0))</f>
        <v>379071.5638</v>
      </c>
    </row>
    <row r="1225" spans="1:10" ht="15">
      <c r="A1225" s="21">
        <v>41026</v>
      </c>
      <c r="B1225" s="21">
        <v>41000</v>
      </c>
      <c r="C1225" s="17">
        <v>18</v>
      </c>
      <c r="D1225" s="17" t="s">
        <v>91</v>
      </c>
      <c r="E1225" s="14">
        <v>3602.75</v>
      </c>
      <c r="F1225" s="14">
        <v>287293.09999999998</v>
      </c>
      <c r="G1225" s="14">
        <v>287293.09999999998</v>
      </c>
      <c r="H1225" s="22">
        <f>F1225*(1+Assumptions!$B$6+IF(D1225="Yes",Assumptions!$C$6,0))</f>
        <v>295911.89299999998</v>
      </c>
      <c r="I1225" s="22">
        <f>F1225*(1+Assumptions!$B$7+IF(D1225="Yes",Assumptions!$C$7,0))</f>
        <v>301657.755</v>
      </c>
      <c r="J1225" s="22">
        <f>F1225*(1+Assumptions!$B$8+IF(D1225="Yes",Assumptions!$C$8,0))</f>
        <v>290166.03099999996</v>
      </c>
    </row>
    <row r="1226" spans="1:10" ht="15">
      <c r="A1226" s="21">
        <v>41026</v>
      </c>
      <c r="B1226" s="21">
        <v>41000</v>
      </c>
      <c r="C1226" s="17">
        <v>19</v>
      </c>
      <c r="D1226" s="17" t="s">
        <v>91</v>
      </c>
      <c r="E1226" s="14">
        <v>41001.07</v>
      </c>
      <c r="F1226" s="14">
        <v>35991.65</v>
      </c>
      <c r="G1226" s="14">
        <v>35991.65</v>
      </c>
      <c r="H1226" s="22">
        <f>F1226*(1+Assumptions!$B$6+IF(D1226="Yes",Assumptions!$C$6,0))</f>
        <v>37071.3995</v>
      </c>
      <c r="I1226" s="22">
        <f>F1226*(1+Assumptions!$B$7+IF(D1226="Yes",Assumptions!$C$7,0))</f>
        <v>37791.232500000006</v>
      </c>
      <c r="J1226" s="22">
        <f>F1226*(1+Assumptions!$B$8+IF(D1226="Yes",Assumptions!$C$8,0))</f>
        <v>36351.566500000001</v>
      </c>
    </row>
    <row r="1227" spans="1:10" ht="15">
      <c r="A1227" s="21">
        <v>41026</v>
      </c>
      <c r="B1227" s="21">
        <v>41000</v>
      </c>
      <c r="C1227" s="17">
        <v>20</v>
      </c>
      <c r="D1227" s="17" t="s">
        <v>91</v>
      </c>
      <c r="E1227" s="14">
        <v>208723.21</v>
      </c>
      <c r="F1227" s="14">
        <v>203563.22</v>
      </c>
      <c r="G1227" s="14">
        <v>203563.22</v>
      </c>
      <c r="H1227" s="22">
        <f>F1227*(1+Assumptions!$B$6+IF(D1227="Yes",Assumptions!$C$6,0))</f>
        <v>209670.11660000001</v>
      </c>
      <c r="I1227" s="22">
        <f>F1227*(1+Assumptions!$B$7+IF(D1227="Yes",Assumptions!$C$7,0))</f>
        <v>213741.38100000002</v>
      </c>
      <c r="J1227" s="22">
        <f>F1227*(1+Assumptions!$B$8+IF(D1227="Yes",Assumptions!$C$8,0))</f>
        <v>205598.85219999999</v>
      </c>
    </row>
    <row r="1228" spans="1:10" ht="15">
      <c r="A1228" s="21">
        <v>41026</v>
      </c>
      <c r="B1228" s="21">
        <v>41000</v>
      </c>
      <c r="C1228" s="17">
        <v>21</v>
      </c>
      <c r="D1228" s="17" t="s">
        <v>91</v>
      </c>
      <c r="E1228" s="14">
        <v>195294.39</v>
      </c>
      <c r="F1228" s="14">
        <v>215556.54</v>
      </c>
      <c r="G1228" s="14">
        <v>215556.54</v>
      </c>
      <c r="H1228" s="22">
        <f>F1228*(1+Assumptions!$B$6+IF(D1228="Yes",Assumptions!$C$6,0))</f>
        <v>222023.23620000001</v>
      </c>
      <c r="I1228" s="22">
        <f>F1228*(1+Assumptions!$B$7+IF(D1228="Yes",Assumptions!$C$7,0))</f>
        <v>226334.36700000003</v>
      </c>
      <c r="J1228" s="22">
        <f>F1228*(1+Assumptions!$B$8+IF(D1228="Yes",Assumptions!$C$8,0))</f>
        <v>217712.1054</v>
      </c>
    </row>
    <row r="1229" spans="1:10" ht="15">
      <c r="A1229" s="21">
        <v>41026</v>
      </c>
      <c r="B1229" s="21">
        <v>41000</v>
      </c>
      <c r="C1229" s="17">
        <v>22</v>
      </c>
      <c r="D1229" s="17" t="s">
        <v>91</v>
      </c>
      <c r="E1229" s="14">
        <v>336093.33</v>
      </c>
      <c r="F1229" s="14">
        <v>323750.97000000003</v>
      </c>
      <c r="G1229" s="14">
        <v>323750.97000000003</v>
      </c>
      <c r="H1229" s="22">
        <f>F1229*(1+Assumptions!$B$6+IF(D1229="Yes",Assumptions!$C$6,0))</f>
        <v>333463.49910000002</v>
      </c>
      <c r="I1229" s="22">
        <f>F1229*(1+Assumptions!$B$7+IF(D1229="Yes",Assumptions!$C$7,0))</f>
        <v>339938.51850000006</v>
      </c>
      <c r="J1229" s="22">
        <f>F1229*(1+Assumptions!$B$8+IF(D1229="Yes",Assumptions!$C$8,0))</f>
        <v>326988.47970000003</v>
      </c>
    </row>
    <row r="1230" spans="1:10" ht="15">
      <c r="A1230" s="21">
        <v>41026</v>
      </c>
      <c r="B1230" s="21">
        <v>41000</v>
      </c>
      <c r="C1230" s="17">
        <v>23</v>
      </c>
      <c r="D1230" s="17" t="s">
        <v>91</v>
      </c>
      <c r="E1230" s="14">
        <v>887041.8</v>
      </c>
      <c r="F1230" s="14">
        <v>895334.79</v>
      </c>
      <c r="G1230" s="14">
        <v>895334.79</v>
      </c>
      <c r="H1230" s="22">
        <f>F1230*(1+Assumptions!$B$6+IF(D1230="Yes",Assumptions!$C$6,0))</f>
        <v>922194.83370000008</v>
      </c>
      <c r="I1230" s="22">
        <f>F1230*(1+Assumptions!$B$7+IF(D1230="Yes",Assumptions!$C$7,0))</f>
        <v>940101.52950000006</v>
      </c>
      <c r="J1230" s="22">
        <f>F1230*(1+Assumptions!$B$8+IF(D1230="Yes",Assumptions!$C$8,0))</f>
        <v>904288.13790000009</v>
      </c>
    </row>
    <row r="1231" spans="1:10" ht="15">
      <c r="A1231" s="21">
        <v>41026</v>
      </c>
      <c r="B1231" s="21">
        <v>41000</v>
      </c>
      <c r="C1231" s="17">
        <v>24</v>
      </c>
      <c r="D1231" s="17" t="s">
        <v>91</v>
      </c>
      <c r="E1231" s="14">
        <v>179199.91</v>
      </c>
      <c r="F1231" s="14">
        <v>211701.67</v>
      </c>
      <c r="G1231" s="14">
        <v>211701.67</v>
      </c>
      <c r="H1231" s="22">
        <f>F1231*(1+Assumptions!$B$6+IF(D1231="Yes",Assumptions!$C$6,0))</f>
        <v>218052.72010000001</v>
      </c>
      <c r="I1231" s="22">
        <f>F1231*(1+Assumptions!$B$7+IF(D1231="Yes",Assumptions!$C$7,0))</f>
        <v>222286.75350000002</v>
      </c>
      <c r="J1231" s="22">
        <f>F1231*(1+Assumptions!$B$8+IF(D1231="Yes",Assumptions!$C$8,0))</f>
        <v>213818.68670000002</v>
      </c>
    </row>
    <row r="1232" spans="1:10" ht="15">
      <c r="A1232" s="21">
        <v>41026</v>
      </c>
      <c r="B1232" s="21">
        <v>41000</v>
      </c>
      <c r="C1232" s="17">
        <v>25</v>
      </c>
      <c r="D1232" s="17" t="s">
        <v>91</v>
      </c>
      <c r="E1232" s="14">
        <v>402417.95</v>
      </c>
      <c r="F1232" s="14">
        <v>436554.85</v>
      </c>
      <c r="G1232" s="14">
        <v>436554.85</v>
      </c>
      <c r="H1232" s="22">
        <f>F1232*(1+Assumptions!$B$6+IF(D1232="Yes",Assumptions!$C$6,0))</f>
        <v>449651.49549999996</v>
      </c>
      <c r="I1232" s="22">
        <f>F1232*(1+Assumptions!$B$7+IF(D1232="Yes",Assumptions!$C$7,0))</f>
        <v>458382.59249999997</v>
      </c>
      <c r="J1232" s="22">
        <f>F1232*(1+Assumptions!$B$8+IF(D1232="Yes",Assumptions!$C$8,0))</f>
        <v>440920.39849999995</v>
      </c>
    </row>
    <row r="1233" spans="1:10" ht="15">
      <c r="A1233" s="21">
        <v>41026</v>
      </c>
      <c r="B1233" s="21">
        <v>41000</v>
      </c>
      <c r="C1233" s="17">
        <v>26</v>
      </c>
      <c r="D1233" s="17" t="s">
        <v>91</v>
      </c>
      <c r="E1233" s="14">
        <v>286143.07</v>
      </c>
      <c r="F1233" s="14">
        <v>300735.21000000002</v>
      </c>
      <c r="G1233" s="14">
        <v>300735.21000000002</v>
      </c>
      <c r="H1233" s="22">
        <f>F1233*(1+Assumptions!$B$6+IF(D1233="Yes",Assumptions!$C$6,0))</f>
        <v>309757.26630000002</v>
      </c>
      <c r="I1233" s="22">
        <f>F1233*(1+Assumptions!$B$7+IF(D1233="Yes",Assumptions!$C$7,0))</f>
        <v>315771.97050000005</v>
      </c>
      <c r="J1233" s="22">
        <f>F1233*(1+Assumptions!$B$8+IF(D1233="Yes",Assumptions!$C$8,0))</f>
        <v>303742.56210000004</v>
      </c>
    </row>
    <row r="1234" spans="1:10" ht="15">
      <c r="A1234" s="21">
        <v>41026</v>
      </c>
      <c r="B1234" s="21">
        <v>41000</v>
      </c>
      <c r="C1234" s="17">
        <v>27</v>
      </c>
      <c r="D1234" s="17" t="s">
        <v>91</v>
      </c>
      <c r="E1234" s="14">
        <v>49368.77</v>
      </c>
      <c r="F1234" s="14">
        <v>46778.2</v>
      </c>
      <c r="G1234" s="14">
        <v>46778.2</v>
      </c>
      <c r="H1234" s="22">
        <f>F1234*(1+Assumptions!$B$6+IF(D1234="Yes",Assumptions!$C$6,0))</f>
        <v>48181.545999999995</v>
      </c>
      <c r="I1234" s="22">
        <f>F1234*(1+Assumptions!$B$7+IF(D1234="Yes",Assumptions!$C$7,0))</f>
        <v>49117.11</v>
      </c>
      <c r="J1234" s="22">
        <f>F1234*(1+Assumptions!$B$8+IF(D1234="Yes",Assumptions!$C$8,0))</f>
        <v>47245.981999999996</v>
      </c>
    </row>
    <row r="1235" spans="1:10" ht="15">
      <c r="A1235" s="21">
        <v>41026</v>
      </c>
      <c r="B1235" s="21">
        <v>41000</v>
      </c>
      <c r="C1235" s="17">
        <v>28</v>
      </c>
      <c r="D1235" s="17" t="s">
        <v>91</v>
      </c>
      <c r="E1235" s="14">
        <v>22398.76</v>
      </c>
      <c r="F1235" s="14">
        <v>28393.27</v>
      </c>
      <c r="G1235" s="14">
        <v>28393.27</v>
      </c>
      <c r="H1235" s="22">
        <f>F1235*(1+Assumptions!$B$6+IF(D1235="Yes",Assumptions!$C$6,0))</f>
        <v>29245.0681</v>
      </c>
      <c r="I1235" s="22">
        <f>F1235*(1+Assumptions!$B$7+IF(D1235="Yes",Assumptions!$C$7,0))</f>
        <v>29812.933500000003</v>
      </c>
      <c r="J1235" s="22">
        <f>F1235*(1+Assumptions!$B$8+IF(D1235="Yes",Assumptions!$C$8,0))</f>
        <v>28677.202700000002</v>
      </c>
    </row>
    <row r="1236" spans="1:10" ht="15">
      <c r="A1236" s="21">
        <v>41026</v>
      </c>
      <c r="B1236" s="21">
        <v>41000</v>
      </c>
      <c r="C1236" s="17">
        <v>29</v>
      </c>
      <c r="D1236" s="17" t="s">
        <v>91</v>
      </c>
      <c r="E1236" s="14">
        <v>183762.17</v>
      </c>
      <c r="F1236" s="14">
        <v>178045.62</v>
      </c>
      <c r="G1236" s="14">
        <v>178045.62</v>
      </c>
      <c r="H1236" s="22">
        <f>F1236*(1+Assumptions!$B$6+IF(D1236="Yes",Assumptions!$C$6,0))</f>
        <v>183386.98860000001</v>
      </c>
      <c r="I1236" s="22">
        <f>F1236*(1+Assumptions!$B$7+IF(D1236="Yes",Assumptions!$C$7,0))</f>
        <v>186947.90100000001</v>
      </c>
      <c r="J1236" s="22">
        <f>F1236*(1+Assumptions!$B$8+IF(D1236="Yes",Assumptions!$C$8,0))</f>
        <v>179826.07620000001</v>
      </c>
    </row>
    <row r="1237" spans="1:10" ht="15">
      <c r="A1237" s="21">
        <v>41026</v>
      </c>
      <c r="B1237" s="21">
        <v>41000</v>
      </c>
      <c r="C1237" s="17">
        <v>30</v>
      </c>
      <c r="D1237" s="17" t="s">
        <v>91</v>
      </c>
      <c r="E1237" s="14">
        <v>144420.6</v>
      </c>
      <c r="F1237" s="14">
        <v>159281.94</v>
      </c>
      <c r="G1237" s="14">
        <v>159281.94</v>
      </c>
      <c r="H1237" s="22">
        <f>F1237*(1+Assumptions!$B$6+IF(D1237="Yes",Assumptions!$C$6,0))</f>
        <v>164060.3982</v>
      </c>
      <c r="I1237" s="22">
        <f>F1237*(1+Assumptions!$B$7+IF(D1237="Yes",Assumptions!$C$7,0))</f>
        <v>167246.03700000001</v>
      </c>
      <c r="J1237" s="22">
        <f>F1237*(1+Assumptions!$B$8+IF(D1237="Yes",Assumptions!$C$8,0))</f>
        <v>160874.75940000001</v>
      </c>
    </row>
    <row r="1238" spans="1:10" ht="15">
      <c r="A1238" s="21">
        <v>41026</v>
      </c>
      <c r="B1238" s="21">
        <v>41000</v>
      </c>
      <c r="C1238" s="17">
        <v>31</v>
      </c>
      <c r="D1238" s="17" t="s">
        <v>91</v>
      </c>
      <c r="E1238" s="14">
        <v>63616.73</v>
      </c>
      <c r="F1238" s="14">
        <v>74173.08</v>
      </c>
      <c r="G1238" s="14">
        <v>74173.08</v>
      </c>
      <c r="H1238" s="22">
        <f>F1238*(1+Assumptions!$B$6+IF(D1238="Yes",Assumptions!$C$6,0))</f>
        <v>76398.272400000002</v>
      </c>
      <c r="I1238" s="22">
        <f>F1238*(1+Assumptions!$B$7+IF(D1238="Yes",Assumptions!$C$7,0))</f>
        <v>77881.734000000011</v>
      </c>
      <c r="J1238" s="22">
        <f>F1238*(1+Assumptions!$B$8+IF(D1238="Yes",Assumptions!$C$8,0))</f>
        <v>74914.810800000007</v>
      </c>
    </row>
    <row r="1239" spans="1:10" ht="15">
      <c r="A1239" s="21">
        <v>41026</v>
      </c>
      <c r="B1239" s="21">
        <v>41000</v>
      </c>
      <c r="C1239" s="17">
        <v>32</v>
      </c>
      <c r="D1239" s="17" t="s">
        <v>91</v>
      </c>
      <c r="E1239" s="14">
        <v>225443.01</v>
      </c>
      <c r="F1239" s="14">
        <v>253206.57</v>
      </c>
      <c r="G1239" s="14">
        <v>253206.57</v>
      </c>
      <c r="H1239" s="22">
        <f>F1239*(1+Assumptions!$B$6+IF(D1239="Yes",Assumptions!$C$6,0))</f>
        <v>260802.76710000003</v>
      </c>
      <c r="I1239" s="22">
        <f>F1239*(1+Assumptions!$B$7+IF(D1239="Yes",Assumptions!$C$7,0))</f>
        <v>265866.89850000001</v>
      </c>
      <c r="J1239" s="22">
        <f>F1239*(1+Assumptions!$B$8+IF(D1239="Yes",Assumptions!$C$8,0))</f>
        <v>255738.63570000001</v>
      </c>
    </row>
    <row r="1240" spans="1:10" ht="15">
      <c r="A1240" s="21">
        <v>41026</v>
      </c>
      <c r="B1240" s="21">
        <v>41000</v>
      </c>
      <c r="C1240" s="17">
        <v>33</v>
      </c>
      <c r="D1240" s="17" t="s">
        <v>91</v>
      </c>
      <c r="E1240" s="14">
        <v>180047.73</v>
      </c>
      <c r="F1240" s="14">
        <v>224390.32</v>
      </c>
      <c r="G1240" s="14">
        <v>224390.32</v>
      </c>
      <c r="H1240" s="22">
        <f>F1240*(1+Assumptions!$B$6+IF(D1240="Yes",Assumptions!$C$6,0))</f>
        <v>231122.02960000001</v>
      </c>
      <c r="I1240" s="22">
        <f>F1240*(1+Assumptions!$B$7+IF(D1240="Yes",Assumptions!$C$7,0))</f>
        <v>235609.83600000001</v>
      </c>
      <c r="J1240" s="22">
        <f>F1240*(1+Assumptions!$B$8+IF(D1240="Yes",Assumptions!$C$8,0))</f>
        <v>226634.22320000001</v>
      </c>
    </row>
    <row r="1241" spans="1:10" ht="15">
      <c r="A1241" s="21">
        <v>41026</v>
      </c>
      <c r="B1241" s="21">
        <v>41000</v>
      </c>
      <c r="C1241" s="17">
        <v>34</v>
      </c>
      <c r="D1241" s="17" t="s">
        <v>91</v>
      </c>
      <c r="E1241" s="14">
        <v>606293.05000000005</v>
      </c>
      <c r="F1241" s="14">
        <v>599823.41</v>
      </c>
      <c r="G1241" s="14">
        <v>599823.41</v>
      </c>
      <c r="H1241" s="22">
        <f>F1241*(1+Assumptions!$B$6+IF(D1241="Yes",Assumptions!$C$6,0))</f>
        <v>617818.11230000004</v>
      </c>
      <c r="I1241" s="22">
        <f>F1241*(1+Assumptions!$B$7+IF(D1241="Yes",Assumptions!$C$7,0))</f>
        <v>629814.58050000004</v>
      </c>
      <c r="J1241" s="22">
        <f>F1241*(1+Assumptions!$B$8+IF(D1241="Yes",Assumptions!$C$8,0))</f>
        <v>605821.64410000003</v>
      </c>
    </row>
    <row r="1242" spans="1:10" ht="15">
      <c r="A1242" s="21">
        <v>41026</v>
      </c>
      <c r="B1242" s="21">
        <v>41000</v>
      </c>
      <c r="C1242" s="17">
        <v>35</v>
      </c>
      <c r="D1242" s="17" t="s">
        <v>91</v>
      </c>
      <c r="E1242" s="14">
        <v>122982.71</v>
      </c>
      <c r="F1242" s="14">
        <v>130306.61</v>
      </c>
      <c r="G1242" s="14">
        <v>130306.61</v>
      </c>
      <c r="H1242" s="22">
        <f>F1242*(1+Assumptions!$B$6+IF(D1242="Yes",Assumptions!$C$6,0))</f>
        <v>134215.8083</v>
      </c>
      <c r="I1242" s="22">
        <f>F1242*(1+Assumptions!$B$7+IF(D1242="Yes",Assumptions!$C$7,0))</f>
        <v>136821.9405</v>
      </c>
      <c r="J1242" s="22">
        <f>F1242*(1+Assumptions!$B$8+IF(D1242="Yes",Assumptions!$C$8,0))</f>
        <v>131609.67610000001</v>
      </c>
    </row>
    <row r="1243" spans="1:10" ht="15">
      <c r="A1243" s="21">
        <v>41026</v>
      </c>
      <c r="B1243" s="21">
        <v>41000</v>
      </c>
      <c r="C1243" s="17">
        <v>36</v>
      </c>
      <c r="D1243" s="17" t="s">
        <v>91</v>
      </c>
      <c r="E1243" s="14">
        <v>66833.440000000002</v>
      </c>
      <c r="F1243" s="14">
        <v>60988.86</v>
      </c>
      <c r="G1243" s="14">
        <v>60988.86</v>
      </c>
      <c r="H1243" s="22">
        <f>F1243*(1+Assumptions!$B$6+IF(D1243="Yes",Assumptions!$C$6,0))</f>
        <v>62818.525800000003</v>
      </c>
      <c r="I1243" s="22">
        <f>F1243*(1+Assumptions!$B$7+IF(D1243="Yes",Assumptions!$C$7,0))</f>
        <v>64038.303</v>
      </c>
      <c r="J1243" s="22">
        <f>F1243*(1+Assumptions!$B$8+IF(D1243="Yes",Assumptions!$C$8,0))</f>
        <v>61598.748599999999</v>
      </c>
    </row>
    <row r="1244" spans="1:10" ht="15">
      <c r="A1244" s="21">
        <v>41026</v>
      </c>
      <c r="B1244" s="21">
        <v>41000</v>
      </c>
      <c r="C1244" s="17">
        <v>37</v>
      </c>
      <c r="D1244" s="17" t="s">
        <v>91</v>
      </c>
      <c r="E1244" s="14">
        <v>53034.1</v>
      </c>
      <c r="F1244" s="14">
        <v>50162.78</v>
      </c>
      <c r="G1244" s="14">
        <v>50162.78</v>
      </c>
      <c r="H1244" s="22">
        <f>F1244*(1+Assumptions!$B$6+IF(D1244="Yes",Assumptions!$C$6,0))</f>
        <v>51667.663399999998</v>
      </c>
      <c r="I1244" s="22">
        <f>F1244*(1+Assumptions!$B$7+IF(D1244="Yes",Assumptions!$C$7,0))</f>
        <v>52670.919000000002</v>
      </c>
      <c r="J1244" s="22">
        <f>F1244*(1+Assumptions!$B$8+IF(D1244="Yes",Assumptions!$C$8,0))</f>
        <v>50664.407800000001</v>
      </c>
    </row>
    <row r="1245" spans="1:10" ht="15">
      <c r="A1245" s="21">
        <v>41026</v>
      </c>
      <c r="B1245" s="21">
        <v>41000</v>
      </c>
      <c r="C1245" s="17">
        <v>38</v>
      </c>
      <c r="D1245" s="17" t="s">
        <v>91</v>
      </c>
      <c r="E1245" s="14">
        <v>2855480.13</v>
      </c>
      <c r="F1245" s="14">
        <v>2668837.66</v>
      </c>
      <c r="G1245" s="14">
        <v>2668837.66</v>
      </c>
      <c r="H1245" s="22">
        <f>F1245*(1+Assumptions!$B$6+IF(D1245="Yes",Assumptions!$C$6,0))</f>
        <v>2748902.7898000004</v>
      </c>
      <c r="I1245" s="22">
        <f>F1245*(1+Assumptions!$B$7+IF(D1245="Yes",Assumptions!$C$7,0))</f>
        <v>2802279.5430000001</v>
      </c>
      <c r="J1245" s="22">
        <f>F1245*(1+Assumptions!$B$8+IF(D1245="Yes",Assumptions!$C$8,0))</f>
        <v>2695526.0366000002</v>
      </c>
    </row>
    <row r="1246" spans="1:10" ht="15">
      <c r="A1246" s="21">
        <v>41026</v>
      </c>
      <c r="B1246" s="21">
        <v>41000</v>
      </c>
      <c r="C1246" s="17">
        <v>40</v>
      </c>
      <c r="D1246" s="17" t="s">
        <v>91</v>
      </c>
      <c r="E1246" s="14">
        <v>2018965</v>
      </c>
      <c r="F1246" s="14">
        <v>1861616.06</v>
      </c>
      <c r="G1246" s="14">
        <v>1861616.06</v>
      </c>
      <c r="H1246" s="22">
        <f>F1246*(1+Assumptions!$B$6+IF(D1246="Yes",Assumptions!$C$6,0))</f>
        <v>1917464.5418</v>
      </c>
      <c r="I1246" s="22">
        <f>F1246*(1+Assumptions!$B$7+IF(D1246="Yes",Assumptions!$C$7,0))</f>
        <v>1954696.8630000001</v>
      </c>
      <c r="J1246" s="22">
        <f>F1246*(1+Assumptions!$B$8+IF(D1246="Yes",Assumptions!$C$8,0))</f>
        <v>1880232.2206000001</v>
      </c>
    </row>
    <row r="1247" spans="1:10" ht="15">
      <c r="A1247" s="21">
        <v>41026</v>
      </c>
      <c r="B1247" s="21">
        <v>41000</v>
      </c>
      <c r="C1247" s="17">
        <v>41</v>
      </c>
      <c r="D1247" s="17" t="s">
        <v>91</v>
      </c>
      <c r="E1247" s="14">
        <v>45908.18</v>
      </c>
      <c r="F1247" s="14">
        <v>56453.26</v>
      </c>
      <c r="G1247" s="14">
        <v>56453.26</v>
      </c>
      <c r="H1247" s="22">
        <f>F1247*(1+Assumptions!$B$6+IF(D1247="Yes",Assumptions!$C$6,0))</f>
        <v>58146.857800000005</v>
      </c>
      <c r="I1247" s="22">
        <f>F1247*(1+Assumptions!$B$7+IF(D1247="Yes",Assumptions!$C$7,0))</f>
        <v>59275.923000000003</v>
      </c>
      <c r="J1247" s="22">
        <f>F1247*(1+Assumptions!$B$8+IF(D1247="Yes",Assumptions!$C$8,0))</f>
        <v>57017.792600000001</v>
      </c>
    </row>
    <row r="1248" spans="1:10" ht="15">
      <c r="A1248" s="21">
        <v>41026</v>
      </c>
      <c r="B1248" s="21">
        <v>41000</v>
      </c>
      <c r="C1248" s="17">
        <v>42</v>
      </c>
      <c r="D1248" s="17" t="s">
        <v>91</v>
      </c>
      <c r="E1248" s="14">
        <v>243369.41</v>
      </c>
      <c r="F1248" s="14">
        <v>216241.07</v>
      </c>
      <c r="G1248" s="14">
        <v>216241.07</v>
      </c>
      <c r="H1248" s="22">
        <f>F1248*(1+Assumptions!$B$6+IF(D1248="Yes",Assumptions!$C$6,0))</f>
        <v>222728.3021</v>
      </c>
      <c r="I1248" s="22">
        <f>F1248*(1+Assumptions!$B$7+IF(D1248="Yes",Assumptions!$C$7,0))</f>
        <v>227053.12350000002</v>
      </c>
      <c r="J1248" s="22">
        <f>F1248*(1+Assumptions!$B$8+IF(D1248="Yes",Assumptions!$C$8,0))</f>
        <v>218403.48070000001</v>
      </c>
    </row>
    <row r="1249" spans="1:10" ht="15">
      <c r="A1249" s="21">
        <v>41026</v>
      </c>
      <c r="B1249" s="21">
        <v>41000</v>
      </c>
      <c r="C1249" s="17">
        <v>44</v>
      </c>
      <c r="D1249" s="17" t="s">
        <v>91</v>
      </c>
      <c r="E1249" s="14">
        <v>151758.79</v>
      </c>
      <c r="F1249" s="14">
        <v>156500.91999999998</v>
      </c>
      <c r="G1249" s="14">
        <v>156500.91999999998</v>
      </c>
      <c r="H1249" s="22">
        <f>F1249*(1+Assumptions!$B$6+IF(D1249="Yes",Assumptions!$C$6,0))</f>
        <v>161195.94759999998</v>
      </c>
      <c r="I1249" s="22">
        <f>F1249*(1+Assumptions!$B$7+IF(D1249="Yes",Assumptions!$C$7,0))</f>
        <v>164325.96599999999</v>
      </c>
      <c r="J1249" s="22">
        <f>F1249*(1+Assumptions!$B$8+IF(D1249="Yes",Assumptions!$C$8,0))</f>
        <v>158065.92919999998</v>
      </c>
    </row>
    <row r="1250" spans="1:10" ht="15">
      <c r="A1250" s="21">
        <v>41026</v>
      </c>
      <c r="B1250" s="21">
        <v>41000</v>
      </c>
      <c r="C1250" s="17">
        <v>45</v>
      </c>
      <c r="D1250" s="17" t="s">
        <v>91</v>
      </c>
      <c r="E1250" s="14">
        <v>101.73</v>
      </c>
      <c r="F1250" s="14">
        <v>215.34</v>
      </c>
      <c r="G1250" s="14">
        <v>215.34</v>
      </c>
      <c r="H1250" s="22">
        <f>F1250*(1+Assumptions!$B$6+IF(D1250="Yes",Assumptions!$C$6,0))</f>
        <v>221.80020000000002</v>
      </c>
      <c r="I1250" s="22">
        <f>F1250*(1+Assumptions!$B$7+IF(D1250="Yes",Assumptions!$C$7,0))</f>
        <v>226.107</v>
      </c>
      <c r="J1250" s="22">
        <f>F1250*(1+Assumptions!$B$8+IF(D1250="Yes",Assumptions!$C$8,0))</f>
        <v>217.49340000000001</v>
      </c>
    </row>
    <row r="1251" spans="1:10" ht="15">
      <c r="A1251" s="21">
        <v>41026</v>
      </c>
      <c r="B1251" s="21">
        <v>41000</v>
      </c>
      <c r="C1251" s="17">
        <v>46</v>
      </c>
      <c r="D1251" s="17" t="s">
        <v>91</v>
      </c>
      <c r="E1251" s="14">
        <v>911825.29</v>
      </c>
      <c r="F1251" s="14">
        <v>871894.42</v>
      </c>
      <c r="G1251" s="14">
        <v>871894.42</v>
      </c>
      <c r="H1251" s="22">
        <f>F1251*(1+Assumptions!$B$6+IF(D1251="Yes",Assumptions!$C$6,0))</f>
        <v>898051.25260000012</v>
      </c>
      <c r="I1251" s="22">
        <f>F1251*(1+Assumptions!$B$7+IF(D1251="Yes",Assumptions!$C$7,0))</f>
        <v>915489.14100000006</v>
      </c>
      <c r="J1251" s="22">
        <f>F1251*(1+Assumptions!$B$8+IF(D1251="Yes",Assumptions!$C$8,0))</f>
        <v>880613.36420000007</v>
      </c>
    </row>
    <row r="1252" spans="1:10" ht="15">
      <c r="A1252" s="21">
        <v>41026</v>
      </c>
      <c r="B1252" s="21">
        <v>41000</v>
      </c>
      <c r="C1252" s="17">
        <v>48</v>
      </c>
      <c r="D1252" s="17" t="s">
        <v>91</v>
      </c>
      <c r="E1252" s="14">
        <v>15079</v>
      </c>
      <c r="F1252" s="14">
        <v>6431.3</v>
      </c>
      <c r="G1252" s="14">
        <v>6431.3</v>
      </c>
      <c r="H1252" s="22">
        <f>F1252*(1+Assumptions!$B$6+IF(D1252="Yes",Assumptions!$C$6,0))</f>
        <v>6624.2390000000005</v>
      </c>
      <c r="I1252" s="22">
        <f>F1252*(1+Assumptions!$B$7+IF(D1252="Yes",Assumptions!$C$7,0))</f>
        <v>6752.8650000000007</v>
      </c>
      <c r="J1252" s="22">
        <f>F1252*(1+Assumptions!$B$8+IF(D1252="Yes",Assumptions!$C$8,0))</f>
        <v>6495.6130000000003</v>
      </c>
    </row>
    <row r="1253" spans="1:10" ht="15">
      <c r="A1253" s="21">
        <v>41026</v>
      </c>
      <c r="B1253" s="21">
        <v>41000</v>
      </c>
      <c r="C1253" s="17">
        <v>49</v>
      </c>
      <c r="D1253" s="17" t="s">
        <v>91</v>
      </c>
      <c r="E1253" s="14">
        <v>256058.02</v>
      </c>
      <c r="F1253" s="14">
        <v>232882.19</v>
      </c>
      <c r="G1253" s="14">
        <v>232882.19</v>
      </c>
      <c r="H1253" s="22">
        <f>F1253*(1+Assumptions!$B$6+IF(D1253="Yes",Assumptions!$C$6,0))</f>
        <v>239868.6557</v>
      </c>
      <c r="I1253" s="22">
        <f>F1253*(1+Assumptions!$B$7+IF(D1253="Yes",Assumptions!$C$7,0))</f>
        <v>244526.29950000002</v>
      </c>
      <c r="J1253" s="22">
        <f>F1253*(1+Assumptions!$B$8+IF(D1253="Yes",Assumptions!$C$8,0))</f>
        <v>235211.01190000001</v>
      </c>
    </row>
    <row r="1254" spans="1:10" ht="15">
      <c r="A1254" s="21">
        <v>41026</v>
      </c>
      <c r="B1254" s="21">
        <v>41000</v>
      </c>
      <c r="C1254" s="17">
        <v>50</v>
      </c>
      <c r="D1254" s="17" t="s">
        <v>91</v>
      </c>
      <c r="E1254" s="14">
        <v>27518.22</v>
      </c>
      <c r="F1254" s="14">
        <v>22536.36</v>
      </c>
      <c r="G1254" s="14">
        <v>22536.36</v>
      </c>
      <c r="H1254" s="22">
        <f>F1254*(1+Assumptions!$B$6+IF(D1254="Yes",Assumptions!$C$6,0))</f>
        <v>23212.450800000002</v>
      </c>
      <c r="I1254" s="22">
        <f>F1254*(1+Assumptions!$B$7+IF(D1254="Yes",Assumptions!$C$7,0))</f>
        <v>23663.178</v>
      </c>
      <c r="J1254" s="22">
        <f>F1254*(1+Assumptions!$B$8+IF(D1254="Yes",Assumptions!$C$8,0))</f>
        <v>22761.723600000001</v>
      </c>
    </row>
    <row r="1255" spans="1:10" ht="15">
      <c r="A1255" s="21">
        <v>41026</v>
      </c>
      <c r="B1255" s="21">
        <v>41000</v>
      </c>
      <c r="C1255" s="17">
        <v>51</v>
      </c>
      <c r="D1255" s="17" t="s">
        <v>91</v>
      </c>
      <c r="E1255" s="14">
        <v>11.08</v>
      </c>
      <c r="F1255" s="14">
        <v>8.379999999999999</v>
      </c>
      <c r="G1255" s="14">
        <v>8.379999999999999</v>
      </c>
      <c r="H1255" s="22">
        <f>F1255*(1+Assumptions!$B$6+IF(D1255="Yes",Assumptions!$C$6,0))</f>
        <v>8.6313999999999993</v>
      </c>
      <c r="I1255" s="22">
        <f>F1255*(1+Assumptions!$B$7+IF(D1255="Yes",Assumptions!$C$7,0))</f>
        <v>8.7989999999999995</v>
      </c>
      <c r="J1255" s="22">
        <f>F1255*(1+Assumptions!$B$8+IF(D1255="Yes",Assumptions!$C$8,0))</f>
        <v>8.4637999999999991</v>
      </c>
    </row>
    <row r="1256" spans="1:10" ht="15">
      <c r="A1256" s="21">
        <v>41026</v>
      </c>
      <c r="B1256" s="21">
        <v>41000</v>
      </c>
      <c r="C1256" s="17">
        <v>52</v>
      </c>
      <c r="D1256" s="17" t="s">
        <v>91</v>
      </c>
      <c r="E1256" s="14">
        <v>75075.05</v>
      </c>
      <c r="F1256" s="14">
        <v>75305.119999999995</v>
      </c>
      <c r="G1256" s="14">
        <v>75305.119999999995</v>
      </c>
      <c r="H1256" s="22">
        <f>F1256*(1+Assumptions!$B$6+IF(D1256="Yes",Assumptions!$C$6,0))</f>
        <v>77564.2736</v>
      </c>
      <c r="I1256" s="22">
        <f>F1256*(1+Assumptions!$B$7+IF(D1256="Yes",Assumptions!$C$7,0))</f>
        <v>79070.376000000004</v>
      </c>
      <c r="J1256" s="22">
        <f>F1256*(1+Assumptions!$B$8+IF(D1256="Yes",Assumptions!$C$8,0))</f>
        <v>76058.171199999997</v>
      </c>
    </row>
    <row r="1257" spans="1:10" ht="15">
      <c r="A1257" s="21">
        <v>41026</v>
      </c>
      <c r="B1257" s="21">
        <v>41000</v>
      </c>
      <c r="C1257" s="17">
        <v>54</v>
      </c>
      <c r="D1257" s="17" t="s">
        <v>91</v>
      </c>
      <c r="E1257" s="14">
        <v>1163.78</v>
      </c>
      <c r="F1257" s="14">
        <v>2049.15</v>
      </c>
      <c r="G1257" s="14">
        <v>2049.15</v>
      </c>
      <c r="H1257" s="22">
        <f>F1257*(1+Assumptions!$B$6+IF(D1257="Yes",Assumptions!$C$6,0))</f>
        <v>2110.6245000000004</v>
      </c>
      <c r="I1257" s="22">
        <f>F1257*(1+Assumptions!$B$7+IF(D1257="Yes",Assumptions!$C$7,0))</f>
        <v>2151.6075000000001</v>
      </c>
      <c r="J1257" s="22">
        <f>F1257*(1+Assumptions!$B$8+IF(D1257="Yes",Assumptions!$C$8,0))</f>
        <v>2069.6415000000002</v>
      </c>
    </row>
    <row r="1258" spans="1:10" ht="15">
      <c r="A1258" s="21">
        <v>41026</v>
      </c>
      <c r="B1258" s="21">
        <v>41000</v>
      </c>
      <c r="C1258" s="17">
        <v>55</v>
      </c>
      <c r="D1258" s="17" t="s">
        <v>91</v>
      </c>
      <c r="E1258" s="14">
        <v>246075.18</v>
      </c>
      <c r="F1258" s="14">
        <v>367647.35000000003</v>
      </c>
      <c r="G1258" s="14">
        <v>367647.35000000003</v>
      </c>
      <c r="H1258" s="22">
        <f>F1258*(1+Assumptions!$B$6+IF(D1258="Yes",Assumptions!$C$6,0))</f>
        <v>378676.77050000004</v>
      </c>
      <c r="I1258" s="22">
        <f>F1258*(1+Assumptions!$B$7+IF(D1258="Yes",Assumptions!$C$7,0))</f>
        <v>386029.71750000003</v>
      </c>
      <c r="J1258" s="22">
        <f>F1258*(1+Assumptions!$B$8+IF(D1258="Yes",Assumptions!$C$8,0))</f>
        <v>371323.82350000006</v>
      </c>
    </row>
    <row r="1259" spans="1:10" ht="15">
      <c r="A1259" s="21">
        <v>41026</v>
      </c>
      <c r="B1259" s="21">
        <v>41000</v>
      </c>
      <c r="C1259" s="17">
        <v>56</v>
      </c>
      <c r="D1259" s="17" t="s">
        <v>91</v>
      </c>
      <c r="E1259" s="14">
        <v>338091.44</v>
      </c>
      <c r="F1259" s="14">
        <v>346599.42</v>
      </c>
      <c r="G1259" s="14">
        <v>346599.42</v>
      </c>
      <c r="H1259" s="22">
        <f>F1259*(1+Assumptions!$B$6+IF(D1259="Yes",Assumptions!$C$6,0))</f>
        <v>356997.40259999997</v>
      </c>
      <c r="I1259" s="22">
        <f>F1259*(1+Assumptions!$B$7+IF(D1259="Yes",Assumptions!$C$7,0))</f>
        <v>363929.391</v>
      </c>
      <c r="J1259" s="22">
        <f>F1259*(1+Assumptions!$B$8+IF(D1259="Yes",Assumptions!$C$8,0))</f>
        <v>350065.4142</v>
      </c>
    </row>
    <row r="1260" spans="1:10" ht="15">
      <c r="A1260" s="21">
        <v>41026</v>
      </c>
      <c r="B1260" s="21">
        <v>41000</v>
      </c>
      <c r="C1260" s="17">
        <v>58</v>
      </c>
      <c r="D1260" s="17" t="s">
        <v>91</v>
      </c>
      <c r="E1260" s="14">
        <v>89585</v>
      </c>
      <c r="F1260" s="14">
        <v>79875</v>
      </c>
      <c r="G1260" s="14">
        <v>79875</v>
      </c>
      <c r="H1260" s="22">
        <f>F1260*(1+Assumptions!$B$6+IF(D1260="Yes",Assumptions!$C$6,0))</f>
        <v>82271.25</v>
      </c>
      <c r="I1260" s="22">
        <f>F1260*(1+Assumptions!$B$7+IF(D1260="Yes",Assumptions!$C$7,0))</f>
        <v>83868.75</v>
      </c>
      <c r="J1260" s="22">
        <f>F1260*(1+Assumptions!$B$8+IF(D1260="Yes",Assumptions!$C$8,0))</f>
        <v>80673.75</v>
      </c>
    </row>
    <row r="1261" spans="1:10" ht="15">
      <c r="A1261" s="21">
        <v>41026</v>
      </c>
      <c r="B1261" s="21">
        <v>41000</v>
      </c>
      <c r="C1261" s="17">
        <v>59</v>
      </c>
      <c r="D1261" s="17" t="s">
        <v>91</v>
      </c>
      <c r="E1261" s="14">
        <v>9132.2000000000007</v>
      </c>
      <c r="F1261" s="14">
        <v>13311.57</v>
      </c>
      <c r="G1261" s="14">
        <v>13311.57</v>
      </c>
      <c r="H1261" s="22">
        <f>F1261*(1+Assumptions!$B$6+IF(D1261="Yes",Assumptions!$C$6,0))</f>
        <v>13710.917100000001</v>
      </c>
      <c r="I1261" s="22">
        <f>F1261*(1+Assumptions!$B$7+IF(D1261="Yes",Assumptions!$C$7,0))</f>
        <v>13977.148500000001</v>
      </c>
      <c r="J1261" s="22">
        <f>F1261*(1+Assumptions!$B$8+IF(D1261="Yes",Assumptions!$C$8,0))</f>
        <v>13444.6857</v>
      </c>
    </row>
    <row r="1262" spans="1:10" ht="15">
      <c r="A1262" s="21">
        <v>41026</v>
      </c>
      <c r="B1262" s="21">
        <v>41000</v>
      </c>
      <c r="C1262" s="17">
        <v>60</v>
      </c>
      <c r="D1262" s="17" t="s">
        <v>91</v>
      </c>
      <c r="E1262" s="14">
        <v>13059</v>
      </c>
      <c r="F1262" s="14">
        <v>11677.6</v>
      </c>
      <c r="G1262" s="14">
        <v>11677.6</v>
      </c>
      <c r="H1262" s="22">
        <f>F1262*(1+Assumptions!$B$6+IF(D1262="Yes",Assumptions!$C$6,0))</f>
        <v>12027.928</v>
      </c>
      <c r="I1262" s="22">
        <f>F1262*(1+Assumptions!$B$7+IF(D1262="Yes",Assumptions!$C$7,0))</f>
        <v>12261.480000000001</v>
      </c>
      <c r="J1262" s="22">
        <f>F1262*(1+Assumptions!$B$8+IF(D1262="Yes",Assumptions!$C$8,0))</f>
        <v>11794.376</v>
      </c>
    </row>
    <row r="1263" spans="1:10" ht="15">
      <c r="A1263" s="21">
        <v>41026</v>
      </c>
      <c r="B1263" s="21">
        <v>41000</v>
      </c>
      <c r="C1263" s="17">
        <v>65</v>
      </c>
      <c r="D1263" s="17" t="s">
        <v>91</v>
      </c>
      <c r="E1263" s="14">
        <v>45946.46</v>
      </c>
      <c r="F1263" s="14">
        <v>55328.66</v>
      </c>
      <c r="G1263" s="14">
        <v>55328.66</v>
      </c>
      <c r="H1263" s="22">
        <f>F1263*(1+Assumptions!$B$6+IF(D1263="Yes",Assumptions!$C$6,0))</f>
        <v>56988.519800000002</v>
      </c>
      <c r="I1263" s="22">
        <f>F1263*(1+Assumptions!$B$7+IF(D1263="Yes",Assumptions!$C$7,0))</f>
        <v>58095.093000000008</v>
      </c>
      <c r="J1263" s="22">
        <f>F1263*(1+Assumptions!$B$8+IF(D1263="Yes",Assumptions!$C$8,0))</f>
        <v>55881.946600000003</v>
      </c>
    </row>
    <row r="1264" spans="1:10" ht="15">
      <c r="A1264" s="21">
        <v>41026</v>
      </c>
      <c r="B1264" s="21">
        <v>41000</v>
      </c>
      <c r="C1264" s="17">
        <v>67</v>
      </c>
      <c r="D1264" s="17" t="s">
        <v>91</v>
      </c>
      <c r="E1264" s="14">
        <v>289406.2</v>
      </c>
      <c r="F1264" s="14">
        <v>352838.84</v>
      </c>
      <c r="G1264" s="14">
        <v>352838.84</v>
      </c>
      <c r="H1264" s="22">
        <f>F1264*(1+Assumptions!$B$6+IF(D1264="Yes",Assumptions!$C$6,0))</f>
        <v>363424.00520000001</v>
      </c>
      <c r="I1264" s="22">
        <f>F1264*(1+Assumptions!$B$7+IF(D1264="Yes",Assumptions!$C$7,0))</f>
        <v>370480.78200000006</v>
      </c>
      <c r="J1264" s="22">
        <f>F1264*(1+Assumptions!$B$8+IF(D1264="Yes",Assumptions!$C$8,0))</f>
        <v>356367.22840000002</v>
      </c>
    </row>
    <row r="1265" spans="1:10" ht="15">
      <c r="A1265" s="21">
        <v>41026</v>
      </c>
      <c r="B1265" s="21">
        <v>41000</v>
      </c>
      <c r="C1265" s="17">
        <v>71</v>
      </c>
      <c r="D1265" s="17" t="s">
        <v>91</v>
      </c>
      <c r="E1265" s="14">
        <v>167664.07999999999</v>
      </c>
      <c r="F1265" s="14">
        <v>177944.2</v>
      </c>
      <c r="G1265" s="14">
        <v>177944.2</v>
      </c>
      <c r="H1265" s="22">
        <f>F1265*(1+Assumptions!$B$6+IF(D1265="Yes",Assumptions!$C$6,0))</f>
        <v>183282.52600000001</v>
      </c>
      <c r="I1265" s="22">
        <f>F1265*(1+Assumptions!$B$7+IF(D1265="Yes",Assumptions!$C$7,0))</f>
        <v>186841.41000000003</v>
      </c>
      <c r="J1265" s="22">
        <f>F1265*(1+Assumptions!$B$8+IF(D1265="Yes",Assumptions!$C$8,0))</f>
        <v>179723.64200000002</v>
      </c>
    </row>
    <row r="1266" spans="1:10" ht="15">
      <c r="A1266" s="21">
        <v>41026</v>
      </c>
      <c r="B1266" s="21">
        <v>41000</v>
      </c>
      <c r="C1266" s="17">
        <v>72</v>
      </c>
      <c r="D1266" s="17" t="s">
        <v>91</v>
      </c>
      <c r="E1266" s="14">
        <v>1572573.32</v>
      </c>
      <c r="F1266" s="14">
        <v>1659803.77</v>
      </c>
      <c r="G1266" s="14">
        <v>1659803.77</v>
      </c>
      <c r="H1266" s="22">
        <f>F1266*(1+Assumptions!$B$6+IF(D1266="Yes",Assumptions!$C$6,0))</f>
        <v>1709597.8831</v>
      </c>
      <c r="I1266" s="22">
        <f>F1266*(1+Assumptions!$B$7+IF(D1266="Yes",Assumptions!$C$7,0))</f>
        <v>1742793.9585000002</v>
      </c>
      <c r="J1266" s="22">
        <f>F1266*(1+Assumptions!$B$8+IF(D1266="Yes",Assumptions!$C$8,0))</f>
        <v>1676401.8077</v>
      </c>
    </row>
    <row r="1267" spans="1:10" ht="15">
      <c r="A1267" s="21">
        <v>41026</v>
      </c>
      <c r="B1267" s="21">
        <v>41000</v>
      </c>
      <c r="C1267" s="17">
        <v>74</v>
      </c>
      <c r="D1267" s="17" t="s">
        <v>91</v>
      </c>
      <c r="E1267" s="14">
        <v>554172.75</v>
      </c>
      <c r="F1267" s="14">
        <v>532735.71</v>
      </c>
      <c r="G1267" s="14">
        <v>532735.71</v>
      </c>
      <c r="H1267" s="22">
        <f>F1267*(1+Assumptions!$B$6+IF(D1267="Yes",Assumptions!$C$6,0))</f>
        <v>548717.78130000003</v>
      </c>
      <c r="I1267" s="22">
        <f>F1267*(1+Assumptions!$B$7+IF(D1267="Yes",Assumptions!$C$7,0))</f>
        <v>559372.49549999996</v>
      </c>
      <c r="J1267" s="22">
        <f>F1267*(1+Assumptions!$B$8+IF(D1267="Yes",Assumptions!$C$8,0))</f>
        <v>538063.06709999999</v>
      </c>
    </row>
    <row r="1268" spans="1:10" ht="15">
      <c r="A1268" s="21">
        <v>41026</v>
      </c>
      <c r="B1268" s="21">
        <v>41000</v>
      </c>
      <c r="C1268" s="17">
        <v>79</v>
      </c>
      <c r="D1268" s="17" t="s">
        <v>91</v>
      </c>
      <c r="E1268" s="14">
        <v>926494.58</v>
      </c>
      <c r="F1268" s="14">
        <v>900364.3</v>
      </c>
      <c r="G1268" s="14">
        <v>900364.3</v>
      </c>
      <c r="H1268" s="22">
        <f>F1268*(1+Assumptions!$B$6+IF(D1268="Yes",Assumptions!$C$6,0))</f>
        <v>927375.22900000005</v>
      </c>
      <c r="I1268" s="22">
        <f>F1268*(1+Assumptions!$B$7+IF(D1268="Yes",Assumptions!$C$7,0))</f>
        <v>945382.51500000013</v>
      </c>
      <c r="J1268" s="22">
        <f>F1268*(1+Assumptions!$B$8+IF(D1268="Yes",Assumptions!$C$8,0))</f>
        <v>909367.94300000009</v>
      </c>
    </row>
    <row r="1269" spans="1:10" ht="15">
      <c r="A1269" s="21">
        <v>41026</v>
      </c>
      <c r="B1269" s="21">
        <v>41000</v>
      </c>
      <c r="C1269" s="17">
        <v>80</v>
      </c>
      <c r="D1269" s="17" t="s">
        <v>91</v>
      </c>
      <c r="E1269" s="14">
        <v>484598.42</v>
      </c>
      <c r="F1269" s="14">
        <v>464196.89</v>
      </c>
      <c r="G1269" s="14">
        <v>464196.89</v>
      </c>
      <c r="H1269" s="22">
        <f>F1269*(1+Assumptions!$B$6+IF(D1269="Yes",Assumptions!$C$6,0))</f>
        <v>478122.79670000001</v>
      </c>
      <c r="I1269" s="22">
        <f>F1269*(1+Assumptions!$B$7+IF(D1269="Yes",Assumptions!$C$7,0))</f>
        <v>487406.73450000002</v>
      </c>
      <c r="J1269" s="22">
        <f>F1269*(1+Assumptions!$B$8+IF(D1269="Yes",Assumptions!$C$8,0))</f>
        <v>468838.85889999999</v>
      </c>
    </row>
    <row r="1270" spans="1:10" ht="15">
      <c r="A1270" s="21">
        <v>41026</v>
      </c>
      <c r="B1270" s="21">
        <v>41000</v>
      </c>
      <c r="C1270" s="17">
        <v>81</v>
      </c>
      <c r="D1270" s="17" t="s">
        <v>91</v>
      </c>
      <c r="E1270" s="14">
        <v>689408.3</v>
      </c>
      <c r="F1270" s="14">
        <v>624494.25</v>
      </c>
      <c r="G1270" s="14">
        <v>624494.25</v>
      </c>
      <c r="H1270" s="22">
        <f>F1270*(1+Assumptions!$B$6+IF(D1270="Yes",Assumptions!$C$6,0))</f>
        <v>643229.07750000001</v>
      </c>
      <c r="I1270" s="22">
        <f>F1270*(1+Assumptions!$B$7+IF(D1270="Yes",Assumptions!$C$7,0))</f>
        <v>655718.96250000002</v>
      </c>
      <c r="J1270" s="22">
        <f>F1270*(1+Assumptions!$B$8+IF(D1270="Yes",Assumptions!$C$8,0))</f>
        <v>630739.1925</v>
      </c>
    </row>
    <row r="1271" spans="1:10" ht="15">
      <c r="A1271" s="21">
        <v>41026</v>
      </c>
      <c r="B1271" s="21">
        <v>41000</v>
      </c>
      <c r="C1271" s="17">
        <v>82</v>
      </c>
      <c r="D1271" s="17" t="s">
        <v>91</v>
      </c>
      <c r="E1271" s="14">
        <v>620815.26</v>
      </c>
      <c r="F1271" s="14">
        <v>625763.25</v>
      </c>
      <c r="G1271" s="14">
        <v>625763.25</v>
      </c>
      <c r="H1271" s="22">
        <f>F1271*(1+Assumptions!$B$6+IF(D1271="Yes",Assumptions!$C$6,0))</f>
        <v>644536.14749999996</v>
      </c>
      <c r="I1271" s="22">
        <f>F1271*(1+Assumptions!$B$7+IF(D1271="Yes",Assumptions!$C$7,0))</f>
        <v>657051.41249999998</v>
      </c>
      <c r="J1271" s="22">
        <f>F1271*(1+Assumptions!$B$8+IF(D1271="Yes",Assumptions!$C$8,0))</f>
        <v>632020.88249999995</v>
      </c>
    </row>
    <row r="1272" spans="1:10" ht="15">
      <c r="A1272" s="21">
        <v>41026</v>
      </c>
      <c r="B1272" s="21">
        <v>41000</v>
      </c>
      <c r="C1272" s="17">
        <v>83</v>
      </c>
      <c r="D1272" s="17" t="s">
        <v>91</v>
      </c>
      <c r="E1272" s="14">
        <v>121078.18000000001</v>
      </c>
      <c r="F1272" s="14">
        <v>111406.68000000001</v>
      </c>
      <c r="G1272" s="14">
        <v>111406.68000000001</v>
      </c>
      <c r="H1272" s="22">
        <f>F1272*(1+Assumptions!$B$6+IF(D1272="Yes",Assumptions!$C$6,0))</f>
        <v>114748.88040000001</v>
      </c>
      <c r="I1272" s="22">
        <f>F1272*(1+Assumptions!$B$7+IF(D1272="Yes",Assumptions!$C$7,0))</f>
        <v>116977.01400000001</v>
      </c>
      <c r="J1272" s="22">
        <f>F1272*(1+Assumptions!$B$8+IF(D1272="Yes",Assumptions!$C$8,0))</f>
        <v>112520.74680000001</v>
      </c>
    </row>
    <row r="1273" spans="1:10" ht="15">
      <c r="A1273" s="21">
        <v>41026</v>
      </c>
      <c r="B1273" s="21">
        <v>41000</v>
      </c>
      <c r="C1273" s="17">
        <v>85</v>
      </c>
      <c r="D1273" s="17" t="s">
        <v>91</v>
      </c>
      <c r="E1273" s="14">
        <v>76583.58</v>
      </c>
      <c r="F1273" s="14">
        <v>83377.279999999999</v>
      </c>
      <c r="G1273" s="14">
        <v>83377.279999999999</v>
      </c>
      <c r="H1273" s="22">
        <f>F1273*(1+Assumptions!$B$6+IF(D1273="Yes",Assumptions!$C$6,0))</f>
        <v>85878.598400000003</v>
      </c>
      <c r="I1273" s="22">
        <f>F1273*(1+Assumptions!$B$7+IF(D1273="Yes",Assumptions!$C$7,0))</f>
        <v>87546.144</v>
      </c>
      <c r="J1273" s="22">
        <f>F1273*(1+Assumptions!$B$8+IF(D1273="Yes",Assumptions!$C$8,0))</f>
        <v>84211.052800000005</v>
      </c>
    </row>
    <row r="1274" spans="1:10" ht="15">
      <c r="A1274" s="21">
        <v>41026</v>
      </c>
      <c r="B1274" s="21">
        <v>41000</v>
      </c>
      <c r="C1274" s="17">
        <v>87</v>
      </c>
      <c r="D1274" s="17" t="s">
        <v>91</v>
      </c>
      <c r="E1274" s="14">
        <v>572705.59</v>
      </c>
      <c r="F1274" s="14">
        <v>513255.33</v>
      </c>
      <c r="G1274" s="14">
        <v>513255.33</v>
      </c>
      <c r="H1274" s="22">
        <f>F1274*(1+Assumptions!$B$6+IF(D1274="Yes",Assumptions!$C$6,0))</f>
        <v>528652.98990000004</v>
      </c>
      <c r="I1274" s="22">
        <f>F1274*(1+Assumptions!$B$7+IF(D1274="Yes",Assumptions!$C$7,0))</f>
        <v>538918.09649999999</v>
      </c>
      <c r="J1274" s="22">
        <f>F1274*(1+Assumptions!$B$8+IF(D1274="Yes",Assumptions!$C$8,0))</f>
        <v>518387.88330000004</v>
      </c>
    </row>
    <row r="1275" spans="1:10" ht="15">
      <c r="A1275" s="21">
        <v>41026</v>
      </c>
      <c r="B1275" s="21">
        <v>41000</v>
      </c>
      <c r="C1275" s="17">
        <v>90</v>
      </c>
      <c r="D1275" s="17" t="s">
        <v>91</v>
      </c>
      <c r="E1275" s="14">
        <v>1955272.85</v>
      </c>
      <c r="F1275" s="14">
        <v>1858260.34</v>
      </c>
      <c r="G1275" s="14">
        <v>1858260.34</v>
      </c>
      <c r="H1275" s="22">
        <f>F1275*(1+Assumptions!$B$6+IF(D1275="Yes",Assumptions!$C$6,0))</f>
        <v>1914008.1502</v>
      </c>
      <c r="I1275" s="22">
        <f>F1275*(1+Assumptions!$B$7+IF(D1275="Yes",Assumptions!$C$7,0))</f>
        <v>1951173.3570000001</v>
      </c>
      <c r="J1275" s="22">
        <f>F1275*(1+Assumptions!$B$8+IF(D1275="Yes",Assumptions!$C$8,0))</f>
        <v>1876842.9434</v>
      </c>
    </row>
    <row r="1276" spans="1:10" ht="15">
      <c r="A1276" s="21">
        <v>41026</v>
      </c>
      <c r="B1276" s="21">
        <v>41000</v>
      </c>
      <c r="C1276" s="17">
        <v>91</v>
      </c>
      <c r="D1276" s="17" t="s">
        <v>91</v>
      </c>
      <c r="E1276" s="14">
        <v>1449483.19</v>
      </c>
      <c r="F1276" s="14">
        <v>1276869.49</v>
      </c>
      <c r="G1276" s="14">
        <v>1276869.49</v>
      </c>
      <c r="H1276" s="22">
        <f>F1276*(1+Assumptions!$B$6+IF(D1276="Yes",Assumptions!$C$6,0))</f>
        <v>1315175.5747</v>
      </c>
      <c r="I1276" s="22">
        <f>F1276*(1+Assumptions!$B$7+IF(D1276="Yes",Assumptions!$C$7,0))</f>
        <v>1340712.9645</v>
      </c>
      <c r="J1276" s="22">
        <f>F1276*(1+Assumptions!$B$8+IF(D1276="Yes",Assumptions!$C$8,0))</f>
        <v>1289638.1849</v>
      </c>
    </row>
    <row r="1277" spans="1:10" ht="15">
      <c r="A1277" s="21">
        <v>41026</v>
      </c>
      <c r="B1277" s="21">
        <v>41000</v>
      </c>
      <c r="C1277" s="17">
        <v>92</v>
      </c>
      <c r="D1277" s="17" t="s">
        <v>91</v>
      </c>
      <c r="E1277" s="14">
        <v>3198465.01</v>
      </c>
      <c r="F1277" s="14">
        <v>2790205.04</v>
      </c>
      <c r="G1277" s="14">
        <v>2790205.04</v>
      </c>
      <c r="H1277" s="22">
        <f>F1277*(1+Assumptions!$B$6+IF(D1277="Yes",Assumptions!$C$6,0))</f>
        <v>2873911.1912000002</v>
      </c>
      <c r="I1277" s="22">
        <f>F1277*(1+Assumptions!$B$7+IF(D1277="Yes",Assumptions!$C$7,0))</f>
        <v>2929715.2920000004</v>
      </c>
      <c r="J1277" s="22">
        <f>F1277*(1+Assumptions!$B$8+IF(D1277="Yes",Assumptions!$C$8,0))</f>
        <v>2818107.0904000001</v>
      </c>
    </row>
    <row r="1278" spans="1:10" ht="15">
      <c r="A1278" s="21">
        <v>41026</v>
      </c>
      <c r="B1278" s="21">
        <v>41000</v>
      </c>
      <c r="C1278" s="17">
        <v>93</v>
      </c>
      <c r="D1278" s="17" t="s">
        <v>91</v>
      </c>
      <c r="E1278" s="14">
        <v>994454.91</v>
      </c>
      <c r="F1278" s="14">
        <v>990427.15</v>
      </c>
      <c r="G1278" s="14">
        <v>990427.15</v>
      </c>
      <c r="H1278" s="22">
        <f>F1278*(1+Assumptions!$B$6+IF(D1278="Yes",Assumptions!$C$6,0))</f>
        <v>1020139.9645</v>
      </c>
      <c r="I1278" s="22">
        <f>F1278*(1+Assumptions!$B$7+IF(D1278="Yes",Assumptions!$C$7,0))</f>
        <v>1039948.5075000001</v>
      </c>
      <c r="J1278" s="22">
        <f>F1278*(1+Assumptions!$B$8+IF(D1278="Yes",Assumptions!$C$8,0))</f>
        <v>1000331.4215000001</v>
      </c>
    </row>
    <row r="1279" spans="1:10" ht="15">
      <c r="A1279" s="21">
        <v>41026</v>
      </c>
      <c r="B1279" s="21">
        <v>41000</v>
      </c>
      <c r="C1279" s="17">
        <v>94</v>
      </c>
      <c r="D1279" s="17" t="s">
        <v>91</v>
      </c>
      <c r="E1279" s="14">
        <v>1271135.67</v>
      </c>
      <c r="F1279" s="14">
        <v>1348558.58</v>
      </c>
      <c r="G1279" s="14">
        <v>1348558.58</v>
      </c>
      <c r="H1279" s="22">
        <f>F1279*(1+Assumptions!$B$6+IF(D1279="Yes",Assumptions!$C$6,0))</f>
        <v>1389015.3374000001</v>
      </c>
      <c r="I1279" s="22">
        <f>F1279*(1+Assumptions!$B$7+IF(D1279="Yes",Assumptions!$C$7,0))</f>
        <v>1415986.5090000001</v>
      </c>
      <c r="J1279" s="22">
        <f>F1279*(1+Assumptions!$B$8+IF(D1279="Yes",Assumptions!$C$8,0))</f>
        <v>1362044.1658000001</v>
      </c>
    </row>
    <row r="1280" spans="1:10" ht="15">
      <c r="A1280" s="21">
        <v>41026</v>
      </c>
      <c r="B1280" s="21">
        <v>41000</v>
      </c>
      <c r="C1280" s="17">
        <v>95</v>
      </c>
      <c r="D1280" s="17" t="s">
        <v>91</v>
      </c>
      <c r="E1280" s="14">
        <v>3086089.08</v>
      </c>
      <c r="F1280" s="14">
        <v>2783020.41</v>
      </c>
      <c r="G1280" s="14">
        <v>2783020.41</v>
      </c>
      <c r="H1280" s="22">
        <f>F1280*(1+Assumptions!$B$6+IF(D1280="Yes",Assumptions!$C$6,0))</f>
        <v>2866511.0223000003</v>
      </c>
      <c r="I1280" s="22">
        <f>F1280*(1+Assumptions!$B$7+IF(D1280="Yes",Assumptions!$C$7,0))</f>
        <v>2922171.4305000002</v>
      </c>
      <c r="J1280" s="22">
        <f>F1280*(1+Assumptions!$B$8+IF(D1280="Yes",Assumptions!$C$8,0))</f>
        <v>2810850.6141000004</v>
      </c>
    </row>
    <row r="1281" spans="1:10" ht="15">
      <c r="A1281" s="21">
        <v>41026</v>
      </c>
      <c r="B1281" s="21">
        <v>41000</v>
      </c>
      <c r="C1281" s="17">
        <v>96</v>
      </c>
      <c r="D1281" s="17" t="s">
        <v>91</v>
      </c>
      <c r="E1281" s="14">
        <v>524048.81</v>
      </c>
      <c r="F1281" s="14">
        <v>497796.79</v>
      </c>
      <c r="G1281" s="14">
        <v>497796.79</v>
      </c>
      <c r="H1281" s="22">
        <f>F1281*(1+Assumptions!$B$6+IF(D1281="Yes",Assumptions!$C$6,0))</f>
        <v>512730.6937</v>
      </c>
      <c r="I1281" s="22">
        <f>F1281*(1+Assumptions!$B$7+IF(D1281="Yes",Assumptions!$C$7,0))</f>
        <v>522686.62949999998</v>
      </c>
      <c r="J1281" s="22">
        <f>F1281*(1+Assumptions!$B$8+IF(D1281="Yes",Assumptions!$C$8,0))</f>
        <v>502774.75789999997</v>
      </c>
    </row>
    <row r="1282" spans="1:10" ht="15">
      <c r="A1282" s="21">
        <v>41026</v>
      </c>
      <c r="B1282" s="21">
        <v>41000</v>
      </c>
      <c r="C1282" s="17">
        <v>97</v>
      </c>
      <c r="D1282" s="17" t="s">
        <v>91</v>
      </c>
      <c r="E1282" s="14">
        <v>578281.85</v>
      </c>
      <c r="F1282" s="14">
        <v>543807.07999999996</v>
      </c>
      <c r="G1282" s="14">
        <v>543807.07999999996</v>
      </c>
      <c r="H1282" s="22">
        <f>F1282*(1+Assumptions!$B$6+IF(D1282="Yes",Assumptions!$C$6,0))</f>
        <v>560121.29239999992</v>
      </c>
      <c r="I1282" s="22">
        <f>F1282*(1+Assumptions!$B$7+IF(D1282="Yes",Assumptions!$C$7,0))</f>
        <v>570997.43400000001</v>
      </c>
      <c r="J1282" s="22">
        <f>F1282*(1+Assumptions!$B$8+IF(D1282="Yes",Assumptions!$C$8,0))</f>
        <v>549245.15079999994</v>
      </c>
    </row>
    <row r="1283" spans="1:10" ht="15">
      <c r="A1283" s="21">
        <v>41026</v>
      </c>
      <c r="B1283" s="21">
        <v>41000</v>
      </c>
      <c r="C1283" s="17">
        <v>98</v>
      </c>
      <c r="D1283" s="17" t="s">
        <v>91</v>
      </c>
      <c r="E1283" s="14">
        <v>243745.68</v>
      </c>
      <c r="F1283" s="14">
        <v>286748.89</v>
      </c>
      <c r="G1283" s="14">
        <v>286748.89</v>
      </c>
      <c r="H1283" s="22">
        <f>F1283*(1+Assumptions!$B$6+IF(D1283="Yes",Assumptions!$C$6,0))</f>
        <v>295351.3567</v>
      </c>
      <c r="I1283" s="22">
        <f>F1283*(1+Assumptions!$B$7+IF(D1283="Yes",Assumptions!$C$7,0))</f>
        <v>301086.33450000006</v>
      </c>
      <c r="J1283" s="22">
        <f>F1283*(1+Assumptions!$B$8+IF(D1283="Yes",Assumptions!$C$8,0))</f>
        <v>289616.37890000001</v>
      </c>
    </row>
    <row r="1284" spans="1:10" ht="15">
      <c r="A1284" s="21">
        <v>41033</v>
      </c>
      <c r="B1284" s="21">
        <v>41030</v>
      </c>
      <c r="C1284" s="17">
        <v>1</v>
      </c>
      <c r="D1284" s="17" t="s">
        <v>91</v>
      </c>
      <c r="E1284" s="14">
        <v>629152.80000000005</v>
      </c>
      <c r="F1284" s="14">
        <v>649338.4</v>
      </c>
      <c r="G1284" s="14">
        <v>649338.4</v>
      </c>
      <c r="H1284" s="22">
        <f>F1284*(1+Assumptions!$B$6+IF(D1284="Yes",Assumptions!$C$6,0))</f>
        <v>668818.55200000003</v>
      </c>
      <c r="I1284" s="22">
        <f>F1284*(1+Assumptions!$B$7+IF(D1284="Yes",Assumptions!$C$7,0))</f>
        <v>681805.32000000007</v>
      </c>
      <c r="J1284" s="22">
        <f>F1284*(1+Assumptions!$B$8+IF(D1284="Yes",Assumptions!$C$8,0))</f>
        <v>655831.78399999999</v>
      </c>
    </row>
    <row r="1285" spans="1:10" ht="15">
      <c r="A1285" s="21">
        <v>41033</v>
      </c>
      <c r="B1285" s="21">
        <v>41030</v>
      </c>
      <c r="C1285" s="17">
        <v>2</v>
      </c>
      <c r="D1285" s="17" t="s">
        <v>91</v>
      </c>
      <c r="E1285" s="14">
        <v>2005742.54</v>
      </c>
      <c r="F1285" s="14">
        <v>1940981.5</v>
      </c>
      <c r="G1285" s="14">
        <v>1940981.5</v>
      </c>
      <c r="H1285" s="22">
        <f>F1285*(1+Assumptions!$B$6+IF(D1285="Yes",Assumptions!$C$6,0))</f>
        <v>1999210.9450000001</v>
      </c>
      <c r="I1285" s="22">
        <f>F1285*(1+Assumptions!$B$7+IF(D1285="Yes",Assumptions!$C$7,0))</f>
        <v>2038030.5750000002</v>
      </c>
      <c r="J1285" s="22">
        <f>F1285*(1+Assumptions!$B$8+IF(D1285="Yes",Assumptions!$C$8,0))</f>
        <v>1960391.3149999999</v>
      </c>
    </row>
    <row r="1286" spans="1:10" ht="15">
      <c r="A1286" s="21">
        <v>41033</v>
      </c>
      <c r="B1286" s="21">
        <v>41030</v>
      </c>
      <c r="C1286" s="17">
        <v>3</v>
      </c>
      <c r="D1286" s="17" t="s">
        <v>91</v>
      </c>
      <c r="E1286" s="14">
        <v>352636.51</v>
      </c>
      <c r="F1286" s="14">
        <v>366485.64</v>
      </c>
      <c r="G1286" s="14">
        <v>366485.64</v>
      </c>
      <c r="H1286" s="22">
        <f>F1286*(1+Assumptions!$B$6+IF(D1286="Yes",Assumptions!$C$6,0))</f>
        <v>377480.20920000004</v>
      </c>
      <c r="I1286" s="22">
        <f>F1286*(1+Assumptions!$B$7+IF(D1286="Yes",Assumptions!$C$7,0))</f>
        <v>384809.92200000002</v>
      </c>
      <c r="J1286" s="22">
        <f>F1286*(1+Assumptions!$B$8+IF(D1286="Yes",Assumptions!$C$8,0))</f>
        <v>370150.4964</v>
      </c>
    </row>
    <row r="1287" spans="1:10" ht="15">
      <c r="A1287" s="21">
        <v>41033</v>
      </c>
      <c r="B1287" s="21">
        <v>41030</v>
      </c>
      <c r="C1287" s="17">
        <v>4</v>
      </c>
      <c r="D1287" s="17" t="s">
        <v>91</v>
      </c>
      <c r="E1287" s="14">
        <v>1203834.99</v>
      </c>
      <c r="F1287" s="14">
        <v>1180599.79</v>
      </c>
      <c r="G1287" s="14">
        <v>1180599.79</v>
      </c>
      <c r="H1287" s="22">
        <f>F1287*(1+Assumptions!$B$6+IF(D1287="Yes",Assumptions!$C$6,0))</f>
        <v>1216017.7837</v>
      </c>
      <c r="I1287" s="22">
        <f>F1287*(1+Assumptions!$B$7+IF(D1287="Yes",Assumptions!$C$7,0))</f>
        <v>1239629.7795000002</v>
      </c>
      <c r="J1287" s="22">
        <f>F1287*(1+Assumptions!$B$8+IF(D1287="Yes",Assumptions!$C$8,0))</f>
        <v>1192405.7879000001</v>
      </c>
    </row>
    <row r="1288" spans="1:10" ht="15">
      <c r="A1288" s="21">
        <v>41033</v>
      </c>
      <c r="B1288" s="21">
        <v>41030</v>
      </c>
      <c r="C1288" s="17">
        <v>5</v>
      </c>
      <c r="D1288" s="17" t="s">
        <v>91</v>
      </c>
      <c r="E1288" s="14">
        <v>641741.76</v>
      </c>
      <c r="F1288" s="14">
        <v>655667.39</v>
      </c>
      <c r="G1288" s="14">
        <v>655667.39</v>
      </c>
      <c r="H1288" s="22">
        <f>F1288*(1+Assumptions!$B$6+IF(D1288="Yes",Assumptions!$C$6,0))</f>
        <v>675337.41170000006</v>
      </c>
      <c r="I1288" s="22">
        <f>F1288*(1+Assumptions!$B$7+IF(D1288="Yes",Assumptions!$C$7,0))</f>
        <v>688450.75950000004</v>
      </c>
      <c r="J1288" s="22">
        <f>F1288*(1+Assumptions!$B$8+IF(D1288="Yes",Assumptions!$C$8,0))</f>
        <v>662224.06390000007</v>
      </c>
    </row>
    <row r="1289" spans="1:10" ht="15">
      <c r="A1289" s="21">
        <v>41033</v>
      </c>
      <c r="B1289" s="21">
        <v>41030</v>
      </c>
      <c r="C1289" s="17">
        <v>6</v>
      </c>
      <c r="D1289" s="17" t="s">
        <v>91</v>
      </c>
      <c r="E1289" s="14">
        <v>145191.63999999998</v>
      </c>
      <c r="F1289" s="14">
        <v>207254.81</v>
      </c>
      <c r="G1289" s="14">
        <v>207254.81</v>
      </c>
      <c r="H1289" s="22">
        <f>F1289*(1+Assumptions!$B$6+IF(D1289="Yes",Assumptions!$C$6,0))</f>
        <v>213472.45430000001</v>
      </c>
      <c r="I1289" s="22">
        <f>F1289*(1+Assumptions!$B$7+IF(D1289="Yes",Assumptions!$C$7,0))</f>
        <v>217617.55050000001</v>
      </c>
      <c r="J1289" s="22">
        <f>F1289*(1+Assumptions!$B$8+IF(D1289="Yes",Assumptions!$C$8,0))</f>
        <v>209327.35810000001</v>
      </c>
    </row>
    <row r="1290" spans="1:10" ht="15">
      <c r="A1290" s="21">
        <v>41033</v>
      </c>
      <c r="B1290" s="21">
        <v>41030</v>
      </c>
      <c r="C1290" s="17">
        <v>7</v>
      </c>
      <c r="D1290" s="17" t="s">
        <v>91</v>
      </c>
      <c r="E1290" s="14">
        <v>893510.1</v>
      </c>
      <c r="F1290" s="14">
        <v>872930.59</v>
      </c>
      <c r="G1290" s="14">
        <v>872930.59</v>
      </c>
      <c r="H1290" s="22">
        <f>F1290*(1+Assumptions!$B$6+IF(D1290="Yes",Assumptions!$C$6,0))</f>
        <v>899118.50769999996</v>
      </c>
      <c r="I1290" s="22">
        <f>F1290*(1+Assumptions!$B$7+IF(D1290="Yes",Assumptions!$C$7,0))</f>
        <v>916577.11950000003</v>
      </c>
      <c r="J1290" s="22">
        <f>F1290*(1+Assumptions!$B$8+IF(D1290="Yes",Assumptions!$C$8,0))</f>
        <v>881659.8959</v>
      </c>
    </row>
    <row r="1291" spans="1:10" ht="15">
      <c r="A1291" s="21">
        <v>41033</v>
      </c>
      <c r="B1291" s="21">
        <v>41030</v>
      </c>
      <c r="C1291" s="17">
        <v>8</v>
      </c>
      <c r="D1291" s="17" t="s">
        <v>91</v>
      </c>
      <c r="E1291" s="14">
        <v>1425862.06</v>
      </c>
      <c r="F1291" s="14">
        <v>1385109.95</v>
      </c>
      <c r="G1291" s="14">
        <v>1385109.95</v>
      </c>
      <c r="H1291" s="22">
        <f>F1291*(1+Assumptions!$B$6+IF(D1291="Yes",Assumptions!$C$6,0))</f>
        <v>1426663.2485</v>
      </c>
      <c r="I1291" s="22">
        <f>F1291*(1+Assumptions!$B$7+IF(D1291="Yes",Assumptions!$C$7,0))</f>
        <v>1454365.4475</v>
      </c>
      <c r="J1291" s="22">
        <f>F1291*(1+Assumptions!$B$8+IF(D1291="Yes",Assumptions!$C$8,0))</f>
        <v>1398961.0495</v>
      </c>
    </row>
    <row r="1292" spans="1:10" ht="15">
      <c r="A1292" s="21">
        <v>41033</v>
      </c>
      <c r="B1292" s="21">
        <v>41030</v>
      </c>
      <c r="C1292" s="17">
        <v>9</v>
      </c>
      <c r="D1292" s="17" t="s">
        <v>91</v>
      </c>
      <c r="E1292" s="14">
        <v>984888.12</v>
      </c>
      <c r="F1292" s="14">
        <v>843106.62</v>
      </c>
      <c r="G1292" s="14">
        <v>843106.62</v>
      </c>
      <c r="H1292" s="22">
        <f>F1292*(1+Assumptions!$B$6+IF(D1292="Yes",Assumptions!$C$6,0))</f>
        <v>868399.8186</v>
      </c>
      <c r="I1292" s="22">
        <f>F1292*(1+Assumptions!$B$7+IF(D1292="Yes",Assumptions!$C$7,0))</f>
        <v>885261.951</v>
      </c>
      <c r="J1292" s="22">
        <f>F1292*(1+Assumptions!$B$8+IF(D1292="Yes",Assumptions!$C$8,0))</f>
        <v>851537.6862</v>
      </c>
    </row>
    <row r="1293" spans="1:10" ht="15">
      <c r="A1293" s="21">
        <v>41033</v>
      </c>
      <c r="B1293" s="21">
        <v>41030</v>
      </c>
      <c r="C1293" s="17">
        <v>10</v>
      </c>
      <c r="D1293" s="17" t="s">
        <v>91</v>
      </c>
      <c r="E1293" s="14">
        <v>830655.36</v>
      </c>
      <c r="F1293" s="14">
        <v>795840.23</v>
      </c>
      <c r="G1293" s="14">
        <v>795840.23</v>
      </c>
      <c r="H1293" s="22">
        <f>F1293*(1+Assumptions!$B$6+IF(D1293="Yes",Assumptions!$C$6,0))</f>
        <v>819715.43689999997</v>
      </c>
      <c r="I1293" s="22">
        <f>F1293*(1+Assumptions!$B$7+IF(D1293="Yes",Assumptions!$C$7,0))</f>
        <v>835632.2415</v>
      </c>
      <c r="J1293" s="22">
        <f>F1293*(1+Assumptions!$B$8+IF(D1293="Yes",Assumptions!$C$8,0))</f>
        <v>803798.63229999994</v>
      </c>
    </row>
    <row r="1294" spans="1:10" ht="15">
      <c r="A1294" s="21">
        <v>41033</v>
      </c>
      <c r="B1294" s="21">
        <v>41030</v>
      </c>
      <c r="C1294" s="17">
        <v>11</v>
      </c>
      <c r="D1294" s="17" t="s">
        <v>91</v>
      </c>
      <c r="E1294" s="14">
        <v>613088.93999999994</v>
      </c>
      <c r="F1294" s="14">
        <v>547754.06999999995</v>
      </c>
      <c r="G1294" s="14">
        <v>547754.06999999995</v>
      </c>
      <c r="H1294" s="22">
        <f>F1294*(1+Assumptions!$B$6+IF(D1294="Yes",Assumptions!$C$6,0))</f>
        <v>564186.69209999999</v>
      </c>
      <c r="I1294" s="22">
        <f>F1294*(1+Assumptions!$B$7+IF(D1294="Yes",Assumptions!$C$7,0))</f>
        <v>575141.77350000001</v>
      </c>
      <c r="J1294" s="22">
        <f>F1294*(1+Assumptions!$B$8+IF(D1294="Yes",Assumptions!$C$8,0))</f>
        <v>553231.61069999996</v>
      </c>
    </row>
    <row r="1295" spans="1:10" ht="15">
      <c r="A1295" s="21">
        <v>41033</v>
      </c>
      <c r="B1295" s="21">
        <v>41030</v>
      </c>
      <c r="C1295" s="17">
        <v>12</v>
      </c>
      <c r="D1295" s="17" t="s">
        <v>91</v>
      </c>
      <c r="E1295" s="14">
        <v>207205.46</v>
      </c>
      <c r="F1295" s="14">
        <v>193567.65</v>
      </c>
      <c r="G1295" s="14">
        <v>193567.65</v>
      </c>
      <c r="H1295" s="22">
        <f>F1295*(1+Assumptions!$B$6+IF(D1295="Yes",Assumptions!$C$6,0))</f>
        <v>199374.6795</v>
      </c>
      <c r="I1295" s="22">
        <f>F1295*(1+Assumptions!$B$7+IF(D1295="Yes",Assumptions!$C$7,0))</f>
        <v>203246.0325</v>
      </c>
      <c r="J1295" s="22">
        <f>F1295*(1+Assumptions!$B$8+IF(D1295="Yes",Assumptions!$C$8,0))</f>
        <v>195503.3265</v>
      </c>
    </row>
    <row r="1296" spans="1:10" ht="15">
      <c r="A1296" s="21">
        <v>41033</v>
      </c>
      <c r="B1296" s="21">
        <v>41030</v>
      </c>
      <c r="C1296" s="17">
        <v>13</v>
      </c>
      <c r="D1296" s="17" t="s">
        <v>91</v>
      </c>
      <c r="E1296" s="14">
        <v>1404842.36</v>
      </c>
      <c r="F1296" s="14">
        <v>1384971.54</v>
      </c>
      <c r="G1296" s="14">
        <v>1384971.54</v>
      </c>
      <c r="H1296" s="22">
        <f>F1296*(1+Assumptions!$B$6+IF(D1296="Yes",Assumptions!$C$6,0))</f>
        <v>1426520.6862000001</v>
      </c>
      <c r="I1296" s="22">
        <f>F1296*(1+Assumptions!$B$7+IF(D1296="Yes",Assumptions!$C$7,0))</f>
        <v>1454220.1170000001</v>
      </c>
      <c r="J1296" s="22">
        <f>F1296*(1+Assumptions!$B$8+IF(D1296="Yes",Assumptions!$C$8,0))</f>
        <v>1398821.2554000001</v>
      </c>
    </row>
    <row r="1297" spans="1:10" ht="15">
      <c r="A1297" s="21">
        <v>41033</v>
      </c>
      <c r="B1297" s="21">
        <v>41030</v>
      </c>
      <c r="C1297" s="17">
        <v>14</v>
      </c>
      <c r="D1297" s="17" t="s">
        <v>91</v>
      </c>
      <c r="E1297" s="14">
        <v>648830.86</v>
      </c>
      <c r="F1297" s="14">
        <v>629184.28</v>
      </c>
      <c r="G1297" s="14">
        <v>629184.28</v>
      </c>
      <c r="H1297" s="22">
        <f>F1297*(1+Assumptions!$B$6+IF(D1297="Yes",Assumptions!$C$6,0))</f>
        <v>648059.8084000001</v>
      </c>
      <c r="I1297" s="22">
        <f>F1297*(1+Assumptions!$B$7+IF(D1297="Yes",Assumptions!$C$7,0))</f>
        <v>660643.49400000006</v>
      </c>
      <c r="J1297" s="22">
        <f>F1297*(1+Assumptions!$B$8+IF(D1297="Yes",Assumptions!$C$8,0))</f>
        <v>635476.12280000001</v>
      </c>
    </row>
    <row r="1298" spans="1:10" ht="15">
      <c r="A1298" s="21">
        <v>41033</v>
      </c>
      <c r="B1298" s="21">
        <v>41030</v>
      </c>
      <c r="C1298" s="17">
        <v>16</v>
      </c>
      <c r="D1298" s="17" t="s">
        <v>91</v>
      </c>
      <c r="E1298" s="14">
        <v>1144906.6299999999</v>
      </c>
      <c r="F1298" s="14">
        <v>1210152.49</v>
      </c>
      <c r="G1298" s="14">
        <v>1210152.49</v>
      </c>
      <c r="H1298" s="22">
        <f>F1298*(1+Assumptions!$B$6+IF(D1298="Yes",Assumptions!$C$6,0))</f>
        <v>1246457.0647</v>
      </c>
      <c r="I1298" s="22">
        <f>F1298*(1+Assumptions!$B$7+IF(D1298="Yes",Assumptions!$C$7,0))</f>
        <v>1270660.1145000001</v>
      </c>
      <c r="J1298" s="22">
        <f>F1298*(1+Assumptions!$B$8+IF(D1298="Yes",Assumptions!$C$8,0))</f>
        <v>1222254.0149000001</v>
      </c>
    </row>
    <row r="1299" spans="1:10" ht="15">
      <c r="A1299" s="21">
        <v>41033</v>
      </c>
      <c r="B1299" s="21">
        <v>41030</v>
      </c>
      <c r="C1299" s="17">
        <v>17</v>
      </c>
      <c r="D1299" s="17" t="s">
        <v>91</v>
      </c>
      <c r="E1299" s="14">
        <v>405891.16</v>
      </c>
      <c r="F1299" s="14">
        <v>447580.46</v>
      </c>
      <c r="G1299" s="14">
        <v>447580.46</v>
      </c>
      <c r="H1299" s="22">
        <f>F1299*(1+Assumptions!$B$6+IF(D1299="Yes",Assumptions!$C$6,0))</f>
        <v>461007.87380000006</v>
      </c>
      <c r="I1299" s="22">
        <f>F1299*(1+Assumptions!$B$7+IF(D1299="Yes",Assumptions!$C$7,0))</f>
        <v>469959.48300000007</v>
      </c>
      <c r="J1299" s="22">
        <f>F1299*(1+Assumptions!$B$8+IF(D1299="Yes",Assumptions!$C$8,0))</f>
        <v>452056.26460000005</v>
      </c>
    </row>
    <row r="1300" spans="1:10" ht="15">
      <c r="A1300" s="21">
        <v>41033</v>
      </c>
      <c r="B1300" s="21">
        <v>41030</v>
      </c>
      <c r="C1300" s="17">
        <v>18</v>
      </c>
      <c r="D1300" s="17" t="s">
        <v>91</v>
      </c>
      <c r="E1300" s="14">
        <v>773.76</v>
      </c>
      <c r="F1300" s="14">
        <v>19471.2</v>
      </c>
      <c r="G1300" s="14">
        <v>19471.2</v>
      </c>
      <c r="H1300" s="22">
        <f>F1300*(1+Assumptions!$B$6+IF(D1300="Yes",Assumptions!$C$6,0))</f>
        <v>20055.336000000003</v>
      </c>
      <c r="I1300" s="22">
        <f>F1300*(1+Assumptions!$B$7+IF(D1300="Yes",Assumptions!$C$7,0))</f>
        <v>20444.760000000002</v>
      </c>
      <c r="J1300" s="22">
        <f>F1300*(1+Assumptions!$B$8+IF(D1300="Yes",Assumptions!$C$8,0))</f>
        <v>19665.912</v>
      </c>
    </row>
    <row r="1301" spans="1:10" ht="15">
      <c r="A1301" s="21">
        <v>41033</v>
      </c>
      <c r="B1301" s="21">
        <v>41030</v>
      </c>
      <c r="C1301" s="17">
        <v>19</v>
      </c>
      <c r="D1301" s="17" t="s">
        <v>91</v>
      </c>
      <c r="E1301" s="14">
        <v>44363.34</v>
      </c>
      <c r="F1301" s="14">
        <v>40385.68</v>
      </c>
      <c r="G1301" s="14">
        <v>40385.68</v>
      </c>
      <c r="H1301" s="22">
        <f>F1301*(1+Assumptions!$B$6+IF(D1301="Yes",Assumptions!$C$6,0))</f>
        <v>41597.250400000004</v>
      </c>
      <c r="I1301" s="22">
        <f>F1301*(1+Assumptions!$B$7+IF(D1301="Yes",Assumptions!$C$7,0))</f>
        <v>42404.964</v>
      </c>
      <c r="J1301" s="22">
        <f>F1301*(1+Assumptions!$B$8+IF(D1301="Yes",Assumptions!$C$8,0))</f>
        <v>40789.536800000002</v>
      </c>
    </row>
    <row r="1302" spans="1:10" ht="15">
      <c r="A1302" s="21">
        <v>41033</v>
      </c>
      <c r="B1302" s="21">
        <v>41030</v>
      </c>
      <c r="C1302" s="17">
        <v>20</v>
      </c>
      <c r="D1302" s="17" t="s">
        <v>91</v>
      </c>
      <c r="E1302" s="14">
        <v>228576.27</v>
      </c>
      <c r="F1302" s="14">
        <v>224594.56</v>
      </c>
      <c r="G1302" s="14">
        <v>224594.56</v>
      </c>
      <c r="H1302" s="22">
        <f>F1302*(1+Assumptions!$B$6+IF(D1302="Yes",Assumptions!$C$6,0))</f>
        <v>231332.39680000002</v>
      </c>
      <c r="I1302" s="22">
        <f>F1302*(1+Assumptions!$B$7+IF(D1302="Yes",Assumptions!$C$7,0))</f>
        <v>235824.288</v>
      </c>
      <c r="J1302" s="22">
        <f>F1302*(1+Assumptions!$B$8+IF(D1302="Yes",Assumptions!$C$8,0))</f>
        <v>226840.5056</v>
      </c>
    </row>
    <row r="1303" spans="1:10" ht="15">
      <c r="A1303" s="21">
        <v>41033</v>
      </c>
      <c r="B1303" s="21">
        <v>41030</v>
      </c>
      <c r="C1303" s="17">
        <v>21</v>
      </c>
      <c r="D1303" s="17" t="s">
        <v>91</v>
      </c>
      <c r="E1303" s="14">
        <v>201308.15</v>
      </c>
      <c r="F1303" s="14">
        <v>226682.65</v>
      </c>
      <c r="G1303" s="14">
        <v>226682.65</v>
      </c>
      <c r="H1303" s="22">
        <f>F1303*(1+Assumptions!$B$6+IF(D1303="Yes",Assumptions!$C$6,0))</f>
        <v>233483.12950000001</v>
      </c>
      <c r="I1303" s="22">
        <f>F1303*(1+Assumptions!$B$7+IF(D1303="Yes",Assumptions!$C$7,0))</f>
        <v>238016.7825</v>
      </c>
      <c r="J1303" s="22">
        <f>F1303*(1+Assumptions!$B$8+IF(D1303="Yes",Assumptions!$C$8,0))</f>
        <v>228949.47649999999</v>
      </c>
    </row>
    <row r="1304" spans="1:10" ht="15">
      <c r="A1304" s="21">
        <v>41033</v>
      </c>
      <c r="B1304" s="21">
        <v>41030</v>
      </c>
      <c r="C1304" s="17">
        <v>22</v>
      </c>
      <c r="D1304" s="17" t="s">
        <v>91</v>
      </c>
      <c r="E1304" s="14">
        <v>369107.8</v>
      </c>
      <c r="F1304" s="14">
        <v>352196.87</v>
      </c>
      <c r="G1304" s="14">
        <v>352196.87</v>
      </c>
      <c r="H1304" s="22">
        <f>F1304*(1+Assumptions!$B$6+IF(D1304="Yes",Assumptions!$C$6,0))</f>
        <v>362762.77610000002</v>
      </c>
      <c r="I1304" s="22">
        <f>F1304*(1+Assumptions!$B$7+IF(D1304="Yes",Assumptions!$C$7,0))</f>
        <v>369806.71350000001</v>
      </c>
      <c r="J1304" s="22">
        <f>F1304*(1+Assumptions!$B$8+IF(D1304="Yes",Assumptions!$C$8,0))</f>
        <v>355718.83870000002</v>
      </c>
    </row>
    <row r="1305" spans="1:10" ht="15">
      <c r="A1305" s="21">
        <v>41033</v>
      </c>
      <c r="B1305" s="21">
        <v>41030</v>
      </c>
      <c r="C1305" s="17">
        <v>23</v>
      </c>
      <c r="D1305" s="17" t="s">
        <v>91</v>
      </c>
      <c r="E1305" s="14">
        <v>922660.34</v>
      </c>
      <c r="F1305" s="14">
        <v>854689.89</v>
      </c>
      <c r="G1305" s="14">
        <v>854689.89</v>
      </c>
      <c r="H1305" s="22">
        <f>F1305*(1+Assumptions!$B$6+IF(D1305="Yes",Assumptions!$C$6,0))</f>
        <v>880330.58669999999</v>
      </c>
      <c r="I1305" s="22">
        <f>F1305*(1+Assumptions!$B$7+IF(D1305="Yes",Assumptions!$C$7,0))</f>
        <v>897424.38450000004</v>
      </c>
      <c r="J1305" s="22">
        <f>F1305*(1+Assumptions!$B$8+IF(D1305="Yes",Assumptions!$C$8,0))</f>
        <v>863236.78890000004</v>
      </c>
    </row>
    <row r="1306" spans="1:10" ht="15">
      <c r="A1306" s="21">
        <v>41033</v>
      </c>
      <c r="B1306" s="21">
        <v>41030</v>
      </c>
      <c r="C1306" s="17">
        <v>24</v>
      </c>
      <c r="D1306" s="17" t="s">
        <v>91</v>
      </c>
      <c r="E1306" s="14">
        <v>196537.73</v>
      </c>
      <c r="F1306" s="14">
        <v>178770.82</v>
      </c>
      <c r="G1306" s="14">
        <v>178770.82</v>
      </c>
      <c r="H1306" s="22">
        <f>F1306*(1+Assumptions!$B$6+IF(D1306="Yes",Assumptions!$C$6,0))</f>
        <v>184133.94460000002</v>
      </c>
      <c r="I1306" s="22">
        <f>F1306*(1+Assumptions!$B$7+IF(D1306="Yes",Assumptions!$C$7,0))</f>
        <v>187709.361</v>
      </c>
      <c r="J1306" s="22">
        <f>F1306*(1+Assumptions!$B$8+IF(D1306="Yes",Assumptions!$C$8,0))</f>
        <v>180558.5282</v>
      </c>
    </row>
    <row r="1307" spans="1:10" ht="15">
      <c r="A1307" s="21">
        <v>41033</v>
      </c>
      <c r="B1307" s="21">
        <v>41030</v>
      </c>
      <c r="C1307" s="17">
        <v>25</v>
      </c>
      <c r="D1307" s="17" t="s">
        <v>91</v>
      </c>
      <c r="E1307" s="14">
        <v>409772.59</v>
      </c>
      <c r="F1307" s="14">
        <v>413124.3</v>
      </c>
      <c r="G1307" s="14">
        <v>413124.3</v>
      </c>
      <c r="H1307" s="22">
        <f>F1307*(1+Assumptions!$B$6+IF(D1307="Yes",Assumptions!$C$6,0))</f>
        <v>425518.02899999998</v>
      </c>
      <c r="I1307" s="22">
        <f>F1307*(1+Assumptions!$B$7+IF(D1307="Yes",Assumptions!$C$7,0))</f>
        <v>433780.51500000001</v>
      </c>
      <c r="J1307" s="22">
        <f>F1307*(1+Assumptions!$B$8+IF(D1307="Yes",Assumptions!$C$8,0))</f>
        <v>417255.54300000001</v>
      </c>
    </row>
    <row r="1308" spans="1:10" ht="15">
      <c r="A1308" s="21">
        <v>41033</v>
      </c>
      <c r="B1308" s="21">
        <v>41030</v>
      </c>
      <c r="C1308" s="17">
        <v>26</v>
      </c>
      <c r="D1308" s="17" t="s">
        <v>91</v>
      </c>
      <c r="E1308" s="14">
        <v>282758.64</v>
      </c>
      <c r="F1308" s="14">
        <v>289522.62</v>
      </c>
      <c r="G1308" s="14">
        <v>289522.62</v>
      </c>
      <c r="H1308" s="22">
        <f>F1308*(1+Assumptions!$B$6+IF(D1308="Yes",Assumptions!$C$6,0))</f>
        <v>298208.29859999998</v>
      </c>
      <c r="I1308" s="22">
        <f>F1308*(1+Assumptions!$B$7+IF(D1308="Yes",Assumptions!$C$7,0))</f>
        <v>303998.75099999999</v>
      </c>
      <c r="J1308" s="22">
        <f>F1308*(1+Assumptions!$B$8+IF(D1308="Yes",Assumptions!$C$8,0))</f>
        <v>292417.84619999997</v>
      </c>
    </row>
    <row r="1309" spans="1:10" ht="15">
      <c r="A1309" s="21">
        <v>41033</v>
      </c>
      <c r="B1309" s="21">
        <v>41030</v>
      </c>
      <c r="C1309" s="17">
        <v>27</v>
      </c>
      <c r="D1309" s="17" t="s">
        <v>91</v>
      </c>
      <c r="E1309" s="14">
        <v>50522.33</v>
      </c>
      <c r="F1309" s="14">
        <v>50347.020000000004</v>
      </c>
      <c r="G1309" s="14">
        <v>50347.020000000004</v>
      </c>
      <c r="H1309" s="22">
        <f>F1309*(1+Assumptions!$B$6+IF(D1309="Yes",Assumptions!$C$6,0))</f>
        <v>51857.430600000007</v>
      </c>
      <c r="I1309" s="22">
        <f>F1309*(1+Assumptions!$B$7+IF(D1309="Yes",Assumptions!$C$7,0))</f>
        <v>52864.371000000006</v>
      </c>
      <c r="J1309" s="22">
        <f>F1309*(1+Assumptions!$B$8+IF(D1309="Yes",Assumptions!$C$8,0))</f>
        <v>50850.490200000007</v>
      </c>
    </row>
    <row r="1310" spans="1:10" ht="15">
      <c r="A1310" s="21">
        <v>41033</v>
      </c>
      <c r="B1310" s="21">
        <v>41030</v>
      </c>
      <c r="C1310" s="17">
        <v>28</v>
      </c>
      <c r="D1310" s="17" t="s">
        <v>91</v>
      </c>
      <c r="E1310" s="14">
        <v>24326.080000000002</v>
      </c>
      <c r="F1310" s="14">
        <v>27638.63</v>
      </c>
      <c r="G1310" s="14">
        <v>27638.63</v>
      </c>
      <c r="H1310" s="22">
        <f>F1310*(1+Assumptions!$B$6+IF(D1310="Yes",Assumptions!$C$6,0))</f>
        <v>28467.788900000003</v>
      </c>
      <c r="I1310" s="22">
        <f>F1310*(1+Assumptions!$B$7+IF(D1310="Yes",Assumptions!$C$7,0))</f>
        <v>29020.561500000003</v>
      </c>
      <c r="J1310" s="22">
        <f>F1310*(1+Assumptions!$B$8+IF(D1310="Yes",Assumptions!$C$8,0))</f>
        <v>27915.016300000003</v>
      </c>
    </row>
    <row r="1311" spans="1:10" ht="15">
      <c r="A1311" s="21">
        <v>41033</v>
      </c>
      <c r="B1311" s="21">
        <v>41030</v>
      </c>
      <c r="C1311" s="17">
        <v>29</v>
      </c>
      <c r="D1311" s="17" t="s">
        <v>91</v>
      </c>
      <c r="E1311" s="14">
        <v>196244.03</v>
      </c>
      <c r="F1311" s="14">
        <v>210942.24</v>
      </c>
      <c r="G1311" s="14">
        <v>210942.24</v>
      </c>
      <c r="H1311" s="22">
        <f>F1311*(1+Assumptions!$B$6+IF(D1311="Yes",Assumptions!$C$6,0))</f>
        <v>217270.50719999999</v>
      </c>
      <c r="I1311" s="22">
        <f>F1311*(1+Assumptions!$B$7+IF(D1311="Yes",Assumptions!$C$7,0))</f>
        <v>221489.35200000001</v>
      </c>
      <c r="J1311" s="22">
        <f>F1311*(1+Assumptions!$B$8+IF(D1311="Yes",Assumptions!$C$8,0))</f>
        <v>213051.6624</v>
      </c>
    </row>
    <row r="1312" spans="1:10" ht="15">
      <c r="A1312" s="21">
        <v>41033</v>
      </c>
      <c r="B1312" s="21">
        <v>41030</v>
      </c>
      <c r="C1312" s="17">
        <v>30</v>
      </c>
      <c r="D1312" s="17" t="s">
        <v>91</v>
      </c>
      <c r="E1312" s="14">
        <v>157027.18</v>
      </c>
      <c r="F1312" s="14">
        <v>167351.26</v>
      </c>
      <c r="G1312" s="14">
        <v>167351.26</v>
      </c>
      <c r="H1312" s="22">
        <f>F1312*(1+Assumptions!$B$6+IF(D1312="Yes",Assumptions!$C$6,0))</f>
        <v>172371.7978</v>
      </c>
      <c r="I1312" s="22">
        <f>F1312*(1+Assumptions!$B$7+IF(D1312="Yes",Assumptions!$C$7,0))</f>
        <v>175718.823</v>
      </c>
      <c r="J1312" s="22">
        <f>F1312*(1+Assumptions!$B$8+IF(D1312="Yes",Assumptions!$C$8,0))</f>
        <v>169024.7726</v>
      </c>
    </row>
    <row r="1313" spans="1:10" ht="15">
      <c r="A1313" s="21">
        <v>41033</v>
      </c>
      <c r="B1313" s="21">
        <v>41030</v>
      </c>
      <c r="C1313" s="17">
        <v>31</v>
      </c>
      <c r="D1313" s="17" t="s">
        <v>91</v>
      </c>
      <c r="E1313" s="14">
        <v>66073.75</v>
      </c>
      <c r="F1313" s="14">
        <v>76460.91</v>
      </c>
      <c r="G1313" s="14">
        <v>76460.91</v>
      </c>
      <c r="H1313" s="22">
        <f>F1313*(1+Assumptions!$B$6+IF(D1313="Yes",Assumptions!$C$6,0))</f>
        <v>78754.737300000008</v>
      </c>
      <c r="I1313" s="22">
        <f>F1313*(1+Assumptions!$B$7+IF(D1313="Yes",Assumptions!$C$7,0))</f>
        <v>80283.955500000011</v>
      </c>
      <c r="J1313" s="22">
        <f>F1313*(1+Assumptions!$B$8+IF(D1313="Yes",Assumptions!$C$8,0))</f>
        <v>77225.519100000005</v>
      </c>
    </row>
    <row r="1314" spans="1:10" ht="15">
      <c r="A1314" s="21">
        <v>41033</v>
      </c>
      <c r="B1314" s="21">
        <v>41030</v>
      </c>
      <c r="C1314" s="17">
        <v>32</v>
      </c>
      <c r="D1314" s="17" t="s">
        <v>91</v>
      </c>
      <c r="E1314" s="14">
        <v>262537.44</v>
      </c>
      <c r="F1314" s="14">
        <v>340316.58</v>
      </c>
      <c r="G1314" s="14">
        <v>340316.58</v>
      </c>
      <c r="H1314" s="22">
        <f>F1314*(1+Assumptions!$B$6+IF(D1314="Yes",Assumptions!$C$6,0))</f>
        <v>350526.07740000001</v>
      </c>
      <c r="I1314" s="22">
        <f>F1314*(1+Assumptions!$B$7+IF(D1314="Yes",Assumptions!$C$7,0))</f>
        <v>357332.40900000004</v>
      </c>
      <c r="J1314" s="22">
        <f>F1314*(1+Assumptions!$B$8+IF(D1314="Yes",Assumptions!$C$8,0))</f>
        <v>343719.74580000003</v>
      </c>
    </row>
    <row r="1315" spans="1:10" ht="15">
      <c r="A1315" s="21">
        <v>41033</v>
      </c>
      <c r="B1315" s="21">
        <v>41030</v>
      </c>
      <c r="C1315" s="17">
        <v>33</v>
      </c>
      <c r="D1315" s="17" t="s">
        <v>91</v>
      </c>
      <c r="E1315" s="14">
        <v>189820.81</v>
      </c>
      <c r="F1315" s="14">
        <v>189716.74</v>
      </c>
      <c r="G1315" s="14">
        <v>189716.74</v>
      </c>
      <c r="H1315" s="22">
        <f>F1315*(1+Assumptions!$B$6+IF(D1315="Yes",Assumptions!$C$6,0))</f>
        <v>195408.24220000001</v>
      </c>
      <c r="I1315" s="22">
        <f>F1315*(1+Assumptions!$B$7+IF(D1315="Yes",Assumptions!$C$7,0))</f>
        <v>199202.57699999999</v>
      </c>
      <c r="J1315" s="22">
        <f>F1315*(1+Assumptions!$B$8+IF(D1315="Yes",Assumptions!$C$8,0))</f>
        <v>191613.9074</v>
      </c>
    </row>
    <row r="1316" spans="1:10" ht="15">
      <c r="A1316" s="21">
        <v>41033</v>
      </c>
      <c r="B1316" s="21">
        <v>41030</v>
      </c>
      <c r="C1316" s="17">
        <v>34</v>
      </c>
      <c r="D1316" s="17" t="s">
        <v>91</v>
      </c>
      <c r="E1316" s="14">
        <v>632969.85</v>
      </c>
      <c r="F1316" s="14">
        <v>602336.41</v>
      </c>
      <c r="G1316" s="14">
        <v>602336.41</v>
      </c>
      <c r="H1316" s="22">
        <f>F1316*(1+Assumptions!$B$6+IF(D1316="Yes",Assumptions!$C$6,0))</f>
        <v>620406.50230000005</v>
      </c>
      <c r="I1316" s="22">
        <f>F1316*(1+Assumptions!$B$7+IF(D1316="Yes",Assumptions!$C$7,0))</f>
        <v>632453.23050000006</v>
      </c>
      <c r="J1316" s="22">
        <f>F1316*(1+Assumptions!$B$8+IF(D1316="Yes",Assumptions!$C$8,0))</f>
        <v>608359.77410000004</v>
      </c>
    </row>
    <row r="1317" spans="1:10" ht="15">
      <c r="A1317" s="21">
        <v>41033</v>
      </c>
      <c r="B1317" s="21">
        <v>41030</v>
      </c>
      <c r="C1317" s="17">
        <v>35</v>
      </c>
      <c r="D1317" s="17" t="s">
        <v>91</v>
      </c>
      <c r="E1317" s="14">
        <v>127283.66</v>
      </c>
      <c r="F1317" s="14">
        <v>142023.56</v>
      </c>
      <c r="G1317" s="14">
        <v>142023.56</v>
      </c>
      <c r="H1317" s="22">
        <f>F1317*(1+Assumptions!$B$6+IF(D1317="Yes",Assumptions!$C$6,0))</f>
        <v>146284.26680000001</v>
      </c>
      <c r="I1317" s="22">
        <f>F1317*(1+Assumptions!$B$7+IF(D1317="Yes",Assumptions!$C$7,0))</f>
        <v>149124.73800000001</v>
      </c>
      <c r="J1317" s="22">
        <f>F1317*(1+Assumptions!$B$8+IF(D1317="Yes",Assumptions!$C$8,0))</f>
        <v>143443.79560000001</v>
      </c>
    </row>
    <row r="1318" spans="1:10" ht="15">
      <c r="A1318" s="21">
        <v>41033</v>
      </c>
      <c r="B1318" s="21">
        <v>41030</v>
      </c>
      <c r="C1318" s="17">
        <v>36</v>
      </c>
      <c r="D1318" s="17" t="s">
        <v>91</v>
      </c>
      <c r="E1318" s="14">
        <v>64205.02</v>
      </c>
      <c r="F1318" s="14">
        <v>59122.5</v>
      </c>
      <c r="G1318" s="14">
        <v>59122.5</v>
      </c>
      <c r="H1318" s="22">
        <f>F1318*(1+Assumptions!$B$6+IF(D1318="Yes",Assumptions!$C$6,0))</f>
        <v>60896.175000000003</v>
      </c>
      <c r="I1318" s="22">
        <f>F1318*(1+Assumptions!$B$7+IF(D1318="Yes",Assumptions!$C$7,0))</f>
        <v>62078.625</v>
      </c>
      <c r="J1318" s="22">
        <f>F1318*(1+Assumptions!$B$8+IF(D1318="Yes",Assumptions!$C$8,0))</f>
        <v>59713.724999999999</v>
      </c>
    </row>
    <row r="1319" spans="1:10" ht="15">
      <c r="A1319" s="21">
        <v>41033</v>
      </c>
      <c r="B1319" s="21">
        <v>41030</v>
      </c>
      <c r="C1319" s="17">
        <v>37</v>
      </c>
      <c r="D1319" s="17" t="s">
        <v>91</v>
      </c>
      <c r="E1319" s="14">
        <v>52349.69</v>
      </c>
      <c r="F1319" s="14">
        <v>56260.03</v>
      </c>
      <c r="G1319" s="14">
        <v>56260.03</v>
      </c>
      <c r="H1319" s="22">
        <f>F1319*(1+Assumptions!$B$6+IF(D1319="Yes",Assumptions!$C$6,0))</f>
        <v>57947.830900000001</v>
      </c>
      <c r="I1319" s="22">
        <f>F1319*(1+Assumptions!$B$7+IF(D1319="Yes",Assumptions!$C$7,0))</f>
        <v>59073.031500000005</v>
      </c>
      <c r="J1319" s="22">
        <f>F1319*(1+Assumptions!$B$8+IF(D1319="Yes",Assumptions!$C$8,0))</f>
        <v>56822.630299999997</v>
      </c>
    </row>
    <row r="1320" spans="1:10" ht="15">
      <c r="A1320" s="21">
        <v>41033</v>
      </c>
      <c r="B1320" s="21">
        <v>41030</v>
      </c>
      <c r="C1320" s="17">
        <v>38</v>
      </c>
      <c r="D1320" s="17" t="s">
        <v>91</v>
      </c>
      <c r="E1320" s="14">
        <v>3103771.14</v>
      </c>
      <c r="F1320" s="14">
        <v>2954401.64</v>
      </c>
      <c r="G1320" s="14">
        <v>2954401.64</v>
      </c>
      <c r="H1320" s="22">
        <f>F1320*(1+Assumptions!$B$6+IF(D1320="Yes",Assumptions!$C$6,0))</f>
        <v>3043033.6892000004</v>
      </c>
      <c r="I1320" s="22">
        <f>F1320*(1+Assumptions!$B$7+IF(D1320="Yes",Assumptions!$C$7,0))</f>
        <v>3102121.7220000001</v>
      </c>
      <c r="J1320" s="22">
        <f>F1320*(1+Assumptions!$B$8+IF(D1320="Yes",Assumptions!$C$8,0))</f>
        <v>2983945.6564000002</v>
      </c>
    </row>
    <row r="1321" spans="1:10" ht="15">
      <c r="A1321" s="21">
        <v>41033</v>
      </c>
      <c r="B1321" s="21">
        <v>41030</v>
      </c>
      <c r="C1321" s="17">
        <v>40</v>
      </c>
      <c r="D1321" s="17" t="s">
        <v>91</v>
      </c>
      <c r="E1321" s="14">
        <v>2115023.6800000002</v>
      </c>
      <c r="F1321" s="14">
        <v>2047752.67</v>
      </c>
      <c r="G1321" s="14">
        <v>2047752.67</v>
      </c>
      <c r="H1321" s="22">
        <f>F1321*(1+Assumptions!$B$6+IF(D1321="Yes",Assumptions!$C$6,0))</f>
        <v>2109185.2500999998</v>
      </c>
      <c r="I1321" s="22">
        <f>F1321*(1+Assumptions!$B$7+IF(D1321="Yes",Assumptions!$C$7,0))</f>
        <v>2150140.3034999999</v>
      </c>
      <c r="J1321" s="22">
        <f>F1321*(1+Assumptions!$B$8+IF(D1321="Yes",Assumptions!$C$8,0))</f>
        <v>2068230.1967</v>
      </c>
    </row>
    <row r="1322" spans="1:10" ht="15">
      <c r="A1322" s="21">
        <v>41033</v>
      </c>
      <c r="B1322" s="21">
        <v>41030</v>
      </c>
      <c r="C1322" s="17">
        <v>41</v>
      </c>
      <c r="D1322" s="17" t="s">
        <v>91</v>
      </c>
      <c r="E1322" s="14">
        <v>51901.8</v>
      </c>
      <c r="F1322" s="14">
        <v>50108.91</v>
      </c>
      <c r="G1322" s="14">
        <v>50108.91</v>
      </c>
      <c r="H1322" s="22">
        <f>F1322*(1+Assumptions!$B$6+IF(D1322="Yes",Assumptions!$C$6,0))</f>
        <v>51612.177300000003</v>
      </c>
      <c r="I1322" s="22">
        <f>F1322*(1+Assumptions!$B$7+IF(D1322="Yes",Assumptions!$C$7,0))</f>
        <v>52614.355500000005</v>
      </c>
      <c r="J1322" s="22">
        <f>F1322*(1+Assumptions!$B$8+IF(D1322="Yes",Assumptions!$C$8,0))</f>
        <v>50609.999100000001</v>
      </c>
    </row>
    <row r="1323" spans="1:10" ht="15">
      <c r="A1323" s="21">
        <v>41033</v>
      </c>
      <c r="B1323" s="21">
        <v>41030</v>
      </c>
      <c r="C1323" s="17">
        <v>42</v>
      </c>
      <c r="D1323" s="17" t="s">
        <v>91</v>
      </c>
      <c r="E1323" s="14">
        <v>250597.46</v>
      </c>
      <c r="F1323" s="14">
        <v>238772.36</v>
      </c>
      <c r="G1323" s="14">
        <v>238772.36</v>
      </c>
      <c r="H1323" s="22">
        <f>F1323*(1+Assumptions!$B$6+IF(D1323="Yes",Assumptions!$C$6,0))</f>
        <v>245935.53079999998</v>
      </c>
      <c r="I1323" s="22">
        <f>F1323*(1+Assumptions!$B$7+IF(D1323="Yes",Assumptions!$C$7,0))</f>
        <v>250710.978</v>
      </c>
      <c r="J1323" s="22">
        <f>F1323*(1+Assumptions!$B$8+IF(D1323="Yes",Assumptions!$C$8,0))</f>
        <v>241160.08359999998</v>
      </c>
    </row>
    <row r="1324" spans="1:10" ht="15">
      <c r="A1324" s="21">
        <v>41033</v>
      </c>
      <c r="B1324" s="21">
        <v>41030</v>
      </c>
      <c r="C1324" s="17">
        <v>44</v>
      </c>
      <c r="D1324" s="17" t="s">
        <v>91</v>
      </c>
      <c r="E1324" s="14">
        <v>172843.5</v>
      </c>
      <c r="F1324" s="14">
        <v>174503.31</v>
      </c>
      <c r="G1324" s="14">
        <v>174503.31</v>
      </c>
      <c r="H1324" s="22">
        <f>F1324*(1+Assumptions!$B$6+IF(D1324="Yes",Assumptions!$C$6,0))</f>
        <v>179738.4093</v>
      </c>
      <c r="I1324" s="22">
        <f>F1324*(1+Assumptions!$B$7+IF(D1324="Yes",Assumptions!$C$7,0))</f>
        <v>183228.4755</v>
      </c>
      <c r="J1324" s="22">
        <f>F1324*(1+Assumptions!$B$8+IF(D1324="Yes",Assumptions!$C$8,0))</f>
        <v>176248.3431</v>
      </c>
    </row>
    <row r="1325" spans="1:10" ht="15">
      <c r="A1325" s="21">
        <v>41033</v>
      </c>
      <c r="B1325" s="21">
        <v>41030</v>
      </c>
      <c r="C1325" s="17">
        <v>45</v>
      </c>
      <c r="D1325" s="17" t="s">
        <v>91</v>
      </c>
      <c r="E1325" s="14">
        <v>62.790000000000006</v>
      </c>
      <c r="F1325" s="14">
        <v>103.94</v>
      </c>
      <c r="G1325" s="14">
        <v>103.94</v>
      </c>
      <c r="H1325" s="22">
        <f>F1325*(1+Assumptions!$B$6+IF(D1325="Yes",Assumptions!$C$6,0))</f>
        <v>107.0582</v>
      </c>
      <c r="I1325" s="22">
        <f>F1325*(1+Assumptions!$B$7+IF(D1325="Yes",Assumptions!$C$7,0))</f>
        <v>109.137</v>
      </c>
      <c r="J1325" s="22">
        <f>F1325*(1+Assumptions!$B$8+IF(D1325="Yes",Assumptions!$C$8,0))</f>
        <v>104.9794</v>
      </c>
    </row>
    <row r="1326" spans="1:10" ht="15">
      <c r="A1326" s="21">
        <v>41033</v>
      </c>
      <c r="B1326" s="21">
        <v>41030</v>
      </c>
      <c r="C1326" s="17">
        <v>46</v>
      </c>
      <c r="D1326" s="17" t="s">
        <v>91</v>
      </c>
      <c r="E1326" s="14">
        <v>954383.82</v>
      </c>
      <c r="F1326" s="14">
        <v>944357.53</v>
      </c>
      <c r="G1326" s="14">
        <v>944357.53</v>
      </c>
      <c r="H1326" s="22">
        <f>F1326*(1+Assumptions!$B$6+IF(D1326="Yes",Assumptions!$C$6,0))</f>
        <v>972688.25590000011</v>
      </c>
      <c r="I1326" s="22">
        <f>F1326*(1+Assumptions!$B$7+IF(D1326="Yes",Assumptions!$C$7,0))</f>
        <v>991575.40650000004</v>
      </c>
      <c r="J1326" s="22">
        <f>F1326*(1+Assumptions!$B$8+IF(D1326="Yes",Assumptions!$C$8,0))</f>
        <v>953801.10530000005</v>
      </c>
    </row>
    <row r="1327" spans="1:10" ht="15">
      <c r="A1327" s="21">
        <v>41033</v>
      </c>
      <c r="B1327" s="21">
        <v>41030</v>
      </c>
      <c r="C1327" s="17">
        <v>48</v>
      </c>
      <c r="D1327" s="17" t="s">
        <v>91</v>
      </c>
      <c r="E1327" s="14">
        <v>16532</v>
      </c>
      <c r="F1327" s="14">
        <v>11638.99</v>
      </c>
      <c r="G1327" s="14">
        <v>11638.99</v>
      </c>
      <c r="H1327" s="22">
        <f>F1327*(1+Assumptions!$B$6+IF(D1327="Yes",Assumptions!$C$6,0))</f>
        <v>11988.1597</v>
      </c>
      <c r="I1327" s="22">
        <f>F1327*(1+Assumptions!$B$7+IF(D1327="Yes",Assumptions!$C$7,0))</f>
        <v>12220.9395</v>
      </c>
      <c r="J1327" s="22">
        <f>F1327*(1+Assumptions!$B$8+IF(D1327="Yes",Assumptions!$C$8,0))</f>
        <v>11755.3799</v>
      </c>
    </row>
    <row r="1328" spans="1:10" ht="15">
      <c r="A1328" s="21">
        <v>41033</v>
      </c>
      <c r="B1328" s="21">
        <v>41030</v>
      </c>
      <c r="C1328" s="17">
        <v>49</v>
      </c>
      <c r="D1328" s="17" t="s">
        <v>91</v>
      </c>
      <c r="E1328" s="14">
        <v>258365</v>
      </c>
      <c r="F1328" s="14">
        <v>261437.85</v>
      </c>
      <c r="G1328" s="14">
        <v>261437.85</v>
      </c>
      <c r="H1328" s="22">
        <f>F1328*(1+Assumptions!$B$6+IF(D1328="Yes",Assumptions!$C$6,0))</f>
        <v>269280.98550000001</v>
      </c>
      <c r="I1328" s="22">
        <f>F1328*(1+Assumptions!$B$7+IF(D1328="Yes",Assumptions!$C$7,0))</f>
        <v>274509.74249999999</v>
      </c>
      <c r="J1328" s="22">
        <f>F1328*(1+Assumptions!$B$8+IF(D1328="Yes",Assumptions!$C$8,0))</f>
        <v>264052.22850000003</v>
      </c>
    </row>
    <row r="1329" spans="1:10" ht="15">
      <c r="A1329" s="21">
        <v>41033</v>
      </c>
      <c r="B1329" s="21">
        <v>41030</v>
      </c>
      <c r="C1329" s="17">
        <v>50</v>
      </c>
      <c r="D1329" s="17" t="s">
        <v>91</v>
      </c>
      <c r="E1329" s="14">
        <v>29336.9</v>
      </c>
      <c r="F1329" s="14">
        <v>28301.72</v>
      </c>
      <c r="G1329" s="14">
        <v>28301.72</v>
      </c>
      <c r="H1329" s="22">
        <f>F1329*(1+Assumptions!$B$6+IF(D1329="Yes",Assumptions!$C$6,0))</f>
        <v>29150.771600000004</v>
      </c>
      <c r="I1329" s="22">
        <f>F1329*(1+Assumptions!$B$7+IF(D1329="Yes",Assumptions!$C$7,0))</f>
        <v>29716.806000000004</v>
      </c>
      <c r="J1329" s="22">
        <f>F1329*(1+Assumptions!$B$8+IF(D1329="Yes",Assumptions!$C$8,0))</f>
        <v>28584.737200000003</v>
      </c>
    </row>
    <row r="1330" spans="1:10" ht="15">
      <c r="A1330" s="21">
        <v>41033</v>
      </c>
      <c r="B1330" s="21">
        <v>41030</v>
      </c>
      <c r="C1330" s="17">
        <v>51</v>
      </c>
      <c r="D1330" s="17" t="s">
        <v>91</v>
      </c>
      <c r="E1330" s="14">
        <v>40.540000000000006</v>
      </c>
      <c r="F1330" s="14">
        <v>10.38</v>
      </c>
      <c r="G1330" s="14">
        <v>10.38</v>
      </c>
      <c r="H1330" s="22">
        <f>F1330*(1+Assumptions!$B$6+IF(D1330="Yes",Assumptions!$C$6,0))</f>
        <v>10.691400000000002</v>
      </c>
      <c r="I1330" s="22">
        <f>F1330*(1+Assumptions!$B$7+IF(D1330="Yes",Assumptions!$C$7,0))</f>
        <v>10.899000000000001</v>
      </c>
      <c r="J1330" s="22">
        <f>F1330*(1+Assumptions!$B$8+IF(D1330="Yes",Assumptions!$C$8,0))</f>
        <v>10.4838</v>
      </c>
    </row>
    <row r="1331" spans="1:10" ht="15">
      <c r="A1331" s="21">
        <v>41033</v>
      </c>
      <c r="B1331" s="21">
        <v>41030</v>
      </c>
      <c r="C1331" s="17">
        <v>52</v>
      </c>
      <c r="D1331" s="17" t="s">
        <v>91</v>
      </c>
      <c r="E1331" s="14">
        <v>81705.149999999994</v>
      </c>
      <c r="F1331" s="14">
        <v>95107.930000000008</v>
      </c>
      <c r="G1331" s="14">
        <v>95107.930000000008</v>
      </c>
      <c r="H1331" s="22">
        <f>F1331*(1+Assumptions!$B$6+IF(D1331="Yes",Assumptions!$C$6,0))</f>
        <v>97961.167900000015</v>
      </c>
      <c r="I1331" s="22">
        <f>F1331*(1+Assumptions!$B$7+IF(D1331="Yes",Assumptions!$C$7,0))</f>
        <v>99863.32650000001</v>
      </c>
      <c r="J1331" s="22">
        <f>F1331*(1+Assumptions!$B$8+IF(D1331="Yes",Assumptions!$C$8,0))</f>
        <v>96059.009300000005</v>
      </c>
    </row>
    <row r="1332" spans="1:10" ht="15">
      <c r="A1332" s="21">
        <v>41033</v>
      </c>
      <c r="B1332" s="21">
        <v>41030</v>
      </c>
      <c r="C1332" s="17">
        <v>54</v>
      </c>
      <c r="D1332" s="17" t="s">
        <v>91</v>
      </c>
      <c r="E1332" s="14">
        <v>1197.58</v>
      </c>
      <c r="F1332" s="14">
        <v>1958.5</v>
      </c>
      <c r="G1332" s="14">
        <v>1958.5</v>
      </c>
      <c r="H1332" s="22">
        <f>F1332*(1+Assumptions!$B$6+IF(D1332="Yes",Assumptions!$C$6,0))</f>
        <v>2017.2550000000001</v>
      </c>
      <c r="I1332" s="22">
        <f>F1332*(1+Assumptions!$B$7+IF(D1332="Yes",Assumptions!$C$7,0))</f>
        <v>2056.4250000000002</v>
      </c>
      <c r="J1332" s="22">
        <f>F1332*(1+Assumptions!$B$8+IF(D1332="Yes",Assumptions!$C$8,0))</f>
        <v>1978.085</v>
      </c>
    </row>
    <row r="1333" spans="1:10" ht="15">
      <c r="A1333" s="21">
        <v>41033</v>
      </c>
      <c r="B1333" s="21">
        <v>41030</v>
      </c>
      <c r="C1333" s="17">
        <v>55</v>
      </c>
      <c r="D1333" s="17" t="s">
        <v>91</v>
      </c>
      <c r="E1333" s="14">
        <v>248722.69999999998</v>
      </c>
      <c r="F1333" s="14">
        <v>290524.06</v>
      </c>
      <c r="G1333" s="14">
        <v>290524.06</v>
      </c>
      <c r="H1333" s="22">
        <f>F1333*(1+Assumptions!$B$6+IF(D1333="Yes",Assumptions!$C$6,0))</f>
        <v>299239.7818</v>
      </c>
      <c r="I1333" s="22">
        <f>F1333*(1+Assumptions!$B$7+IF(D1333="Yes",Assumptions!$C$7,0))</f>
        <v>305050.26300000004</v>
      </c>
      <c r="J1333" s="22">
        <f>F1333*(1+Assumptions!$B$8+IF(D1333="Yes",Assumptions!$C$8,0))</f>
        <v>293429.30060000002</v>
      </c>
    </row>
    <row r="1334" spans="1:10" ht="15">
      <c r="A1334" s="21">
        <v>41033</v>
      </c>
      <c r="B1334" s="21">
        <v>41030</v>
      </c>
      <c r="C1334" s="17">
        <v>56</v>
      </c>
      <c r="D1334" s="17" t="s">
        <v>91</v>
      </c>
      <c r="E1334" s="14">
        <v>381243.14999999997</v>
      </c>
      <c r="F1334" s="14">
        <v>464762.56</v>
      </c>
      <c r="G1334" s="14">
        <v>464762.56</v>
      </c>
      <c r="H1334" s="22">
        <f>F1334*(1+Assumptions!$B$6+IF(D1334="Yes",Assumptions!$C$6,0))</f>
        <v>478705.43680000002</v>
      </c>
      <c r="I1334" s="22">
        <f>F1334*(1+Assumptions!$B$7+IF(D1334="Yes",Assumptions!$C$7,0))</f>
        <v>488000.68800000002</v>
      </c>
      <c r="J1334" s="22">
        <f>F1334*(1+Assumptions!$B$8+IF(D1334="Yes",Assumptions!$C$8,0))</f>
        <v>469410.18560000003</v>
      </c>
    </row>
    <row r="1335" spans="1:10" ht="15">
      <c r="A1335" s="21">
        <v>41033</v>
      </c>
      <c r="B1335" s="21">
        <v>41030</v>
      </c>
      <c r="C1335" s="17">
        <v>58</v>
      </c>
      <c r="D1335" s="17" t="s">
        <v>91</v>
      </c>
      <c r="E1335" s="14">
        <v>80375</v>
      </c>
      <c r="F1335" s="14">
        <v>83098.94</v>
      </c>
      <c r="G1335" s="14">
        <v>83098.94</v>
      </c>
      <c r="H1335" s="22">
        <f>F1335*(1+Assumptions!$B$6+IF(D1335="Yes",Assumptions!$C$6,0))</f>
        <v>85591.908200000005</v>
      </c>
      <c r="I1335" s="22">
        <f>F1335*(1+Assumptions!$B$7+IF(D1335="Yes",Assumptions!$C$7,0))</f>
        <v>87253.887000000002</v>
      </c>
      <c r="J1335" s="22">
        <f>F1335*(1+Assumptions!$B$8+IF(D1335="Yes",Assumptions!$C$8,0))</f>
        <v>83929.929400000008</v>
      </c>
    </row>
    <row r="1336" spans="1:10" ht="15">
      <c r="A1336" s="21">
        <v>41033</v>
      </c>
      <c r="B1336" s="21">
        <v>41030</v>
      </c>
      <c r="C1336" s="17">
        <v>59</v>
      </c>
      <c r="D1336" s="17" t="s">
        <v>91</v>
      </c>
      <c r="E1336" s="14">
        <v>9198.14</v>
      </c>
      <c r="F1336" s="14">
        <v>13722.18</v>
      </c>
      <c r="G1336" s="14">
        <v>13722.18</v>
      </c>
      <c r="H1336" s="22">
        <f>F1336*(1+Assumptions!$B$6+IF(D1336="Yes",Assumptions!$C$6,0))</f>
        <v>14133.8454</v>
      </c>
      <c r="I1336" s="22">
        <f>F1336*(1+Assumptions!$B$7+IF(D1336="Yes",Assumptions!$C$7,0))</f>
        <v>14408.289000000001</v>
      </c>
      <c r="J1336" s="22">
        <f>F1336*(1+Assumptions!$B$8+IF(D1336="Yes",Assumptions!$C$8,0))</f>
        <v>13859.4018</v>
      </c>
    </row>
    <row r="1337" spans="1:10" ht="15">
      <c r="A1337" s="21">
        <v>41033</v>
      </c>
      <c r="B1337" s="21">
        <v>41030</v>
      </c>
      <c r="C1337" s="17">
        <v>60</v>
      </c>
      <c r="D1337" s="17" t="s">
        <v>91</v>
      </c>
      <c r="E1337" s="14">
        <v>16765.400000000001</v>
      </c>
      <c r="F1337" s="14">
        <v>18084</v>
      </c>
      <c r="G1337" s="14">
        <v>18084</v>
      </c>
      <c r="H1337" s="22">
        <f>F1337*(1+Assumptions!$B$6+IF(D1337="Yes",Assumptions!$C$6,0))</f>
        <v>18626.52</v>
      </c>
      <c r="I1337" s="22">
        <f>F1337*(1+Assumptions!$B$7+IF(D1337="Yes",Assumptions!$C$7,0))</f>
        <v>18988.2</v>
      </c>
      <c r="J1337" s="22">
        <f>F1337*(1+Assumptions!$B$8+IF(D1337="Yes",Assumptions!$C$8,0))</f>
        <v>18264.84</v>
      </c>
    </row>
    <row r="1338" spans="1:10" ht="15">
      <c r="A1338" s="21">
        <v>41033</v>
      </c>
      <c r="B1338" s="21">
        <v>41030</v>
      </c>
      <c r="C1338" s="17">
        <v>65</v>
      </c>
      <c r="D1338" s="17" t="s">
        <v>91</v>
      </c>
      <c r="E1338" s="14">
        <v>49167.26</v>
      </c>
      <c r="F1338" s="14">
        <v>61588.84</v>
      </c>
      <c r="G1338" s="14">
        <v>61588.84</v>
      </c>
      <c r="H1338" s="22">
        <f>F1338*(1+Assumptions!$B$6+IF(D1338="Yes",Assumptions!$C$6,0))</f>
        <v>63436.5052</v>
      </c>
      <c r="I1338" s="22">
        <f>F1338*(1+Assumptions!$B$7+IF(D1338="Yes",Assumptions!$C$7,0))</f>
        <v>64668.281999999999</v>
      </c>
      <c r="J1338" s="22">
        <f>F1338*(1+Assumptions!$B$8+IF(D1338="Yes",Assumptions!$C$8,0))</f>
        <v>62204.7284</v>
      </c>
    </row>
    <row r="1339" spans="1:10" ht="15">
      <c r="A1339" s="21">
        <v>41033</v>
      </c>
      <c r="B1339" s="21">
        <v>41030</v>
      </c>
      <c r="C1339" s="17">
        <v>67</v>
      </c>
      <c r="D1339" s="17" t="s">
        <v>91</v>
      </c>
      <c r="E1339" s="14">
        <v>385442.73</v>
      </c>
      <c r="F1339" s="14">
        <v>697710.34</v>
      </c>
      <c r="G1339" s="14">
        <v>697710.34</v>
      </c>
      <c r="H1339" s="22">
        <f>F1339*(1+Assumptions!$B$6+IF(D1339="Yes",Assumptions!$C$6,0))</f>
        <v>718641.65020000003</v>
      </c>
      <c r="I1339" s="22">
        <f>F1339*(1+Assumptions!$B$7+IF(D1339="Yes",Assumptions!$C$7,0))</f>
        <v>732595.85699999996</v>
      </c>
      <c r="J1339" s="22">
        <f>F1339*(1+Assumptions!$B$8+IF(D1339="Yes",Assumptions!$C$8,0))</f>
        <v>704687.44339999999</v>
      </c>
    </row>
    <row r="1340" spans="1:10" ht="15">
      <c r="A1340" s="21">
        <v>41033</v>
      </c>
      <c r="B1340" s="21">
        <v>41030</v>
      </c>
      <c r="C1340" s="17">
        <v>71</v>
      </c>
      <c r="D1340" s="17" t="s">
        <v>91</v>
      </c>
      <c r="E1340" s="14">
        <v>193038.2</v>
      </c>
      <c r="F1340" s="14">
        <v>180156.85</v>
      </c>
      <c r="G1340" s="14">
        <v>180156.85</v>
      </c>
      <c r="H1340" s="22">
        <f>F1340*(1+Assumptions!$B$6+IF(D1340="Yes",Assumptions!$C$6,0))</f>
        <v>185561.55550000002</v>
      </c>
      <c r="I1340" s="22">
        <f>F1340*(1+Assumptions!$B$7+IF(D1340="Yes",Assumptions!$C$7,0))</f>
        <v>189164.6925</v>
      </c>
      <c r="J1340" s="22">
        <f>F1340*(1+Assumptions!$B$8+IF(D1340="Yes",Assumptions!$C$8,0))</f>
        <v>181958.4185</v>
      </c>
    </row>
    <row r="1341" spans="1:10" ht="15">
      <c r="A1341" s="21">
        <v>41033</v>
      </c>
      <c r="B1341" s="21">
        <v>41030</v>
      </c>
      <c r="C1341" s="17">
        <v>72</v>
      </c>
      <c r="D1341" s="17" t="s">
        <v>91</v>
      </c>
      <c r="E1341" s="14">
        <v>1692860.49</v>
      </c>
      <c r="F1341" s="14">
        <v>1748952.46</v>
      </c>
      <c r="G1341" s="14">
        <v>1748952.46</v>
      </c>
      <c r="H1341" s="22">
        <f>F1341*(1+Assumptions!$B$6+IF(D1341="Yes",Assumptions!$C$6,0))</f>
        <v>1801421.0338000001</v>
      </c>
      <c r="I1341" s="22">
        <f>F1341*(1+Assumptions!$B$7+IF(D1341="Yes",Assumptions!$C$7,0))</f>
        <v>1836400.0830000001</v>
      </c>
      <c r="J1341" s="22">
        <f>F1341*(1+Assumptions!$B$8+IF(D1341="Yes",Assumptions!$C$8,0))</f>
        <v>1766441.9846000001</v>
      </c>
    </row>
    <row r="1342" spans="1:10" ht="15">
      <c r="A1342" s="21">
        <v>41033</v>
      </c>
      <c r="B1342" s="21">
        <v>41030</v>
      </c>
      <c r="C1342" s="17">
        <v>74</v>
      </c>
      <c r="D1342" s="17" t="s">
        <v>91</v>
      </c>
      <c r="E1342" s="14">
        <v>576602.92000000004</v>
      </c>
      <c r="F1342" s="14">
        <v>594287.82999999996</v>
      </c>
      <c r="G1342" s="14">
        <v>594287.82999999996</v>
      </c>
      <c r="H1342" s="22">
        <f>F1342*(1+Assumptions!$B$6+IF(D1342="Yes",Assumptions!$C$6,0))</f>
        <v>612116.46490000002</v>
      </c>
      <c r="I1342" s="22">
        <f>F1342*(1+Assumptions!$B$7+IF(D1342="Yes",Assumptions!$C$7,0))</f>
        <v>624002.22149999999</v>
      </c>
      <c r="J1342" s="22">
        <f>F1342*(1+Assumptions!$B$8+IF(D1342="Yes",Assumptions!$C$8,0))</f>
        <v>600230.70829999994</v>
      </c>
    </row>
    <row r="1343" spans="1:10" ht="15">
      <c r="A1343" s="21">
        <v>41033</v>
      </c>
      <c r="B1343" s="21">
        <v>41030</v>
      </c>
      <c r="C1343" s="17">
        <v>79</v>
      </c>
      <c r="D1343" s="17" t="s">
        <v>91</v>
      </c>
      <c r="E1343" s="14">
        <v>1070255.92</v>
      </c>
      <c r="F1343" s="14">
        <v>1044154.77</v>
      </c>
      <c r="G1343" s="14">
        <v>1044154.77</v>
      </c>
      <c r="H1343" s="22">
        <f>F1343*(1+Assumptions!$B$6+IF(D1343="Yes",Assumptions!$C$6,0))</f>
        <v>1075479.4131</v>
      </c>
      <c r="I1343" s="22">
        <f>F1343*(1+Assumptions!$B$7+IF(D1343="Yes",Assumptions!$C$7,0))</f>
        <v>1096362.5085</v>
      </c>
      <c r="J1343" s="22">
        <f>F1343*(1+Assumptions!$B$8+IF(D1343="Yes",Assumptions!$C$8,0))</f>
        <v>1054596.3177</v>
      </c>
    </row>
    <row r="1344" spans="1:10" ht="15">
      <c r="A1344" s="21">
        <v>41033</v>
      </c>
      <c r="B1344" s="21">
        <v>41030</v>
      </c>
      <c r="C1344" s="17">
        <v>80</v>
      </c>
      <c r="D1344" s="17" t="s">
        <v>91</v>
      </c>
      <c r="E1344" s="14">
        <v>514373.36</v>
      </c>
      <c r="F1344" s="14">
        <v>521901.91000000003</v>
      </c>
      <c r="G1344" s="14">
        <v>521901.91000000003</v>
      </c>
      <c r="H1344" s="22">
        <f>F1344*(1+Assumptions!$B$6+IF(D1344="Yes",Assumptions!$C$6,0))</f>
        <v>537558.96730000002</v>
      </c>
      <c r="I1344" s="22">
        <f>F1344*(1+Assumptions!$B$7+IF(D1344="Yes",Assumptions!$C$7,0))</f>
        <v>547997.00550000009</v>
      </c>
      <c r="J1344" s="22">
        <f>F1344*(1+Assumptions!$B$8+IF(D1344="Yes",Assumptions!$C$8,0))</f>
        <v>527120.92910000007</v>
      </c>
    </row>
    <row r="1345" spans="1:10" ht="15">
      <c r="A1345" s="21">
        <v>41033</v>
      </c>
      <c r="B1345" s="21">
        <v>41030</v>
      </c>
      <c r="C1345" s="17">
        <v>81</v>
      </c>
      <c r="D1345" s="17" t="s">
        <v>91</v>
      </c>
      <c r="E1345" s="14">
        <v>731156.89</v>
      </c>
      <c r="F1345" s="14">
        <v>719706.35</v>
      </c>
      <c r="G1345" s="14">
        <v>719706.35</v>
      </c>
      <c r="H1345" s="22">
        <f>F1345*(1+Assumptions!$B$6+IF(D1345="Yes",Assumptions!$C$6,0))</f>
        <v>741297.5405</v>
      </c>
      <c r="I1345" s="22">
        <f>F1345*(1+Assumptions!$B$7+IF(D1345="Yes",Assumptions!$C$7,0))</f>
        <v>755691.66749999998</v>
      </c>
      <c r="J1345" s="22">
        <f>F1345*(1+Assumptions!$B$8+IF(D1345="Yes",Assumptions!$C$8,0))</f>
        <v>726903.41350000002</v>
      </c>
    </row>
    <row r="1346" spans="1:10" ht="15">
      <c r="A1346" s="21">
        <v>41033</v>
      </c>
      <c r="B1346" s="21">
        <v>41030</v>
      </c>
      <c r="C1346" s="17">
        <v>82</v>
      </c>
      <c r="D1346" s="17" t="s">
        <v>91</v>
      </c>
      <c r="E1346" s="14">
        <v>662719.49</v>
      </c>
      <c r="F1346" s="14">
        <v>644170.71</v>
      </c>
      <c r="G1346" s="14">
        <v>644170.71</v>
      </c>
      <c r="H1346" s="22">
        <f>F1346*(1+Assumptions!$B$6+IF(D1346="Yes",Assumptions!$C$6,0))</f>
        <v>663495.83129999996</v>
      </c>
      <c r="I1346" s="22">
        <f>F1346*(1+Assumptions!$B$7+IF(D1346="Yes",Assumptions!$C$7,0))</f>
        <v>676379.24549999996</v>
      </c>
      <c r="J1346" s="22">
        <f>F1346*(1+Assumptions!$B$8+IF(D1346="Yes",Assumptions!$C$8,0))</f>
        <v>650612.41709999996</v>
      </c>
    </row>
    <row r="1347" spans="1:10" ht="15">
      <c r="A1347" s="21">
        <v>41033</v>
      </c>
      <c r="B1347" s="21">
        <v>41030</v>
      </c>
      <c r="C1347" s="17">
        <v>83</v>
      </c>
      <c r="D1347" s="17" t="s">
        <v>91</v>
      </c>
      <c r="E1347" s="14">
        <v>141434.10999999999</v>
      </c>
      <c r="F1347" s="14">
        <v>135821.47</v>
      </c>
      <c r="G1347" s="14">
        <v>135821.47</v>
      </c>
      <c r="H1347" s="22">
        <f>F1347*(1+Assumptions!$B$6+IF(D1347="Yes",Assumptions!$C$6,0))</f>
        <v>139896.11410000001</v>
      </c>
      <c r="I1347" s="22">
        <f>F1347*(1+Assumptions!$B$7+IF(D1347="Yes",Assumptions!$C$7,0))</f>
        <v>142612.5435</v>
      </c>
      <c r="J1347" s="22">
        <f>F1347*(1+Assumptions!$B$8+IF(D1347="Yes",Assumptions!$C$8,0))</f>
        <v>137179.68470000001</v>
      </c>
    </row>
    <row r="1348" spans="1:10" ht="15">
      <c r="A1348" s="21">
        <v>41033</v>
      </c>
      <c r="B1348" s="21">
        <v>41030</v>
      </c>
      <c r="C1348" s="17">
        <v>85</v>
      </c>
      <c r="D1348" s="17" t="s">
        <v>91</v>
      </c>
      <c r="E1348" s="14">
        <v>82212.62</v>
      </c>
      <c r="F1348" s="14">
        <v>102632.11</v>
      </c>
      <c r="G1348" s="14">
        <v>102632.11</v>
      </c>
      <c r="H1348" s="22">
        <f>F1348*(1+Assumptions!$B$6+IF(D1348="Yes",Assumptions!$C$6,0))</f>
        <v>105711.0733</v>
      </c>
      <c r="I1348" s="22">
        <f>F1348*(1+Assumptions!$B$7+IF(D1348="Yes",Assumptions!$C$7,0))</f>
        <v>107763.71550000001</v>
      </c>
      <c r="J1348" s="22">
        <f>F1348*(1+Assumptions!$B$8+IF(D1348="Yes",Assumptions!$C$8,0))</f>
        <v>103658.4311</v>
      </c>
    </row>
    <row r="1349" spans="1:10" ht="15">
      <c r="A1349" s="21">
        <v>41033</v>
      </c>
      <c r="B1349" s="21">
        <v>41030</v>
      </c>
      <c r="C1349" s="17">
        <v>87</v>
      </c>
      <c r="D1349" s="17" t="s">
        <v>91</v>
      </c>
      <c r="E1349" s="14">
        <v>683726.59</v>
      </c>
      <c r="F1349" s="14">
        <v>581194.59</v>
      </c>
      <c r="G1349" s="14">
        <v>581194.59</v>
      </c>
      <c r="H1349" s="22">
        <f>F1349*(1+Assumptions!$B$6+IF(D1349="Yes",Assumptions!$C$6,0))</f>
        <v>598630.4277</v>
      </c>
      <c r="I1349" s="22">
        <f>F1349*(1+Assumptions!$B$7+IF(D1349="Yes",Assumptions!$C$7,0))</f>
        <v>610254.31949999998</v>
      </c>
      <c r="J1349" s="22">
        <f>F1349*(1+Assumptions!$B$8+IF(D1349="Yes",Assumptions!$C$8,0))</f>
        <v>587006.53590000002</v>
      </c>
    </row>
    <row r="1350" spans="1:10" ht="15">
      <c r="A1350" s="21">
        <v>41033</v>
      </c>
      <c r="B1350" s="21">
        <v>41030</v>
      </c>
      <c r="C1350" s="17">
        <v>90</v>
      </c>
      <c r="D1350" s="17" t="s">
        <v>91</v>
      </c>
      <c r="E1350" s="14">
        <v>2087873.6199999999</v>
      </c>
      <c r="F1350" s="14">
        <v>2052247.52</v>
      </c>
      <c r="G1350" s="14">
        <v>2052247.52</v>
      </c>
      <c r="H1350" s="22">
        <f>F1350*(1+Assumptions!$B$6+IF(D1350="Yes",Assumptions!$C$6,0))</f>
        <v>2113814.9456000002</v>
      </c>
      <c r="I1350" s="22">
        <f>F1350*(1+Assumptions!$B$7+IF(D1350="Yes",Assumptions!$C$7,0))</f>
        <v>2154859.8960000002</v>
      </c>
      <c r="J1350" s="22">
        <f>F1350*(1+Assumptions!$B$8+IF(D1350="Yes",Assumptions!$C$8,0))</f>
        <v>2072769.9952</v>
      </c>
    </row>
    <row r="1351" spans="1:10" ht="15">
      <c r="A1351" s="21">
        <v>41033</v>
      </c>
      <c r="B1351" s="21">
        <v>41030</v>
      </c>
      <c r="C1351" s="17">
        <v>91</v>
      </c>
      <c r="D1351" s="17" t="s">
        <v>91</v>
      </c>
      <c r="E1351" s="14">
        <v>1609783.3299999998</v>
      </c>
      <c r="F1351" s="14">
        <v>1608618.82</v>
      </c>
      <c r="G1351" s="14">
        <v>1608618.82</v>
      </c>
      <c r="H1351" s="22">
        <f>F1351*(1+Assumptions!$B$6+IF(D1351="Yes",Assumptions!$C$6,0))</f>
        <v>1656877.3846000002</v>
      </c>
      <c r="I1351" s="22">
        <f>F1351*(1+Assumptions!$B$7+IF(D1351="Yes",Assumptions!$C$7,0))</f>
        <v>1689049.7610000002</v>
      </c>
      <c r="J1351" s="22">
        <f>F1351*(1+Assumptions!$B$8+IF(D1351="Yes",Assumptions!$C$8,0))</f>
        <v>1624705.0082</v>
      </c>
    </row>
    <row r="1352" spans="1:10" ht="15">
      <c r="A1352" s="21">
        <v>41033</v>
      </c>
      <c r="B1352" s="21">
        <v>41030</v>
      </c>
      <c r="C1352" s="17">
        <v>92</v>
      </c>
      <c r="D1352" s="17" t="s">
        <v>91</v>
      </c>
      <c r="E1352" s="14">
        <v>3562210.83</v>
      </c>
      <c r="F1352" s="14">
        <v>3392286.66</v>
      </c>
      <c r="G1352" s="14">
        <v>3392286.66</v>
      </c>
      <c r="H1352" s="22">
        <f>F1352*(1+Assumptions!$B$6+IF(D1352="Yes",Assumptions!$C$6,0))</f>
        <v>3494055.2598000001</v>
      </c>
      <c r="I1352" s="22">
        <f>F1352*(1+Assumptions!$B$7+IF(D1352="Yes",Assumptions!$C$7,0))</f>
        <v>3561900.9930000002</v>
      </c>
      <c r="J1352" s="22">
        <f>F1352*(1+Assumptions!$B$8+IF(D1352="Yes",Assumptions!$C$8,0))</f>
        <v>3426209.5266</v>
      </c>
    </row>
    <row r="1353" spans="1:10" ht="15">
      <c r="A1353" s="21">
        <v>41033</v>
      </c>
      <c r="B1353" s="21">
        <v>41030</v>
      </c>
      <c r="C1353" s="17">
        <v>93</v>
      </c>
      <c r="D1353" s="17" t="s">
        <v>91</v>
      </c>
      <c r="E1353" s="14">
        <v>1141205.1399999999</v>
      </c>
      <c r="F1353" s="14">
        <v>1191764.1000000001</v>
      </c>
      <c r="G1353" s="14">
        <v>1191764.1000000001</v>
      </c>
      <c r="H1353" s="22">
        <f>F1353*(1+Assumptions!$B$6+IF(D1353="Yes",Assumptions!$C$6,0))</f>
        <v>1227517.023</v>
      </c>
      <c r="I1353" s="22">
        <f>F1353*(1+Assumptions!$B$7+IF(D1353="Yes",Assumptions!$C$7,0))</f>
        <v>1251352.3050000002</v>
      </c>
      <c r="J1353" s="22">
        <f>F1353*(1+Assumptions!$B$8+IF(D1353="Yes",Assumptions!$C$8,0))</f>
        <v>1203681.7410000002</v>
      </c>
    </row>
    <row r="1354" spans="1:10" ht="15">
      <c r="A1354" s="21">
        <v>41033</v>
      </c>
      <c r="B1354" s="21">
        <v>41030</v>
      </c>
      <c r="C1354" s="17">
        <v>94</v>
      </c>
      <c r="D1354" s="17" t="s">
        <v>91</v>
      </c>
      <c r="E1354" s="14">
        <v>1365021.93</v>
      </c>
      <c r="F1354" s="14">
        <v>1465281.28</v>
      </c>
      <c r="G1354" s="14">
        <v>1465281.28</v>
      </c>
      <c r="H1354" s="22">
        <f>F1354*(1+Assumptions!$B$6+IF(D1354="Yes",Assumptions!$C$6,0))</f>
        <v>1509239.7184000001</v>
      </c>
      <c r="I1354" s="22">
        <f>F1354*(1+Assumptions!$B$7+IF(D1354="Yes",Assumptions!$C$7,0))</f>
        <v>1538545.344</v>
      </c>
      <c r="J1354" s="22">
        <f>F1354*(1+Assumptions!$B$8+IF(D1354="Yes",Assumptions!$C$8,0))</f>
        <v>1479934.0928</v>
      </c>
    </row>
    <row r="1355" spans="1:10" ht="15">
      <c r="A1355" s="21">
        <v>41033</v>
      </c>
      <c r="B1355" s="21">
        <v>41030</v>
      </c>
      <c r="C1355" s="17">
        <v>95</v>
      </c>
      <c r="D1355" s="17" t="s">
        <v>91</v>
      </c>
      <c r="E1355" s="14">
        <v>3316988.19</v>
      </c>
      <c r="F1355" s="14">
        <v>3181896.51</v>
      </c>
      <c r="G1355" s="14">
        <v>3181896.51</v>
      </c>
      <c r="H1355" s="22">
        <f>F1355*(1+Assumptions!$B$6+IF(D1355="Yes",Assumptions!$C$6,0))</f>
        <v>3277353.4052999998</v>
      </c>
      <c r="I1355" s="22">
        <f>F1355*(1+Assumptions!$B$7+IF(D1355="Yes",Assumptions!$C$7,0))</f>
        <v>3340991.3355</v>
      </c>
      <c r="J1355" s="22">
        <f>F1355*(1+Assumptions!$B$8+IF(D1355="Yes",Assumptions!$C$8,0))</f>
        <v>3213715.4750999999</v>
      </c>
    </row>
    <row r="1356" spans="1:10" ht="15">
      <c r="A1356" s="21">
        <v>41033</v>
      </c>
      <c r="B1356" s="21">
        <v>41030</v>
      </c>
      <c r="C1356" s="17">
        <v>96</v>
      </c>
      <c r="D1356" s="17" t="s">
        <v>91</v>
      </c>
      <c r="E1356" s="14">
        <v>546293.11</v>
      </c>
      <c r="F1356" s="14">
        <v>482721.66</v>
      </c>
      <c r="G1356" s="14">
        <v>482721.66</v>
      </c>
      <c r="H1356" s="22">
        <f>F1356*(1+Assumptions!$B$6+IF(D1356="Yes",Assumptions!$C$6,0))</f>
        <v>497203.30979999999</v>
      </c>
      <c r="I1356" s="22">
        <f>F1356*(1+Assumptions!$B$7+IF(D1356="Yes",Assumptions!$C$7,0))</f>
        <v>506857.74300000002</v>
      </c>
      <c r="J1356" s="22">
        <f>F1356*(1+Assumptions!$B$8+IF(D1356="Yes",Assumptions!$C$8,0))</f>
        <v>487548.87659999996</v>
      </c>
    </row>
    <row r="1357" spans="1:10" ht="15">
      <c r="A1357" s="21">
        <v>41033</v>
      </c>
      <c r="B1357" s="21">
        <v>41030</v>
      </c>
      <c r="C1357" s="17">
        <v>97</v>
      </c>
      <c r="D1357" s="17" t="s">
        <v>91</v>
      </c>
      <c r="E1357" s="14">
        <v>644811.23</v>
      </c>
      <c r="F1357" s="14">
        <v>663790.52</v>
      </c>
      <c r="G1357" s="14">
        <v>663790.52</v>
      </c>
      <c r="H1357" s="22">
        <f>F1357*(1+Assumptions!$B$6+IF(D1357="Yes",Assumptions!$C$6,0))</f>
        <v>683704.23560000001</v>
      </c>
      <c r="I1357" s="22">
        <f>F1357*(1+Assumptions!$B$7+IF(D1357="Yes",Assumptions!$C$7,0))</f>
        <v>696980.04600000009</v>
      </c>
      <c r="J1357" s="22">
        <f>F1357*(1+Assumptions!$B$8+IF(D1357="Yes",Assumptions!$C$8,0))</f>
        <v>670428.42520000006</v>
      </c>
    </row>
    <row r="1358" spans="1:10" ht="15">
      <c r="A1358" s="21">
        <v>41033</v>
      </c>
      <c r="B1358" s="21">
        <v>41030</v>
      </c>
      <c r="C1358" s="17">
        <v>98</v>
      </c>
      <c r="D1358" s="17" t="s">
        <v>91</v>
      </c>
      <c r="E1358" s="14">
        <v>255201.72</v>
      </c>
      <c r="F1358" s="14">
        <v>268311.06</v>
      </c>
      <c r="G1358" s="14">
        <v>268311.06</v>
      </c>
      <c r="H1358" s="22">
        <f>F1358*(1+Assumptions!$B$6+IF(D1358="Yes",Assumptions!$C$6,0))</f>
        <v>276360.39179999998</v>
      </c>
      <c r="I1358" s="22">
        <f>F1358*(1+Assumptions!$B$7+IF(D1358="Yes",Assumptions!$C$7,0))</f>
        <v>281726.61300000001</v>
      </c>
      <c r="J1358" s="22">
        <f>F1358*(1+Assumptions!$B$8+IF(D1358="Yes",Assumptions!$C$8,0))</f>
        <v>270994.17060000001</v>
      </c>
    </row>
    <row r="1359" spans="1:10" ht="15">
      <c r="A1359" s="21">
        <v>41033</v>
      </c>
      <c r="B1359" s="21">
        <v>41030</v>
      </c>
      <c r="C1359" s="17">
        <v>99</v>
      </c>
      <c r="D1359" s="17" t="s">
        <v>91</v>
      </c>
      <c r="E1359" s="14">
        <v>6550.01</v>
      </c>
      <c r="F1359" s="14">
        <v>1135</v>
      </c>
      <c r="G1359" s="14">
        <v>1135</v>
      </c>
      <c r="H1359" s="22">
        <f>F1359*(1+Assumptions!$B$6+IF(D1359="Yes",Assumptions!$C$6,0))</f>
        <v>1169.05</v>
      </c>
      <c r="I1359" s="22">
        <f>F1359*(1+Assumptions!$B$7+IF(D1359="Yes",Assumptions!$C$7,0))</f>
        <v>1191.75</v>
      </c>
      <c r="J1359" s="22">
        <f>F1359*(1+Assumptions!$B$8+IF(D1359="Yes",Assumptions!$C$8,0))</f>
        <v>1146.3499999999999</v>
      </c>
    </row>
    <row r="1360" spans="1:10" ht="15">
      <c r="A1360" s="21">
        <v>41040</v>
      </c>
      <c r="B1360" s="21">
        <v>41030</v>
      </c>
      <c r="C1360" s="17">
        <v>1</v>
      </c>
      <c r="D1360" s="17" t="s">
        <v>91</v>
      </c>
      <c r="E1360" s="14">
        <v>666154.84</v>
      </c>
      <c r="F1360" s="14">
        <v>611503.25</v>
      </c>
      <c r="G1360" s="14">
        <v>611503.25</v>
      </c>
      <c r="H1360" s="22">
        <f>F1360*(1+Assumptions!$B$6+IF(D1360="Yes",Assumptions!$C$6,0))</f>
        <v>629848.34750000003</v>
      </c>
      <c r="I1360" s="22">
        <f>F1360*(1+Assumptions!$B$7+IF(D1360="Yes",Assumptions!$C$7,0))</f>
        <v>642078.41249999998</v>
      </c>
      <c r="J1360" s="22">
        <f>F1360*(1+Assumptions!$B$8+IF(D1360="Yes",Assumptions!$C$8,0))</f>
        <v>617618.28249999997</v>
      </c>
    </row>
    <row r="1361" spans="1:10" ht="15">
      <c r="A1361" s="21">
        <v>41040</v>
      </c>
      <c r="B1361" s="21">
        <v>41030</v>
      </c>
      <c r="C1361" s="17">
        <v>2</v>
      </c>
      <c r="D1361" s="17" t="s">
        <v>91</v>
      </c>
      <c r="E1361" s="14">
        <v>1898293.79</v>
      </c>
      <c r="F1361" s="14">
        <v>1833291.86</v>
      </c>
      <c r="G1361" s="14">
        <v>1833291.86</v>
      </c>
      <c r="H1361" s="22">
        <f>F1361*(1+Assumptions!$B$6+IF(D1361="Yes",Assumptions!$C$6,0))</f>
        <v>1888290.6158000003</v>
      </c>
      <c r="I1361" s="22">
        <f>F1361*(1+Assumptions!$B$7+IF(D1361="Yes",Assumptions!$C$7,0))</f>
        <v>1924956.4530000002</v>
      </c>
      <c r="J1361" s="22">
        <f>F1361*(1+Assumptions!$B$8+IF(D1361="Yes",Assumptions!$C$8,0))</f>
        <v>1851624.7786000001</v>
      </c>
    </row>
    <row r="1362" spans="1:10" ht="15">
      <c r="A1362" s="21">
        <v>41040</v>
      </c>
      <c r="B1362" s="21">
        <v>41030</v>
      </c>
      <c r="C1362" s="17">
        <v>3</v>
      </c>
      <c r="D1362" s="17" t="s">
        <v>91</v>
      </c>
      <c r="E1362" s="14">
        <v>345561.52</v>
      </c>
      <c r="F1362" s="14">
        <v>323495.71999999997</v>
      </c>
      <c r="G1362" s="14">
        <v>323495.71999999997</v>
      </c>
      <c r="H1362" s="22">
        <f>F1362*(1+Assumptions!$B$6+IF(D1362="Yes",Assumptions!$C$6,0))</f>
        <v>333200.59159999999</v>
      </c>
      <c r="I1362" s="22">
        <f>F1362*(1+Assumptions!$B$7+IF(D1362="Yes",Assumptions!$C$7,0))</f>
        <v>339670.50599999999</v>
      </c>
      <c r="J1362" s="22">
        <f>F1362*(1+Assumptions!$B$8+IF(D1362="Yes",Assumptions!$C$8,0))</f>
        <v>326730.67719999998</v>
      </c>
    </row>
    <row r="1363" spans="1:10" ht="15">
      <c r="A1363" s="21">
        <v>41040</v>
      </c>
      <c r="B1363" s="21">
        <v>41030</v>
      </c>
      <c r="C1363" s="17">
        <v>4</v>
      </c>
      <c r="D1363" s="17" t="s">
        <v>91</v>
      </c>
      <c r="E1363" s="14">
        <v>1131728.8999999999</v>
      </c>
      <c r="F1363" s="14">
        <v>1079232.7</v>
      </c>
      <c r="G1363" s="14">
        <v>1079232.7</v>
      </c>
      <c r="H1363" s="22">
        <f>F1363*(1+Assumptions!$B$6+IF(D1363="Yes",Assumptions!$C$6,0))</f>
        <v>1111609.6809999999</v>
      </c>
      <c r="I1363" s="22">
        <f>F1363*(1+Assumptions!$B$7+IF(D1363="Yes",Assumptions!$C$7,0))</f>
        <v>1133194.335</v>
      </c>
      <c r="J1363" s="22">
        <f>F1363*(1+Assumptions!$B$8+IF(D1363="Yes",Assumptions!$C$8,0))</f>
        <v>1090025.027</v>
      </c>
    </row>
    <row r="1364" spans="1:10" ht="15">
      <c r="A1364" s="21">
        <v>41040</v>
      </c>
      <c r="B1364" s="21">
        <v>41030</v>
      </c>
      <c r="C1364" s="17">
        <v>5</v>
      </c>
      <c r="D1364" s="17" t="s">
        <v>91</v>
      </c>
      <c r="E1364" s="14">
        <v>648619.29</v>
      </c>
      <c r="F1364" s="14">
        <v>602448.14</v>
      </c>
      <c r="G1364" s="14">
        <v>602448.14</v>
      </c>
      <c r="H1364" s="22">
        <f>F1364*(1+Assumptions!$B$6+IF(D1364="Yes",Assumptions!$C$6,0))</f>
        <v>620521.58420000004</v>
      </c>
      <c r="I1364" s="22">
        <f>F1364*(1+Assumptions!$B$7+IF(D1364="Yes",Assumptions!$C$7,0))</f>
        <v>632570.54700000002</v>
      </c>
      <c r="J1364" s="22">
        <f>F1364*(1+Assumptions!$B$8+IF(D1364="Yes",Assumptions!$C$8,0))</f>
        <v>608472.62140000006</v>
      </c>
    </row>
    <row r="1365" spans="1:10" ht="15">
      <c r="A1365" s="21">
        <v>41040</v>
      </c>
      <c r="B1365" s="21">
        <v>41030</v>
      </c>
      <c r="C1365" s="17">
        <v>6</v>
      </c>
      <c r="D1365" s="17" t="s">
        <v>91</v>
      </c>
      <c r="E1365" s="14">
        <v>166273.32</v>
      </c>
      <c r="F1365" s="14">
        <v>228986.2</v>
      </c>
      <c r="G1365" s="14">
        <v>228986.2</v>
      </c>
      <c r="H1365" s="22">
        <f>F1365*(1+Assumptions!$B$6+IF(D1365="Yes",Assumptions!$C$6,0))</f>
        <v>235855.78600000002</v>
      </c>
      <c r="I1365" s="22">
        <f>F1365*(1+Assumptions!$B$7+IF(D1365="Yes",Assumptions!$C$7,0))</f>
        <v>240435.51</v>
      </c>
      <c r="J1365" s="22">
        <f>F1365*(1+Assumptions!$B$8+IF(D1365="Yes",Assumptions!$C$8,0))</f>
        <v>231276.06200000001</v>
      </c>
    </row>
    <row r="1366" spans="1:10" ht="15">
      <c r="A1366" s="21">
        <v>41040</v>
      </c>
      <c r="B1366" s="21">
        <v>41030</v>
      </c>
      <c r="C1366" s="17">
        <v>7</v>
      </c>
      <c r="D1366" s="17" t="s">
        <v>91</v>
      </c>
      <c r="E1366" s="14">
        <v>881205.43</v>
      </c>
      <c r="F1366" s="14">
        <v>894477.39</v>
      </c>
      <c r="G1366" s="14">
        <v>894477.39</v>
      </c>
      <c r="H1366" s="22">
        <f>F1366*(1+Assumptions!$B$6+IF(D1366="Yes",Assumptions!$C$6,0))</f>
        <v>921311.71169999999</v>
      </c>
      <c r="I1366" s="22">
        <f>F1366*(1+Assumptions!$B$7+IF(D1366="Yes",Assumptions!$C$7,0))</f>
        <v>939201.25950000004</v>
      </c>
      <c r="J1366" s="22">
        <f>F1366*(1+Assumptions!$B$8+IF(D1366="Yes",Assumptions!$C$8,0))</f>
        <v>903422.16390000004</v>
      </c>
    </row>
    <row r="1367" spans="1:10" ht="15">
      <c r="A1367" s="21">
        <v>41040</v>
      </c>
      <c r="B1367" s="21">
        <v>41030</v>
      </c>
      <c r="C1367" s="17">
        <v>8</v>
      </c>
      <c r="D1367" s="17" t="s">
        <v>91</v>
      </c>
      <c r="E1367" s="14">
        <v>1345827.76</v>
      </c>
      <c r="F1367" s="14">
        <v>1281818.3899999999</v>
      </c>
      <c r="G1367" s="14">
        <v>1281818.3899999999</v>
      </c>
      <c r="H1367" s="22">
        <f>F1367*(1+Assumptions!$B$6+IF(D1367="Yes",Assumptions!$C$6,0))</f>
        <v>1320272.9416999999</v>
      </c>
      <c r="I1367" s="22">
        <f>F1367*(1+Assumptions!$B$7+IF(D1367="Yes",Assumptions!$C$7,0))</f>
        <v>1345909.3095</v>
      </c>
      <c r="J1367" s="22">
        <f>F1367*(1+Assumptions!$B$8+IF(D1367="Yes",Assumptions!$C$8,0))</f>
        <v>1294636.5739</v>
      </c>
    </row>
    <row r="1368" spans="1:10" ht="15">
      <c r="A1368" s="21">
        <v>41040</v>
      </c>
      <c r="B1368" s="21">
        <v>41030</v>
      </c>
      <c r="C1368" s="17">
        <v>9</v>
      </c>
      <c r="D1368" s="17" t="s">
        <v>91</v>
      </c>
      <c r="E1368" s="14">
        <v>930740.6</v>
      </c>
      <c r="F1368" s="14">
        <v>855194.42999999993</v>
      </c>
      <c r="G1368" s="14">
        <v>855194.42999999993</v>
      </c>
      <c r="H1368" s="22">
        <f>F1368*(1+Assumptions!$B$6+IF(D1368="Yes",Assumptions!$C$6,0))</f>
        <v>880850.26289999997</v>
      </c>
      <c r="I1368" s="22">
        <f>F1368*(1+Assumptions!$B$7+IF(D1368="Yes",Assumptions!$C$7,0))</f>
        <v>897954.15149999992</v>
      </c>
      <c r="J1368" s="22">
        <f>F1368*(1+Assumptions!$B$8+IF(D1368="Yes",Assumptions!$C$8,0))</f>
        <v>863746.37429999991</v>
      </c>
    </row>
    <row r="1369" spans="1:10" ht="15">
      <c r="A1369" s="21">
        <v>41040</v>
      </c>
      <c r="B1369" s="21">
        <v>41030</v>
      </c>
      <c r="C1369" s="17">
        <v>10</v>
      </c>
      <c r="D1369" s="17" t="s">
        <v>91</v>
      </c>
      <c r="E1369" s="14">
        <v>822605.55</v>
      </c>
      <c r="F1369" s="14">
        <v>782093.8</v>
      </c>
      <c r="G1369" s="14">
        <v>782093.8</v>
      </c>
      <c r="H1369" s="22">
        <f>F1369*(1+Assumptions!$B$6+IF(D1369="Yes",Assumptions!$C$6,0))</f>
        <v>805556.61400000006</v>
      </c>
      <c r="I1369" s="22">
        <f>F1369*(1+Assumptions!$B$7+IF(D1369="Yes",Assumptions!$C$7,0))</f>
        <v>821198.49000000011</v>
      </c>
      <c r="J1369" s="22">
        <f>F1369*(1+Assumptions!$B$8+IF(D1369="Yes",Assumptions!$C$8,0))</f>
        <v>789914.73800000001</v>
      </c>
    </row>
    <row r="1370" spans="1:10" ht="15">
      <c r="A1370" s="21">
        <v>41040</v>
      </c>
      <c r="B1370" s="21">
        <v>41030</v>
      </c>
      <c r="C1370" s="17">
        <v>11</v>
      </c>
      <c r="D1370" s="17" t="s">
        <v>91</v>
      </c>
      <c r="E1370" s="14">
        <v>579735.87</v>
      </c>
      <c r="F1370" s="14">
        <v>565085.59</v>
      </c>
      <c r="G1370" s="14">
        <v>565085.59</v>
      </c>
      <c r="H1370" s="22">
        <f>F1370*(1+Assumptions!$B$6+IF(D1370="Yes",Assumptions!$C$6,0))</f>
        <v>582038.15769999998</v>
      </c>
      <c r="I1370" s="22">
        <f>F1370*(1+Assumptions!$B$7+IF(D1370="Yes",Assumptions!$C$7,0))</f>
        <v>593339.86950000003</v>
      </c>
      <c r="J1370" s="22">
        <f>F1370*(1+Assumptions!$B$8+IF(D1370="Yes",Assumptions!$C$8,0))</f>
        <v>570736.44589999993</v>
      </c>
    </row>
    <row r="1371" spans="1:10" ht="15">
      <c r="A1371" s="21">
        <v>41040</v>
      </c>
      <c r="B1371" s="21">
        <v>41030</v>
      </c>
      <c r="C1371" s="17">
        <v>12</v>
      </c>
      <c r="D1371" s="17" t="s">
        <v>91</v>
      </c>
      <c r="E1371" s="14">
        <v>204447.04</v>
      </c>
      <c r="F1371" s="14">
        <v>189380.63</v>
      </c>
      <c r="G1371" s="14">
        <v>189380.63</v>
      </c>
      <c r="H1371" s="22">
        <f>F1371*(1+Assumptions!$B$6+IF(D1371="Yes",Assumptions!$C$6,0))</f>
        <v>195062.04890000002</v>
      </c>
      <c r="I1371" s="22">
        <f>F1371*(1+Assumptions!$B$7+IF(D1371="Yes",Assumptions!$C$7,0))</f>
        <v>198849.66150000002</v>
      </c>
      <c r="J1371" s="22">
        <f>F1371*(1+Assumptions!$B$8+IF(D1371="Yes",Assumptions!$C$8,0))</f>
        <v>191274.4363</v>
      </c>
    </row>
    <row r="1372" spans="1:10" ht="15">
      <c r="A1372" s="21">
        <v>41040</v>
      </c>
      <c r="B1372" s="21">
        <v>41030</v>
      </c>
      <c r="C1372" s="17">
        <v>13</v>
      </c>
      <c r="D1372" s="17" t="s">
        <v>91</v>
      </c>
      <c r="E1372" s="14">
        <v>1313009.6399999999</v>
      </c>
      <c r="F1372" s="14">
        <v>1255405.3899999999</v>
      </c>
      <c r="G1372" s="14">
        <v>1255405.3899999999</v>
      </c>
      <c r="H1372" s="22">
        <f>F1372*(1+Assumptions!$B$6+IF(D1372="Yes",Assumptions!$C$6,0))</f>
        <v>1293067.5517</v>
      </c>
      <c r="I1372" s="22">
        <f>F1372*(1+Assumptions!$B$7+IF(D1372="Yes",Assumptions!$C$7,0))</f>
        <v>1318175.6594999998</v>
      </c>
      <c r="J1372" s="22">
        <f>F1372*(1+Assumptions!$B$8+IF(D1372="Yes",Assumptions!$C$8,0))</f>
        <v>1267959.4438999998</v>
      </c>
    </row>
    <row r="1373" spans="1:10" ht="15">
      <c r="A1373" s="21">
        <v>41040</v>
      </c>
      <c r="B1373" s="21">
        <v>41030</v>
      </c>
      <c r="C1373" s="17">
        <v>14</v>
      </c>
      <c r="D1373" s="17" t="s">
        <v>91</v>
      </c>
      <c r="E1373" s="14">
        <v>652409.89</v>
      </c>
      <c r="F1373" s="14">
        <v>612700.85</v>
      </c>
      <c r="G1373" s="14">
        <v>612700.85</v>
      </c>
      <c r="H1373" s="22">
        <f>F1373*(1+Assumptions!$B$6+IF(D1373="Yes",Assumptions!$C$6,0))</f>
        <v>631081.87549999997</v>
      </c>
      <c r="I1373" s="22">
        <f>F1373*(1+Assumptions!$B$7+IF(D1373="Yes",Assumptions!$C$7,0))</f>
        <v>643335.89249999996</v>
      </c>
      <c r="J1373" s="22">
        <f>F1373*(1+Assumptions!$B$8+IF(D1373="Yes",Assumptions!$C$8,0))</f>
        <v>618827.85849999997</v>
      </c>
    </row>
    <row r="1374" spans="1:10" ht="15">
      <c r="A1374" s="21">
        <v>41040</v>
      </c>
      <c r="B1374" s="21">
        <v>41030</v>
      </c>
      <c r="C1374" s="17">
        <v>16</v>
      </c>
      <c r="D1374" s="17" t="s">
        <v>91</v>
      </c>
      <c r="E1374" s="14">
        <v>1184534.6100000001</v>
      </c>
      <c r="F1374" s="14">
        <v>1370393.88</v>
      </c>
      <c r="G1374" s="14">
        <v>1370393.88</v>
      </c>
      <c r="H1374" s="22">
        <f>F1374*(1+Assumptions!$B$6+IF(D1374="Yes",Assumptions!$C$6,0))</f>
        <v>1411505.6964</v>
      </c>
      <c r="I1374" s="22">
        <f>F1374*(1+Assumptions!$B$7+IF(D1374="Yes",Assumptions!$C$7,0))</f>
        <v>1438913.574</v>
      </c>
      <c r="J1374" s="22">
        <f>F1374*(1+Assumptions!$B$8+IF(D1374="Yes",Assumptions!$C$8,0))</f>
        <v>1384097.8188</v>
      </c>
    </row>
    <row r="1375" spans="1:10" ht="15">
      <c r="A1375" s="21">
        <v>41040</v>
      </c>
      <c r="B1375" s="21">
        <v>41030</v>
      </c>
      <c r="C1375" s="17">
        <v>17</v>
      </c>
      <c r="D1375" s="17" t="s">
        <v>91</v>
      </c>
      <c r="E1375" s="14">
        <v>415948.39</v>
      </c>
      <c r="F1375" s="14">
        <v>411354.22</v>
      </c>
      <c r="G1375" s="14">
        <v>411354.22</v>
      </c>
      <c r="H1375" s="22">
        <f>F1375*(1+Assumptions!$B$6+IF(D1375="Yes",Assumptions!$C$6,0))</f>
        <v>423694.84659999999</v>
      </c>
      <c r="I1375" s="22">
        <f>F1375*(1+Assumptions!$B$7+IF(D1375="Yes",Assumptions!$C$7,0))</f>
        <v>431921.93099999998</v>
      </c>
      <c r="J1375" s="22">
        <f>F1375*(1+Assumptions!$B$8+IF(D1375="Yes",Assumptions!$C$8,0))</f>
        <v>415467.7622</v>
      </c>
    </row>
    <row r="1376" spans="1:10" ht="15">
      <c r="A1376" s="21">
        <v>41040</v>
      </c>
      <c r="B1376" s="21">
        <v>41030</v>
      </c>
      <c r="C1376" s="17">
        <v>18</v>
      </c>
      <c r="D1376" s="17" t="s">
        <v>91</v>
      </c>
      <c r="E1376" s="14">
        <v>-2.6600000000000015</v>
      </c>
      <c r="F1376" s="14">
        <v>4216.91</v>
      </c>
      <c r="G1376" s="14">
        <v>4216.91</v>
      </c>
      <c r="H1376" s="22">
        <f>F1376*(1+Assumptions!$B$6+IF(D1376="Yes",Assumptions!$C$6,0))</f>
        <v>4343.4173000000001</v>
      </c>
      <c r="I1376" s="22">
        <f>F1376*(1+Assumptions!$B$7+IF(D1376="Yes",Assumptions!$C$7,0))</f>
        <v>4427.7555000000002</v>
      </c>
      <c r="J1376" s="22">
        <f>F1376*(1+Assumptions!$B$8+IF(D1376="Yes",Assumptions!$C$8,0))</f>
        <v>4259.0790999999999</v>
      </c>
    </row>
    <row r="1377" spans="1:10" ht="15">
      <c r="A1377" s="21">
        <v>41040</v>
      </c>
      <c r="B1377" s="21">
        <v>41030</v>
      </c>
      <c r="C1377" s="17">
        <v>19</v>
      </c>
      <c r="D1377" s="17" t="s">
        <v>91</v>
      </c>
      <c r="E1377" s="14">
        <v>48345.32</v>
      </c>
      <c r="F1377" s="14">
        <v>37525.99</v>
      </c>
      <c r="G1377" s="14">
        <v>37525.99</v>
      </c>
      <c r="H1377" s="22">
        <f>F1377*(1+Assumptions!$B$6+IF(D1377="Yes",Assumptions!$C$6,0))</f>
        <v>38651.769699999997</v>
      </c>
      <c r="I1377" s="22">
        <f>F1377*(1+Assumptions!$B$7+IF(D1377="Yes",Assumptions!$C$7,0))</f>
        <v>39402.289499999999</v>
      </c>
      <c r="J1377" s="22">
        <f>F1377*(1+Assumptions!$B$8+IF(D1377="Yes",Assumptions!$C$8,0))</f>
        <v>37901.249899999995</v>
      </c>
    </row>
    <row r="1378" spans="1:10" ht="15">
      <c r="A1378" s="21">
        <v>41040</v>
      </c>
      <c r="B1378" s="21">
        <v>41030</v>
      </c>
      <c r="C1378" s="17">
        <v>20</v>
      </c>
      <c r="D1378" s="17" t="s">
        <v>91</v>
      </c>
      <c r="E1378" s="14">
        <v>217917.54</v>
      </c>
      <c r="F1378" s="14">
        <v>212194.22999999998</v>
      </c>
      <c r="G1378" s="14">
        <v>212194.22999999998</v>
      </c>
      <c r="H1378" s="22">
        <f>F1378*(1+Assumptions!$B$6+IF(D1378="Yes",Assumptions!$C$6,0))</f>
        <v>218560.0569</v>
      </c>
      <c r="I1378" s="22">
        <f>F1378*(1+Assumptions!$B$7+IF(D1378="Yes",Assumptions!$C$7,0))</f>
        <v>222803.94149999999</v>
      </c>
      <c r="J1378" s="22">
        <f>F1378*(1+Assumptions!$B$8+IF(D1378="Yes",Assumptions!$C$8,0))</f>
        <v>214316.17229999998</v>
      </c>
    </row>
    <row r="1379" spans="1:10" ht="15">
      <c r="A1379" s="21">
        <v>41040</v>
      </c>
      <c r="B1379" s="21">
        <v>41030</v>
      </c>
      <c r="C1379" s="17">
        <v>21</v>
      </c>
      <c r="D1379" s="17" t="s">
        <v>91</v>
      </c>
      <c r="E1379" s="14">
        <v>198706.64</v>
      </c>
      <c r="F1379" s="14">
        <v>201322.79</v>
      </c>
      <c r="G1379" s="14">
        <v>201322.79</v>
      </c>
      <c r="H1379" s="22">
        <f>F1379*(1+Assumptions!$B$6+IF(D1379="Yes",Assumptions!$C$6,0))</f>
        <v>207362.4737</v>
      </c>
      <c r="I1379" s="22">
        <f>F1379*(1+Assumptions!$B$7+IF(D1379="Yes",Assumptions!$C$7,0))</f>
        <v>211388.92950000003</v>
      </c>
      <c r="J1379" s="22">
        <f>F1379*(1+Assumptions!$B$8+IF(D1379="Yes",Assumptions!$C$8,0))</f>
        <v>203336.01790000001</v>
      </c>
    </row>
    <row r="1380" spans="1:10" ht="15">
      <c r="A1380" s="21">
        <v>41040</v>
      </c>
      <c r="B1380" s="21">
        <v>41030</v>
      </c>
      <c r="C1380" s="17">
        <v>22</v>
      </c>
      <c r="D1380" s="17" t="s">
        <v>91</v>
      </c>
      <c r="E1380" s="14">
        <v>343961.97000000003</v>
      </c>
      <c r="F1380" s="14">
        <v>319545.90999999997</v>
      </c>
      <c r="G1380" s="14">
        <v>319545.90999999997</v>
      </c>
      <c r="H1380" s="22">
        <f>F1380*(1+Assumptions!$B$6+IF(D1380="Yes",Assumptions!$C$6,0))</f>
        <v>329132.28729999997</v>
      </c>
      <c r="I1380" s="22">
        <f>F1380*(1+Assumptions!$B$7+IF(D1380="Yes",Assumptions!$C$7,0))</f>
        <v>335523.20549999998</v>
      </c>
      <c r="J1380" s="22">
        <f>F1380*(1+Assumptions!$B$8+IF(D1380="Yes",Assumptions!$C$8,0))</f>
        <v>322741.36909999995</v>
      </c>
    </row>
    <row r="1381" spans="1:10" ht="15">
      <c r="A1381" s="21">
        <v>41040</v>
      </c>
      <c r="B1381" s="21">
        <v>41030</v>
      </c>
      <c r="C1381" s="17">
        <v>23</v>
      </c>
      <c r="D1381" s="17" t="s">
        <v>91</v>
      </c>
      <c r="E1381" s="14">
        <v>908351.73</v>
      </c>
      <c r="F1381" s="14">
        <v>867597.74</v>
      </c>
      <c r="G1381" s="14">
        <v>867597.74</v>
      </c>
      <c r="H1381" s="22">
        <f>F1381*(1+Assumptions!$B$6+IF(D1381="Yes",Assumptions!$C$6,0))</f>
        <v>893625.67220000003</v>
      </c>
      <c r="I1381" s="22">
        <f>F1381*(1+Assumptions!$B$7+IF(D1381="Yes",Assumptions!$C$7,0))</f>
        <v>910977.62699999998</v>
      </c>
      <c r="J1381" s="22">
        <f>F1381*(1+Assumptions!$B$8+IF(D1381="Yes",Assumptions!$C$8,0))</f>
        <v>876273.71739999996</v>
      </c>
    </row>
    <row r="1382" spans="1:10" ht="15">
      <c r="A1382" s="21">
        <v>41040</v>
      </c>
      <c r="B1382" s="21">
        <v>41030</v>
      </c>
      <c r="C1382" s="17">
        <v>24</v>
      </c>
      <c r="D1382" s="17" t="s">
        <v>91</v>
      </c>
      <c r="E1382" s="14">
        <v>182043.44</v>
      </c>
      <c r="F1382" s="14">
        <v>177878.88</v>
      </c>
      <c r="G1382" s="14">
        <v>177878.88</v>
      </c>
      <c r="H1382" s="22">
        <f>F1382*(1+Assumptions!$B$6+IF(D1382="Yes",Assumptions!$C$6,0))</f>
        <v>183215.2464</v>
      </c>
      <c r="I1382" s="22">
        <f>F1382*(1+Assumptions!$B$7+IF(D1382="Yes",Assumptions!$C$7,0))</f>
        <v>186772.82400000002</v>
      </c>
      <c r="J1382" s="22">
        <f>F1382*(1+Assumptions!$B$8+IF(D1382="Yes",Assumptions!$C$8,0))</f>
        <v>179657.66880000001</v>
      </c>
    </row>
    <row r="1383" spans="1:10" ht="15">
      <c r="A1383" s="21">
        <v>41040</v>
      </c>
      <c r="B1383" s="21">
        <v>41030</v>
      </c>
      <c r="C1383" s="17">
        <v>25</v>
      </c>
      <c r="D1383" s="17" t="s">
        <v>91</v>
      </c>
      <c r="E1383" s="14">
        <v>412339.84</v>
      </c>
      <c r="F1383" s="14">
        <v>411056.26</v>
      </c>
      <c r="G1383" s="14">
        <v>411056.26</v>
      </c>
      <c r="H1383" s="22">
        <f>F1383*(1+Assumptions!$B$6+IF(D1383="Yes",Assumptions!$C$6,0))</f>
        <v>423387.94780000002</v>
      </c>
      <c r="I1383" s="22">
        <f>F1383*(1+Assumptions!$B$7+IF(D1383="Yes",Assumptions!$C$7,0))</f>
        <v>431609.07300000003</v>
      </c>
      <c r="J1383" s="22">
        <f>F1383*(1+Assumptions!$B$8+IF(D1383="Yes",Assumptions!$C$8,0))</f>
        <v>415166.82260000001</v>
      </c>
    </row>
    <row r="1384" spans="1:10" ht="15">
      <c r="A1384" s="21">
        <v>41040</v>
      </c>
      <c r="B1384" s="21">
        <v>41030</v>
      </c>
      <c r="C1384" s="17">
        <v>26</v>
      </c>
      <c r="D1384" s="17" t="s">
        <v>91</v>
      </c>
      <c r="E1384" s="14">
        <v>258856.66999999998</v>
      </c>
      <c r="F1384" s="14">
        <v>266179.24</v>
      </c>
      <c r="G1384" s="14">
        <v>266179.24</v>
      </c>
      <c r="H1384" s="22">
        <f>F1384*(1+Assumptions!$B$6+IF(D1384="Yes",Assumptions!$C$6,0))</f>
        <v>274164.61719999998</v>
      </c>
      <c r="I1384" s="22">
        <f>F1384*(1+Assumptions!$B$7+IF(D1384="Yes",Assumptions!$C$7,0))</f>
        <v>279488.20199999999</v>
      </c>
      <c r="J1384" s="22">
        <f>F1384*(1+Assumptions!$B$8+IF(D1384="Yes",Assumptions!$C$8,0))</f>
        <v>268841.03239999997</v>
      </c>
    </row>
    <row r="1385" spans="1:10" ht="15">
      <c r="A1385" s="21">
        <v>41040</v>
      </c>
      <c r="B1385" s="21">
        <v>41030</v>
      </c>
      <c r="C1385" s="17">
        <v>27</v>
      </c>
      <c r="D1385" s="17" t="s">
        <v>91</v>
      </c>
      <c r="E1385" s="14">
        <v>48644.43</v>
      </c>
      <c r="F1385" s="14">
        <v>49518.85</v>
      </c>
      <c r="G1385" s="14">
        <v>49518.85</v>
      </c>
      <c r="H1385" s="22">
        <f>F1385*(1+Assumptions!$B$6+IF(D1385="Yes",Assumptions!$C$6,0))</f>
        <v>51004.415500000003</v>
      </c>
      <c r="I1385" s="22">
        <f>F1385*(1+Assumptions!$B$7+IF(D1385="Yes",Assumptions!$C$7,0))</f>
        <v>51994.792500000003</v>
      </c>
      <c r="J1385" s="22">
        <f>F1385*(1+Assumptions!$B$8+IF(D1385="Yes",Assumptions!$C$8,0))</f>
        <v>50014.038500000002</v>
      </c>
    </row>
    <row r="1386" spans="1:10" ht="15">
      <c r="A1386" s="21">
        <v>41040</v>
      </c>
      <c r="B1386" s="21">
        <v>41030</v>
      </c>
      <c r="C1386" s="17">
        <v>28</v>
      </c>
      <c r="D1386" s="17" t="s">
        <v>91</v>
      </c>
      <c r="E1386" s="14">
        <v>22732.190000000002</v>
      </c>
      <c r="F1386" s="14">
        <v>25878.39</v>
      </c>
      <c r="G1386" s="14">
        <v>25878.39</v>
      </c>
      <c r="H1386" s="22">
        <f>F1386*(1+Assumptions!$B$6+IF(D1386="Yes",Assumptions!$C$6,0))</f>
        <v>26654.741699999999</v>
      </c>
      <c r="I1386" s="22">
        <f>F1386*(1+Assumptions!$B$7+IF(D1386="Yes",Assumptions!$C$7,0))</f>
        <v>27172.309499999999</v>
      </c>
      <c r="J1386" s="22">
        <f>F1386*(1+Assumptions!$B$8+IF(D1386="Yes",Assumptions!$C$8,0))</f>
        <v>26137.173899999998</v>
      </c>
    </row>
    <row r="1387" spans="1:10" ht="15">
      <c r="A1387" s="21">
        <v>41040</v>
      </c>
      <c r="B1387" s="21">
        <v>41030</v>
      </c>
      <c r="C1387" s="17">
        <v>29</v>
      </c>
      <c r="D1387" s="17" t="s">
        <v>91</v>
      </c>
      <c r="E1387" s="14">
        <v>204821.77</v>
      </c>
      <c r="F1387" s="14">
        <v>203882.8</v>
      </c>
      <c r="G1387" s="14">
        <v>203882.8</v>
      </c>
      <c r="H1387" s="22">
        <f>F1387*(1+Assumptions!$B$6+IF(D1387="Yes",Assumptions!$C$6,0))</f>
        <v>209999.28399999999</v>
      </c>
      <c r="I1387" s="22">
        <f>F1387*(1+Assumptions!$B$7+IF(D1387="Yes",Assumptions!$C$7,0))</f>
        <v>214076.94</v>
      </c>
      <c r="J1387" s="22">
        <f>F1387*(1+Assumptions!$B$8+IF(D1387="Yes",Assumptions!$C$8,0))</f>
        <v>205921.628</v>
      </c>
    </row>
    <row r="1388" spans="1:10" ht="15">
      <c r="A1388" s="21">
        <v>41040</v>
      </c>
      <c r="B1388" s="21">
        <v>41030</v>
      </c>
      <c r="C1388" s="17">
        <v>30</v>
      </c>
      <c r="D1388" s="17" t="s">
        <v>91</v>
      </c>
      <c r="E1388" s="14">
        <v>154388.15</v>
      </c>
      <c r="F1388" s="14">
        <v>161607.12</v>
      </c>
      <c r="G1388" s="14">
        <v>161607.12</v>
      </c>
      <c r="H1388" s="22">
        <f>F1388*(1+Assumptions!$B$6+IF(D1388="Yes",Assumptions!$C$6,0))</f>
        <v>166455.33360000001</v>
      </c>
      <c r="I1388" s="22">
        <f>F1388*(1+Assumptions!$B$7+IF(D1388="Yes",Assumptions!$C$7,0))</f>
        <v>169687.476</v>
      </c>
      <c r="J1388" s="22">
        <f>F1388*(1+Assumptions!$B$8+IF(D1388="Yes",Assumptions!$C$8,0))</f>
        <v>163223.1912</v>
      </c>
    </row>
    <row r="1389" spans="1:10" ht="15">
      <c r="A1389" s="21">
        <v>41040</v>
      </c>
      <c r="B1389" s="21">
        <v>41030</v>
      </c>
      <c r="C1389" s="17">
        <v>31</v>
      </c>
      <c r="D1389" s="17" t="s">
        <v>91</v>
      </c>
      <c r="E1389" s="14">
        <v>72579.429999999993</v>
      </c>
      <c r="F1389" s="14">
        <v>78871.350000000006</v>
      </c>
      <c r="G1389" s="14">
        <v>78871.350000000006</v>
      </c>
      <c r="H1389" s="22">
        <f>F1389*(1+Assumptions!$B$6+IF(D1389="Yes",Assumptions!$C$6,0))</f>
        <v>81237.490500000014</v>
      </c>
      <c r="I1389" s="22">
        <f>F1389*(1+Assumptions!$B$7+IF(D1389="Yes",Assumptions!$C$7,0))</f>
        <v>82814.91750000001</v>
      </c>
      <c r="J1389" s="22">
        <f>F1389*(1+Assumptions!$B$8+IF(D1389="Yes",Assumptions!$C$8,0))</f>
        <v>79660.063500000004</v>
      </c>
    </row>
    <row r="1390" spans="1:10" ht="15">
      <c r="A1390" s="21">
        <v>41040</v>
      </c>
      <c r="B1390" s="21">
        <v>41030</v>
      </c>
      <c r="C1390" s="17">
        <v>32</v>
      </c>
      <c r="D1390" s="17" t="s">
        <v>91</v>
      </c>
      <c r="E1390" s="14">
        <v>340400.83</v>
      </c>
      <c r="F1390" s="14">
        <v>413696.6</v>
      </c>
      <c r="G1390" s="14">
        <v>413696.6</v>
      </c>
      <c r="H1390" s="22">
        <f>F1390*(1+Assumptions!$B$6+IF(D1390="Yes",Assumptions!$C$6,0))</f>
        <v>426107.49799999996</v>
      </c>
      <c r="I1390" s="22">
        <f>F1390*(1+Assumptions!$B$7+IF(D1390="Yes",Assumptions!$C$7,0))</f>
        <v>434381.43</v>
      </c>
      <c r="J1390" s="22">
        <f>F1390*(1+Assumptions!$B$8+IF(D1390="Yes",Assumptions!$C$8,0))</f>
        <v>417833.56599999999</v>
      </c>
    </row>
    <row r="1391" spans="1:10" ht="15">
      <c r="A1391" s="21">
        <v>41040</v>
      </c>
      <c r="B1391" s="21">
        <v>41030</v>
      </c>
      <c r="C1391" s="17">
        <v>33</v>
      </c>
      <c r="D1391" s="17" t="s">
        <v>91</v>
      </c>
      <c r="E1391" s="14">
        <v>187857.22</v>
      </c>
      <c r="F1391" s="14">
        <v>187714.06</v>
      </c>
      <c r="G1391" s="14">
        <v>187714.06</v>
      </c>
      <c r="H1391" s="22">
        <f>F1391*(1+Assumptions!$B$6+IF(D1391="Yes",Assumptions!$C$6,0))</f>
        <v>193345.48180000001</v>
      </c>
      <c r="I1391" s="22">
        <f>F1391*(1+Assumptions!$B$7+IF(D1391="Yes",Assumptions!$C$7,0))</f>
        <v>197099.76300000001</v>
      </c>
      <c r="J1391" s="22">
        <f>F1391*(1+Assumptions!$B$8+IF(D1391="Yes",Assumptions!$C$8,0))</f>
        <v>189591.20060000001</v>
      </c>
    </row>
    <row r="1392" spans="1:10" ht="15">
      <c r="A1392" s="21">
        <v>41040</v>
      </c>
      <c r="B1392" s="21">
        <v>41030</v>
      </c>
      <c r="C1392" s="17">
        <v>34</v>
      </c>
      <c r="D1392" s="17" t="s">
        <v>91</v>
      </c>
      <c r="E1392" s="14">
        <v>642355.63</v>
      </c>
      <c r="F1392" s="14">
        <v>651875.06999999995</v>
      </c>
      <c r="G1392" s="14">
        <v>651875.06999999995</v>
      </c>
      <c r="H1392" s="22">
        <f>F1392*(1+Assumptions!$B$6+IF(D1392="Yes",Assumptions!$C$6,0))</f>
        <v>671431.32209999999</v>
      </c>
      <c r="I1392" s="22">
        <f>F1392*(1+Assumptions!$B$7+IF(D1392="Yes",Assumptions!$C$7,0))</f>
        <v>684468.82349999994</v>
      </c>
      <c r="J1392" s="22">
        <f>F1392*(1+Assumptions!$B$8+IF(D1392="Yes",Assumptions!$C$8,0))</f>
        <v>658393.82069999992</v>
      </c>
    </row>
    <row r="1393" spans="1:10" ht="15">
      <c r="A1393" s="21">
        <v>41040</v>
      </c>
      <c r="B1393" s="21">
        <v>41030</v>
      </c>
      <c r="C1393" s="17">
        <v>35</v>
      </c>
      <c r="D1393" s="17" t="s">
        <v>91</v>
      </c>
      <c r="E1393" s="14">
        <v>139696.54</v>
      </c>
      <c r="F1393" s="14">
        <v>146214.59</v>
      </c>
      <c r="G1393" s="14">
        <v>146214.59</v>
      </c>
      <c r="H1393" s="22">
        <f>F1393*(1+Assumptions!$B$6+IF(D1393="Yes",Assumptions!$C$6,0))</f>
        <v>150601.02770000001</v>
      </c>
      <c r="I1393" s="22">
        <f>F1393*(1+Assumptions!$B$7+IF(D1393="Yes",Assumptions!$C$7,0))</f>
        <v>153525.31950000001</v>
      </c>
      <c r="J1393" s="22">
        <f>F1393*(1+Assumptions!$B$8+IF(D1393="Yes",Assumptions!$C$8,0))</f>
        <v>147676.7359</v>
      </c>
    </row>
    <row r="1394" spans="1:10" ht="15">
      <c r="A1394" s="21">
        <v>41040</v>
      </c>
      <c r="B1394" s="21">
        <v>41030</v>
      </c>
      <c r="C1394" s="17">
        <v>36</v>
      </c>
      <c r="D1394" s="17" t="s">
        <v>91</v>
      </c>
      <c r="E1394" s="14">
        <v>74774.179999999993</v>
      </c>
      <c r="F1394" s="14">
        <v>87717</v>
      </c>
      <c r="G1394" s="14">
        <v>87717</v>
      </c>
      <c r="H1394" s="22">
        <f>F1394*(1+Assumptions!$B$6+IF(D1394="Yes",Assumptions!$C$6,0))</f>
        <v>90348.510000000009</v>
      </c>
      <c r="I1394" s="22">
        <f>F1394*(1+Assumptions!$B$7+IF(D1394="Yes",Assumptions!$C$7,0))</f>
        <v>92102.85</v>
      </c>
      <c r="J1394" s="22">
        <f>F1394*(1+Assumptions!$B$8+IF(D1394="Yes",Assumptions!$C$8,0))</f>
        <v>88594.17</v>
      </c>
    </row>
    <row r="1395" spans="1:10" ht="15">
      <c r="A1395" s="21">
        <v>41040</v>
      </c>
      <c r="B1395" s="21">
        <v>41030</v>
      </c>
      <c r="C1395" s="17">
        <v>37</v>
      </c>
      <c r="D1395" s="17" t="s">
        <v>91</v>
      </c>
      <c r="E1395" s="14">
        <v>53961.38</v>
      </c>
      <c r="F1395" s="14">
        <v>49229.120000000003</v>
      </c>
      <c r="G1395" s="14">
        <v>49229.120000000003</v>
      </c>
      <c r="H1395" s="22">
        <f>F1395*(1+Assumptions!$B$6+IF(D1395="Yes",Assumptions!$C$6,0))</f>
        <v>50705.993600000002</v>
      </c>
      <c r="I1395" s="22">
        <f>F1395*(1+Assumptions!$B$7+IF(D1395="Yes",Assumptions!$C$7,0))</f>
        <v>51690.576000000008</v>
      </c>
      <c r="J1395" s="22">
        <f>F1395*(1+Assumptions!$B$8+IF(D1395="Yes",Assumptions!$C$8,0))</f>
        <v>49721.411200000002</v>
      </c>
    </row>
    <row r="1396" spans="1:10" ht="15">
      <c r="A1396" s="21">
        <v>41040</v>
      </c>
      <c r="B1396" s="21">
        <v>41030</v>
      </c>
      <c r="C1396" s="17">
        <v>38</v>
      </c>
      <c r="D1396" s="17" t="s">
        <v>91</v>
      </c>
      <c r="E1396" s="14">
        <v>2868055.24</v>
      </c>
      <c r="F1396" s="14">
        <v>2705229.53</v>
      </c>
      <c r="G1396" s="14">
        <v>2705229.53</v>
      </c>
      <c r="H1396" s="22">
        <f>F1396*(1+Assumptions!$B$6+IF(D1396="Yes",Assumptions!$C$6,0))</f>
        <v>2786386.4158999999</v>
      </c>
      <c r="I1396" s="22">
        <f>F1396*(1+Assumptions!$B$7+IF(D1396="Yes",Assumptions!$C$7,0))</f>
        <v>2840491.0065000001</v>
      </c>
      <c r="J1396" s="22">
        <f>F1396*(1+Assumptions!$B$8+IF(D1396="Yes",Assumptions!$C$8,0))</f>
        <v>2732281.8252999997</v>
      </c>
    </row>
    <row r="1397" spans="1:10" ht="15">
      <c r="A1397" s="21">
        <v>41040</v>
      </c>
      <c r="B1397" s="21">
        <v>41030</v>
      </c>
      <c r="C1397" s="17">
        <v>40</v>
      </c>
      <c r="D1397" s="17" t="s">
        <v>91</v>
      </c>
      <c r="E1397" s="14">
        <v>2002033.96</v>
      </c>
      <c r="F1397" s="14">
        <v>1934214.41</v>
      </c>
      <c r="G1397" s="14">
        <v>1934214.41</v>
      </c>
      <c r="H1397" s="22">
        <f>F1397*(1+Assumptions!$B$6+IF(D1397="Yes",Assumptions!$C$6,0))</f>
        <v>1992240.8422999999</v>
      </c>
      <c r="I1397" s="22">
        <f>F1397*(1+Assumptions!$B$7+IF(D1397="Yes",Assumptions!$C$7,0))</f>
        <v>2030925.1305</v>
      </c>
      <c r="J1397" s="22">
        <f>F1397*(1+Assumptions!$B$8+IF(D1397="Yes",Assumptions!$C$8,0))</f>
        <v>1953556.5540999998</v>
      </c>
    </row>
    <row r="1398" spans="1:10" ht="15">
      <c r="A1398" s="21">
        <v>41040</v>
      </c>
      <c r="B1398" s="21">
        <v>41030</v>
      </c>
      <c r="C1398" s="17">
        <v>41</v>
      </c>
      <c r="D1398" s="17" t="s">
        <v>91</v>
      </c>
      <c r="E1398" s="14">
        <v>50222.76</v>
      </c>
      <c r="F1398" s="14">
        <v>50362.239999999998</v>
      </c>
      <c r="G1398" s="14">
        <v>50362.239999999998</v>
      </c>
      <c r="H1398" s="22">
        <f>F1398*(1+Assumptions!$B$6+IF(D1398="Yes",Assumptions!$C$6,0))</f>
        <v>51873.107199999999</v>
      </c>
      <c r="I1398" s="22">
        <f>F1398*(1+Assumptions!$B$7+IF(D1398="Yes",Assumptions!$C$7,0))</f>
        <v>52880.351999999999</v>
      </c>
      <c r="J1398" s="22">
        <f>F1398*(1+Assumptions!$B$8+IF(D1398="Yes",Assumptions!$C$8,0))</f>
        <v>50865.862399999998</v>
      </c>
    </row>
    <row r="1399" spans="1:10" ht="15">
      <c r="A1399" s="21">
        <v>41040</v>
      </c>
      <c r="B1399" s="21">
        <v>41030</v>
      </c>
      <c r="C1399" s="17">
        <v>42</v>
      </c>
      <c r="D1399" s="17" t="s">
        <v>91</v>
      </c>
      <c r="E1399" s="14">
        <v>244281.11000000002</v>
      </c>
      <c r="F1399" s="14">
        <v>227964.52</v>
      </c>
      <c r="G1399" s="14">
        <v>227964.52</v>
      </c>
      <c r="H1399" s="22">
        <f>F1399*(1+Assumptions!$B$6+IF(D1399="Yes",Assumptions!$C$6,0))</f>
        <v>234803.45559999999</v>
      </c>
      <c r="I1399" s="22">
        <f>F1399*(1+Assumptions!$B$7+IF(D1399="Yes",Assumptions!$C$7,0))</f>
        <v>239362.74599999998</v>
      </c>
      <c r="J1399" s="22">
        <f>F1399*(1+Assumptions!$B$8+IF(D1399="Yes",Assumptions!$C$8,0))</f>
        <v>230244.16519999999</v>
      </c>
    </row>
    <row r="1400" spans="1:10" ht="15">
      <c r="A1400" s="21">
        <v>41040</v>
      </c>
      <c r="B1400" s="21">
        <v>41030</v>
      </c>
      <c r="C1400" s="17">
        <v>44</v>
      </c>
      <c r="D1400" s="17" t="s">
        <v>91</v>
      </c>
      <c r="E1400" s="14">
        <v>187526.11</v>
      </c>
      <c r="F1400" s="14">
        <v>159264.12</v>
      </c>
      <c r="G1400" s="14">
        <v>159264.12</v>
      </c>
      <c r="H1400" s="22">
        <f>F1400*(1+Assumptions!$B$6+IF(D1400="Yes",Assumptions!$C$6,0))</f>
        <v>164042.0436</v>
      </c>
      <c r="I1400" s="22">
        <f>F1400*(1+Assumptions!$B$7+IF(D1400="Yes",Assumptions!$C$7,0))</f>
        <v>167227.326</v>
      </c>
      <c r="J1400" s="22">
        <f>F1400*(1+Assumptions!$B$8+IF(D1400="Yes",Assumptions!$C$8,0))</f>
        <v>160856.76120000001</v>
      </c>
    </row>
    <row r="1401" spans="1:10" ht="15">
      <c r="A1401" s="21">
        <v>41040</v>
      </c>
      <c r="B1401" s="21">
        <v>41030</v>
      </c>
      <c r="C1401" s="17">
        <v>45</v>
      </c>
      <c r="D1401" s="17" t="s">
        <v>91</v>
      </c>
      <c r="E1401" s="14">
        <v>95.64</v>
      </c>
      <c r="F1401" s="14">
        <v>102.14</v>
      </c>
      <c r="G1401" s="14">
        <v>102.14</v>
      </c>
      <c r="H1401" s="22">
        <f>F1401*(1+Assumptions!$B$6+IF(D1401="Yes",Assumptions!$C$6,0))</f>
        <v>105.2042</v>
      </c>
      <c r="I1401" s="22">
        <f>F1401*(1+Assumptions!$B$7+IF(D1401="Yes",Assumptions!$C$7,0))</f>
        <v>107.247</v>
      </c>
      <c r="J1401" s="22">
        <f>F1401*(1+Assumptions!$B$8+IF(D1401="Yes",Assumptions!$C$8,0))</f>
        <v>103.1614</v>
      </c>
    </row>
    <row r="1402" spans="1:10" ht="15">
      <c r="A1402" s="21">
        <v>41040</v>
      </c>
      <c r="B1402" s="21">
        <v>41030</v>
      </c>
      <c r="C1402" s="17">
        <v>46</v>
      </c>
      <c r="D1402" s="17" t="s">
        <v>91</v>
      </c>
      <c r="E1402" s="14">
        <v>931724.22</v>
      </c>
      <c r="F1402" s="14">
        <v>947362.6</v>
      </c>
      <c r="G1402" s="14">
        <v>947362.6</v>
      </c>
      <c r="H1402" s="22">
        <f>F1402*(1+Assumptions!$B$6+IF(D1402="Yes",Assumptions!$C$6,0))</f>
        <v>975783.478</v>
      </c>
      <c r="I1402" s="22">
        <f>F1402*(1+Assumptions!$B$7+IF(D1402="Yes",Assumptions!$C$7,0))</f>
        <v>994730.73</v>
      </c>
      <c r="J1402" s="22">
        <f>F1402*(1+Assumptions!$B$8+IF(D1402="Yes",Assumptions!$C$8,0))</f>
        <v>956836.22600000002</v>
      </c>
    </row>
    <row r="1403" spans="1:10" ht="15">
      <c r="A1403" s="21">
        <v>41040</v>
      </c>
      <c r="B1403" s="21">
        <v>41030</v>
      </c>
      <c r="C1403" s="17">
        <v>47</v>
      </c>
      <c r="D1403" s="17" t="s">
        <v>91</v>
      </c>
      <c r="E1403" s="14">
        <v>-548</v>
      </c>
      <c r="F1403" s="14">
        <v>-92</v>
      </c>
      <c r="G1403" s="14">
        <v>-92</v>
      </c>
      <c r="H1403" s="22">
        <f>F1403*(1+Assumptions!$B$6+IF(D1403="Yes",Assumptions!$C$6,0))</f>
        <v>-94.76</v>
      </c>
      <c r="I1403" s="22">
        <f>F1403*(1+Assumptions!$B$7+IF(D1403="Yes",Assumptions!$C$7,0))</f>
        <v>-96.600000000000009</v>
      </c>
      <c r="J1403" s="22">
        <f>F1403*(1+Assumptions!$B$8+IF(D1403="Yes",Assumptions!$C$8,0))</f>
        <v>-92.92</v>
      </c>
    </row>
    <row r="1404" spans="1:10" ht="15">
      <c r="A1404" s="21">
        <v>41040</v>
      </c>
      <c r="B1404" s="21">
        <v>41030</v>
      </c>
      <c r="C1404" s="17">
        <v>48</v>
      </c>
      <c r="D1404" s="17" t="s">
        <v>91</v>
      </c>
      <c r="E1404" s="14">
        <v>16300.98</v>
      </c>
      <c r="F1404" s="14">
        <v>10679</v>
      </c>
      <c r="G1404" s="14">
        <v>10679</v>
      </c>
      <c r="H1404" s="22">
        <f>F1404*(1+Assumptions!$B$6+IF(D1404="Yes",Assumptions!$C$6,0))</f>
        <v>10999.37</v>
      </c>
      <c r="I1404" s="22">
        <f>F1404*(1+Assumptions!$B$7+IF(D1404="Yes",Assumptions!$C$7,0))</f>
        <v>11212.95</v>
      </c>
      <c r="J1404" s="22">
        <f>F1404*(1+Assumptions!$B$8+IF(D1404="Yes",Assumptions!$C$8,0))</f>
        <v>10785.79</v>
      </c>
    </row>
    <row r="1405" spans="1:10" ht="15">
      <c r="A1405" s="21">
        <v>41040</v>
      </c>
      <c r="B1405" s="21">
        <v>41030</v>
      </c>
      <c r="C1405" s="17">
        <v>49</v>
      </c>
      <c r="D1405" s="17" t="s">
        <v>91</v>
      </c>
      <c r="E1405" s="14">
        <v>256477.9</v>
      </c>
      <c r="F1405" s="14">
        <v>254398.21</v>
      </c>
      <c r="G1405" s="14">
        <v>254398.21</v>
      </c>
      <c r="H1405" s="22">
        <f>F1405*(1+Assumptions!$B$6+IF(D1405="Yes",Assumptions!$C$6,0))</f>
        <v>262030.1563</v>
      </c>
      <c r="I1405" s="22">
        <f>F1405*(1+Assumptions!$B$7+IF(D1405="Yes",Assumptions!$C$7,0))</f>
        <v>267118.12050000002</v>
      </c>
      <c r="J1405" s="22">
        <f>F1405*(1+Assumptions!$B$8+IF(D1405="Yes",Assumptions!$C$8,0))</f>
        <v>256942.19209999999</v>
      </c>
    </row>
    <row r="1406" spans="1:10" ht="15">
      <c r="A1406" s="21">
        <v>41040</v>
      </c>
      <c r="B1406" s="21">
        <v>41030</v>
      </c>
      <c r="C1406" s="17">
        <v>50</v>
      </c>
      <c r="D1406" s="17" t="s">
        <v>91</v>
      </c>
      <c r="E1406" s="14">
        <v>29698.5</v>
      </c>
      <c r="F1406" s="14">
        <v>30057.15</v>
      </c>
      <c r="G1406" s="14">
        <v>30057.15</v>
      </c>
      <c r="H1406" s="22">
        <f>F1406*(1+Assumptions!$B$6+IF(D1406="Yes",Assumptions!$C$6,0))</f>
        <v>30958.864500000003</v>
      </c>
      <c r="I1406" s="22">
        <f>F1406*(1+Assumptions!$B$7+IF(D1406="Yes",Assumptions!$C$7,0))</f>
        <v>31560.007500000003</v>
      </c>
      <c r="J1406" s="22">
        <f>F1406*(1+Assumptions!$B$8+IF(D1406="Yes",Assumptions!$C$8,0))</f>
        <v>30357.721500000003</v>
      </c>
    </row>
    <row r="1407" spans="1:10" ht="15">
      <c r="A1407" s="21">
        <v>41040</v>
      </c>
      <c r="B1407" s="21">
        <v>41030</v>
      </c>
      <c r="C1407" s="17">
        <v>51</v>
      </c>
      <c r="D1407" s="17" t="s">
        <v>91</v>
      </c>
      <c r="E1407" s="14">
        <v>3.36</v>
      </c>
      <c r="F1407" s="14">
        <v>17.64</v>
      </c>
      <c r="G1407" s="14">
        <v>17.64</v>
      </c>
      <c r="H1407" s="22">
        <f>F1407*(1+Assumptions!$B$6+IF(D1407="Yes",Assumptions!$C$6,0))</f>
        <v>18.1692</v>
      </c>
      <c r="I1407" s="22">
        <f>F1407*(1+Assumptions!$B$7+IF(D1407="Yes",Assumptions!$C$7,0))</f>
        <v>18.522000000000002</v>
      </c>
      <c r="J1407" s="22">
        <f>F1407*(1+Assumptions!$B$8+IF(D1407="Yes",Assumptions!$C$8,0))</f>
        <v>17.816400000000002</v>
      </c>
    </row>
    <row r="1408" spans="1:10" ht="15">
      <c r="A1408" s="21">
        <v>41040</v>
      </c>
      <c r="B1408" s="21">
        <v>41030</v>
      </c>
      <c r="C1408" s="17">
        <v>52</v>
      </c>
      <c r="D1408" s="17" t="s">
        <v>91</v>
      </c>
      <c r="E1408" s="14">
        <v>95588.040000000008</v>
      </c>
      <c r="F1408" s="14">
        <v>97825.58</v>
      </c>
      <c r="G1408" s="14">
        <v>97825.58</v>
      </c>
      <c r="H1408" s="22">
        <f>F1408*(1+Assumptions!$B$6+IF(D1408="Yes",Assumptions!$C$6,0))</f>
        <v>100760.3474</v>
      </c>
      <c r="I1408" s="22">
        <f>F1408*(1+Assumptions!$B$7+IF(D1408="Yes",Assumptions!$C$7,0))</f>
        <v>102716.85900000001</v>
      </c>
      <c r="J1408" s="22">
        <f>F1408*(1+Assumptions!$B$8+IF(D1408="Yes",Assumptions!$C$8,0))</f>
        <v>98803.835800000001</v>
      </c>
    </row>
    <row r="1409" spans="1:10" ht="15">
      <c r="A1409" s="21">
        <v>41040</v>
      </c>
      <c r="B1409" s="21">
        <v>41030</v>
      </c>
      <c r="C1409" s="17">
        <v>54</v>
      </c>
      <c r="D1409" s="17" t="s">
        <v>91</v>
      </c>
      <c r="E1409" s="14">
        <v>1632.74</v>
      </c>
      <c r="F1409" s="14">
        <v>3000.2400000000002</v>
      </c>
      <c r="G1409" s="14">
        <v>3000.2400000000002</v>
      </c>
      <c r="H1409" s="22">
        <f>F1409*(1+Assumptions!$B$6+IF(D1409="Yes",Assumptions!$C$6,0))</f>
        <v>3090.2472000000002</v>
      </c>
      <c r="I1409" s="22">
        <f>F1409*(1+Assumptions!$B$7+IF(D1409="Yes",Assumptions!$C$7,0))</f>
        <v>3150.2520000000004</v>
      </c>
      <c r="J1409" s="22">
        <f>F1409*(1+Assumptions!$B$8+IF(D1409="Yes",Assumptions!$C$8,0))</f>
        <v>3030.2424000000001</v>
      </c>
    </row>
    <row r="1410" spans="1:10" ht="15">
      <c r="A1410" s="21">
        <v>41040</v>
      </c>
      <c r="B1410" s="21">
        <v>41030</v>
      </c>
      <c r="C1410" s="17">
        <v>55</v>
      </c>
      <c r="D1410" s="17" t="s">
        <v>91</v>
      </c>
      <c r="E1410" s="14">
        <v>236320.34</v>
      </c>
      <c r="F1410" s="14">
        <v>291647.06</v>
      </c>
      <c r="G1410" s="14">
        <v>291647.06</v>
      </c>
      <c r="H1410" s="22">
        <f>F1410*(1+Assumptions!$B$6+IF(D1410="Yes",Assumptions!$C$6,0))</f>
        <v>300396.4718</v>
      </c>
      <c r="I1410" s="22">
        <f>F1410*(1+Assumptions!$B$7+IF(D1410="Yes",Assumptions!$C$7,0))</f>
        <v>306229.413</v>
      </c>
      <c r="J1410" s="22">
        <f>F1410*(1+Assumptions!$B$8+IF(D1410="Yes",Assumptions!$C$8,0))</f>
        <v>294563.5306</v>
      </c>
    </row>
    <row r="1411" spans="1:10" ht="15">
      <c r="A1411" s="21">
        <v>41040</v>
      </c>
      <c r="B1411" s="21">
        <v>41030</v>
      </c>
      <c r="C1411" s="17">
        <v>56</v>
      </c>
      <c r="D1411" s="17" t="s">
        <v>91</v>
      </c>
      <c r="E1411" s="14">
        <v>552277.06999999995</v>
      </c>
      <c r="F1411" s="14">
        <v>662299.32999999996</v>
      </c>
      <c r="G1411" s="14">
        <v>662299.32999999996</v>
      </c>
      <c r="H1411" s="22">
        <f>F1411*(1+Assumptions!$B$6+IF(D1411="Yes",Assumptions!$C$6,0))</f>
        <v>682168.30989999999</v>
      </c>
      <c r="I1411" s="22">
        <f>F1411*(1+Assumptions!$B$7+IF(D1411="Yes",Assumptions!$C$7,0))</f>
        <v>695414.29649999994</v>
      </c>
      <c r="J1411" s="22">
        <f>F1411*(1+Assumptions!$B$8+IF(D1411="Yes",Assumptions!$C$8,0))</f>
        <v>668922.32329999993</v>
      </c>
    </row>
    <row r="1412" spans="1:10" ht="15">
      <c r="A1412" s="21">
        <v>41040</v>
      </c>
      <c r="B1412" s="21">
        <v>41030</v>
      </c>
      <c r="C1412" s="17">
        <v>58</v>
      </c>
      <c r="D1412" s="17" t="s">
        <v>91</v>
      </c>
      <c r="E1412" s="14">
        <v>75732</v>
      </c>
      <c r="F1412" s="14">
        <v>78729.97</v>
      </c>
      <c r="G1412" s="14">
        <v>78729.97</v>
      </c>
      <c r="H1412" s="22">
        <f>F1412*(1+Assumptions!$B$6+IF(D1412="Yes",Assumptions!$C$6,0))</f>
        <v>81091.869099999996</v>
      </c>
      <c r="I1412" s="22">
        <f>F1412*(1+Assumptions!$B$7+IF(D1412="Yes",Assumptions!$C$7,0))</f>
        <v>82666.468500000003</v>
      </c>
      <c r="J1412" s="22">
        <f>F1412*(1+Assumptions!$B$8+IF(D1412="Yes",Assumptions!$C$8,0))</f>
        <v>79517.269700000004</v>
      </c>
    </row>
    <row r="1413" spans="1:10" ht="15">
      <c r="A1413" s="21">
        <v>41040</v>
      </c>
      <c r="B1413" s="21">
        <v>41030</v>
      </c>
      <c r="C1413" s="17">
        <v>59</v>
      </c>
      <c r="D1413" s="17" t="s">
        <v>91</v>
      </c>
      <c r="E1413" s="14">
        <v>9103.27</v>
      </c>
      <c r="F1413" s="14">
        <v>12219.9</v>
      </c>
      <c r="G1413" s="14">
        <v>12219.9</v>
      </c>
      <c r="H1413" s="22">
        <f>F1413*(1+Assumptions!$B$6+IF(D1413="Yes",Assumptions!$C$6,0))</f>
        <v>12586.496999999999</v>
      </c>
      <c r="I1413" s="22">
        <f>F1413*(1+Assumptions!$B$7+IF(D1413="Yes",Assumptions!$C$7,0))</f>
        <v>12830.895</v>
      </c>
      <c r="J1413" s="22">
        <f>F1413*(1+Assumptions!$B$8+IF(D1413="Yes",Assumptions!$C$8,0))</f>
        <v>12342.099</v>
      </c>
    </row>
    <row r="1414" spans="1:10" ht="15">
      <c r="A1414" s="21">
        <v>41040</v>
      </c>
      <c r="B1414" s="21">
        <v>41030</v>
      </c>
      <c r="C1414" s="17">
        <v>60</v>
      </c>
      <c r="D1414" s="17" t="s">
        <v>91</v>
      </c>
      <c r="E1414" s="14">
        <v>17847</v>
      </c>
      <c r="F1414" s="14">
        <v>12883.2</v>
      </c>
      <c r="G1414" s="14">
        <v>12883.2</v>
      </c>
      <c r="H1414" s="22">
        <f>F1414*(1+Assumptions!$B$6+IF(D1414="Yes",Assumptions!$C$6,0))</f>
        <v>13269.696000000002</v>
      </c>
      <c r="I1414" s="22">
        <f>F1414*(1+Assumptions!$B$7+IF(D1414="Yes",Assumptions!$C$7,0))</f>
        <v>13527.36</v>
      </c>
      <c r="J1414" s="22">
        <f>F1414*(1+Assumptions!$B$8+IF(D1414="Yes",Assumptions!$C$8,0))</f>
        <v>13012.032000000001</v>
      </c>
    </row>
    <row r="1415" spans="1:10" ht="15">
      <c r="A1415" s="21">
        <v>41040</v>
      </c>
      <c r="B1415" s="21">
        <v>41030</v>
      </c>
      <c r="C1415" s="17">
        <v>65</v>
      </c>
      <c r="D1415" s="17" t="s">
        <v>91</v>
      </c>
      <c r="E1415" s="14">
        <v>44291.81</v>
      </c>
      <c r="F1415" s="14">
        <v>60182.92</v>
      </c>
      <c r="G1415" s="14">
        <v>60182.92</v>
      </c>
      <c r="H1415" s="22">
        <f>F1415*(1+Assumptions!$B$6+IF(D1415="Yes",Assumptions!$C$6,0))</f>
        <v>61988.407599999999</v>
      </c>
      <c r="I1415" s="22">
        <f>F1415*(1+Assumptions!$B$7+IF(D1415="Yes",Assumptions!$C$7,0))</f>
        <v>63192.065999999999</v>
      </c>
      <c r="J1415" s="22">
        <f>F1415*(1+Assumptions!$B$8+IF(D1415="Yes",Assumptions!$C$8,0))</f>
        <v>60784.749199999998</v>
      </c>
    </row>
    <row r="1416" spans="1:10" ht="15">
      <c r="A1416" s="21">
        <v>41040</v>
      </c>
      <c r="B1416" s="21">
        <v>41030</v>
      </c>
      <c r="C1416" s="17">
        <v>67</v>
      </c>
      <c r="D1416" s="17" t="s">
        <v>91</v>
      </c>
      <c r="E1416" s="14">
        <v>727841.02</v>
      </c>
      <c r="F1416" s="14">
        <v>613585.94999999995</v>
      </c>
      <c r="G1416" s="14">
        <v>613585.94999999995</v>
      </c>
      <c r="H1416" s="22">
        <f>F1416*(1+Assumptions!$B$6+IF(D1416="Yes",Assumptions!$C$6,0))</f>
        <v>631993.52850000001</v>
      </c>
      <c r="I1416" s="22">
        <f>F1416*(1+Assumptions!$B$7+IF(D1416="Yes",Assumptions!$C$7,0))</f>
        <v>644265.24749999994</v>
      </c>
      <c r="J1416" s="22">
        <f>F1416*(1+Assumptions!$B$8+IF(D1416="Yes",Assumptions!$C$8,0))</f>
        <v>619721.80949999997</v>
      </c>
    </row>
    <row r="1417" spans="1:10" ht="15">
      <c r="A1417" s="21">
        <v>41040</v>
      </c>
      <c r="B1417" s="21">
        <v>41030</v>
      </c>
      <c r="C1417" s="17">
        <v>71</v>
      </c>
      <c r="D1417" s="17" t="s">
        <v>91</v>
      </c>
      <c r="E1417" s="14">
        <v>180439.09</v>
      </c>
      <c r="F1417" s="14">
        <v>165974.9</v>
      </c>
      <c r="G1417" s="14">
        <v>165974.9</v>
      </c>
      <c r="H1417" s="22">
        <f>F1417*(1+Assumptions!$B$6+IF(D1417="Yes",Assumptions!$C$6,0))</f>
        <v>170954.147</v>
      </c>
      <c r="I1417" s="22">
        <f>F1417*(1+Assumptions!$B$7+IF(D1417="Yes",Assumptions!$C$7,0))</f>
        <v>174273.64499999999</v>
      </c>
      <c r="J1417" s="22">
        <f>F1417*(1+Assumptions!$B$8+IF(D1417="Yes",Assumptions!$C$8,0))</f>
        <v>167634.649</v>
      </c>
    </row>
    <row r="1418" spans="1:10" ht="15">
      <c r="A1418" s="21">
        <v>41040</v>
      </c>
      <c r="B1418" s="21">
        <v>41030</v>
      </c>
      <c r="C1418" s="17">
        <v>72</v>
      </c>
      <c r="D1418" s="17" t="s">
        <v>91</v>
      </c>
      <c r="E1418" s="14">
        <v>1676542.44</v>
      </c>
      <c r="F1418" s="14">
        <v>1647012.54</v>
      </c>
      <c r="G1418" s="14">
        <v>1647012.54</v>
      </c>
      <c r="H1418" s="22">
        <f>F1418*(1+Assumptions!$B$6+IF(D1418="Yes",Assumptions!$C$6,0))</f>
        <v>1696422.9162000001</v>
      </c>
      <c r="I1418" s="22">
        <f>F1418*(1+Assumptions!$B$7+IF(D1418="Yes",Assumptions!$C$7,0))</f>
        <v>1729363.1670000001</v>
      </c>
      <c r="J1418" s="22">
        <f>F1418*(1+Assumptions!$B$8+IF(D1418="Yes",Assumptions!$C$8,0))</f>
        <v>1663482.6654000001</v>
      </c>
    </row>
    <row r="1419" spans="1:10" ht="15">
      <c r="A1419" s="21">
        <v>41040</v>
      </c>
      <c r="B1419" s="21">
        <v>41030</v>
      </c>
      <c r="C1419" s="17">
        <v>74</v>
      </c>
      <c r="D1419" s="17" t="s">
        <v>91</v>
      </c>
      <c r="E1419" s="14">
        <v>566314.29</v>
      </c>
      <c r="F1419" s="14">
        <v>559508.04</v>
      </c>
      <c r="G1419" s="14">
        <v>559508.04</v>
      </c>
      <c r="H1419" s="22">
        <f>F1419*(1+Assumptions!$B$6+IF(D1419="Yes",Assumptions!$C$6,0))</f>
        <v>576293.28120000008</v>
      </c>
      <c r="I1419" s="22">
        <f>F1419*(1+Assumptions!$B$7+IF(D1419="Yes",Assumptions!$C$7,0))</f>
        <v>587483.44200000004</v>
      </c>
      <c r="J1419" s="22">
        <f>F1419*(1+Assumptions!$B$8+IF(D1419="Yes",Assumptions!$C$8,0))</f>
        <v>565103.12040000001</v>
      </c>
    </row>
    <row r="1420" spans="1:10" ht="15">
      <c r="A1420" s="21">
        <v>41040</v>
      </c>
      <c r="B1420" s="21">
        <v>41030</v>
      </c>
      <c r="C1420" s="17">
        <v>79</v>
      </c>
      <c r="D1420" s="17" t="s">
        <v>91</v>
      </c>
      <c r="E1420" s="14">
        <v>969987.46</v>
      </c>
      <c r="F1420" s="14">
        <v>919260.85</v>
      </c>
      <c r="G1420" s="14">
        <v>919260.85</v>
      </c>
      <c r="H1420" s="22">
        <f>F1420*(1+Assumptions!$B$6+IF(D1420="Yes",Assumptions!$C$6,0))</f>
        <v>946838.67550000001</v>
      </c>
      <c r="I1420" s="22">
        <f>F1420*(1+Assumptions!$B$7+IF(D1420="Yes",Assumptions!$C$7,0))</f>
        <v>965223.89250000007</v>
      </c>
      <c r="J1420" s="22">
        <f>F1420*(1+Assumptions!$B$8+IF(D1420="Yes",Assumptions!$C$8,0))</f>
        <v>928453.45849999995</v>
      </c>
    </row>
    <row r="1421" spans="1:10" ht="15">
      <c r="A1421" s="21">
        <v>41040</v>
      </c>
      <c r="B1421" s="21">
        <v>41030</v>
      </c>
      <c r="C1421" s="17">
        <v>80</v>
      </c>
      <c r="D1421" s="17" t="s">
        <v>91</v>
      </c>
      <c r="E1421" s="14">
        <v>518818.42</v>
      </c>
      <c r="F1421" s="14">
        <v>503161.44</v>
      </c>
      <c r="G1421" s="14">
        <v>503161.44</v>
      </c>
      <c r="H1421" s="22">
        <f>F1421*(1+Assumptions!$B$6+IF(D1421="Yes",Assumptions!$C$6,0))</f>
        <v>518256.28320000001</v>
      </c>
      <c r="I1421" s="22">
        <f>F1421*(1+Assumptions!$B$7+IF(D1421="Yes",Assumptions!$C$7,0))</f>
        <v>528319.51199999999</v>
      </c>
      <c r="J1421" s="22">
        <f>F1421*(1+Assumptions!$B$8+IF(D1421="Yes",Assumptions!$C$8,0))</f>
        <v>508193.05440000002</v>
      </c>
    </row>
    <row r="1422" spans="1:10" ht="15">
      <c r="A1422" s="21">
        <v>41040</v>
      </c>
      <c r="B1422" s="21">
        <v>41030</v>
      </c>
      <c r="C1422" s="17">
        <v>81</v>
      </c>
      <c r="D1422" s="17" t="s">
        <v>91</v>
      </c>
      <c r="E1422" s="14">
        <v>728728.65</v>
      </c>
      <c r="F1422" s="14">
        <v>686158.13</v>
      </c>
      <c r="G1422" s="14">
        <v>686158.13</v>
      </c>
      <c r="H1422" s="22">
        <f>F1422*(1+Assumptions!$B$6+IF(D1422="Yes",Assumptions!$C$6,0))</f>
        <v>706742.87390000001</v>
      </c>
      <c r="I1422" s="22">
        <f>F1422*(1+Assumptions!$B$7+IF(D1422="Yes",Assumptions!$C$7,0))</f>
        <v>720466.03650000005</v>
      </c>
      <c r="J1422" s="22">
        <f>F1422*(1+Assumptions!$B$8+IF(D1422="Yes",Assumptions!$C$8,0))</f>
        <v>693019.71129999997</v>
      </c>
    </row>
    <row r="1423" spans="1:10" ht="15">
      <c r="A1423" s="21">
        <v>41040</v>
      </c>
      <c r="B1423" s="21">
        <v>41030</v>
      </c>
      <c r="C1423" s="17">
        <v>82</v>
      </c>
      <c r="D1423" s="17" t="s">
        <v>91</v>
      </c>
      <c r="E1423" s="14">
        <v>699920.52</v>
      </c>
      <c r="F1423" s="14">
        <v>628733.27</v>
      </c>
      <c r="G1423" s="14">
        <v>628733.27</v>
      </c>
      <c r="H1423" s="22">
        <f>F1423*(1+Assumptions!$B$6+IF(D1423="Yes",Assumptions!$C$6,0))</f>
        <v>647595.26809999999</v>
      </c>
      <c r="I1423" s="22">
        <f>F1423*(1+Assumptions!$B$7+IF(D1423="Yes",Assumptions!$C$7,0))</f>
        <v>660169.93350000004</v>
      </c>
      <c r="J1423" s="22">
        <f>F1423*(1+Assumptions!$B$8+IF(D1423="Yes",Assumptions!$C$8,0))</f>
        <v>635020.60270000005</v>
      </c>
    </row>
    <row r="1424" spans="1:10" ht="15">
      <c r="A1424" s="21">
        <v>41040</v>
      </c>
      <c r="B1424" s="21">
        <v>41030</v>
      </c>
      <c r="C1424" s="17">
        <v>83</v>
      </c>
      <c r="D1424" s="17" t="s">
        <v>91</v>
      </c>
      <c r="E1424" s="14">
        <v>140681.60000000001</v>
      </c>
      <c r="F1424" s="14">
        <v>134292.23000000001</v>
      </c>
      <c r="G1424" s="14">
        <v>134292.23000000001</v>
      </c>
      <c r="H1424" s="22">
        <f>F1424*(1+Assumptions!$B$6+IF(D1424="Yes",Assumptions!$C$6,0))</f>
        <v>138320.99690000003</v>
      </c>
      <c r="I1424" s="22">
        <f>F1424*(1+Assumptions!$B$7+IF(D1424="Yes",Assumptions!$C$7,0))</f>
        <v>141006.84150000001</v>
      </c>
      <c r="J1424" s="22">
        <f>F1424*(1+Assumptions!$B$8+IF(D1424="Yes",Assumptions!$C$8,0))</f>
        <v>135635.15230000002</v>
      </c>
    </row>
    <row r="1425" spans="1:10" ht="15">
      <c r="A1425" s="21">
        <v>41040</v>
      </c>
      <c r="B1425" s="21">
        <v>41030</v>
      </c>
      <c r="C1425" s="17">
        <v>85</v>
      </c>
      <c r="D1425" s="17" t="s">
        <v>91</v>
      </c>
      <c r="E1425" s="14">
        <v>103625.06</v>
      </c>
      <c r="F1425" s="14">
        <v>99871</v>
      </c>
      <c r="G1425" s="14">
        <v>99871</v>
      </c>
      <c r="H1425" s="22">
        <f>F1425*(1+Assumptions!$B$6+IF(D1425="Yes",Assumptions!$C$6,0))</f>
        <v>102867.13</v>
      </c>
      <c r="I1425" s="22">
        <f>F1425*(1+Assumptions!$B$7+IF(D1425="Yes",Assumptions!$C$7,0))</f>
        <v>104864.55</v>
      </c>
      <c r="J1425" s="22">
        <f>F1425*(1+Assumptions!$B$8+IF(D1425="Yes",Assumptions!$C$8,0))</f>
        <v>100869.71</v>
      </c>
    </row>
    <row r="1426" spans="1:10" ht="15">
      <c r="A1426" s="21">
        <v>41040</v>
      </c>
      <c r="B1426" s="21">
        <v>41030</v>
      </c>
      <c r="C1426" s="17">
        <v>87</v>
      </c>
      <c r="D1426" s="17" t="s">
        <v>91</v>
      </c>
      <c r="E1426" s="14">
        <v>607409.25</v>
      </c>
      <c r="F1426" s="14">
        <v>521676.87</v>
      </c>
      <c r="G1426" s="14">
        <v>521676.87</v>
      </c>
      <c r="H1426" s="22">
        <f>F1426*(1+Assumptions!$B$6+IF(D1426="Yes",Assumptions!$C$6,0))</f>
        <v>537327.17610000004</v>
      </c>
      <c r="I1426" s="22">
        <f>F1426*(1+Assumptions!$B$7+IF(D1426="Yes",Assumptions!$C$7,0))</f>
        <v>547760.71350000007</v>
      </c>
      <c r="J1426" s="22">
        <f>F1426*(1+Assumptions!$B$8+IF(D1426="Yes",Assumptions!$C$8,0))</f>
        <v>526893.63870000001</v>
      </c>
    </row>
    <row r="1427" spans="1:10" ht="15">
      <c r="A1427" s="21">
        <v>41040</v>
      </c>
      <c r="B1427" s="21">
        <v>41030</v>
      </c>
      <c r="C1427" s="17">
        <v>90</v>
      </c>
      <c r="D1427" s="17" t="s">
        <v>91</v>
      </c>
      <c r="E1427" s="14">
        <v>2071036.4100000001</v>
      </c>
      <c r="F1427" s="14">
        <v>1949314.45</v>
      </c>
      <c r="G1427" s="14">
        <v>1949314.45</v>
      </c>
      <c r="H1427" s="22">
        <f>F1427*(1+Assumptions!$B$6+IF(D1427="Yes",Assumptions!$C$6,0))</f>
        <v>2007793.8835</v>
      </c>
      <c r="I1427" s="22">
        <f>F1427*(1+Assumptions!$B$7+IF(D1427="Yes",Assumptions!$C$7,0))</f>
        <v>2046780.1725000001</v>
      </c>
      <c r="J1427" s="22">
        <f>F1427*(1+Assumptions!$B$8+IF(D1427="Yes",Assumptions!$C$8,0))</f>
        <v>1968807.5944999999</v>
      </c>
    </row>
    <row r="1428" spans="1:10" ht="15">
      <c r="A1428" s="21">
        <v>41040</v>
      </c>
      <c r="B1428" s="21">
        <v>41030</v>
      </c>
      <c r="C1428" s="17">
        <v>91</v>
      </c>
      <c r="D1428" s="17" t="s">
        <v>91</v>
      </c>
      <c r="E1428" s="14">
        <v>1614164.78</v>
      </c>
      <c r="F1428" s="14">
        <v>1495469.54</v>
      </c>
      <c r="G1428" s="14">
        <v>1495469.54</v>
      </c>
      <c r="H1428" s="22">
        <f>F1428*(1+Assumptions!$B$6+IF(D1428="Yes",Assumptions!$C$6,0))</f>
        <v>1540333.6262000001</v>
      </c>
      <c r="I1428" s="22">
        <f>F1428*(1+Assumptions!$B$7+IF(D1428="Yes",Assumptions!$C$7,0))</f>
        <v>1570243.017</v>
      </c>
      <c r="J1428" s="22">
        <f>F1428*(1+Assumptions!$B$8+IF(D1428="Yes",Assumptions!$C$8,0))</f>
        <v>1510424.2354000001</v>
      </c>
    </row>
    <row r="1429" spans="1:10" ht="15">
      <c r="A1429" s="21">
        <v>41040</v>
      </c>
      <c r="B1429" s="21">
        <v>41030</v>
      </c>
      <c r="C1429" s="17">
        <v>92</v>
      </c>
      <c r="D1429" s="17" t="s">
        <v>91</v>
      </c>
      <c r="E1429" s="14">
        <v>3580365.37</v>
      </c>
      <c r="F1429" s="14">
        <v>3101748.96</v>
      </c>
      <c r="G1429" s="14">
        <v>3101748.96</v>
      </c>
      <c r="H1429" s="22">
        <f>F1429*(1+Assumptions!$B$6+IF(D1429="Yes",Assumptions!$C$6,0))</f>
        <v>3194801.4287999999</v>
      </c>
      <c r="I1429" s="22">
        <f>F1429*(1+Assumptions!$B$7+IF(D1429="Yes",Assumptions!$C$7,0))</f>
        <v>3256836.4080000003</v>
      </c>
      <c r="J1429" s="22">
        <f>F1429*(1+Assumptions!$B$8+IF(D1429="Yes",Assumptions!$C$8,0))</f>
        <v>3132766.4495999999</v>
      </c>
    </row>
    <row r="1430" spans="1:10" ht="15">
      <c r="A1430" s="21">
        <v>41040</v>
      </c>
      <c r="B1430" s="21">
        <v>41030</v>
      </c>
      <c r="C1430" s="17">
        <v>93</v>
      </c>
      <c r="D1430" s="17" t="s">
        <v>91</v>
      </c>
      <c r="E1430" s="14">
        <v>1186064.8700000001</v>
      </c>
      <c r="F1430" s="14">
        <v>1134726.54</v>
      </c>
      <c r="G1430" s="14">
        <v>1134726.54</v>
      </c>
      <c r="H1430" s="22">
        <f>F1430*(1+Assumptions!$B$6+IF(D1430="Yes",Assumptions!$C$6,0))</f>
        <v>1168768.3362</v>
      </c>
      <c r="I1430" s="22">
        <f>F1430*(1+Assumptions!$B$7+IF(D1430="Yes",Assumptions!$C$7,0))</f>
        <v>1191462.8670000001</v>
      </c>
      <c r="J1430" s="22">
        <f>F1430*(1+Assumptions!$B$8+IF(D1430="Yes",Assumptions!$C$8,0))</f>
        <v>1146073.8054</v>
      </c>
    </row>
    <row r="1431" spans="1:10" ht="15">
      <c r="A1431" s="21">
        <v>41040</v>
      </c>
      <c r="B1431" s="21">
        <v>41030</v>
      </c>
      <c r="C1431" s="17">
        <v>94</v>
      </c>
      <c r="D1431" s="17" t="s">
        <v>91</v>
      </c>
      <c r="E1431" s="14">
        <v>1474696.03</v>
      </c>
      <c r="F1431" s="14">
        <v>1719101.49</v>
      </c>
      <c r="G1431" s="14">
        <v>1719101.49</v>
      </c>
      <c r="H1431" s="22">
        <f>F1431*(1+Assumptions!$B$6+IF(D1431="Yes",Assumptions!$C$6,0))</f>
        <v>1770674.5347</v>
      </c>
      <c r="I1431" s="22">
        <f>F1431*(1+Assumptions!$B$7+IF(D1431="Yes",Assumptions!$C$7,0))</f>
        <v>1805056.5645000001</v>
      </c>
      <c r="J1431" s="22">
        <f>F1431*(1+Assumptions!$B$8+IF(D1431="Yes",Assumptions!$C$8,0))</f>
        <v>1736292.5049000001</v>
      </c>
    </row>
    <row r="1432" spans="1:10" ht="15">
      <c r="A1432" s="21">
        <v>41040</v>
      </c>
      <c r="B1432" s="21">
        <v>41030</v>
      </c>
      <c r="C1432" s="17">
        <v>95</v>
      </c>
      <c r="D1432" s="17" t="s">
        <v>91</v>
      </c>
      <c r="E1432" s="14">
        <v>3277276.46</v>
      </c>
      <c r="F1432" s="14">
        <v>3144828.97</v>
      </c>
      <c r="G1432" s="14">
        <v>3144828.97</v>
      </c>
      <c r="H1432" s="22">
        <f>F1432*(1+Assumptions!$B$6+IF(D1432="Yes",Assumptions!$C$6,0))</f>
        <v>3239173.8391000004</v>
      </c>
      <c r="I1432" s="22">
        <f>F1432*(1+Assumptions!$B$7+IF(D1432="Yes",Assumptions!$C$7,0))</f>
        <v>3302070.4185000001</v>
      </c>
      <c r="J1432" s="22">
        <f>F1432*(1+Assumptions!$B$8+IF(D1432="Yes",Assumptions!$C$8,0))</f>
        <v>3176277.2597000003</v>
      </c>
    </row>
    <row r="1433" spans="1:10" ht="15">
      <c r="A1433" s="21">
        <v>41040</v>
      </c>
      <c r="B1433" s="21">
        <v>41030</v>
      </c>
      <c r="C1433" s="17">
        <v>96</v>
      </c>
      <c r="D1433" s="17" t="s">
        <v>91</v>
      </c>
      <c r="E1433" s="14">
        <v>532057.01</v>
      </c>
      <c r="F1433" s="14">
        <v>493014</v>
      </c>
      <c r="G1433" s="14">
        <v>493014</v>
      </c>
      <c r="H1433" s="22">
        <f>F1433*(1+Assumptions!$B$6+IF(D1433="Yes",Assumptions!$C$6,0))</f>
        <v>507804.42000000004</v>
      </c>
      <c r="I1433" s="22">
        <f>F1433*(1+Assumptions!$B$7+IF(D1433="Yes",Assumptions!$C$7,0))</f>
        <v>517664.7</v>
      </c>
      <c r="J1433" s="22">
        <f>F1433*(1+Assumptions!$B$8+IF(D1433="Yes",Assumptions!$C$8,0))</f>
        <v>497944.14</v>
      </c>
    </row>
    <row r="1434" spans="1:10" ht="15">
      <c r="A1434" s="21">
        <v>41040</v>
      </c>
      <c r="B1434" s="21">
        <v>41030</v>
      </c>
      <c r="C1434" s="17">
        <v>97</v>
      </c>
      <c r="D1434" s="17" t="s">
        <v>91</v>
      </c>
      <c r="E1434" s="14">
        <v>649432.82999999996</v>
      </c>
      <c r="F1434" s="14">
        <v>639391.13</v>
      </c>
      <c r="G1434" s="14">
        <v>639391.13</v>
      </c>
      <c r="H1434" s="22">
        <f>F1434*(1+Assumptions!$B$6+IF(D1434="Yes",Assumptions!$C$6,0))</f>
        <v>658572.8639</v>
      </c>
      <c r="I1434" s="22">
        <f>F1434*(1+Assumptions!$B$7+IF(D1434="Yes",Assumptions!$C$7,0))</f>
        <v>671360.68650000007</v>
      </c>
      <c r="J1434" s="22">
        <f>F1434*(1+Assumptions!$B$8+IF(D1434="Yes",Assumptions!$C$8,0))</f>
        <v>645785.04130000004</v>
      </c>
    </row>
    <row r="1435" spans="1:10" ht="15">
      <c r="A1435" s="21">
        <v>41040</v>
      </c>
      <c r="B1435" s="21">
        <v>41030</v>
      </c>
      <c r="C1435" s="17">
        <v>98</v>
      </c>
      <c r="D1435" s="17" t="s">
        <v>91</v>
      </c>
      <c r="E1435" s="14">
        <v>283351.8</v>
      </c>
      <c r="F1435" s="14">
        <v>293268.28999999998</v>
      </c>
      <c r="G1435" s="14">
        <v>293268.28999999998</v>
      </c>
      <c r="H1435" s="22">
        <f>F1435*(1+Assumptions!$B$6+IF(D1435="Yes",Assumptions!$C$6,0))</f>
        <v>302066.33869999996</v>
      </c>
      <c r="I1435" s="22">
        <f>F1435*(1+Assumptions!$B$7+IF(D1435="Yes",Assumptions!$C$7,0))</f>
        <v>307931.70449999999</v>
      </c>
      <c r="J1435" s="22">
        <f>F1435*(1+Assumptions!$B$8+IF(D1435="Yes",Assumptions!$C$8,0))</f>
        <v>296200.97289999999</v>
      </c>
    </row>
    <row r="1436" spans="1:10" ht="15">
      <c r="A1436" s="21">
        <v>41040</v>
      </c>
      <c r="B1436" s="21">
        <v>41030</v>
      </c>
      <c r="C1436" s="17">
        <v>99</v>
      </c>
      <c r="D1436" s="17" t="s">
        <v>91</v>
      </c>
      <c r="E1436" s="14">
        <v>970</v>
      </c>
      <c r="F1436" s="14">
        <v>465</v>
      </c>
      <c r="G1436" s="14">
        <v>465</v>
      </c>
      <c r="H1436" s="22">
        <f>F1436*(1+Assumptions!$B$6+IF(D1436="Yes",Assumptions!$C$6,0))</f>
        <v>478.95</v>
      </c>
      <c r="I1436" s="22">
        <f>F1436*(1+Assumptions!$B$7+IF(D1436="Yes",Assumptions!$C$7,0))</f>
        <v>488.25</v>
      </c>
      <c r="J1436" s="22">
        <f>F1436*(1+Assumptions!$B$8+IF(D1436="Yes",Assumptions!$C$8,0))</f>
        <v>469.65</v>
      </c>
    </row>
    <row r="1437" spans="1:10" ht="15">
      <c r="A1437" s="21">
        <v>41047</v>
      </c>
      <c r="B1437" s="21">
        <v>41030</v>
      </c>
      <c r="C1437" s="17">
        <v>1</v>
      </c>
      <c r="D1437" s="17" t="s">
        <v>91</v>
      </c>
      <c r="E1437" s="14">
        <v>648739.47</v>
      </c>
      <c r="F1437" s="14">
        <v>590107.44000000006</v>
      </c>
      <c r="G1437" s="14">
        <v>590107.44000000006</v>
      </c>
      <c r="H1437" s="22">
        <f>F1437*(1+Assumptions!$B$6+IF(D1437="Yes",Assumptions!$C$6,0))</f>
        <v>607810.66320000007</v>
      </c>
      <c r="I1437" s="22">
        <f>F1437*(1+Assumptions!$B$7+IF(D1437="Yes",Assumptions!$C$7,0))</f>
        <v>619612.81200000003</v>
      </c>
      <c r="J1437" s="22">
        <f>F1437*(1+Assumptions!$B$8+IF(D1437="Yes",Assumptions!$C$8,0))</f>
        <v>596008.5144000001</v>
      </c>
    </row>
    <row r="1438" spans="1:10" ht="15">
      <c r="A1438" s="21">
        <v>41047</v>
      </c>
      <c r="B1438" s="21">
        <v>41030</v>
      </c>
      <c r="C1438" s="17">
        <v>2</v>
      </c>
      <c r="D1438" s="17" t="s">
        <v>91</v>
      </c>
      <c r="E1438" s="14">
        <v>1911921.14</v>
      </c>
      <c r="F1438" s="14">
        <v>1901289.72</v>
      </c>
      <c r="G1438" s="14">
        <v>1901289.72</v>
      </c>
      <c r="H1438" s="22">
        <f>F1438*(1+Assumptions!$B$6+IF(D1438="Yes",Assumptions!$C$6,0))</f>
        <v>1958328.4116</v>
      </c>
      <c r="I1438" s="22">
        <f>F1438*(1+Assumptions!$B$7+IF(D1438="Yes",Assumptions!$C$7,0))</f>
        <v>1996354.206</v>
      </c>
      <c r="J1438" s="22">
        <f>F1438*(1+Assumptions!$B$8+IF(D1438="Yes",Assumptions!$C$8,0))</f>
        <v>1920302.6172</v>
      </c>
    </row>
    <row r="1439" spans="1:10" ht="15">
      <c r="A1439" s="21">
        <v>41047</v>
      </c>
      <c r="B1439" s="21">
        <v>41030</v>
      </c>
      <c r="C1439" s="17">
        <v>3</v>
      </c>
      <c r="D1439" s="17" t="s">
        <v>91</v>
      </c>
      <c r="E1439" s="14">
        <v>327523.07</v>
      </c>
      <c r="F1439" s="14">
        <v>346803.59</v>
      </c>
      <c r="G1439" s="14">
        <v>346803.59</v>
      </c>
      <c r="H1439" s="22">
        <f>F1439*(1+Assumptions!$B$6+IF(D1439="Yes",Assumptions!$C$6,0))</f>
        <v>357207.69770000002</v>
      </c>
      <c r="I1439" s="22">
        <f>F1439*(1+Assumptions!$B$7+IF(D1439="Yes",Assumptions!$C$7,0))</f>
        <v>364143.76950000005</v>
      </c>
      <c r="J1439" s="22">
        <f>F1439*(1+Assumptions!$B$8+IF(D1439="Yes",Assumptions!$C$8,0))</f>
        <v>350271.62590000004</v>
      </c>
    </row>
    <row r="1440" spans="1:10" ht="15">
      <c r="A1440" s="21">
        <v>41047</v>
      </c>
      <c r="B1440" s="21">
        <v>41030</v>
      </c>
      <c r="C1440" s="17">
        <v>4</v>
      </c>
      <c r="D1440" s="17" t="s">
        <v>91</v>
      </c>
      <c r="E1440" s="14">
        <v>1138041.68</v>
      </c>
      <c r="F1440" s="14">
        <v>1125804.3999999999</v>
      </c>
      <c r="G1440" s="14">
        <v>1125804.3999999999</v>
      </c>
      <c r="H1440" s="22">
        <f>F1440*(1+Assumptions!$B$6+IF(D1440="Yes",Assumptions!$C$6,0))</f>
        <v>1159578.5319999999</v>
      </c>
      <c r="I1440" s="22">
        <f>F1440*(1+Assumptions!$B$7+IF(D1440="Yes",Assumptions!$C$7,0))</f>
        <v>1182094.6199999999</v>
      </c>
      <c r="J1440" s="22">
        <f>F1440*(1+Assumptions!$B$8+IF(D1440="Yes",Assumptions!$C$8,0))</f>
        <v>1137062.4439999999</v>
      </c>
    </row>
    <row r="1441" spans="1:10" ht="15">
      <c r="A1441" s="21">
        <v>41047</v>
      </c>
      <c r="B1441" s="21">
        <v>41030</v>
      </c>
      <c r="C1441" s="17">
        <v>5</v>
      </c>
      <c r="D1441" s="17" t="s">
        <v>91</v>
      </c>
      <c r="E1441" s="14">
        <v>623624.81000000006</v>
      </c>
      <c r="F1441" s="14">
        <v>679688.56</v>
      </c>
      <c r="G1441" s="14">
        <v>679688.56</v>
      </c>
      <c r="H1441" s="22">
        <f>F1441*(1+Assumptions!$B$6+IF(D1441="Yes",Assumptions!$C$6,0))</f>
        <v>700079.21680000005</v>
      </c>
      <c r="I1441" s="22">
        <f>F1441*(1+Assumptions!$B$7+IF(D1441="Yes",Assumptions!$C$7,0))</f>
        <v>713672.98800000013</v>
      </c>
      <c r="J1441" s="22">
        <f>F1441*(1+Assumptions!$B$8+IF(D1441="Yes",Assumptions!$C$8,0))</f>
        <v>686485.44560000009</v>
      </c>
    </row>
    <row r="1442" spans="1:10" ht="15">
      <c r="A1442" s="21">
        <v>41047</v>
      </c>
      <c r="B1442" s="21">
        <v>41030</v>
      </c>
      <c r="C1442" s="17">
        <v>6</v>
      </c>
      <c r="D1442" s="17" t="s">
        <v>91</v>
      </c>
      <c r="E1442" s="14">
        <v>187310.95</v>
      </c>
      <c r="F1442" s="14">
        <v>194500.11</v>
      </c>
      <c r="G1442" s="14">
        <v>194500.11</v>
      </c>
      <c r="H1442" s="22">
        <f>F1442*(1+Assumptions!$B$6+IF(D1442="Yes",Assumptions!$C$6,0))</f>
        <v>200335.1133</v>
      </c>
      <c r="I1442" s="22">
        <f>F1442*(1+Assumptions!$B$7+IF(D1442="Yes",Assumptions!$C$7,0))</f>
        <v>204225.11549999999</v>
      </c>
      <c r="J1442" s="22">
        <f>F1442*(1+Assumptions!$B$8+IF(D1442="Yes",Assumptions!$C$8,0))</f>
        <v>196445.11109999998</v>
      </c>
    </row>
    <row r="1443" spans="1:10" ht="15">
      <c r="A1443" s="21">
        <v>41047</v>
      </c>
      <c r="B1443" s="21">
        <v>41030</v>
      </c>
      <c r="C1443" s="17">
        <v>7</v>
      </c>
      <c r="D1443" s="17" t="s">
        <v>91</v>
      </c>
      <c r="E1443" s="14">
        <v>902178.72</v>
      </c>
      <c r="F1443" s="14">
        <v>867152.47</v>
      </c>
      <c r="G1443" s="14">
        <v>867152.47</v>
      </c>
      <c r="H1443" s="22">
        <f>F1443*(1+Assumptions!$B$6+IF(D1443="Yes",Assumptions!$C$6,0))</f>
        <v>893167.04409999994</v>
      </c>
      <c r="I1443" s="22">
        <f>F1443*(1+Assumptions!$B$7+IF(D1443="Yes",Assumptions!$C$7,0))</f>
        <v>910510.09349999996</v>
      </c>
      <c r="J1443" s="22">
        <f>F1443*(1+Assumptions!$B$8+IF(D1443="Yes",Assumptions!$C$8,0))</f>
        <v>875823.99469999992</v>
      </c>
    </row>
    <row r="1444" spans="1:10" ht="15">
      <c r="A1444" s="21">
        <v>41047</v>
      </c>
      <c r="B1444" s="21">
        <v>41030</v>
      </c>
      <c r="C1444" s="17">
        <v>8</v>
      </c>
      <c r="D1444" s="17" t="s">
        <v>91</v>
      </c>
      <c r="E1444" s="14">
        <v>1341225.03</v>
      </c>
      <c r="F1444" s="14">
        <v>1339688.26</v>
      </c>
      <c r="G1444" s="14">
        <v>1339688.26</v>
      </c>
      <c r="H1444" s="22">
        <f>F1444*(1+Assumptions!$B$6+IF(D1444="Yes",Assumptions!$C$6,0))</f>
        <v>1379878.9078000002</v>
      </c>
      <c r="I1444" s="22">
        <f>F1444*(1+Assumptions!$B$7+IF(D1444="Yes",Assumptions!$C$7,0))</f>
        <v>1406672.6730000002</v>
      </c>
      <c r="J1444" s="22">
        <f>F1444*(1+Assumptions!$B$8+IF(D1444="Yes",Assumptions!$C$8,0))</f>
        <v>1353085.1426000001</v>
      </c>
    </row>
    <row r="1445" spans="1:10" ht="15">
      <c r="A1445" s="21">
        <v>41047</v>
      </c>
      <c r="B1445" s="21">
        <v>41030</v>
      </c>
      <c r="C1445" s="17">
        <v>9</v>
      </c>
      <c r="D1445" s="17" t="s">
        <v>91</v>
      </c>
      <c r="E1445" s="14">
        <v>994986.99</v>
      </c>
      <c r="F1445" s="14">
        <v>876680.36</v>
      </c>
      <c r="G1445" s="14">
        <v>876680.36</v>
      </c>
      <c r="H1445" s="22">
        <f>F1445*(1+Assumptions!$B$6+IF(D1445="Yes",Assumptions!$C$6,0))</f>
        <v>902980.77080000006</v>
      </c>
      <c r="I1445" s="22">
        <f>F1445*(1+Assumptions!$B$7+IF(D1445="Yes",Assumptions!$C$7,0))</f>
        <v>920514.37800000003</v>
      </c>
      <c r="J1445" s="22">
        <f>F1445*(1+Assumptions!$B$8+IF(D1445="Yes",Assumptions!$C$8,0))</f>
        <v>885447.16359999997</v>
      </c>
    </row>
    <row r="1446" spans="1:10" ht="15">
      <c r="A1446" s="21">
        <v>41047</v>
      </c>
      <c r="B1446" s="21">
        <v>41030</v>
      </c>
      <c r="C1446" s="17">
        <v>10</v>
      </c>
      <c r="D1446" s="17" t="s">
        <v>91</v>
      </c>
      <c r="E1446" s="14">
        <v>818865.76</v>
      </c>
      <c r="F1446" s="14">
        <v>773005.52</v>
      </c>
      <c r="G1446" s="14">
        <v>773005.52</v>
      </c>
      <c r="H1446" s="22">
        <f>F1446*(1+Assumptions!$B$6+IF(D1446="Yes",Assumptions!$C$6,0))</f>
        <v>796195.68560000008</v>
      </c>
      <c r="I1446" s="22">
        <f>F1446*(1+Assumptions!$B$7+IF(D1446="Yes",Assumptions!$C$7,0))</f>
        <v>811655.79600000009</v>
      </c>
      <c r="J1446" s="22">
        <f>F1446*(1+Assumptions!$B$8+IF(D1446="Yes",Assumptions!$C$8,0))</f>
        <v>780735.57520000008</v>
      </c>
    </row>
    <row r="1447" spans="1:10" ht="15">
      <c r="A1447" s="21">
        <v>41047</v>
      </c>
      <c r="B1447" s="21">
        <v>41030</v>
      </c>
      <c r="C1447" s="17">
        <v>11</v>
      </c>
      <c r="D1447" s="17" t="s">
        <v>91</v>
      </c>
      <c r="E1447" s="14">
        <v>573942.27</v>
      </c>
      <c r="F1447" s="14">
        <v>546639.1</v>
      </c>
      <c r="G1447" s="14">
        <v>546639.1</v>
      </c>
      <c r="H1447" s="22">
        <f>F1447*(1+Assumptions!$B$6+IF(D1447="Yes",Assumptions!$C$6,0))</f>
        <v>563038.27300000004</v>
      </c>
      <c r="I1447" s="22">
        <f>F1447*(1+Assumptions!$B$7+IF(D1447="Yes",Assumptions!$C$7,0))</f>
        <v>573971.05500000005</v>
      </c>
      <c r="J1447" s="22">
        <f>F1447*(1+Assumptions!$B$8+IF(D1447="Yes",Assumptions!$C$8,0))</f>
        <v>552105.49100000004</v>
      </c>
    </row>
    <row r="1448" spans="1:10" ht="15">
      <c r="A1448" s="21">
        <v>41047</v>
      </c>
      <c r="B1448" s="21">
        <v>41030</v>
      </c>
      <c r="C1448" s="17">
        <v>12</v>
      </c>
      <c r="D1448" s="17" t="s">
        <v>91</v>
      </c>
      <c r="E1448" s="14">
        <v>198176.62</v>
      </c>
      <c r="F1448" s="14">
        <v>198696.97</v>
      </c>
      <c r="G1448" s="14">
        <v>198696.97</v>
      </c>
      <c r="H1448" s="22">
        <f>F1448*(1+Assumptions!$B$6+IF(D1448="Yes",Assumptions!$C$6,0))</f>
        <v>204657.87910000002</v>
      </c>
      <c r="I1448" s="22">
        <f>F1448*(1+Assumptions!$B$7+IF(D1448="Yes",Assumptions!$C$7,0))</f>
        <v>208631.81850000002</v>
      </c>
      <c r="J1448" s="22">
        <f>F1448*(1+Assumptions!$B$8+IF(D1448="Yes",Assumptions!$C$8,0))</f>
        <v>200683.93970000002</v>
      </c>
    </row>
    <row r="1449" spans="1:10" ht="15">
      <c r="A1449" s="21">
        <v>41047</v>
      </c>
      <c r="B1449" s="21">
        <v>41030</v>
      </c>
      <c r="C1449" s="17">
        <v>13</v>
      </c>
      <c r="D1449" s="17" t="s">
        <v>91</v>
      </c>
      <c r="E1449" s="14">
        <v>1296484.51</v>
      </c>
      <c r="F1449" s="14">
        <v>1333835.1200000001</v>
      </c>
      <c r="G1449" s="14">
        <v>1333835.1200000001</v>
      </c>
      <c r="H1449" s="22">
        <f>F1449*(1+Assumptions!$B$6+IF(D1449="Yes",Assumptions!$C$6,0))</f>
        <v>1373850.1736000001</v>
      </c>
      <c r="I1449" s="22">
        <f>F1449*(1+Assumptions!$B$7+IF(D1449="Yes",Assumptions!$C$7,0))</f>
        <v>1400526.8760000002</v>
      </c>
      <c r="J1449" s="22">
        <f>F1449*(1+Assumptions!$B$8+IF(D1449="Yes",Assumptions!$C$8,0))</f>
        <v>1347173.4712</v>
      </c>
    </row>
    <row r="1450" spans="1:10" ht="15">
      <c r="A1450" s="21">
        <v>41047</v>
      </c>
      <c r="B1450" s="21">
        <v>41030</v>
      </c>
      <c r="C1450" s="17">
        <v>14</v>
      </c>
      <c r="D1450" s="17" t="s">
        <v>91</v>
      </c>
      <c r="E1450" s="14">
        <v>664284.67000000004</v>
      </c>
      <c r="F1450" s="14">
        <v>573460.17000000004</v>
      </c>
      <c r="G1450" s="14">
        <v>573460.17000000004</v>
      </c>
      <c r="H1450" s="22">
        <f>F1450*(1+Assumptions!$B$6+IF(D1450="Yes",Assumptions!$C$6,0))</f>
        <v>590663.97510000004</v>
      </c>
      <c r="I1450" s="22">
        <f>F1450*(1+Assumptions!$B$7+IF(D1450="Yes",Assumptions!$C$7,0))</f>
        <v>602133.17850000004</v>
      </c>
      <c r="J1450" s="22">
        <f>F1450*(1+Assumptions!$B$8+IF(D1450="Yes",Assumptions!$C$8,0))</f>
        <v>579194.77170000004</v>
      </c>
    </row>
    <row r="1451" spans="1:10" ht="15">
      <c r="A1451" s="21">
        <v>41047</v>
      </c>
      <c r="B1451" s="21">
        <v>41030</v>
      </c>
      <c r="C1451" s="17">
        <v>16</v>
      </c>
      <c r="D1451" s="17" t="s">
        <v>91</v>
      </c>
      <c r="E1451" s="14">
        <v>1332103.3799999999</v>
      </c>
      <c r="F1451" s="14">
        <v>1052407.3500000001</v>
      </c>
      <c r="G1451" s="14">
        <v>1052407.3500000001</v>
      </c>
      <c r="H1451" s="22">
        <f>F1451*(1+Assumptions!$B$6+IF(D1451="Yes",Assumptions!$C$6,0))</f>
        <v>1083979.5705000001</v>
      </c>
      <c r="I1451" s="22">
        <f>F1451*(1+Assumptions!$B$7+IF(D1451="Yes",Assumptions!$C$7,0))</f>
        <v>1105027.7175000003</v>
      </c>
      <c r="J1451" s="22">
        <f>F1451*(1+Assumptions!$B$8+IF(D1451="Yes",Assumptions!$C$8,0))</f>
        <v>1062931.4235</v>
      </c>
    </row>
    <row r="1452" spans="1:10" ht="15">
      <c r="A1452" s="21">
        <v>41047</v>
      </c>
      <c r="B1452" s="21">
        <v>41030</v>
      </c>
      <c r="C1452" s="17">
        <v>17</v>
      </c>
      <c r="D1452" s="17" t="s">
        <v>91</v>
      </c>
      <c r="E1452" s="14">
        <v>428274.5</v>
      </c>
      <c r="F1452" s="14">
        <v>393396.81</v>
      </c>
      <c r="G1452" s="14">
        <v>393396.81</v>
      </c>
      <c r="H1452" s="22">
        <f>F1452*(1+Assumptions!$B$6+IF(D1452="Yes",Assumptions!$C$6,0))</f>
        <v>405198.71429999999</v>
      </c>
      <c r="I1452" s="22">
        <f>F1452*(1+Assumptions!$B$7+IF(D1452="Yes",Assumptions!$C$7,0))</f>
        <v>413066.65049999999</v>
      </c>
      <c r="J1452" s="22">
        <f>F1452*(1+Assumptions!$B$8+IF(D1452="Yes",Assumptions!$C$8,0))</f>
        <v>397330.7781</v>
      </c>
    </row>
    <row r="1453" spans="1:10" ht="15">
      <c r="A1453" s="21">
        <v>41047</v>
      </c>
      <c r="B1453" s="21">
        <v>41030</v>
      </c>
      <c r="C1453" s="17">
        <v>18</v>
      </c>
      <c r="D1453" s="17" t="s">
        <v>91</v>
      </c>
      <c r="E1453" s="14">
        <v>-1.1799999999999971</v>
      </c>
      <c r="F1453" s="14">
        <v>716.06000000000006</v>
      </c>
      <c r="G1453" s="14">
        <v>716.06000000000006</v>
      </c>
      <c r="H1453" s="22">
        <f>F1453*(1+Assumptions!$B$6+IF(D1453="Yes",Assumptions!$C$6,0))</f>
        <v>737.54180000000008</v>
      </c>
      <c r="I1453" s="22">
        <f>F1453*(1+Assumptions!$B$7+IF(D1453="Yes",Assumptions!$C$7,0))</f>
        <v>751.86300000000006</v>
      </c>
      <c r="J1453" s="22">
        <f>F1453*(1+Assumptions!$B$8+IF(D1453="Yes",Assumptions!$C$8,0))</f>
        <v>723.2206000000001</v>
      </c>
    </row>
    <row r="1454" spans="1:10" ht="15">
      <c r="A1454" s="21">
        <v>41047</v>
      </c>
      <c r="B1454" s="21">
        <v>41030</v>
      </c>
      <c r="C1454" s="17">
        <v>19</v>
      </c>
      <c r="D1454" s="17" t="s">
        <v>91</v>
      </c>
      <c r="E1454" s="14">
        <v>43724.28</v>
      </c>
      <c r="F1454" s="14">
        <v>37784.89</v>
      </c>
      <c r="G1454" s="14">
        <v>37784.89</v>
      </c>
      <c r="H1454" s="22">
        <f>F1454*(1+Assumptions!$B$6+IF(D1454="Yes",Assumptions!$C$6,0))</f>
        <v>38918.436699999998</v>
      </c>
      <c r="I1454" s="22">
        <f>F1454*(1+Assumptions!$B$7+IF(D1454="Yes",Assumptions!$C$7,0))</f>
        <v>39674.1345</v>
      </c>
      <c r="J1454" s="22">
        <f>F1454*(1+Assumptions!$B$8+IF(D1454="Yes",Assumptions!$C$8,0))</f>
        <v>38162.738899999997</v>
      </c>
    </row>
    <row r="1455" spans="1:10" ht="15">
      <c r="A1455" s="21">
        <v>41047</v>
      </c>
      <c r="B1455" s="21">
        <v>41030</v>
      </c>
      <c r="C1455" s="17">
        <v>20</v>
      </c>
      <c r="D1455" s="17" t="s">
        <v>91</v>
      </c>
      <c r="E1455" s="14">
        <v>222175.82</v>
      </c>
      <c r="F1455" s="14">
        <v>229206.77000000002</v>
      </c>
      <c r="G1455" s="14">
        <v>229206.77000000002</v>
      </c>
      <c r="H1455" s="22">
        <f>F1455*(1+Assumptions!$B$6+IF(D1455="Yes",Assumptions!$C$6,0))</f>
        <v>236082.97310000003</v>
      </c>
      <c r="I1455" s="22">
        <f>F1455*(1+Assumptions!$B$7+IF(D1455="Yes",Assumptions!$C$7,0))</f>
        <v>240667.10850000003</v>
      </c>
      <c r="J1455" s="22">
        <f>F1455*(1+Assumptions!$B$8+IF(D1455="Yes",Assumptions!$C$8,0))</f>
        <v>231498.83770000003</v>
      </c>
    </row>
    <row r="1456" spans="1:10" ht="15">
      <c r="A1456" s="21">
        <v>41047</v>
      </c>
      <c r="B1456" s="21">
        <v>41030</v>
      </c>
      <c r="C1456" s="17">
        <v>21</v>
      </c>
      <c r="D1456" s="17" t="s">
        <v>91</v>
      </c>
      <c r="E1456" s="14">
        <v>188362.84</v>
      </c>
      <c r="F1456" s="14">
        <v>189794.4</v>
      </c>
      <c r="G1456" s="14">
        <v>189794.4</v>
      </c>
      <c r="H1456" s="22">
        <f>F1456*(1+Assumptions!$B$6+IF(D1456="Yes",Assumptions!$C$6,0))</f>
        <v>195488.23199999999</v>
      </c>
      <c r="I1456" s="22">
        <f>F1456*(1+Assumptions!$B$7+IF(D1456="Yes",Assumptions!$C$7,0))</f>
        <v>199284.12</v>
      </c>
      <c r="J1456" s="22">
        <f>F1456*(1+Assumptions!$B$8+IF(D1456="Yes",Assumptions!$C$8,0))</f>
        <v>191692.34399999998</v>
      </c>
    </row>
    <row r="1457" spans="1:10" ht="15">
      <c r="A1457" s="21">
        <v>41047</v>
      </c>
      <c r="B1457" s="21">
        <v>41030</v>
      </c>
      <c r="C1457" s="17">
        <v>22</v>
      </c>
      <c r="D1457" s="17" t="s">
        <v>91</v>
      </c>
      <c r="E1457" s="14">
        <v>339504.74</v>
      </c>
      <c r="F1457" s="14">
        <v>334563.05</v>
      </c>
      <c r="G1457" s="14">
        <v>334563.05</v>
      </c>
      <c r="H1457" s="22">
        <f>F1457*(1+Assumptions!$B$6+IF(D1457="Yes",Assumptions!$C$6,0))</f>
        <v>344599.94150000002</v>
      </c>
      <c r="I1457" s="22">
        <f>F1457*(1+Assumptions!$B$7+IF(D1457="Yes",Assumptions!$C$7,0))</f>
        <v>351291.20250000001</v>
      </c>
      <c r="J1457" s="22">
        <f>F1457*(1+Assumptions!$B$8+IF(D1457="Yes",Assumptions!$C$8,0))</f>
        <v>337908.68050000002</v>
      </c>
    </row>
    <row r="1458" spans="1:10" ht="15">
      <c r="A1458" s="21">
        <v>41047</v>
      </c>
      <c r="B1458" s="21">
        <v>41030</v>
      </c>
      <c r="C1458" s="17">
        <v>23</v>
      </c>
      <c r="D1458" s="17" t="s">
        <v>91</v>
      </c>
      <c r="E1458" s="14">
        <v>915530.4</v>
      </c>
      <c r="F1458" s="14">
        <v>892428.64</v>
      </c>
      <c r="G1458" s="14">
        <v>892428.64</v>
      </c>
      <c r="H1458" s="22">
        <f>F1458*(1+Assumptions!$B$6+IF(D1458="Yes",Assumptions!$C$6,0))</f>
        <v>919201.49920000008</v>
      </c>
      <c r="I1458" s="22">
        <f>F1458*(1+Assumptions!$B$7+IF(D1458="Yes",Assumptions!$C$7,0))</f>
        <v>937050.07200000004</v>
      </c>
      <c r="J1458" s="22">
        <f>F1458*(1+Assumptions!$B$8+IF(D1458="Yes",Assumptions!$C$8,0))</f>
        <v>901352.9264</v>
      </c>
    </row>
    <row r="1459" spans="1:10" ht="15">
      <c r="A1459" s="21">
        <v>41047</v>
      </c>
      <c r="B1459" s="21">
        <v>41030</v>
      </c>
      <c r="C1459" s="17">
        <v>24</v>
      </c>
      <c r="D1459" s="17" t="s">
        <v>91</v>
      </c>
      <c r="E1459" s="14">
        <v>192763.09</v>
      </c>
      <c r="F1459" s="14">
        <v>184171.49</v>
      </c>
      <c r="G1459" s="14">
        <v>184171.49</v>
      </c>
      <c r="H1459" s="22">
        <f>F1459*(1+Assumptions!$B$6+IF(D1459="Yes",Assumptions!$C$6,0))</f>
        <v>189696.6347</v>
      </c>
      <c r="I1459" s="22">
        <f>F1459*(1+Assumptions!$B$7+IF(D1459="Yes",Assumptions!$C$7,0))</f>
        <v>193380.06450000001</v>
      </c>
      <c r="J1459" s="22">
        <f>F1459*(1+Assumptions!$B$8+IF(D1459="Yes",Assumptions!$C$8,0))</f>
        <v>186013.20489999998</v>
      </c>
    </row>
    <row r="1460" spans="1:10" ht="15">
      <c r="A1460" s="21">
        <v>41047</v>
      </c>
      <c r="B1460" s="21">
        <v>41030</v>
      </c>
      <c r="C1460" s="17">
        <v>25</v>
      </c>
      <c r="D1460" s="17" t="s">
        <v>91</v>
      </c>
      <c r="E1460" s="14">
        <v>422066.19</v>
      </c>
      <c r="F1460" s="14">
        <v>404756.85</v>
      </c>
      <c r="G1460" s="14">
        <v>404756.85</v>
      </c>
      <c r="H1460" s="22">
        <f>F1460*(1+Assumptions!$B$6+IF(D1460="Yes",Assumptions!$C$6,0))</f>
        <v>416899.55549999996</v>
      </c>
      <c r="I1460" s="22">
        <f>F1460*(1+Assumptions!$B$7+IF(D1460="Yes",Assumptions!$C$7,0))</f>
        <v>424994.6925</v>
      </c>
      <c r="J1460" s="22">
        <f>F1460*(1+Assumptions!$B$8+IF(D1460="Yes",Assumptions!$C$8,0))</f>
        <v>408804.41849999997</v>
      </c>
    </row>
    <row r="1461" spans="1:10" ht="15">
      <c r="A1461" s="21">
        <v>41047</v>
      </c>
      <c r="B1461" s="21">
        <v>41030</v>
      </c>
      <c r="C1461" s="17">
        <v>26</v>
      </c>
      <c r="D1461" s="17" t="s">
        <v>91</v>
      </c>
      <c r="E1461" s="14">
        <v>263750.59000000003</v>
      </c>
      <c r="F1461" s="14">
        <v>273850.18</v>
      </c>
      <c r="G1461" s="14">
        <v>273850.18</v>
      </c>
      <c r="H1461" s="22">
        <f>F1461*(1+Assumptions!$B$6+IF(D1461="Yes",Assumptions!$C$6,0))</f>
        <v>282065.68540000002</v>
      </c>
      <c r="I1461" s="22">
        <f>F1461*(1+Assumptions!$B$7+IF(D1461="Yes",Assumptions!$C$7,0))</f>
        <v>287542.68900000001</v>
      </c>
      <c r="J1461" s="22">
        <f>F1461*(1+Assumptions!$B$8+IF(D1461="Yes",Assumptions!$C$8,0))</f>
        <v>276588.68180000002</v>
      </c>
    </row>
    <row r="1462" spans="1:10" ht="15">
      <c r="A1462" s="21">
        <v>41047</v>
      </c>
      <c r="B1462" s="21">
        <v>41030</v>
      </c>
      <c r="C1462" s="17">
        <v>27</v>
      </c>
      <c r="D1462" s="17" t="s">
        <v>91</v>
      </c>
      <c r="E1462" s="14">
        <v>47437.08</v>
      </c>
      <c r="F1462" s="14">
        <v>49358.1</v>
      </c>
      <c r="G1462" s="14">
        <v>49358.1</v>
      </c>
      <c r="H1462" s="22">
        <f>F1462*(1+Assumptions!$B$6+IF(D1462="Yes",Assumptions!$C$6,0))</f>
        <v>50838.843000000001</v>
      </c>
      <c r="I1462" s="22">
        <f>F1462*(1+Assumptions!$B$7+IF(D1462="Yes",Assumptions!$C$7,0))</f>
        <v>51826.004999999997</v>
      </c>
      <c r="J1462" s="22">
        <f>F1462*(1+Assumptions!$B$8+IF(D1462="Yes",Assumptions!$C$8,0))</f>
        <v>49851.680999999997</v>
      </c>
    </row>
    <row r="1463" spans="1:10" ht="15">
      <c r="A1463" s="21">
        <v>41047</v>
      </c>
      <c r="B1463" s="21">
        <v>41030</v>
      </c>
      <c r="C1463" s="17">
        <v>28</v>
      </c>
      <c r="D1463" s="17" t="s">
        <v>91</v>
      </c>
      <c r="E1463" s="14">
        <v>22842.49</v>
      </c>
      <c r="F1463" s="14">
        <v>25732.28</v>
      </c>
      <c r="G1463" s="14">
        <v>25732.28</v>
      </c>
      <c r="H1463" s="22">
        <f>F1463*(1+Assumptions!$B$6+IF(D1463="Yes",Assumptions!$C$6,0))</f>
        <v>26504.2484</v>
      </c>
      <c r="I1463" s="22">
        <f>F1463*(1+Assumptions!$B$7+IF(D1463="Yes",Assumptions!$C$7,0))</f>
        <v>27018.894</v>
      </c>
      <c r="J1463" s="22">
        <f>F1463*(1+Assumptions!$B$8+IF(D1463="Yes",Assumptions!$C$8,0))</f>
        <v>25989.602800000001</v>
      </c>
    </row>
    <row r="1464" spans="1:10" ht="15">
      <c r="A1464" s="21">
        <v>41047</v>
      </c>
      <c r="B1464" s="21">
        <v>41030</v>
      </c>
      <c r="C1464" s="17">
        <v>29</v>
      </c>
      <c r="D1464" s="17" t="s">
        <v>91</v>
      </c>
      <c r="E1464" s="14">
        <v>206651.96</v>
      </c>
      <c r="F1464" s="14">
        <v>175565.15</v>
      </c>
      <c r="G1464" s="14">
        <v>175565.15</v>
      </c>
      <c r="H1464" s="22">
        <f>F1464*(1+Assumptions!$B$6+IF(D1464="Yes",Assumptions!$C$6,0))</f>
        <v>180832.10449999999</v>
      </c>
      <c r="I1464" s="22">
        <f>F1464*(1+Assumptions!$B$7+IF(D1464="Yes",Assumptions!$C$7,0))</f>
        <v>184343.4075</v>
      </c>
      <c r="J1464" s="22">
        <f>F1464*(1+Assumptions!$B$8+IF(D1464="Yes",Assumptions!$C$8,0))</f>
        <v>177320.8015</v>
      </c>
    </row>
    <row r="1465" spans="1:10" ht="15">
      <c r="A1465" s="21">
        <v>41047</v>
      </c>
      <c r="B1465" s="21">
        <v>41030</v>
      </c>
      <c r="C1465" s="17">
        <v>30</v>
      </c>
      <c r="D1465" s="17" t="s">
        <v>91</v>
      </c>
      <c r="E1465" s="14">
        <v>159124.01999999999</v>
      </c>
      <c r="F1465" s="14">
        <v>162135.1</v>
      </c>
      <c r="G1465" s="14">
        <v>162135.1</v>
      </c>
      <c r="H1465" s="22">
        <f>F1465*(1+Assumptions!$B$6+IF(D1465="Yes",Assumptions!$C$6,0))</f>
        <v>166999.15300000002</v>
      </c>
      <c r="I1465" s="22">
        <f>F1465*(1+Assumptions!$B$7+IF(D1465="Yes",Assumptions!$C$7,0))</f>
        <v>170241.85500000001</v>
      </c>
      <c r="J1465" s="22">
        <f>F1465*(1+Assumptions!$B$8+IF(D1465="Yes",Assumptions!$C$8,0))</f>
        <v>163756.451</v>
      </c>
    </row>
    <row r="1466" spans="1:10" ht="15">
      <c r="A1466" s="21">
        <v>41047</v>
      </c>
      <c r="B1466" s="21">
        <v>41030</v>
      </c>
      <c r="C1466" s="17">
        <v>31</v>
      </c>
      <c r="D1466" s="17" t="s">
        <v>91</v>
      </c>
      <c r="E1466" s="14">
        <v>73699.95</v>
      </c>
      <c r="F1466" s="14">
        <v>83346.19</v>
      </c>
      <c r="G1466" s="14">
        <v>83346.19</v>
      </c>
      <c r="H1466" s="22">
        <f>F1466*(1+Assumptions!$B$6+IF(D1466="Yes",Assumptions!$C$6,0))</f>
        <v>85846.575700000001</v>
      </c>
      <c r="I1466" s="22">
        <f>F1466*(1+Assumptions!$B$7+IF(D1466="Yes",Assumptions!$C$7,0))</f>
        <v>87513.499500000005</v>
      </c>
      <c r="J1466" s="22">
        <f>F1466*(1+Assumptions!$B$8+IF(D1466="Yes",Assumptions!$C$8,0))</f>
        <v>84179.651899999997</v>
      </c>
    </row>
    <row r="1467" spans="1:10" ht="15">
      <c r="A1467" s="21">
        <v>41047</v>
      </c>
      <c r="B1467" s="21">
        <v>41030</v>
      </c>
      <c r="C1467" s="17">
        <v>32</v>
      </c>
      <c r="D1467" s="17" t="s">
        <v>91</v>
      </c>
      <c r="E1467" s="14">
        <v>397654.85</v>
      </c>
      <c r="F1467" s="14">
        <v>239875.20000000001</v>
      </c>
      <c r="G1467" s="14">
        <v>239875.20000000001</v>
      </c>
      <c r="H1467" s="22">
        <f>F1467*(1+Assumptions!$B$6+IF(D1467="Yes",Assumptions!$C$6,0))</f>
        <v>247071.45600000001</v>
      </c>
      <c r="I1467" s="22">
        <f>F1467*(1+Assumptions!$B$7+IF(D1467="Yes",Assumptions!$C$7,0))</f>
        <v>251868.96000000002</v>
      </c>
      <c r="J1467" s="22">
        <f>F1467*(1+Assumptions!$B$8+IF(D1467="Yes",Assumptions!$C$8,0))</f>
        <v>242273.95200000002</v>
      </c>
    </row>
    <row r="1468" spans="1:10" ht="15">
      <c r="A1468" s="21">
        <v>41047</v>
      </c>
      <c r="B1468" s="21">
        <v>41030</v>
      </c>
      <c r="C1468" s="17">
        <v>33</v>
      </c>
      <c r="D1468" s="17" t="s">
        <v>91</v>
      </c>
      <c r="E1468" s="14">
        <v>188506.08</v>
      </c>
      <c r="F1468" s="14">
        <v>186685.4</v>
      </c>
      <c r="G1468" s="14">
        <v>186685.4</v>
      </c>
      <c r="H1468" s="22">
        <f>F1468*(1+Assumptions!$B$6+IF(D1468="Yes",Assumptions!$C$6,0))</f>
        <v>192285.962</v>
      </c>
      <c r="I1468" s="22">
        <f>F1468*(1+Assumptions!$B$7+IF(D1468="Yes",Assumptions!$C$7,0))</f>
        <v>196019.67</v>
      </c>
      <c r="J1468" s="22">
        <f>F1468*(1+Assumptions!$B$8+IF(D1468="Yes",Assumptions!$C$8,0))</f>
        <v>188552.25399999999</v>
      </c>
    </row>
    <row r="1469" spans="1:10" ht="15">
      <c r="A1469" s="21">
        <v>41047</v>
      </c>
      <c r="B1469" s="21">
        <v>41030</v>
      </c>
      <c r="C1469" s="17">
        <v>34</v>
      </c>
      <c r="D1469" s="17" t="s">
        <v>91</v>
      </c>
      <c r="E1469" s="14">
        <v>721302.24</v>
      </c>
      <c r="F1469" s="14">
        <v>567713.39</v>
      </c>
      <c r="G1469" s="14">
        <v>567713.39</v>
      </c>
      <c r="H1469" s="22">
        <f>F1469*(1+Assumptions!$B$6+IF(D1469="Yes",Assumptions!$C$6,0))</f>
        <v>584744.79170000006</v>
      </c>
      <c r="I1469" s="22">
        <f>F1469*(1+Assumptions!$B$7+IF(D1469="Yes",Assumptions!$C$7,0))</f>
        <v>596099.05950000009</v>
      </c>
      <c r="J1469" s="22">
        <f>F1469*(1+Assumptions!$B$8+IF(D1469="Yes",Assumptions!$C$8,0))</f>
        <v>573390.52390000003</v>
      </c>
    </row>
    <row r="1470" spans="1:10" ht="15">
      <c r="A1470" s="21">
        <v>41047</v>
      </c>
      <c r="B1470" s="21">
        <v>41030</v>
      </c>
      <c r="C1470" s="17">
        <v>35</v>
      </c>
      <c r="D1470" s="17" t="s">
        <v>91</v>
      </c>
      <c r="E1470" s="14">
        <v>152210.01999999999</v>
      </c>
      <c r="F1470" s="14">
        <v>119045.85</v>
      </c>
      <c r="G1470" s="14">
        <v>119045.85</v>
      </c>
      <c r="H1470" s="22">
        <f>F1470*(1+Assumptions!$B$6+IF(D1470="Yes",Assumptions!$C$6,0))</f>
        <v>122617.22550000002</v>
      </c>
      <c r="I1470" s="22">
        <f>F1470*(1+Assumptions!$B$7+IF(D1470="Yes",Assumptions!$C$7,0))</f>
        <v>124998.14250000002</v>
      </c>
      <c r="J1470" s="22">
        <f>F1470*(1+Assumptions!$B$8+IF(D1470="Yes",Assumptions!$C$8,0))</f>
        <v>120236.30850000001</v>
      </c>
    </row>
    <row r="1471" spans="1:10" ht="15">
      <c r="A1471" s="21">
        <v>41047</v>
      </c>
      <c r="B1471" s="21">
        <v>41030</v>
      </c>
      <c r="C1471" s="17">
        <v>36</v>
      </c>
      <c r="D1471" s="17" t="s">
        <v>91</v>
      </c>
      <c r="E1471" s="14">
        <v>102508.42</v>
      </c>
      <c r="F1471" s="14">
        <v>93684.2</v>
      </c>
      <c r="G1471" s="14">
        <v>93684.2</v>
      </c>
      <c r="H1471" s="22">
        <f>F1471*(1+Assumptions!$B$6+IF(D1471="Yes",Assumptions!$C$6,0))</f>
        <v>96494.725999999995</v>
      </c>
      <c r="I1471" s="22">
        <f>F1471*(1+Assumptions!$B$7+IF(D1471="Yes",Assumptions!$C$7,0))</f>
        <v>98368.41</v>
      </c>
      <c r="J1471" s="22">
        <f>F1471*(1+Assumptions!$B$8+IF(D1471="Yes",Assumptions!$C$8,0))</f>
        <v>94621.042000000001</v>
      </c>
    </row>
    <row r="1472" spans="1:10" ht="15">
      <c r="A1472" s="21">
        <v>41047</v>
      </c>
      <c r="B1472" s="21">
        <v>41030</v>
      </c>
      <c r="C1472" s="17">
        <v>37</v>
      </c>
      <c r="D1472" s="17" t="s">
        <v>91</v>
      </c>
      <c r="E1472" s="14">
        <v>53057.02</v>
      </c>
      <c r="F1472" s="14">
        <v>49347.770000000004</v>
      </c>
      <c r="G1472" s="14">
        <v>49347.770000000004</v>
      </c>
      <c r="H1472" s="22">
        <f>F1472*(1+Assumptions!$B$6+IF(D1472="Yes",Assumptions!$C$6,0))</f>
        <v>50828.203100000006</v>
      </c>
      <c r="I1472" s="22">
        <f>F1472*(1+Assumptions!$B$7+IF(D1472="Yes",Assumptions!$C$7,0))</f>
        <v>51815.158500000005</v>
      </c>
      <c r="J1472" s="22">
        <f>F1472*(1+Assumptions!$B$8+IF(D1472="Yes",Assumptions!$C$8,0))</f>
        <v>49841.247700000007</v>
      </c>
    </row>
    <row r="1473" spans="1:10" ht="15">
      <c r="A1473" s="21">
        <v>41047</v>
      </c>
      <c r="B1473" s="21">
        <v>41030</v>
      </c>
      <c r="C1473" s="17">
        <v>38</v>
      </c>
      <c r="D1473" s="17" t="s">
        <v>91</v>
      </c>
      <c r="E1473" s="14">
        <v>2813973.21</v>
      </c>
      <c r="F1473" s="14">
        <v>2755940.68</v>
      </c>
      <c r="G1473" s="14">
        <v>2755940.68</v>
      </c>
      <c r="H1473" s="22">
        <f>F1473*(1+Assumptions!$B$6+IF(D1473="Yes",Assumptions!$C$6,0))</f>
        <v>2838618.9004000002</v>
      </c>
      <c r="I1473" s="22">
        <f>F1473*(1+Assumptions!$B$7+IF(D1473="Yes",Assumptions!$C$7,0))</f>
        <v>2893737.7140000002</v>
      </c>
      <c r="J1473" s="22">
        <f>F1473*(1+Assumptions!$B$8+IF(D1473="Yes",Assumptions!$C$8,0))</f>
        <v>2783500.0868000002</v>
      </c>
    </row>
    <row r="1474" spans="1:10" ht="15">
      <c r="A1474" s="21">
        <v>41047</v>
      </c>
      <c r="B1474" s="21">
        <v>41030</v>
      </c>
      <c r="C1474" s="17">
        <v>40</v>
      </c>
      <c r="D1474" s="17" t="s">
        <v>91</v>
      </c>
      <c r="E1474" s="14">
        <v>1971776.49</v>
      </c>
      <c r="F1474" s="14">
        <v>1960085.77</v>
      </c>
      <c r="G1474" s="14">
        <v>1960085.77</v>
      </c>
      <c r="H1474" s="22">
        <f>F1474*(1+Assumptions!$B$6+IF(D1474="Yes",Assumptions!$C$6,0))</f>
        <v>2018888.3431000002</v>
      </c>
      <c r="I1474" s="22">
        <f>F1474*(1+Assumptions!$B$7+IF(D1474="Yes",Assumptions!$C$7,0))</f>
        <v>2058090.0585</v>
      </c>
      <c r="J1474" s="22">
        <f>F1474*(1+Assumptions!$B$8+IF(D1474="Yes",Assumptions!$C$8,0))</f>
        <v>1979686.6277000001</v>
      </c>
    </row>
    <row r="1475" spans="1:10" ht="15">
      <c r="A1475" s="21">
        <v>41047</v>
      </c>
      <c r="B1475" s="21">
        <v>41030</v>
      </c>
      <c r="C1475" s="17">
        <v>41</v>
      </c>
      <c r="D1475" s="17" t="s">
        <v>91</v>
      </c>
      <c r="E1475" s="14">
        <v>50490.32</v>
      </c>
      <c r="F1475" s="14">
        <v>47364.21</v>
      </c>
      <c r="G1475" s="14">
        <v>47364.21</v>
      </c>
      <c r="H1475" s="22">
        <f>F1475*(1+Assumptions!$B$6+IF(D1475="Yes",Assumptions!$C$6,0))</f>
        <v>48785.136299999998</v>
      </c>
      <c r="I1475" s="22">
        <f>F1475*(1+Assumptions!$B$7+IF(D1475="Yes",Assumptions!$C$7,0))</f>
        <v>49732.4205</v>
      </c>
      <c r="J1475" s="22">
        <f>F1475*(1+Assumptions!$B$8+IF(D1475="Yes",Assumptions!$C$8,0))</f>
        <v>47837.852099999996</v>
      </c>
    </row>
    <row r="1476" spans="1:10" ht="15">
      <c r="A1476" s="21">
        <v>41047</v>
      </c>
      <c r="B1476" s="21">
        <v>41030</v>
      </c>
      <c r="C1476" s="17">
        <v>42</v>
      </c>
      <c r="D1476" s="17" t="s">
        <v>91</v>
      </c>
      <c r="E1476" s="14">
        <v>242495.28</v>
      </c>
      <c r="F1476" s="14">
        <v>220738.87</v>
      </c>
      <c r="G1476" s="14">
        <v>220738.87</v>
      </c>
      <c r="H1476" s="22">
        <f>F1476*(1+Assumptions!$B$6+IF(D1476="Yes",Assumptions!$C$6,0))</f>
        <v>227361.0361</v>
      </c>
      <c r="I1476" s="22">
        <f>F1476*(1+Assumptions!$B$7+IF(D1476="Yes",Assumptions!$C$7,0))</f>
        <v>231775.81350000002</v>
      </c>
      <c r="J1476" s="22">
        <f>F1476*(1+Assumptions!$B$8+IF(D1476="Yes",Assumptions!$C$8,0))</f>
        <v>222946.25870000001</v>
      </c>
    </row>
    <row r="1477" spans="1:10" ht="15">
      <c r="A1477" s="21">
        <v>41047</v>
      </c>
      <c r="B1477" s="21">
        <v>41030</v>
      </c>
      <c r="C1477" s="17">
        <v>44</v>
      </c>
      <c r="D1477" s="17" t="s">
        <v>91</v>
      </c>
      <c r="E1477" s="14">
        <v>177222.39999999999</v>
      </c>
      <c r="F1477" s="14">
        <v>155398.04</v>
      </c>
      <c r="G1477" s="14">
        <v>155398.04</v>
      </c>
      <c r="H1477" s="22">
        <f>F1477*(1+Assumptions!$B$6+IF(D1477="Yes",Assumptions!$C$6,0))</f>
        <v>160059.98120000001</v>
      </c>
      <c r="I1477" s="22">
        <f>F1477*(1+Assumptions!$B$7+IF(D1477="Yes",Assumptions!$C$7,0))</f>
        <v>163167.94200000001</v>
      </c>
      <c r="J1477" s="22">
        <f>F1477*(1+Assumptions!$B$8+IF(D1477="Yes",Assumptions!$C$8,0))</f>
        <v>156952.02040000001</v>
      </c>
    </row>
    <row r="1478" spans="1:10" ht="15">
      <c r="A1478" s="21">
        <v>41047</v>
      </c>
      <c r="B1478" s="21">
        <v>41030</v>
      </c>
      <c r="C1478" s="17">
        <v>45</v>
      </c>
      <c r="D1478" s="17" t="s">
        <v>91</v>
      </c>
      <c r="E1478" s="14">
        <v>92.669999999999987</v>
      </c>
      <c r="F1478" s="14">
        <v>59.260000000000005</v>
      </c>
      <c r="G1478" s="14">
        <v>59.260000000000005</v>
      </c>
      <c r="H1478" s="22">
        <f>F1478*(1+Assumptions!$B$6+IF(D1478="Yes",Assumptions!$C$6,0))</f>
        <v>61.037800000000004</v>
      </c>
      <c r="I1478" s="22">
        <f>F1478*(1+Assumptions!$B$7+IF(D1478="Yes",Assumptions!$C$7,0))</f>
        <v>62.223000000000006</v>
      </c>
      <c r="J1478" s="22">
        <f>F1478*(1+Assumptions!$B$8+IF(D1478="Yes",Assumptions!$C$8,0))</f>
        <v>59.852600000000002</v>
      </c>
    </row>
    <row r="1479" spans="1:10" ht="15">
      <c r="A1479" s="21">
        <v>41047</v>
      </c>
      <c r="B1479" s="21">
        <v>41030</v>
      </c>
      <c r="C1479" s="17">
        <v>46</v>
      </c>
      <c r="D1479" s="17" t="s">
        <v>91</v>
      </c>
      <c r="E1479" s="14">
        <v>958578.81</v>
      </c>
      <c r="F1479" s="14">
        <v>915604.18</v>
      </c>
      <c r="G1479" s="14">
        <v>915604.18</v>
      </c>
      <c r="H1479" s="22">
        <f>F1479*(1+Assumptions!$B$6+IF(D1479="Yes",Assumptions!$C$6,0))</f>
        <v>943072.30540000007</v>
      </c>
      <c r="I1479" s="22">
        <f>F1479*(1+Assumptions!$B$7+IF(D1479="Yes",Assumptions!$C$7,0))</f>
        <v>961384.38900000008</v>
      </c>
      <c r="J1479" s="22">
        <f>F1479*(1+Assumptions!$B$8+IF(D1479="Yes",Assumptions!$C$8,0))</f>
        <v>924760.22180000006</v>
      </c>
    </row>
    <row r="1480" spans="1:10" ht="15">
      <c r="A1480" s="21">
        <v>41047</v>
      </c>
      <c r="B1480" s="21">
        <v>41030</v>
      </c>
      <c r="C1480" s="17">
        <v>47</v>
      </c>
      <c r="D1480" s="17" t="s">
        <v>91</v>
      </c>
      <c r="E1480" s="14">
        <v>189.5</v>
      </c>
      <c r="F1480" s="14">
        <v>300</v>
      </c>
      <c r="G1480" s="14">
        <v>300</v>
      </c>
      <c r="H1480" s="22">
        <f>F1480*(1+Assumptions!$B$6+IF(D1480="Yes",Assumptions!$C$6,0))</f>
        <v>309</v>
      </c>
      <c r="I1480" s="22">
        <f>F1480*(1+Assumptions!$B$7+IF(D1480="Yes",Assumptions!$C$7,0))</f>
        <v>315</v>
      </c>
      <c r="J1480" s="22">
        <f>F1480*(1+Assumptions!$B$8+IF(D1480="Yes",Assumptions!$C$8,0))</f>
        <v>303</v>
      </c>
    </row>
    <row r="1481" spans="1:10" ht="15">
      <c r="A1481" s="21">
        <v>41047</v>
      </c>
      <c r="B1481" s="21">
        <v>41030</v>
      </c>
      <c r="C1481" s="17">
        <v>48</v>
      </c>
      <c r="D1481" s="17" t="s">
        <v>91</v>
      </c>
      <c r="E1481" s="14">
        <v>8862</v>
      </c>
      <c r="F1481" s="14">
        <v>10647</v>
      </c>
      <c r="G1481" s="14">
        <v>10647</v>
      </c>
      <c r="H1481" s="22">
        <f>F1481*(1+Assumptions!$B$6+IF(D1481="Yes",Assumptions!$C$6,0))</f>
        <v>10966.41</v>
      </c>
      <c r="I1481" s="22">
        <f>F1481*(1+Assumptions!$B$7+IF(D1481="Yes",Assumptions!$C$7,0))</f>
        <v>11179.35</v>
      </c>
      <c r="J1481" s="22">
        <f>F1481*(1+Assumptions!$B$8+IF(D1481="Yes",Assumptions!$C$8,0))</f>
        <v>10753.47</v>
      </c>
    </row>
    <row r="1482" spans="1:10" ht="15">
      <c r="A1482" s="21">
        <v>41047</v>
      </c>
      <c r="B1482" s="21">
        <v>41030</v>
      </c>
      <c r="C1482" s="17">
        <v>49</v>
      </c>
      <c r="D1482" s="17" t="s">
        <v>91</v>
      </c>
      <c r="E1482" s="14">
        <v>237338.72999999998</v>
      </c>
      <c r="F1482" s="14">
        <v>250143.17</v>
      </c>
      <c r="G1482" s="14">
        <v>250143.17</v>
      </c>
      <c r="H1482" s="22">
        <f>F1482*(1+Assumptions!$B$6+IF(D1482="Yes",Assumptions!$C$6,0))</f>
        <v>257647.46510000003</v>
      </c>
      <c r="I1482" s="22">
        <f>F1482*(1+Assumptions!$B$7+IF(D1482="Yes",Assumptions!$C$7,0))</f>
        <v>262650.3285</v>
      </c>
      <c r="J1482" s="22">
        <f>F1482*(1+Assumptions!$B$8+IF(D1482="Yes",Assumptions!$C$8,0))</f>
        <v>252644.60170000003</v>
      </c>
    </row>
    <row r="1483" spans="1:10" ht="15">
      <c r="A1483" s="21">
        <v>41047</v>
      </c>
      <c r="B1483" s="21">
        <v>41030</v>
      </c>
      <c r="C1483" s="17">
        <v>50</v>
      </c>
      <c r="D1483" s="17" t="s">
        <v>91</v>
      </c>
      <c r="E1483" s="14">
        <v>26143.58</v>
      </c>
      <c r="F1483" s="14">
        <v>29872.36</v>
      </c>
      <c r="G1483" s="14">
        <v>29872.36</v>
      </c>
      <c r="H1483" s="22">
        <f>F1483*(1+Assumptions!$B$6+IF(D1483="Yes",Assumptions!$C$6,0))</f>
        <v>30768.5308</v>
      </c>
      <c r="I1483" s="22">
        <f>F1483*(1+Assumptions!$B$7+IF(D1483="Yes",Assumptions!$C$7,0))</f>
        <v>31365.978000000003</v>
      </c>
      <c r="J1483" s="22">
        <f>F1483*(1+Assumptions!$B$8+IF(D1483="Yes",Assumptions!$C$8,0))</f>
        <v>30171.083600000002</v>
      </c>
    </row>
    <row r="1484" spans="1:10" ht="15">
      <c r="A1484" s="21">
        <v>41047</v>
      </c>
      <c r="B1484" s="21">
        <v>41030</v>
      </c>
      <c r="C1484" s="17">
        <v>51</v>
      </c>
      <c r="D1484" s="17" t="s">
        <v>91</v>
      </c>
      <c r="E1484" s="14">
        <v>11.94</v>
      </c>
      <c r="F1484" s="14">
        <v>14.16</v>
      </c>
      <c r="G1484" s="14">
        <v>14.16</v>
      </c>
      <c r="H1484" s="22">
        <f>F1484*(1+Assumptions!$B$6+IF(D1484="Yes",Assumptions!$C$6,0))</f>
        <v>14.584800000000001</v>
      </c>
      <c r="I1484" s="22">
        <f>F1484*(1+Assumptions!$B$7+IF(D1484="Yes",Assumptions!$C$7,0))</f>
        <v>14.868</v>
      </c>
      <c r="J1484" s="22">
        <f>F1484*(1+Assumptions!$B$8+IF(D1484="Yes",Assumptions!$C$8,0))</f>
        <v>14.301600000000001</v>
      </c>
    </row>
    <row r="1485" spans="1:10" ht="15">
      <c r="A1485" s="21">
        <v>41047</v>
      </c>
      <c r="B1485" s="21">
        <v>41030</v>
      </c>
      <c r="C1485" s="17">
        <v>52</v>
      </c>
      <c r="D1485" s="17" t="s">
        <v>91</v>
      </c>
      <c r="E1485" s="14">
        <v>96399.19</v>
      </c>
      <c r="F1485" s="14">
        <v>77667.91</v>
      </c>
      <c r="G1485" s="14">
        <v>77667.91</v>
      </c>
      <c r="H1485" s="22">
        <f>F1485*(1+Assumptions!$B$6+IF(D1485="Yes",Assumptions!$C$6,0))</f>
        <v>79997.9473</v>
      </c>
      <c r="I1485" s="22">
        <f>F1485*(1+Assumptions!$B$7+IF(D1485="Yes",Assumptions!$C$7,0))</f>
        <v>81551.305500000002</v>
      </c>
      <c r="J1485" s="22">
        <f>F1485*(1+Assumptions!$B$8+IF(D1485="Yes",Assumptions!$C$8,0))</f>
        <v>78444.589099999997</v>
      </c>
    </row>
    <row r="1486" spans="1:10" ht="15">
      <c r="A1486" s="21">
        <v>41047</v>
      </c>
      <c r="B1486" s="21">
        <v>41030</v>
      </c>
      <c r="C1486" s="17">
        <v>54</v>
      </c>
      <c r="D1486" s="17" t="s">
        <v>91</v>
      </c>
      <c r="E1486" s="14">
        <v>2134.2000000000003</v>
      </c>
      <c r="F1486" s="14">
        <v>2086.8000000000002</v>
      </c>
      <c r="G1486" s="14">
        <v>2086.8000000000002</v>
      </c>
      <c r="H1486" s="22">
        <f>F1486*(1+Assumptions!$B$6+IF(D1486="Yes",Assumptions!$C$6,0))</f>
        <v>2149.4040000000005</v>
      </c>
      <c r="I1486" s="22">
        <f>F1486*(1+Assumptions!$B$7+IF(D1486="Yes",Assumptions!$C$7,0))</f>
        <v>2191.1400000000003</v>
      </c>
      <c r="J1486" s="22">
        <f>F1486*(1+Assumptions!$B$8+IF(D1486="Yes",Assumptions!$C$8,0))</f>
        <v>2107.6680000000001</v>
      </c>
    </row>
    <row r="1487" spans="1:10" ht="15">
      <c r="A1487" s="21">
        <v>41047</v>
      </c>
      <c r="B1487" s="21">
        <v>41030</v>
      </c>
      <c r="C1487" s="17">
        <v>55</v>
      </c>
      <c r="D1487" s="17" t="s">
        <v>91</v>
      </c>
      <c r="E1487" s="14">
        <v>287471.26</v>
      </c>
      <c r="F1487" s="14">
        <v>309115.09000000003</v>
      </c>
      <c r="G1487" s="14">
        <v>309115.09000000003</v>
      </c>
      <c r="H1487" s="22">
        <f>F1487*(1+Assumptions!$B$6+IF(D1487="Yes",Assumptions!$C$6,0))</f>
        <v>318388.54270000005</v>
      </c>
      <c r="I1487" s="22">
        <f>F1487*(1+Assumptions!$B$7+IF(D1487="Yes",Assumptions!$C$7,0))</f>
        <v>324570.84450000006</v>
      </c>
      <c r="J1487" s="22">
        <f>F1487*(1+Assumptions!$B$8+IF(D1487="Yes",Assumptions!$C$8,0))</f>
        <v>312206.24090000003</v>
      </c>
    </row>
    <row r="1488" spans="1:10" ht="15">
      <c r="A1488" s="21">
        <v>41047</v>
      </c>
      <c r="B1488" s="21">
        <v>41030</v>
      </c>
      <c r="C1488" s="17">
        <v>56</v>
      </c>
      <c r="D1488" s="17" t="s">
        <v>91</v>
      </c>
      <c r="E1488" s="14">
        <v>678430.85</v>
      </c>
      <c r="F1488" s="14">
        <v>375213.19</v>
      </c>
      <c r="G1488" s="14">
        <v>375213.19</v>
      </c>
      <c r="H1488" s="22">
        <f>F1488*(1+Assumptions!$B$6+IF(D1488="Yes",Assumptions!$C$6,0))</f>
        <v>386469.5857</v>
      </c>
      <c r="I1488" s="22">
        <f>F1488*(1+Assumptions!$B$7+IF(D1488="Yes",Assumptions!$C$7,0))</f>
        <v>393973.84950000001</v>
      </c>
      <c r="J1488" s="22">
        <f>F1488*(1+Assumptions!$B$8+IF(D1488="Yes",Assumptions!$C$8,0))</f>
        <v>378965.32189999998</v>
      </c>
    </row>
    <row r="1489" spans="1:10" ht="15">
      <c r="A1489" s="21">
        <v>41047</v>
      </c>
      <c r="B1489" s="21">
        <v>41030</v>
      </c>
      <c r="C1489" s="17">
        <v>58</v>
      </c>
      <c r="D1489" s="17" t="s">
        <v>91</v>
      </c>
      <c r="E1489" s="14">
        <v>94274</v>
      </c>
      <c r="F1489" s="14">
        <v>71123.850000000006</v>
      </c>
      <c r="G1489" s="14">
        <v>71123.850000000006</v>
      </c>
      <c r="H1489" s="22">
        <f>F1489*(1+Assumptions!$B$6+IF(D1489="Yes",Assumptions!$C$6,0))</f>
        <v>73257.565500000012</v>
      </c>
      <c r="I1489" s="22">
        <f>F1489*(1+Assumptions!$B$7+IF(D1489="Yes",Assumptions!$C$7,0))</f>
        <v>74680.04250000001</v>
      </c>
      <c r="J1489" s="22">
        <f>F1489*(1+Assumptions!$B$8+IF(D1489="Yes",Assumptions!$C$8,0))</f>
        <v>71835.088500000013</v>
      </c>
    </row>
    <row r="1490" spans="1:10" ht="15">
      <c r="A1490" s="21">
        <v>41047</v>
      </c>
      <c r="B1490" s="21">
        <v>41030</v>
      </c>
      <c r="C1490" s="17">
        <v>59</v>
      </c>
      <c r="D1490" s="17" t="s">
        <v>91</v>
      </c>
      <c r="E1490" s="14">
        <v>8911.23</v>
      </c>
      <c r="F1490" s="14">
        <v>10672.35</v>
      </c>
      <c r="G1490" s="14">
        <v>10672.35</v>
      </c>
      <c r="H1490" s="22">
        <f>F1490*(1+Assumptions!$B$6+IF(D1490="Yes",Assumptions!$C$6,0))</f>
        <v>10992.520500000001</v>
      </c>
      <c r="I1490" s="22">
        <f>F1490*(1+Assumptions!$B$7+IF(D1490="Yes",Assumptions!$C$7,0))</f>
        <v>11205.967500000001</v>
      </c>
      <c r="J1490" s="22">
        <f>F1490*(1+Assumptions!$B$8+IF(D1490="Yes",Assumptions!$C$8,0))</f>
        <v>10779.0735</v>
      </c>
    </row>
    <row r="1491" spans="1:10" ht="15">
      <c r="A1491" s="21">
        <v>41047</v>
      </c>
      <c r="B1491" s="21">
        <v>41030</v>
      </c>
      <c r="C1491" s="17">
        <v>60</v>
      </c>
      <c r="D1491" s="17" t="s">
        <v>91</v>
      </c>
      <c r="E1491" s="14">
        <v>13618.1</v>
      </c>
      <c r="F1491" s="14">
        <v>12170.4</v>
      </c>
      <c r="G1491" s="14">
        <v>12170.4</v>
      </c>
      <c r="H1491" s="22">
        <f>F1491*(1+Assumptions!$B$6+IF(D1491="Yes",Assumptions!$C$6,0))</f>
        <v>12535.512000000001</v>
      </c>
      <c r="I1491" s="22">
        <f>F1491*(1+Assumptions!$B$7+IF(D1491="Yes",Assumptions!$C$7,0))</f>
        <v>12778.92</v>
      </c>
      <c r="J1491" s="22">
        <f>F1491*(1+Assumptions!$B$8+IF(D1491="Yes",Assumptions!$C$8,0))</f>
        <v>12292.103999999999</v>
      </c>
    </row>
    <row r="1492" spans="1:10" ht="15">
      <c r="A1492" s="21">
        <v>41047</v>
      </c>
      <c r="B1492" s="21">
        <v>41030</v>
      </c>
      <c r="C1492" s="17">
        <v>65</v>
      </c>
      <c r="D1492" s="17" t="s">
        <v>91</v>
      </c>
      <c r="E1492" s="14">
        <v>48488.56</v>
      </c>
      <c r="F1492" s="14">
        <v>51913.39</v>
      </c>
      <c r="G1492" s="14">
        <v>51913.39</v>
      </c>
      <c r="H1492" s="22">
        <f>F1492*(1+Assumptions!$B$6+IF(D1492="Yes",Assumptions!$C$6,0))</f>
        <v>53470.791700000002</v>
      </c>
      <c r="I1492" s="22">
        <f>F1492*(1+Assumptions!$B$7+IF(D1492="Yes",Assumptions!$C$7,0))</f>
        <v>54509.059500000003</v>
      </c>
      <c r="J1492" s="22">
        <f>F1492*(1+Assumptions!$B$8+IF(D1492="Yes",Assumptions!$C$8,0))</f>
        <v>52432.5239</v>
      </c>
    </row>
    <row r="1493" spans="1:10" ht="15">
      <c r="A1493" s="21">
        <v>41047</v>
      </c>
      <c r="B1493" s="21">
        <v>41030</v>
      </c>
      <c r="C1493" s="17">
        <v>67</v>
      </c>
      <c r="D1493" s="17" t="s">
        <v>91</v>
      </c>
      <c r="E1493" s="14">
        <v>650241.73</v>
      </c>
      <c r="F1493" s="14">
        <v>326275.42</v>
      </c>
      <c r="G1493" s="14">
        <v>326275.42</v>
      </c>
      <c r="H1493" s="22">
        <f>F1493*(1+Assumptions!$B$6+IF(D1493="Yes",Assumptions!$C$6,0))</f>
        <v>336063.6826</v>
      </c>
      <c r="I1493" s="22">
        <f>F1493*(1+Assumptions!$B$7+IF(D1493="Yes",Assumptions!$C$7,0))</f>
        <v>342589.19099999999</v>
      </c>
      <c r="J1493" s="22">
        <f>F1493*(1+Assumptions!$B$8+IF(D1493="Yes",Assumptions!$C$8,0))</f>
        <v>329538.17420000001</v>
      </c>
    </row>
    <row r="1494" spans="1:10" ht="15">
      <c r="A1494" s="21">
        <v>41047</v>
      </c>
      <c r="B1494" s="21">
        <v>41030</v>
      </c>
      <c r="C1494" s="17">
        <v>71</v>
      </c>
      <c r="D1494" s="17" t="s">
        <v>91</v>
      </c>
      <c r="E1494" s="14">
        <v>172084.22</v>
      </c>
      <c r="F1494" s="14">
        <v>176993.3</v>
      </c>
      <c r="G1494" s="14">
        <v>176993.3</v>
      </c>
      <c r="H1494" s="22">
        <f>F1494*(1+Assumptions!$B$6+IF(D1494="Yes",Assumptions!$C$6,0))</f>
        <v>182303.09899999999</v>
      </c>
      <c r="I1494" s="22">
        <f>F1494*(1+Assumptions!$B$7+IF(D1494="Yes",Assumptions!$C$7,0))</f>
        <v>185842.965</v>
      </c>
      <c r="J1494" s="22">
        <f>F1494*(1+Assumptions!$B$8+IF(D1494="Yes",Assumptions!$C$8,0))</f>
        <v>178763.23299999998</v>
      </c>
    </row>
    <row r="1495" spans="1:10" ht="15">
      <c r="A1495" s="21">
        <v>41047</v>
      </c>
      <c r="B1495" s="21">
        <v>41030</v>
      </c>
      <c r="C1495" s="17">
        <v>72</v>
      </c>
      <c r="D1495" s="17" t="s">
        <v>91</v>
      </c>
      <c r="E1495" s="14">
        <v>1640021.4</v>
      </c>
      <c r="F1495" s="14">
        <v>1605181.95</v>
      </c>
      <c r="G1495" s="14">
        <v>1605181.95</v>
      </c>
      <c r="H1495" s="22">
        <f>F1495*(1+Assumptions!$B$6+IF(D1495="Yes",Assumptions!$C$6,0))</f>
        <v>1653337.4084999999</v>
      </c>
      <c r="I1495" s="22">
        <f>F1495*(1+Assumptions!$B$7+IF(D1495="Yes",Assumptions!$C$7,0))</f>
        <v>1685441.0475000001</v>
      </c>
      <c r="J1495" s="22">
        <f>F1495*(1+Assumptions!$B$8+IF(D1495="Yes",Assumptions!$C$8,0))</f>
        <v>1621233.7694999999</v>
      </c>
    </row>
    <row r="1496" spans="1:10" ht="15">
      <c r="A1496" s="21">
        <v>41047</v>
      </c>
      <c r="B1496" s="21">
        <v>41030</v>
      </c>
      <c r="C1496" s="17">
        <v>74</v>
      </c>
      <c r="D1496" s="17" t="s">
        <v>91</v>
      </c>
      <c r="E1496" s="14">
        <v>556692.47</v>
      </c>
      <c r="F1496" s="14">
        <v>593683.51</v>
      </c>
      <c r="G1496" s="14">
        <v>593683.51</v>
      </c>
      <c r="H1496" s="22">
        <f>F1496*(1+Assumptions!$B$6+IF(D1496="Yes",Assumptions!$C$6,0))</f>
        <v>611494.01529999997</v>
      </c>
      <c r="I1496" s="22">
        <f>F1496*(1+Assumptions!$B$7+IF(D1496="Yes",Assumptions!$C$7,0))</f>
        <v>623367.68550000002</v>
      </c>
      <c r="J1496" s="22">
        <f>F1496*(1+Assumptions!$B$8+IF(D1496="Yes",Assumptions!$C$8,0))</f>
        <v>599620.34510000004</v>
      </c>
    </row>
    <row r="1497" spans="1:10" ht="15">
      <c r="A1497" s="21">
        <v>41047</v>
      </c>
      <c r="B1497" s="21">
        <v>41030</v>
      </c>
      <c r="C1497" s="17">
        <v>79</v>
      </c>
      <c r="D1497" s="17" t="s">
        <v>91</v>
      </c>
      <c r="E1497" s="14">
        <v>943812.23</v>
      </c>
      <c r="F1497" s="14">
        <v>931178</v>
      </c>
      <c r="G1497" s="14">
        <v>931178</v>
      </c>
      <c r="H1497" s="22">
        <f>F1497*(1+Assumptions!$B$6+IF(D1497="Yes",Assumptions!$C$6,0))</f>
        <v>959113.34</v>
      </c>
      <c r="I1497" s="22">
        <f>F1497*(1+Assumptions!$B$7+IF(D1497="Yes",Assumptions!$C$7,0))</f>
        <v>977736.9</v>
      </c>
      <c r="J1497" s="22">
        <f>F1497*(1+Assumptions!$B$8+IF(D1497="Yes",Assumptions!$C$8,0))</f>
        <v>940489.78</v>
      </c>
    </row>
    <row r="1498" spans="1:10" ht="15">
      <c r="A1498" s="21">
        <v>41047</v>
      </c>
      <c r="B1498" s="21">
        <v>41030</v>
      </c>
      <c r="C1498" s="17">
        <v>80</v>
      </c>
      <c r="D1498" s="17" t="s">
        <v>91</v>
      </c>
      <c r="E1498" s="14">
        <v>498144.87</v>
      </c>
      <c r="F1498" s="14">
        <v>503554.74</v>
      </c>
      <c r="G1498" s="14">
        <v>503554.74</v>
      </c>
      <c r="H1498" s="22">
        <f>F1498*(1+Assumptions!$B$6+IF(D1498="Yes",Assumptions!$C$6,0))</f>
        <v>518661.38219999999</v>
      </c>
      <c r="I1498" s="22">
        <f>F1498*(1+Assumptions!$B$7+IF(D1498="Yes",Assumptions!$C$7,0))</f>
        <v>528732.47699999996</v>
      </c>
      <c r="J1498" s="22">
        <f>F1498*(1+Assumptions!$B$8+IF(D1498="Yes",Assumptions!$C$8,0))</f>
        <v>508590.28739999997</v>
      </c>
    </row>
    <row r="1499" spans="1:10" ht="15">
      <c r="A1499" s="21">
        <v>41047</v>
      </c>
      <c r="B1499" s="21">
        <v>41030</v>
      </c>
      <c r="C1499" s="17">
        <v>81</v>
      </c>
      <c r="D1499" s="17" t="s">
        <v>91</v>
      </c>
      <c r="E1499" s="14">
        <v>706333.52</v>
      </c>
      <c r="F1499" s="14">
        <v>699254.24</v>
      </c>
      <c r="G1499" s="14">
        <v>699254.24</v>
      </c>
      <c r="H1499" s="22">
        <f>F1499*(1+Assumptions!$B$6+IF(D1499="Yes",Assumptions!$C$6,0))</f>
        <v>720231.86719999998</v>
      </c>
      <c r="I1499" s="22">
        <f>F1499*(1+Assumptions!$B$7+IF(D1499="Yes",Assumptions!$C$7,0))</f>
        <v>734216.95200000005</v>
      </c>
      <c r="J1499" s="22">
        <f>F1499*(1+Assumptions!$B$8+IF(D1499="Yes",Assumptions!$C$8,0))</f>
        <v>706246.78240000003</v>
      </c>
    </row>
    <row r="1500" spans="1:10" ht="15">
      <c r="A1500" s="21">
        <v>41047</v>
      </c>
      <c r="B1500" s="21">
        <v>41030</v>
      </c>
      <c r="C1500" s="17">
        <v>82</v>
      </c>
      <c r="D1500" s="17" t="s">
        <v>91</v>
      </c>
      <c r="E1500" s="14">
        <v>722731.7</v>
      </c>
      <c r="F1500" s="14">
        <v>616892.19999999995</v>
      </c>
      <c r="G1500" s="14">
        <v>616892.19999999995</v>
      </c>
      <c r="H1500" s="22">
        <f>F1500*(1+Assumptions!$B$6+IF(D1500="Yes",Assumptions!$C$6,0))</f>
        <v>635398.96600000001</v>
      </c>
      <c r="I1500" s="22">
        <f>F1500*(1+Assumptions!$B$7+IF(D1500="Yes",Assumptions!$C$7,0))</f>
        <v>647736.80999999994</v>
      </c>
      <c r="J1500" s="22">
        <f>F1500*(1+Assumptions!$B$8+IF(D1500="Yes",Assumptions!$C$8,0))</f>
        <v>623061.12199999997</v>
      </c>
    </row>
    <row r="1501" spans="1:10" ht="15">
      <c r="A1501" s="21">
        <v>41047</v>
      </c>
      <c r="B1501" s="21">
        <v>41030</v>
      </c>
      <c r="C1501" s="17">
        <v>83</v>
      </c>
      <c r="D1501" s="17" t="s">
        <v>91</v>
      </c>
      <c r="E1501" s="14">
        <v>133285.53</v>
      </c>
      <c r="F1501" s="14">
        <v>125593.56999999999</v>
      </c>
      <c r="G1501" s="14">
        <v>125593.56999999999</v>
      </c>
      <c r="H1501" s="22">
        <f>F1501*(1+Assumptions!$B$6+IF(D1501="Yes",Assumptions!$C$6,0))</f>
        <v>129361.3771</v>
      </c>
      <c r="I1501" s="22">
        <f>F1501*(1+Assumptions!$B$7+IF(D1501="Yes",Assumptions!$C$7,0))</f>
        <v>131873.24849999999</v>
      </c>
      <c r="J1501" s="22">
        <f>F1501*(1+Assumptions!$B$8+IF(D1501="Yes",Assumptions!$C$8,0))</f>
        <v>126849.50569999999</v>
      </c>
    </row>
    <row r="1502" spans="1:10" ht="15">
      <c r="A1502" s="21">
        <v>41047</v>
      </c>
      <c r="B1502" s="21">
        <v>41030</v>
      </c>
      <c r="C1502" s="17">
        <v>85</v>
      </c>
      <c r="D1502" s="17" t="s">
        <v>91</v>
      </c>
      <c r="E1502" s="14">
        <v>99427.540000000008</v>
      </c>
      <c r="F1502" s="14">
        <v>101439.81</v>
      </c>
      <c r="G1502" s="14">
        <v>101439.81</v>
      </c>
      <c r="H1502" s="22">
        <f>F1502*(1+Assumptions!$B$6+IF(D1502="Yes",Assumptions!$C$6,0))</f>
        <v>104483.0043</v>
      </c>
      <c r="I1502" s="22">
        <f>F1502*(1+Assumptions!$B$7+IF(D1502="Yes",Assumptions!$C$7,0))</f>
        <v>106511.8005</v>
      </c>
      <c r="J1502" s="22">
        <f>F1502*(1+Assumptions!$B$8+IF(D1502="Yes",Assumptions!$C$8,0))</f>
        <v>102454.2081</v>
      </c>
    </row>
    <row r="1503" spans="1:10" ht="15">
      <c r="A1503" s="21">
        <v>41047</v>
      </c>
      <c r="B1503" s="21">
        <v>41030</v>
      </c>
      <c r="C1503" s="17">
        <v>87</v>
      </c>
      <c r="D1503" s="17" t="s">
        <v>91</v>
      </c>
      <c r="E1503" s="14">
        <v>618075.87</v>
      </c>
      <c r="F1503" s="14">
        <v>511506.25</v>
      </c>
      <c r="G1503" s="14">
        <v>511506.25</v>
      </c>
      <c r="H1503" s="22">
        <f>F1503*(1+Assumptions!$B$6+IF(D1503="Yes",Assumptions!$C$6,0))</f>
        <v>526851.4375</v>
      </c>
      <c r="I1503" s="22">
        <f>F1503*(1+Assumptions!$B$7+IF(D1503="Yes",Assumptions!$C$7,0))</f>
        <v>537081.5625</v>
      </c>
      <c r="J1503" s="22">
        <f>F1503*(1+Assumptions!$B$8+IF(D1503="Yes",Assumptions!$C$8,0))</f>
        <v>516621.3125</v>
      </c>
    </row>
    <row r="1504" spans="1:10" ht="15">
      <c r="A1504" s="21">
        <v>41047</v>
      </c>
      <c r="B1504" s="21">
        <v>41030</v>
      </c>
      <c r="C1504" s="17">
        <v>90</v>
      </c>
      <c r="D1504" s="17" t="s">
        <v>91</v>
      </c>
      <c r="E1504" s="14">
        <v>1982509</v>
      </c>
      <c r="F1504" s="14">
        <v>1957835.34</v>
      </c>
      <c r="G1504" s="14">
        <v>1957835.34</v>
      </c>
      <c r="H1504" s="22">
        <f>F1504*(1+Assumptions!$B$6+IF(D1504="Yes",Assumptions!$C$6,0))</f>
        <v>2016570.4002</v>
      </c>
      <c r="I1504" s="22">
        <f>F1504*(1+Assumptions!$B$7+IF(D1504="Yes",Assumptions!$C$7,0))</f>
        <v>2055727.1070000001</v>
      </c>
      <c r="J1504" s="22">
        <f>F1504*(1+Assumptions!$B$8+IF(D1504="Yes",Assumptions!$C$8,0))</f>
        <v>1977413.6934</v>
      </c>
    </row>
    <row r="1505" spans="1:10" ht="15">
      <c r="A1505" s="21">
        <v>41047</v>
      </c>
      <c r="B1505" s="21">
        <v>41030</v>
      </c>
      <c r="C1505" s="17">
        <v>91</v>
      </c>
      <c r="D1505" s="17" t="s">
        <v>91</v>
      </c>
      <c r="E1505" s="14">
        <v>1495863.55</v>
      </c>
      <c r="F1505" s="14">
        <v>1496186.98</v>
      </c>
      <c r="G1505" s="14">
        <v>1496186.98</v>
      </c>
      <c r="H1505" s="22">
        <f>F1505*(1+Assumptions!$B$6+IF(D1505="Yes",Assumptions!$C$6,0))</f>
        <v>1541072.5893999999</v>
      </c>
      <c r="I1505" s="22">
        <f>F1505*(1+Assumptions!$B$7+IF(D1505="Yes",Assumptions!$C$7,0))</f>
        <v>1570996.3290000001</v>
      </c>
      <c r="J1505" s="22">
        <f>F1505*(1+Assumptions!$B$8+IF(D1505="Yes",Assumptions!$C$8,0))</f>
        <v>1511148.8498</v>
      </c>
    </row>
    <row r="1506" spans="1:10" ht="15">
      <c r="A1506" s="21">
        <v>41047</v>
      </c>
      <c r="B1506" s="21">
        <v>41030</v>
      </c>
      <c r="C1506" s="17">
        <v>92</v>
      </c>
      <c r="D1506" s="17" t="s">
        <v>91</v>
      </c>
      <c r="E1506" s="14">
        <v>3329510.97</v>
      </c>
      <c r="F1506" s="14">
        <v>3136141.89</v>
      </c>
      <c r="G1506" s="14">
        <v>3136141.89</v>
      </c>
      <c r="H1506" s="22">
        <f>F1506*(1+Assumptions!$B$6+IF(D1506="Yes",Assumptions!$C$6,0))</f>
        <v>3230226.1467000004</v>
      </c>
      <c r="I1506" s="22">
        <f>F1506*(1+Assumptions!$B$7+IF(D1506="Yes",Assumptions!$C$7,0))</f>
        <v>3292948.9845000003</v>
      </c>
      <c r="J1506" s="22">
        <f>F1506*(1+Assumptions!$B$8+IF(D1506="Yes",Assumptions!$C$8,0))</f>
        <v>3167503.3089000001</v>
      </c>
    </row>
    <row r="1507" spans="1:10" ht="15">
      <c r="A1507" s="21">
        <v>41047</v>
      </c>
      <c r="B1507" s="21">
        <v>41030</v>
      </c>
      <c r="C1507" s="17">
        <v>93</v>
      </c>
      <c r="D1507" s="17" t="s">
        <v>91</v>
      </c>
      <c r="E1507" s="14">
        <v>1122170.2</v>
      </c>
      <c r="F1507" s="14">
        <v>1073798.19</v>
      </c>
      <c r="G1507" s="14">
        <v>1073798.19</v>
      </c>
      <c r="H1507" s="22">
        <f>F1507*(1+Assumptions!$B$6+IF(D1507="Yes",Assumptions!$C$6,0))</f>
        <v>1106012.1357</v>
      </c>
      <c r="I1507" s="22">
        <f>F1507*(1+Assumptions!$B$7+IF(D1507="Yes",Assumptions!$C$7,0))</f>
        <v>1127488.0995</v>
      </c>
      <c r="J1507" s="22">
        <f>F1507*(1+Assumptions!$B$8+IF(D1507="Yes",Assumptions!$C$8,0))</f>
        <v>1084536.1719</v>
      </c>
    </row>
    <row r="1508" spans="1:10" ht="15">
      <c r="A1508" s="21">
        <v>41047</v>
      </c>
      <c r="B1508" s="21">
        <v>41030</v>
      </c>
      <c r="C1508" s="17">
        <v>94</v>
      </c>
      <c r="D1508" s="17" t="s">
        <v>91</v>
      </c>
      <c r="E1508" s="14">
        <v>1634085.52</v>
      </c>
      <c r="F1508" s="14">
        <v>1371500.04</v>
      </c>
      <c r="G1508" s="14">
        <v>1371500.04</v>
      </c>
      <c r="H1508" s="22">
        <f>F1508*(1+Assumptions!$B$6+IF(D1508="Yes",Assumptions!$C$6,0))</f>
        <v>1412645.0412000001</v>
      </c>
      <c r="I1508" s="22">
        <f>F1508*(1+Assumptions!$B$7+IF(D1508="Yes",Assumptions!$C$7,0))</f>
        <v>1440075.0420000001</v>
      </c>
      <c r="J1508" s="22">
        <f>F1508*(1+Assumptions!$B$8+IF(D1508="Yes",Assumptions!$C$8,0))</f>
        <v>1385215.0404000001</v>
      </c>
    </row>
    <row r="1509" spans="1:10" ht="15">
      <c r="A1509" s="21">
        <v>41047</v>
      </c>
      <c r="B1509" s="21">
        <v>41030</v>
      </c>
      <c r="C1509" s="17">
        <v>95</v>
      </c>
      <c r="D1509" s="17" t="s">
        <v>91</v>
      </c>
      <c r="E1509" s="14">
        <v>3214710.86</v>
      </c>
      <c r="F1509" s="14">
        <v>3098342.94</v>
      </c>
      <c r="G1509" s="14">
        <v>3098342.94</v>
      </c>
      <c r="H1509" s="22">
        <f>F1509*(1+Assumptions!$B$6+IF(D1509="Yes",Assumptions!$C$6,0))</f>
        <v>3191293.2282000002</v>
      </c>
      <c r="I1509" s="22">
        <f>F1509*(1+Assumptions!$B$7+IF(D1509="Yes",Assumptions!$C$7,0))</f>
        <v>3253260.0870000003</v>
      </c>
      <c r="J1509" s="22">
        <f>F1509*(1+Assumptions!$B$8+IF(D1509="Yes",Assumptions!$C$8,0))</f>
        <v>3129326.3694000002</v>
      </c>
    </row>
    <row r="1510" spans="1:10" ht="15">
      <c r="A1510" s="21">
        <v>41047</v>
      </c>
      <c r="B1510" s="21">
        <v>41030</v>
      </c>
      <c r="C1510" s="17">
        <v>96</v>
      </c>
      <c r="D1510" s="17" t="s">
        <v>91</v>
      </c>
      <c r="E1510" s="14">
        <v>549421.14</v>
      </c>
      <c r="F1510" s="14">
        <v>481258.39</v>
      </c>
      <c r="G1510" s="14">
        <v>481258.39</v>
      </c>
      <c r="H1510" s="22">
        <f>F1510*(1+Assumptions!$B$6+IF(D1510="Yes",Assumptions!$C$6,0))</f>
        <v>495696.14170000004</v>
      </c>
      <c r="I1510" s="22">
        <f>F1510*(1+Assumptions!$B$7+IF(D1510="Yes",Assumptions!$C$7,0))</f>
        <v>505321.30950000003</v>
      </c>
      <c r="J1510" s="22">
        <f>F1510*(1+Assumptions!$B$8+IF(D1510="Yes",Assumptions!$C$8,0))</f>
        <v>486070.97390000004</v>
      </c>
    </row>
    <row r="1511" spans="1:10" ht="15">
      <c r="A1511" s="21">
        <v>41047</v>
      </c>
      <c r="B1511" s="21">
        <v>41030</v>
      </c>
      <c r="C1511" s="17">
        <v>97</v>
      </c>
      <c r="D1511" s="17" t="s">
        <v>91</v>
      </c>
      <c r="E1511" s="14">
        <v>620957.44999999995</v>
      </c>
      <c r="F1511" s="14">
        <v>623316.75</v>
      </c>
      <c r="G1511" s="14">
        <v>623316.75</v>
      </c>
      <c r="H1511" s="22">
        <f>F1511*(1+Assumptions!$B$6+IF(D1511="Yes",Assumptions!$C$6,0))</f>
        <v>642016.25250000006</v>
      </c>
      <c r="I1511" s="22">
        <f>F1511*(1+Assumptions!$B$7+IF(D1511="Yes",Assumptions!$C$7,0))</f>
        <v>654482.58750000002</v>
      </c>
      <c r="J1511" s="22">
        <f>F1511*(1+Assumptions!$B$8+IF(D1511="Yes",Assumptions!$C$8,0))</f>
        <v>629549.91749999998</v>
      </c>
    </row>
    <row r="1512" spans="1:10" ht="15">
      <c r="A1512" s="21">
        <v>41047</v>
      </c>
      <c r="B1512" s="21">
        <v>41030</v>
      </c>
      <c r="C1512" s="17">
        <v>98</v>
      </c>
      <c r="D1512" s="17" t="s">
        <v>91</v>
      </c>
      <c r="E1512" s="14">
        <v>287806.53999999998</v>
      </c>
      <c r="F1512" s="14">
        <v>263520.68</v>
      </c>
      <c r="G1512" s="14">
        <v>263520.68</v>
      </c>
      <c r="H1512" s="22">
        <f>F1512*(1+Assumptions!$B$6+IF(D1512="Yes",Assumptions!$C$6,0))</f>
        <v>271426.30040000001</v>
      </c>
      <c r="I1512" s="22">
        <f>F1512*(1+Assumptions!$B$7+IF(D1512="Yes",Assumptions!$C$7,0))</f>
        <v>276696.71399999998</v>
      </c>
      <c r="J1512" s="22">
        <f>F1512*(1+Assumptions!$B$8+IF(D1512="Yes",Assumptions!$C$8,0))</f>
        <v>266155.88679999998</v>
      </c>
    </row>
    <row r="1513" spans="1:10" ht="15">
      <c r="A1513" s="21">
        <v>41054</v>
      </c>
      <c r="B1513" s="21">
        <v>41030</v>
      </c>
      <c r="C1513" s="17">
        <v>1</v>
      </c>
      <c r="D1513" s="17" t="s">
        <v>91</v>
      </c>
      <c r="E1513" s="14">
        <v>643725.65</v>
      </c>
      <c r="F1513" s="14">
        <v>599105.51</v>
      </c>
      <c r="G1513" s="14">
        <v>599105.51</v>
      </c>
      <c r="H1513" s="22">
        <f>F1513*(1+Assumptions!$B$6+IF(D1513="Yes",Assumptions!$C$6,0))</f>
        <v>617078.6753</v>
      </c>
      <c r="I1513" s="22">
        <f>F1513*(1+Assumptions!$B$7+IF(D1513="Yes",Assumptions!$C$7,0))</f>
        <v>629060.7855</v>
      </c>
      <c r="J1513" s="22">
        <f>F1513*(1+Assumptions!$B$8+IF(D1513="Yes",Assumptions!$C$8,0))</f>
        <v>605096.56510000001</v>
      </c>
    </row>
    <row r="1514" spans="1:10" ht="15">
      <c r="A1514" s="21">
        <v>41054</v>
      </c>
      <c r="B1514" s="21">
        <v>41030</v>
      </c>
      <c r="C1514" s="17">
        <v>2</v>
      </c>
      <c r="D1514" s="17" t="s">
        <v>91</v>
      </c>
      <c r="E1514" s="14">
        <v>2005529.95</v>
      </c>
      <c r="F1514" s="14">
        <v>1903197.61</v>
      </c>
      <c r="G1514" s="14">
        <v>1903197.61</v>
      </c>
      <c r="H1514" s="22">
        <f>F1514*(1+Assumptions!$B$6+IF(D1514="Yes",Assumptions!$C$6,0))</f>
        <v>1960293.5383000001</v>
      </c>
      <c r="I1514" s="22">
        <f>F1514*(1+Assumptions!$B$7+IF(D1514="Yes",Assumptions!$C$7,0))</f>
        <v>1998357.4905000003</v>
      </c>
      <c r="J1514" s="22">
        <f>F1514*(1+Assumptions!$B$8+IF(D1514="Yes",Assumptions!$C$8,0))</f>
        <v>1922229.5861000002</v>
      </c>
    </row>
    <row r="1515" spans="1:10" ht="15">
      <c r="A1515" s="21">
        <v>41054</v>
      </c>
      <c r="B1515" s="21">
        <v>41030</v>
      </c>
      <c r="C1515" s="17">
        <v>3</v>
      </c>
      <c r="D1515" s="17" t="s">
        <v>91</v>
      </c>
      <c r="E1515" s="14">
        <v>336248.06</v>
      </c>
      <c r="F1515" s="14">
        <v>328547.08999999997</v>
      </c>
      <c r="G1515" s="14">
        <v>328547.08999999997</v>
      </c>
      <c r="H1515" s="22">
        <f>F1515*(1+Assumptions!$B$6+IF(D1515="Yes",Assumptions!$C$6,0))</f>
        <v>338403.50269999995</v>
      </c>
      <c r="I1515" s="22">
        <f>F1515*(1+Assumptions!$B$7+IF(D1515="Yes",Assumptions!$C$7,0))</f>
        <v>344974.44449999998</v>
      </c>
      <c r="J1515" s="22">
        <f>F1515*(1+Assumptions!$B$8+IF(D1515="Yes",Assumptions!$C$8,0))</f>
        <v>331832.56089999998</v>
      </c>
    </row>
    <row r="1516" spans="1:10" ht="15">
      <c r="A1516" s="21">
        <v>41054</v>
      </c>
      <c r="B1516" s="21">
        <v>41030</v>
      </c>
      <c r="C1516" s="17">
        <v>4</v>
      </c>
      <c r="D1516" s="17" t="s">
        <v>91</v>
      </c>
      <c r="E1516" s="14">
        <v>1232406.55</v>
      </c>
      <c r="F1516" s="14">
        <v>1148180.72</v>
      </c>
      <c r="G1516" s="14">
        <v>1148180.72</v>
      </c>
      <c r="H1516" s="22">
        <f>F1516*(1+Assumptions!$B$6+IF(D1516="Yes",Assumptions!$C$6,0))</f>
        <v>1182626.1416</v>
      </c>
      <c r="I1516" s="22">
        <f>F1516*(1+Assumptions!$B$7+IF(D1516="Yes",Assumptions!$C$7,0))</f>
        <v>1205589.7560000001</v>
      </c>
      <c r="J1516" s="22">
        <f>F1516*(1+Assumptions!$B$8+IF(D1516="Yes",Assumptions!$C$8,0))</f>
        <v>1159662.5271999999</v>
      </c>
    </row>
    <row r="1517" spans="1:10" ht="15">
      <c r="A1517" s="21">
        <v>41054</v>
      </c>
      <c r="B1517" s="21">
        <v>41030</v>
      </c>
      <c r="C1517" s="17">
        <v>5</v>
      </c>
      <c r="D1517" s="17" t="s">
        <v>91</v>
      </c>
      <c r="E1517" s="14">
        <v>606098.92000000004</v>
      </c>
      <c r="F1517" s="14">
        <v>669362.42999999993</v>
      </c>
      <c r="G1517" s="14">
        <v>669362.42999999993</v>
      </c>
      <c r="H1517" s="22">
        <f>F1517*(1+Assumptions!$B$6+IF(D1517="Yes",Assumptions!$C$6,0))</f>
        <v>689443.30289999989</v>
      </c>
      <c r="I1517" s="22">
        <f>F1517*(1+Assumptions!$B$7+IF(D1517="Yes",Assumptions!$C$7,0))</f>
        <v>702830.55149999994</v>
      </c>
      <c r="J1517" s="22">
        <f>F1517*(1+Assumptions!$B$8+IF(D1517="Yes",Assumptions!$C$8,0))</f>
        <v>676056.05429999996</v>
      </c>
    </row>
    <row r="1518" spans="1:10" ht="15">
      <c r="A1518" s="21">
        <v>41054</v>
      </c>
      <c r="B1518" s="21">
        <v>41030</v>
      </c>
      <c r="C1518" s="17">
        <v>6</v>
      </c>
      <c r="D1518" s="17" t="s">
        <v>91</v>
      </c>
      <c r="E1518" s="14">
        <v>165343.69</v>
      </c>
      <c r="F1518" s="14">
        <v>203319.19</v>
      </c>
      <c r="G1518" s="14">
        <v>203319.19</v>
      </c>
      <c r="H1518" s="22">
        <f>F1518*(1+Assumptions!$B$6+IF(D1518="Yes",Assumptions!$C$6,0))</f>
        <v>209418.76570000002</v>
      </c>
      <c r="I1518" s="22">
        <f>F1518*(1+Assumptions!$B$7+IF(D1518="Yes",Assumptions!$C$7,0))</f>
        <v>213485.1495</v>
      </c>
      <c r="J1518" s="22">
        <f>F1518*(1+Assumptions!$B$8+IF(D1518="Yes",Assumptions!$C$8,0))</f>
        <v>205352.38190000001</v>
      </c>
    </row>
    <row r="1519" spans="1:10" ht="15">
      <c r="A1519" s="21">
        <v>41054</v>
      </c>
      <c r="B1519" s="21">
        <v>41030</v>
      </c>
      <c r="C1519" s="17">
        <v>7</v>
      </c>
      <c r="D1519" s="17" t="s">
        <v>91</v>
      </c>
      <c r="E1519" s="14">
        <v>1116668.7</v>
      </c>
      <c r="F1519" s="14">
        <v>1031705</v>
      </c>
      <c r="G1519" s="14">
        <v>1031705</v>
      </c>
      <c r="H1519" s="22">
        <f>F1519*(1+Assumptions!$B$6+IF(D1519="Yes",Assumptions!$C$6,0))</f>
        <v>1062656.1500000001</v>
      </c>
      <c r="I1519" s="22">
        <f>F1519*(1+Assumptions!$B$7+IF(D1519="Yes",Assumptions!$C$7,0))</f>
        <v>1083290.25</v>
      </c>
      <c r="J1519" s="22">
        <f>F1519*(1+Assumptions!$B$8+IF(D1519="Yes",Assumptions!$C$8,0))</f>
        <v>1042022.05</v>
      </c>
    </row>
    <row r="1520" spans="1:10" ht="15">
      <c r="A1520" s="21">
        <v>41054</v>
      </c>
      <c r="B1520" s="21">
        <v>41030</v>
      </c>
      <c r="C1520" s="17">
        <v>8</v>
      </c>
      <c r="D1520" s="17" t="s">
        <v>91</v>
      </c>
      <c r="E1520" s="14">
        <v>1381108.61</v>
      </c>
      <c r="F1520" s="14">
        <v>1349079.3</v>
      </c>
      <c r="G1520" s="14">
        <v>1349079.3</v>
      </c>
      <c r="H1520" s="22">
        <f>F1520*(1+Assumptions!$B$6+IF(D1520="Yes",Assumptions!$C$6,0))</f>
        <v>1389551.679</v>
      </c>
      <c r="I1520" s="22">
        <f>F1520*(1+Assumptions!$B$7+IF(D1520="Yes",Assumptions!$C$7,0))</f>
        <v>1416533.2650000001</v>
      </c>
      <c r="J1520" s="22">
        <f>F1520*(1+Assumptions!$B$8+IF(D1520="Yes",Assumptions!$C$8,0))</f>
        <v>1362570.0930000001</v>
      </c>
    </row>
    <row r="1521" spans="1:10" ht="15">
      <c r="A1521" s="21">
        <v>41054</v>
      </c>
      <c r="B1521" s="21">
        <v>41030</v>
      </c>
      <c r="C1521" s="17">
        <v>9</v>
      </c>
      <c r="D1521" s="17" t="s">
        <v>91</v>
      </c>
      <c r="E1521" s="14">
        <v>1246777.22</v>
      </c>
      <c r="F1521" s="14">
        <v>1082776.01</v>
      </c>
      <c r="G1521" s="14">
        <v>1082776.01</v>
      </c>
      <c r="H1521" s="22">
        <f>F1521*(1+Assumptions!$B$6+IF(D1521="Yes",Assumptions!$C$6,0))</f>
        <v>1115259.2903</v>
      </c>
      <c r="I1521" s="22">
        <f>F1521*(1+Assumptions!$B$7+IF(D1521="Yes",Assumptions!$C$7,0))</f>
        <v>1136914.8105000001</v>
      </c>
      <c r="J1521" s="22">
        <f>F1521*(1+Assumptions!$B$8+IF(D1521="Yes",Assumptions!$C$8,0))</f>
        <v>1093603.7701000001</v>
      </c>
    </row>
    <row r="1522" spans="1:10" ht="15">
      <c r="A1522" s="21">
        <v>41054</v>
      </c>
      <c r="B1522" s="21">
        <v>41030</v>
      </c>
      <c r="C1522" s="17">
        <v>10</v>
      </c>
      <c r="D1522" s="17" t="s">
        <v>91</v>
      </c>
      <c r="E1522" s="14">
        <v>917146.97</v>
      </c>
      <c r="F1522" s="14">
        <v>830203.17999999993</v>
      </c>
      <c r="G1522" s="14">
        <v>830203.17999999993</v>
      </c>
      <c r="H1522" s="22">
        <f>F1522*(1+Assumptions!$B$6+IF(D1522="Yes",Assumptions!$C$6,0))</f>
        <v>855109.27539999993</v>
      </c>
      <c r="I1522" s="22">
        <f>F1522*(1+Assumptions!$B$7+IF(D1522="Yes",Assumptions!$C$7,0))</f>
        <v>871713.33899999992</v>
      </c>
      <c r="J1522" s="22">
        <f>F1522*(1+Assumptions!$B$8+IF(D1522="Yes",Assumptions!$C$8,0))</f>
        <v>838505.21179999993</v>
      </c>
    </row>
    <row r="1523" spans="1:10" ht="15">
      <c r="A1523" s="21">
        <v>41054</v>
      </c>
      <c r="B1523" s="21">
        <v>41030</v>
      </c>
      <c r="C1523" s="17">
        <v>11</v>
      </c>
      <c r="D1523" s="17" t="s">
        <v>91</v>
      </c>
      <c r="E1523" s="14">
        <v>785163.26</v>
      </c>
      <c r="F1523" s="14">
        <v>769770.2</v>
      </c>
      <c r="G1523" s="14">
        <v>769770.2</v>
      </c>
      <c r="H1523" s="22">
        <f>F1523*(1+Assumptions!$B$6+IF(D1523="Yes",Assumptions!$C$6,0))</f>
        <v>792863.30599999998</v>
      </c>
      <c r="I1523" s="22">
        <f>F1523*(1+Assumptions!$B$7+IF(D1523="Yes",Assumptions!$C$7,0))</f>
        <v>808258.71</v>
      </c>
      <c r="J1523" s="22">
        <f>F1523*(1+Assumptions!$B$8+IF(D1523="Yes",Assumptions!$C$8,0))</f>
        <v>777467.902</v>
      </c>
    </row>
    <row r="1524" spans="1:10" ht="15">
      <c r="A1524" s="21">
        <v>41054</v>
      </c>
      <c r="B1524" s="21">
        <v>41030</v>
      </c>
      <c r="C1524" s="17">
        <v>12</v>
      </c>
      <c r="D1524" s="17" t="s">
        <v>91</v>
      </c>
      <c r="E1524" s="14">
        <v>217881.86</v>
      </c>
      <c r="F1524" s="14">
        <v>206009.01</v>
      </c>
      <c r="G1524" s="14">
        <v>206009.01</v>
      </c>
      <c r="H1524" s="22">
        <f>F1524*(1+Assumptions!$B$6+IF(D1524="Yes",Assumptions!$C$6,0))</f>
        <v>212189.28030000001</v>
      </c>
      <c r="I1524" s="22">
        <f>F1524*(1+Assumptions!$B$7+IF(D1524="Yes",Assumptions!$C$7,0))</f>
        <v>216309.46050000002</v>
      </c>
      <c r="J1524" s="22">
        <f>F1524*(1+Assumptions!$B$8+IF(D1524="Yes",Assumptions!$C$8,0))</f>
        <v>208069.10010000001</v>
      </c>
    </row>
    <row r="1525" spans="1:10" ht="15">
      <c r="A1525" s="21">
        <v>41054</v>
      </c>
      <c r="B1525" s="21">
        <v>41030</v>
      </c>
      <c r="C1525" s="17">
        <v>13</v>
      </c>
      <c r="D1525" s="17" t="s">
        <v>91</v>
      </c>
      <c r="E1525" s="14">
        <v>1365928.11</v>
      </c>
      <c r="F1525" s="14">
        <v>1315046.46</v>
      </c>
      <c r="G1525" s="14">
        <v>1315046.46</v>
      </c>
      <c r="H1525" s="22">
        <f>F1525*(1+Assumptions!$B$6+IF(D1525="Yes",Assumptions!$C$6,0))</f>
        <v>1354497.8537999999</v>
      </c>
      <c r="I1525" s="22">
        <f>F1525*(1+Assumptions!$B$7+IF(D1525="Yes",Assumptions!$C$7,0))</f>
        <v>1380798.7830000001</v>
      </c>
      <c r="J1525" s="22">
        <f>F1525*(1+Assumptions!$B$8+IF(D1525="Yes",Assumptions!$C$8,0))</f>
        <v>1328196.9246</v>
      </c>
    </row>
    <row r="1526" spans="1:10" ht="15">
      <c r="A1526" s="21">
        <v>41054</v>
      </c>
      <c r="B1526" s="21">
        <v>41030</v>
      </c>
      <c r="C1526" s="17">
        <v>14</v>
      </c>
      <c r="D1526" s="17" t="s">
        <v>91</v>
      </c>
      <c r="E1526" s="14">
        <v>605438.39</v>
      </c>
      <c r="F1526" s="14">
        <v>561563.77</v>
      </c>
      <c r="G1526" s="14">
        <v>561563.77</v>
      </c>
      <c r="H1526" s="22">
        <f>F1526*(1+Assumptions!$B$6+IF(D1526="Yes",Assumptions!$C$6,0))</f>
        <v>578410.68310000002</v>
      </c>
      <c r="I1526" s="22">
        <f>F1526*(1+Assumptions!$B$7+IF(D1526="Yes",Assumptions!$C$7,0))</f>
        <v>589641.95850000007</v>
      </c>
      <c r="J1526" s="22">
        <f>F1526*(1+Assumptions!$B$8+IF(D1526="Yes",Assumptions!$C$8,0))</f>
        <v>567179.40769999998</v>
      </c>
    </row>
    <row r="1527" spans="1:10" ht="15">
      <c r="A1527" s="21">
        <v>41054</v>
      </c>
      <c r="B1527" s="21">
        <v>41030</v>
      </c>
      <c r="C1527" s="17">
        <v>16</v>
      </c>
      <c r="D1527" s="17" t="s">
        <v>91</v>
      </c>
      <c r="E1527" s="14">
        <v>1588675.32</v>
      </c>
      <c r="F1527" s="14">
        <v>1476813.74</v>
      </c>
      <c r="G1527" s="14">
        <v>1476813.74</v>
      </c>
      <c r="H1527" s="22">
        <f>F1527*(1+Assumptions!$B$6+IF(D1527="Yes",Assumptions!$C$6,0))</f>
        <v>1521118.1522000001</v>
      </c>
      <c r="I1527" s="22">
        <f>F1527*(1+Assumptions!$B$7+IF(D1527="Yes",Assumptions!$C$7,0))</f>
        <v>1550654.4270000001</v>
      </c>
      <c r="J1527" s="22">
        <f>F1527*(1+Assumptions!$B$8+IF(D1527="Yes",Assumptions!$C$8,0))</f>
        <v>1491581.8774000001</v>
      </c>
    </row>
    <row r="1528" spans="1:10" ht="15">
      <c r="A1528" s="21">
        <v>41054</v>
      </c>
      <c r="B1528" s="21">
        <v>41030</v>
      </c>
      <c r="C1528" s="17">
        <v>17</v>
      </c>
      <c r="D1528" s="17" t="s">
        <v>91</v>
      </c>
      <c r="E1528" s="14">
        <v>384493.56</v>
      </c>
      <c r="F1528" s="14">
        <v>378660.22</v>
      </c>
      <c r="G1528" s="14">
        <v>378660.22</v>
      </c>
      <c r="H1528" s="22">
        <f>F1528*(1+Assumptions!$B$6+IF(D1528="Yes",Assumptions!$C$6,0))</f>
        <v>390020.02659999998</v>
      </c>
      <c r="I1528" s="22">
        <f>F1528*(1+Assumptions!$B$7+IF(D1528="Yes",Assumptions!$C$7,0))</f>
        <v>397593.23099999997</v>
      </c>
      <c r="J1528" s="22">
        <f>F1528*(1+Assumptions!$B$8+IF(D1528="Yes",Assumptions!$C$8,0))</f>
        <v>382446.8222</v>
      </c>
    </row>
    <row r="1529" spans="1:10" ht="15">
      <c r="A1529" s="21">
        <v>41054</v>
      </c>
      <c r="B1529" s="21">
        <v>41030</v>
      </c>
      <c r="C1529" s="17">
        <v>18</v>
      </c>
      <c r="D1529" s="17" t="s">
        <v>91</v>
      </c>
      <c r="E1529" s="14">
        <v>15.959999999999999</v>
      </c>
      <c r="F1529" s="14">
        <v>57.970000000000006</v>
      </c>
      <c r="G1529" s="14">
        <v>57.970000000000006</v>
      </c>
      <c r="H1529" s="22">
        <f>F1529*(1+Assumptions!$B$6+IF(D1529="Yes",Assumptions!$C$6,0))</f>
        <v>59.709100000000007</v>
      </c>
      <c r="I1529" s="22">
        <f>F1529*(1+Assumptions!$B$7+IF(D1529="Yes",Assumptions!$C$7,0))</f>
        <v>60.868500000000012</v>
      </c>
      <c r="J1529" s="22">
        <f>F1529*(1+Assumptions!$B$8+IF(D1529="Yes",Assumptions!$C$8,0))</f>
        <v>58.549700000000009</v>
      </c>
    </row>
    <row r="1530" spans="1:10" ht="15">
      <c r="A1530" s="21">
        <v>41054</v>
      </c>
      <c r="B1530" s="21">
        <v>41030</v>
      </c>
      <c r="C1530" s="17">
        <v>19</v>
      </c>
      <c r="D1530" s="17" t="s">
        <v>91</v>
      </c>
      <c r="E1530" s="14">
        <v>42081.62</v>
      </c>
      <c r="F1530" s="14">
        <v>35838.99</v>
      </c>
      <c r="G1530" s="14">
        <v>35838.99</v>
      </c>
      <c r="H1530" s="22">
        <f>F1530*(1+Assumptions!$B$6+IF(D1530="Yes",Assumptions!$C$6,0))</f>
        <v>36914.159699999997</v>
      </c>
      <c r="I1530" s="22">
        <f>F1530*(1+Assumptions!$B$7+IF(D1530="Yes",Assumptions!$C$7,0))</f>
        <v>37630.9395</v>
      </c>
      <c r="J1530" s="22">
        <f>F1530*(1+Assumptions!$B$8+IF(D1530="Yes",Assumptions!$C$8,0))</f>
        <v>36197.3799</v>
      </c>
    </row>
    <row r="1531" spans="1:10" ht="15">
      <c r="A1531" s="21">
        <v>41054</v>
      </c>
      <c r="B1531" s="21">
        <v>41030</v>
      </c>
      <c r="C1531" s="17">
        <v>20</v>
      </c>
      <c r="D1531" s="17" t="s">
        <v>91</v>
      </c>
      <c r="E1531" s="14">
        <v>245641.24</v>
      </c>
      <c r="F1531" s="14">
        <v>238112.93</v>
      </c>
      <c r="G1531" s="14">
        <v>238112.93</v>
      </c>
      <c r="H1531" s="22">
        <f>F1531*(1+Assumptions!$B$6+IF(D1531="Yes",Assumptions!$C$6,0))</f>
        <v>245256.31789999999</v>
      </c>
      <c r="I1531" s="22">
        <f>F1531*(1+Assumptions!$B$7+IF(D1531="Yes",Assumptions!$C$7,0))</f>
        <v>250018.5765</v>
      </c>
      <c r="J1531" s="22">
        <f>F1531*(1+Assumptions!$B$8+IF(D1531="Yes",Assumptions!$C$8,0))</f>
        <v>240494.05929999999</v>
      </c>
    </row>
    <row r="1532" spans="1:10" ht="15">
      <c r="A1532" s="21">
        <v>41054</v>
      </c>
      <c r="B1532" s="21">
        <v>41030</v>
      </c>
      <c r="C1532" s="17">
        <v>21</v>
      </c>
      <c r="D1532" s="17" t="s">
        <v>91</v>
      </c>
      <c r="E1532" s="14">
        <v>185943.32</v>
      </c>
      <c r="F1532" s="14">
        <v>187525.04</v>
      </c>
      <c r="G1532" s="14">
        <v>187525.04</v>
      </c>
      <c r="H1532" s="22">
        <f>F1532*(1+Assumptions!$B$6+IF(D1532="Yes",Assumptions!$C$6,0))</f>
        <v>193150.79120000001</v>
      </c>
      <c r="I1532" s="22">
        <f>F1532*(1+Assumptions!$B$7+IF(D1532="Yes",Assumptions!$C$7,0))</f>
        <v>196901.29200000002</v>
      </c>
      <c r="J1532" s="22">
        <f>F1532*(1+Assumptions!$B$8+IF(D1532="Yes",Assumptions!$C$8,0))</f>
        <v>189400.2904</v>
      </c>
    </row>
    <row r="1533" spans="1:10" ht="15">
      <c r="A1533" s="21">
        <v>41054</v>
      </c>
      <c r="B1533" s="21">
        <v>41030</v>
      </c>
      <c r="C1533" s="17">
        <v>22</v>
      </c>
      <c r="D1533" s="17" t="s">
        <v>91</v>
      </c>
      <c r="E1533" s="14">
        <v>354633.14</v>
      </c>
      <c r="F1533" s="14">
        <v>352272.16</v>
      </c>
      <c r="G1533" s="14">
        <v>352272.16</v>
      </c>
      <c r="H1533" s="22">
        <f>F1533*(1+Assumptions!$B$6+IF(D1533="Yes",Assumptions!$C$6,0))</f>
        <v>362840.3248</v>
      </c>
      <c r="I1533" s="22">
        <f>F1533*(1+Assumptions!$B$7+IF(D1533="Yes",Assumptions!$C$7,0))</f>
        <v>369885.76799999998</v>
      </c>
      <c r="J1533" s="22">
        <f>F1533*(1+Assumptions!$B$8+IF(D1533="Yes",Assumptions!$C$8,0))</f>
        <v>355794.88159999996</v>
      </c>
    </row>
    <row r="1534" spans="1:10" ht="15">
      <c r="A1534" s="21">
        <v>41054</v>
      </c>
      <c r="B1534" s="21">
        <v>41030</v>
      </c>
      <c r="C1534" s="17">
        <v>23</v>
      </c>
      <c r="D1534" s="17" t="s">
        <v>91</v>
      </c>
      <c r="E1534" s="14">
        <v>1057221.27</v>
      </c>
      <c r="F1534" s="14">
        <v>959907.78999999992</v>
      </c>
      <c r="G1534" s="14">
        <v>959907.78999999992</v>
      </c>
      <c r="H1534" s="22">
        <f>F1534*(1+Assumptions!$B$6+IF(D1534="Yes",Assumptions!$C$6,0))</f>
        <v>988705.0236999999</v>
      </c>
      <c r="I1534" s="22">
        <f>F1534*(1+Assumptions!$B$7+IF(D1534="Yes",Assumptions!$C$7,0))</f>
        <v>1007903.1795</v>
      </c>
      <c r="J1534" s="22">
        <f>F1534*(1+Assumptions!$B$8+IF(D1534="Yes",Assumptions!$C$8,0))</f>
        <v>969506.86789999995</v>
      </c>
    </row>
    <row r="1535" spans="1:10" ht="15">
      <c r="A1535" s="21">
        <v>41054</v>
      </c>
      <c r="B1535" s="21">
        <v>41030</v>
      </c>
      <c r="C1535" s="17">
        <v>24</v>
      </c>
      <c r="D1535" s="17" t="s">
        <v>91</v>
      </c>
      <c r="E1535" s="14">
        <v>216713.71</v>
      </c>
      <c r="F1535" s="14">
        <v>195577.58</v>
      </c>
      <c r="G1535" s="14">
        <v>195577.58</v>
      </c>
      <c r="H1535" s="22">
        <f>F1535*(1+Assumptions!$B$6+IF(D1535="Yes",Assumptions!$C$6,0))</f>
        <v>201444.9074</v>
      </c>
      <c r="I1535" s="22">
        <f>F1535*(1+Assumptions!$B$7+IF(D1535="Yes",Assumptions!$C$7,0))</f>
        <v>205356.459</v>
      </c>
      <c r="J1535" s="22">
        <f>F1535*(1+Assumptions!$B$8+IF(D1535="Yes",Assumptions!$C$8,0))</f>
        <v>197533.35579999999</v>
      </c>
    </row>
    <row r="1536" spans="1:10" ht="15">
      <c r="A1536" s="21">
        <v>41054</v>
      </c>
      <c r="B1536" s="21">
        <v>41030</v>
      </c>
      <c r="C1536" s="17">
        <v>25</v>
      </c>
      <c r="D1536" s="17" t="s">
        <v>91</v>
      </c>
      <c r="E1536" s="14">
        <v>447719.96</v>
      </c>
      <c r="F1536" s="14">
        <v>445288.52</v>
      </c>
      <c r="G1536" s="14">
        <v>445288.52</v>
      </c>
      <c r="H1536" s="22">
        <f>F1536*(1+Assumptions!$B$6+IF(D1536="Yes",Assumptions!$C$6,0))</f>
        <v>458647.17560000002</v>
      </c>
      <c r="I1536" s="22">
        <f>F1536*(1+Assumptions!$B$7+IF(D1536="Yes",Assumptions!$C$7,0))</f>
        <v>467552.94600000005</v>
      </c>
      <c r="J1536" s="22">
        <f>F1536*(1+Assumptions!$B$8+IF(D1536="Yes",Assumptions!$C$8,0))</f>
        <v>449741.40520000004</v>
      </c>
    </row>
    <row r="1537" spans="1:10" ht="15">
      <c r="A1537" s="21">
        <v>41054</v>
      </c>
      <c r="B1537" s="21">
        <v>41030</v>
      </c>
      <c r="C1537" s="17">
        <v>26</v>
      </c>
      <c r="D1537" s="17" t="s">
        <v>91</v>
      </c>
      <c r="E1537" s="14">
        <v>285886.75</v>
      </c>
      <c r="F1537" s="14">
        <v>291003.82</v>
      </c>
      <c r="G1537" s="14">
        <v>291003.82</v>
      </c>
      <c r="H1537" s="22">
        <f>F1537*(1+Assumptions!$B$6+IF(D1537="Yes",Assumptions!$C$6,0))</f>
        <v>299733.93460000004</v>
      </c>
      <c r="I1537" s="22">
        <f>F1537*(1+Assumptions!$B$7+IF(D1537="Yes",Assumptions!$C$7,0))</f>
        <v>305554.011</v>
      </c>
      <c r="J1537" s="22">
        <f>F1537*(1+Assumptions!$B$8+IF(D1537="Yes",Assumptions!$C$8,0))</f>
        <v>293913.85820000002</v>
      </c>
    </row>
    <row r="1538" spans="1:10" ht="15">
      <c r="A1538" s="21">
        <v>41054</v>
      </c>
      <c r="B1538" s="21">
        <v>41030</v>
      </c>
      <c r="C1538" s="17">
        <v>27</v>
      </c>
      <c r="D1538" s="17" t="s">
        <v>91</v>
      </c>
      <c r="E1538" s="14">
        <v>48666.73</v>
      </c>
      <c r="F1538" s="14">
        <v>45369.479999999996</v>
      </c>
      <c r="G1538" s="14">
        <v>45369.479999999996</v>
      </c>
      <c r="H1538" s="22">
        <f>F1538*(1+Assumptions!$B$6+IF(D1538="Yes",Assumptions!$C$6,0))</f>
        <v>46730.564399999996</v>
      </c>
      <c r="I1538" s="22">
        <f>F1538*(1+Assumptions!$B$7+IF(D1538="Yes",Assumptions!$C$7,0))</f>
        <v>47637.953999999998</v>
      </c>
      <c r="J1538" s="22">
        <f>F1538*(1+Assumptions!$B$8+IF(D1538="Yes",Assumptions!$C$8,0))</f>
        <v>45823.174799999993</v>
      </c>
    </row>
    <row r="1539" spans="1:10" ht="15">
      <c r="A1539" s="21">
        <v>41054</v>
      </c>
      <c r="B1539" s="21">
        <v>41030</v>
      </c>
      <c r="C1539" s="17">
        <v>28</v>
      </c>
      <c r="D1539" s="17" t="s">
        <v>91</v>
      </c>
      <c r="E1539" s="14">
        <v>19944.89</v>
      </c>
      <c r="F1539" s="14">
        <v>21524.579999999998</v>
      </c>
      <c r="G1539" s="14">
        <v>21524.579999999998</v>
      </c>
      <c r="H1539" s="22">
        <f>F1539*(1+Assumptions!$B$6+IF(D1539="Yes",Assumptions!$C$6,0))</f>
        <v>22170.3174</v>
      </c>
      <c r="I1539" s="22">
        <f>F1539*(1+Assumptions!$B$7+IF(D1539="Yes",Assumptions!$C$7,0))</f>
        <v>22600.808999999997</v>
      </c>
      <c r="J1539" s="22">
        <f>F1539*(1+Assumptions!$B$8+IF(D1539="Yes",Assumptions!$C$8,0))</f>
        <v>21739.825799999999</v>
      </c>
    </row>
    <row r="1540" spans="1:10" ht="15">
      <c r="A1540" s="21">
        <v>41054</v>
      </c>
      <c r="B1540" s="21">
        <v>41030</v>
      </c>
      <c r="C1540" s="17">
        <v>29</v>
      </c>
      <c r="D1540" s="17" t="s">
        <v>91</v>
      </c>
      <c r="E1540" s="14">
        <v>183709.6</v>
      </c>
      <c r="F1540" s="14">
        <v>174582.46</v>
      </c>
      <c r="G1540" s="14">
        <v>174582.46</v>
      </c>
      <c r="H1540" s="22">
        <f>F1540*(1+Assumptions!$B$6+IF(D1540="Yes",Assumptions!$C$6,0))</f>
        <v>179819.9338</v>
      </c>
      <c r="I1540" s="22">
        <f>F1540*(1+Assumptions!$B$7+IF(D1540="Yes",Assumptions!$C$7,0))</f>
        <v>183311.58300000001</v>
      </c>
      <c r="J1540" s="22">
        <f>F1540*(1+Assumptions!$B$8+IF(D1540="Yes",Assumptions!$C$8,0))</f>
        <v>176328.28459999998</v>
      </c>
    </row>
    <row r="1541" spans="1:10" ht="15">
      <c r="A1541" s="21">
        <v>41054</v>
      </c>
      <c r="B1541" s="21">
        <v>41030</v>
      </c>
      <c r="C1541" s="17">
        <v>30</v>
      </c>
      <c r="D1541" s="17" t="s">
        <v>91</v>
      </c>
      <c r="E1541" s="14">
        <v>163367.73000000001</v>
      </c>
      <c r="F1541" s="14">
        <v>167281.56</v>
      </c>
      <c r="G1541" s="14">
        <v>167281.56</v>
      </c>
      <c r="H1541" s="22">
        <f>F1541*(1+Assumptions!$B$6+IF(D1541="Yes",Assumptions!$C$6,0))</f>
        <v>172300.0068</v>
      </c>
      <c r="I1541" s="22">
        <f>F1541*(1+Assumptions!$B$7+IF(D1541="Yes",Assumptions!$C$7,0))</f>
        <v>175645.63800000001</v>
      </c>
      <c r="J1541" s="22">
        <f>F1541*(1+Assumptions!$B$8+IF(D1541="Yes",Assumptions!$C$8,0))</f>
        <v>168954.3756</v>
      </c>
    </row>
    <row r="1542" spans="1:10" ht="15">
      <c r="A1542" s="21">
        <v>41054</v>
      </c>
      <c r="B1542" s="21">
        <v>41030</v>
      </c>
      <c r="C1542" s="17">
        <v>31</v>
      </c>
      <c r="D1542" s="17" t="s">
        <v>91</v>
      </c>
      <c r="E1542" s="14">
        <v>68467.759999999995</v>
      </c>
      <c r="F1542" s="14">
        <v>75029.03</v>
      </c>
      <c r="G1542" s="14">
        <v>75029.03</v>
      </c>
      <c r="H1542" s="22">
        <f>F1542*(1+Assumptions!$B$6+IF(D1542="Yes",Assumptions!$C$6,0))</f>
        <v>77279.900900000008</v>
      </c>
      <c r="I1542" s="22">
        <f>F1542*(1+Assumptions!$B$7+IF(D1542="Yes",Assumptions!$C$7,0))</f>
        <v>78780.481500000009</v>
      </c>
      <c r="J1542" s="22">
        <f>F1542*(1+Assumptions!$B$8+IF(D1542="Yes",Assumptions!$C$8,0))</f>
        <v>75779.320300000007</v>
      </c>
    </row>
    <row r="1543" spans="1:10" ht="15">
      <c r="A1543" s="21">
        <v>41054</v>
      </c>
      <c r="B1543" s="21">
        <v>41030</v>
      </c>
      <c r="C1543" s="17">
        <v>32</v>
      </c>
      <c r="D1543" s="17" t="s">
        <v>91</v>
      </c>
      <c r="E1543" s="14">
        <v>252620.04</v>
      </c>
      <c r="F1543" s="14">
        <v>252873.58</v>
      </c>
      <c r="G1543" s="14">
        <v>252873.58</v>
      </c>
      <c r="H1543" s="22">
        <f>F1543*(1+Assumptions!$B$6+IF(D1543="Yes",Assumptions!$C$6,0))</f>
        <v>260459.7874</v>
      </c>
      <c r="I1543" s="22">
        <f>F1543*(1+Assumptions!$B$7+IF(D1543="Yes",Assumptions!$C$7,0))</f>
        <v>265517.25900000002</v>
      </c>
      <c r="J1543" s="22">
        <f>F1543*(1+Assumptions!$B$8+IF(D1543="Yes",Assumptions!$C$8,0))</f>
        <v>255402.31579999998</v>
      </c>
    </row>
    <row r="1544" spans="1:10" ht="15">
      <c r="A1544" s="21">
        <v>41054</v>
      </c>
      <c r="B1544" s="21">
        <v>41030</v>
      </c>
      <c r="C1544" s="17">
        <v>33</v>
      </c>
      <c r="D1544" s="17" t="s">
        <v>91</v>
      </c>
      <c r="E1544" s="14">
        <v>225670.88999999998</v>
      </c>
      <c r="F1544" s="14">
        <v>214238.35</v>
      </c>
      <c r="G1544" s="14">
        <v>214238.35</v>
      </c>
      <c r="H1544" s="22">
        <f>F1544*(1+Assumptions!$B$6+IF(D1544="Yes",Assumptions!$C$6,0))</f>
        <v>220665.50050000002</v>
      </c>
      <c r="I1544" s="22">
        <f>F1544*(1+Assumptions!$B$7+IF(D1544="Yes",Assumptions!$C$7,0))</f>
        <v>224950.26750000002</v>
      </c>
      <c r="J1544" s="22">
        <f>F1544*(1+Assumptions!$B$8+IF(D1544="Yes",Assumptions!$C$8,0))</f>
        <v>216380.7335</v>
      </c>
    </row>
    <row r="1545" spans="1:10" ht="15">
      <c r="A1545" s="21">
        <v>41054</v>
      </c>
      <c r="B1545" s="21">
        <v>41030</v>
      </c>
      <c r="C1545" s="17">
        <v>34</v>
      </c>
      <c r="D1545" s="17" t="s">
        <v>91</v>
      </c>
      <c r="E1545" s="14">
        <v>798553.5</v>
      </c>
      <c r="F1545" s="14">
        <v>656280.91</v>
      </c>
      <c r="G1545" s="14">
        <v>656280.91</v>
      </c>
      <c r="H1545" s="22">
        <f>F1545*(1+Assumptions!$B$6+IF(D1545="Yes",Assumptions!$C$6,0))</f>
        <v>675969.33730000001</v>
      </c>
      <c r="I1545" s="22">
        <f>F1545*(1+Assumptions!$B$7+IF(D1545="Yes",Assumptions!$C$7,0))</f>
        <v>689094.95550000004</v>
      </c>
      <c r="J1545" s="22">
        <f>F1545*(1+Assumptions!$B$8+IF(D1545="Yes",Assumptions!$C$8,0))</f>
        <v>662843.71909999999</v>
      </c>
    </row>
    <row r="1546" spans="1:10" ht="15">
      <c r="A1546" s="21">
        <v>41054</v>
      </c>
      <c r="B1546" s="21">
        <v>41030</v>
      </c>
      <c r="C1546" s="17">
        <v>35</v>
      </c>
      <c r="D1546" s="17" t="s">
        <v>91</v>
      </c>
      <c r="E1546" s="14">
        <v>154248.56</v>
      </c>
      <c r="F1546" s="14">
        <v>135092.6</v>
      </c>
      <c r="G1546" s="14">
        <v>135092.6</v>
      </c>
      <c r="H1546" s="22">
        <f>F1546*(1+Assumptions!$B$6+IF(D1546="Yes",Assumptions!$C$6,0))</f>
        <v>139145.378</v>
      </c>
      <c r="I1546" s="22">
        <f>F1546*(1+Assumptions!$B$7+IF(D1546="Yes",Assumptions!$C$7,0))</f>
        <v>141847.23000000001</v>
      </c>
      <c r="J1546" s="22">
        <f>F1546*(1+Assumptions!$B$8+IF(D1546="Yes",Assumptions!$C$8,0))</f>
        <v>136443.52600000001</v>
      </c>
    </row>
    <row r="1547" spans="1:10" ht="15">
      <c r="A1547" s="21">
        <v>41054</v>
      </c>
      <c r="B1547" s="21">
        <v>41030</v>
      </c>
      <c r="C1547" s="17">
        <v>36</v>
      </c>
      <c r="D1547" s="17" t="s">
        <v>91</v>
      </c>
      <c r="E1547" s="14">
        <v>154357.4</v>
      </c>
      <c r="F1547" s="14">
        <v>140612.5</v>
      </c>
      <c r="G1547" s="14">
        <v>140612.5</v>
      </c>
      <c r="H1547" s="22">
        <f>F1547*(1+Assumptions!$B$6+IF(D1547="Yes",Assumptions!$C$6,0))</f>
        <v>144830.875</v>
      </c>
      <c r="I1547" s="22">
        <f>F1547*(1+Assumptions!$B$7+IF(D1547="Yes",Assumptions!$C$7,0))</f>
        <v>147643.125</v>
      </c>
      <c r="J1547" s="22">
        <f>F1547*(1+Assumptions!$B$8+IF(D1547="Yes",Assumptions!$C$8,0))</f>
        <v>142018.625</v>
      </c>
    </row>
    <row r="1548" spans="1:10" ht="15">
      <c r="A1548" s="21">
        <v>41054</v>
      </c>
      <c r="B1548" s="21">
        <v>41030</v>
      </c>
      <c r="C1548" s="17">
        <v>37</v>
      </c>
      <c r="D1548" s="17" t="s">
        <v>91</v>
      </c>
      <c r="E1548" s="14">
        <v>57644.22</v>
      </c>
      <c r="F1548" s="14">
        <v>51207.729999999996</v>
      </c>
      <c r="G1548" s="14">
        <v>51207.729999999996</v>
      </c>
      <c r="H1548" s="22">
        <f>F1548*(1+Assumptions!$B$6+IF(D1548="Yes",Assumptions!$C$6,0))</f>
        <v>52743.961899999995</v>
      </c>
      <c r="I1548" s="22">
        <f>F1548*(1+Assumptions!$B$7+IF(D1548="Yes",Assumptions!$C$7,0))</f>
        <v>53768.116499999996</v>
      </c>
      <c r="J1548" s="22">
        <f>F1548*(1+Assumptions!$B$8+IF(D1548="Yes",Assumptions!$C$8,0))</f>
        <v>51719.807299999993</v>
      </c>
    </row>
    <row r="1549" spans="1:10" ht="15">
      <c r="A1549" s="21">
        <v>41054</v>
      </c>
      <c r="B1549" s="21">
        <v>41030</v>
      </c>
      <c r="C1549" s="17">
        <v>38</v>
      </c>
      <c r="D1549" s="17" t="s">
        <v>91</v>
      </c>
      <c r="E1549" s="14">
        <v>2756526.69</v>
      </c>
      <c r="F1549" s="14">
        <v>2656503.9899999998</v>
      </c>
      <c r="G1549" s="14">
        <v>2656503.9899999998</v>
      </c>
      <c r="H1549" s="22">
        <f>F1549*(1+Assumptions!$B$6+IF(D1549="Yes",Assumptions!$C$6,0))</f>
        <v>2736199.1096999999</v>
      </c>
      <c r="I1549" s="22">
        <f>F1549*(1+Assumptions!$B$7+IF(D1549="Yes",Assumptions!$C$7,0))</f>
        <v>2789329.1894999999</v>
      </c>
      <c r="J1549" s="22">
        <f>F1549*(1+Assumptions!$B$8+IF(D1549="Yes",Assumptions!$C$8,0))</f>
        <v>2683069.0299</v>
      </c>
    </row>
    <row r="1550" spans="1:10" ht="15">
      <c r="A1550" s="21">
        <v>41054</v>
      </c>
      <c r="B1550" s="21">
        <v>41030</v>
      </c>
      <c r="C1550" s="17">
        <v>40</v>
      </c>
      <c r="D1550" s="17" t="s">
        <v>91</v>
      </c>
      <c r="E1550" s="14">
        <v>2048622.97</v>
      </c>
      <c r="F1550" s="14">
        <v>1904105.29</v>
      </c>
      <c r="G1550" s="14">
        <v>1904105.29</v>
      </c>
      <c r="H1550" s="22">
        <f>F1550*(1+Assumptions!$B$6+IF(D1550="Yes",Assumptions!$C$6,0))</f>
        <v>1961228.4487000001</v>
      </c>
      <c r="I1550" s="22">
        <f>F1550*(1+Assumptions!$B$7+IF(D1550="Yes",Assumptions!$C$7,0))</f>
        <v>1999310.5545000001</v>
      </c>
      <c r="J1550" s="22">
        <f>F1550*(1+Assumptions!$B$8+IF(D1550="Yes",Assumptions!$C$8,0))</f>
        <v>1923146.3429</v>
      </c>
    </row>
    <row r="1551" spans="1:10" ht="15">
      <c r="A1551" s="21">
        <v>41054</v>
      </c>
      <c r="B1551" s="21">
        <v>41030</v>
      </c>
      <c r="C1551" s="17">
        <v>41</v>
      </c>
      <c r="D1551" s="17" t="s">
        <v>91</v>
      </c>
      <c r="E1551" s="14">
        <v>46853.020000000004</v>
      </c>
      <c r="F1551" s="14">
        <v>48951.05</v>
      </c>
      <c r="G1551" s="14">
        <v>48951.05</v>
      </c>
      <c r="H1551" s="22">
        <f>F1551*(1+Assumptions!$B$6+IF(D1551="Yes",Assumptions!$C$6,0))</f>
        <v>50419.581500000008</v>
      </c>
      <c r="I1551" s="22">
        <f>F1551*(1+Assumptions!$B$7+IF(D1551="Yes",Assumptions!$C$7,0))</f>
        <v>51398.602500000008</v>
      </c>
      <c r="J1551" s="22">
        <f>F1551*(1+Assumptions!$B$8+IF(D1551="Yes",Assumptions!$C$8,0))</f>
        <v>49440.560500000007</v>
      </c>
    </row>
    <row r="1552" spans="1:10" ht="15">
      <c r="A1552" s="21">
        <v>41054</v>
      </c>
      <c r="B1552" s="21">
        <v>41030</v>
      </c>
      <c r="C1552" s="17">
        <v>42</v>
      </c>
      <c r="D1552" s="17" t="s">
        <v>91</v>
      </c>
      <c r="E1552" s="14">
        <v>251829.04</v>
      </c>
      <c r="F1552" s="14">
        <v>228034.55</v>
      </c>
      <c r="G1552" s="14">
        <v>228034.55</v>
      </c>
      <c r="H1552" s="22">
        <f>F1552*(1+Assumptions!$B$6+IF(D1552="Yes",Assumptions!$C$6,0))</f>
        <v>234875.5865</v>
      </c>
      <c r="I1552" s="22">
        <f>F1552*(1+Assumptions!$B$7+IF(D1552="Yes",Assumptions!$C$7,0))</f>
        <v>239436.2775</v>
      </c>
      <c r="J1552" s="22">
        <f>F1552*(1+Assumptions!$B$8+IF(D1552="Yes",Assumptions!$C$8,0))</f>
        <v>230314.89549999998</v>
      </c>
    </row>
    <row r="1553" spans="1:10" ht="15">
      <c r="A1553" s="21">
        <v>41054</v>
      </c>
      <c r="B1553" s="21">
        <v>41030</v>
      </c>
      <c r="C1553" s="17">
        <v>44</v>
      </c>
      <c r="D1553" s="17" t="s">
        <v>91</v>
      </c>
      <c r="E1553" s="14">
        <v>165021.22</v>
      </c>
      <c r="F1553" s="14">
        <v>147437.57</v>
      </c>
      <c r="G1553" s="14">
        <v>147437.57</v>
      </c>
      <c r="H1553" s="22">
        <f>F1553*(1+Assumptions!$B$6+IF(D1553="Yes",Assumptions!$C$6,0))</f>
        <v>151860.69710000002</v>
      </c>
      <c r="I1553" s="22">
        <f>F1553*(1+Assumptions!$B$7+IF(D1553="Yes",Assumptions!$C$7,0))</f>
        <v>154809.44850000003</v>
      </c>
      <c r="J1553" s="22">
        <f>F1553*(1+Assumptions!$B$8+IF(D1553="Yes",Assumptions!$C$8,0))</f>
        <v>148911.94570000001</v>
      </c>
    </row>
    <row r="1554" spans="1:10" ht="15">
      <c r="A1554" s="21">
        <v>41054</v>
      </c>
      <c r="B1554" s="21">
        <v>41030</v>
      </c>
      <c r="C1554" s="17">
        <v>45</v>
      </c>
      <c r="D1554" s="17" t="s">
        <v>91</v>
      </c>
      <c r="E1554" s="14">
        <v>119.61</v>
      </c>
      <c r="F1554" s="14">
        <v>107.04</v>
      </c>
      <c r="G1554" s="14">
        <v>107.04</v>
      </c>
      <c r="H1554" s="22">
        <f>F1554*(1+Assumptions!$B$6+IF(D1554="Yes",Assumptions!$C$6,0))</f>
        <v>110.25120000000001</v>
      </c>
      <c r="I1554" s="22">
        <f>F1554*(1+Assumptions!$B$7+IF(D1554="Yes",Assumptions!$C$7,0))</f>
        <v>112.39200000000001</v>
      </c>
      <c r="J1554" s="22">
        <f>F1554*(1+Assumptions!$B$8+IF(D1554="Yes",Assumptions!$C$8,0))</f>
        <v>108.11040000000001</v>
      </c>
    </row>
    <row r="1555" spans="1:10" ht="15">
      <c r="A1555" s="21">
        <v>41054</v>
      </c>
      <c r="B1555" s="21">
        <v>41030</v>
      </c>
      <c r="C1555" s="17">
        <v>46</v>
      </c>
      <c r="D1555" s="17" t="s">
        <v>91</v>
      </c>
      <c r="E1555" s="14">
        <v>1044806.9</v>
      </c>
      <c r="F1555" s="14">
        <v>956178.05</v>
      </c>
      <c r="G1555" s="14">
        <v>956178.05</v>
      </c>
      <c r="H1555" s="22">
        <f>F1555*(1+Assumptions!$B$6+IF(D1555="Yes",Assumptions!$C$6,0))</f>
        <v>984863.39150000003</v>
      </c>
      <c r="I1555" s="22">
        <f>F1555*(1+Assumptions!$B$7+IF(D1555="Yes",Assumptions!$C$7,0))</f>
        <v>1003986.9525000001</v>
      </c>
      <c r="J1555" s="22">
        <f>F1555*(1+Assumptions!$B$8+IF(D1555="Yes",Assumptions!$C$8,0))</f>
        <v>965739.83050000004</v>
      </c>
    </row>
    <row r="1556" spans="1:10" ht="15">
      <c r="A1556" s="21">
        <v>41054</v>
      </c>
      <c r="B1556" s="21">
        <v>41030</v>
      </c>
      <c r="C1556" s="17">
        <v>48</v>
      </c>
      <c r="D1556" s="17" t="s">
        <v>91</v>
      </c>
      <c r="E1556" s="14">
        <v>19814</v>
      </c>
      <c r="F1556" s="14">
        <v>8446</v>
      </c>
      <c r="G1556" s="14">
        <v>8446</v>
      </c>
      <c r="H1556" s="22">
        <f>F1556*(1+Assumptions!$B$6+IF(D1556="Yes",Assumptions!$C$6,0))</f>
        <v>8699.380000000001</v>
      </c>
      <c r="I1556" s="22">
        <f>F1556*(1+Assumptions!$B$7+IF(D1556="Yes",Assumptions!$C$7,0))</f>
        <v>8868.3000000000011</v>
      </c>
      <c r="J1556" s="22">
        <f>F1556*(1+Assumptions!$B$8+IF(D1556="Yes",Assumptions!$C$8,0))</f>
        <v>8530.4600000000009</v>
      </c>
    </row>
    <row r="1557" spans="1:10" ht="15">
      <c r="A1557" s="21">
        <v>41054</v>
      </c>
      <c r="B1557" s="21">
        <v>41030</v>
      </c>
      <c r="C1557" s="17">
        <v>49</v>
      </c>
      <c r="D1557" s="17" t="s">
        <v>91</v>
      </c>
      <c r="E1557" s="14">
        <v>253207.27</v>
      </c>
      <c r="F1557" s="14">
        <v>244191.77</v>
      </c>
      <c r="G1557" s="14">
        <v>244191.77</v>
      </c>
      <c r="H1557" s="22">
        <f>F1557*(1+Assumptions!$B$6+IF(D1557="Yes",Assumptions!$C$6,0))</f>
        <v>251517.52309999999</v>
      </c>
      <c r="I1557" s="22">
        <f>F1557*(1+Assumptions!$B$7+IF(D1557="Yes",Assumptions!$C$7,0))</f>
        <v>256401.3585</v>
      </c>
      <c r="J1557" s="22">
        <f>F1557*(1+Assumptions!$B$8+IF(D1557="Yes",Assumptions!$C$8,0))</f>
        <v>246633.68769999998</v>
      </c>
    </row>
    <row r="1558" spans="1:10" ht="15">
      <c r="A1558" s="21">
        <v>41054</v>
      </c>
      <c r="B1558" s="21">
        <v>41030</v>
      </c>
      <c r="C1558" s="17">
        <v>50</v>
      </c>
      <c r="D1558" s="17" t="s">
        <v>91</v>
      </c>
      <c r="E1558" s="14">
        <v>28344</v>
      </c>
      <c r="F1558" s="14">
        <v>26195.599999999999</v>
      </c>
      <c r="G1558" s="14">
        <v>26195.599999999999</v>
      </c>
      <c r="H1558" s="22">
        <f>F1558*(1+Assumptions!$B$6+IF(D1558="Yes",Assumptions!$C$6,0))</f>
        <v>26981.468000000001</v>
      </c>
      <c r="I1558" s="22">
        <f>F1558*(1+Assumptions!$B$7+IF(D1558="Yes",Assumptions!$C$7,0))</f>
        <v>27505.38</v>
      </c>
      <c r="J1558" s="22">
        <f>F1558*(1+Assumptions!$B$8+IF(D1558="Yes",Assumptions!$C$8,0))</f>
        <v>26457.556</v>
      </c>
    </row>
    <row r="1559" spans="1:10" ht="15">
      <c r="A1559" s="21">
        <v>41054</v>
      </c>
      <c r="B1559" s="21">
        <v>41030</v>
      </c>
      <c r="C1559" s="17">
        <v>51</v>
      </c>
      <c r="D1559" s="17" t="s">
        <v>91</v>
      </c>
      <c r="E1559" s="14">
        <v>48.06</v>
      </c>
      <c r="F1559" s="14">
        <v>26.14</v>
      </c>
      <c r="G1559" s="14">
        <v>26.14</v>
      </c>
      <c r="H1559" s="22">
        <f>F1559*(1+Assumptions!$B$6+IF(D1559="Yes",Assumptions!$C$6,0))</f>
        <v>26.924200000000003</v>
      </c>
      <c r="I1559" s="22">
        <f>F1559*(1+Assumptions!$B$7+IF(D1559="Yes",Assumptions!$C$7,0))</f>
        <v>27.447000000000003</v>
      </c>
      <c r="J1559" s="22">
        <f>F1559*(1+Assumptions!$B$8+IF(D1559="Yes",Assumptions!$C$8,0))</f>
        <v>26.401400000000002</v>
      </c>
    </row>
    <row r="1560" spans="1:10" ht="15">
      <c r="A1560" s="21">
        <v>41054</v>
      </c>
      <c r="B1560" s="21">
        <v>41030</v>
      </c>
      <c r="C1560" s="17">
        <v>52</v>
      </c>
      <c r="D1560" s="17" t="s">
        <v>91</v>
      </c>
      <c r="E1560" s="14">
        <v>85049.600000000006</v>
      </c>
      <c r="F1560" s="14">
        <v>81295.570000000007</v>
      </c>
      <c r="G1560" s="14">
        <v>81295.570000000007</v>
      </c>
      <c r="H1560" s="22">
        <f>F1560*(1+Assumptions!$B$6+IF(D1560="Yes",Assumptions!$C$6,0))</f>
        <v>83734.43710000001</v>
      </c>
      <c r="I1560" s="22">
        <f>F1560*(1+Assumptions!$B$7+IF(D1560="Yes",Assumptions!$C$7,0))</f>
        <v>85360.348500000007</v>
      </c>
      <c r="J1560" s="22">
        <f>F1560*(1+Assumptions!$B$8+IF(D1560="Yes",Assumptions!$C$8,0))</f>
        <v>82108.525700000013</v>
      </c>
    </row>
    <row r="1561" spans="1:10" ht="15">
      <c r="A1561" s="21">
        <v>41054</v>
      </c>
      <c r="B1561" s="21">
        <v>41030</v>
      </c>
      <c r="C1561" s="17">
        <v>54</v>
      </c>
      <c r="D1561" s="17" t="s">
        <v>91</v>
      </c>
      <c r="E1561" s="14">
        <v>938.16</v>
      </c>
      <c r="F1561" s="14">
        <v>2217.92</v>
      </c>
      <c r="G1561" s="14">
        <v>2217.92</v>
      </c>
      <c r="H1561" s="22">
        <f>F1561*(1+Assumptions!$B$6+IF(D1561="Yes",Assumptions!$C$6,0))</f>
        <v>2284.4576000000002</v>
      </c>
      <c r="I1561" s="22">
        <f>F1561*(1+Assumptions!$B$7+IF(D1561="Yes",Assumptions!$C$7,0))</f>
        <v>2328.8160000000003</v>
      </c>
      <c r="J1561" s="22">
        <f>F1561*(1+Assumptions!$B$8+IF(D1561="Yes",Assumptions!$C$8,0))</f>
        <v>2240.0992000000001</v>
      </c>
    </row>
    <row r="1562" spans="1:10" ht="15">
      <c r="A1562" s="21">
        <v>41054</v>
      </c>
      <c r="B1562" s="21">
        <v>41030</v>
      </c>
      <c r="C1562" s="17">
        <v>55</v>
      </c>
      <c r="D1562" s="17" t="s">
        <v>91</v>
      </c>
      <c r="E1562" s="14">
        <v>262520.17</v>
      </c>
      <c r="F1562" s="14">
        <v>292938</v>
      </c>
      <c r="G1562" s="14">
        <v>292938</v>
      </c>
      <c r="H1562" s="22">
        <f>F1562*(1+Assumptions!$B$6+IF(D1562="Yes",Assumptions!$C$6,0))</f>
        <v>301726.14</v>
      </c>
      <c r="I1562" s="22">
        <f>F1562*(1+Assumptions!$B$7+IF(D1562="Yes",Assumptions!$C$7,0))</f>
        <v>307584.90000000002</v>
      </c>
      <c r="J1562" s="22">
        <f>F1562*(1+Assumptions!$B$8+IF(D1562="Yes",Assumptions!$C$8,0))</f>
        <v>295867.38</v>
      </c>
    </row>
    <row r="1563" spans="1:10" ht="15">
      <c r="A1563" s="21">
        <v>41054</v>
      </c>
      <c r="B1563" s="21">
        <v>41030</v>
      </c>
      <c r="C1563" s="17">
        <v>56</v>
      </c>
      <c r="D1563" s="17" t="s">
        <v>91</v>
      </c>
      <c r="E1563" s="14">
        <v>519952.03</v>
      </c>
      <c r="F1563" s="14">
        <v>474976.31</v>
      </c>
      <c r="G1563" s="14">
        <v>474976.31</v>
      </c>
      <c r="H1563" s="22">
        <f>F1563*(1+Assumptions!$B$6+IF(D1563="Yes",Assumptions!$C$6,0))</f>
        <v>489225.5993</v>
      </c>
      <c r="I1563" s="22">
        <f>F1563*(1+Assumptions!$B$7+IF(D1563="Yes",Assumptions!$C$7,0))</f>
        <v>498725.12550000002</v>
      </c>
      <c r="J1563" s="22">
        <f>F1563*(1+Assumptions!$B$8+IF(D1563="Yes",Assumptions!$C$8,0))</f>
        <v>479726.07309999998</v>
      </c>
    </row>
    <row r="1564" spans="1:10" ht="15">
      <c r="A1564" s="21">
        <v>41054</v>
      </c>
      <c r="B1564" s="21">
        <v>41030</v>
      </c>
      <c r="C1564" s="17">
        <v>58</v>
      </c>
      <c r="D1564" s="17" t="s">
        <v>91</v>
      </c>
      <c r="E1564" s="14">
        <v>76362</v>
      </c>
      <c r="F1564" s="14">
        <v>68919.97</v>
      </c>
      <c r="G1564" s="14">
        <v>68919.97</v>
      </c>
      <c r="H1564" s="22">
        <f>F1564*(1+Assumptions!$B$6+IF(D1564="Yes",Assumptions!$C$6,0))</f>
        <v>70987.569100000008</v>
      </c>
      <c r="I1564" s="22">
        <f>F1564*(1+Assumptions!$B$7+IF(D1564="Yes",Assumptions!$C$7,0))</f>
        <v>72365.968500000003</v>
      </c>
      <c r="J1564" s="22">
        <f>F1564*(1+Assumptions!$B$8+IF(D1564="Yes",Assumptions!$C$8,0))</f>
        <v>69609.169699999999</v>
      </c>
    </row>
    <row r="1565" spans="1:10" ht="15">
      <c r="A1565" s="21">
        <v>41054</v>
      </c>
      <c r="B1565" s="21">
        <v>41030</v>
      </c>
      <c r="C1565" s="17">
        <v>59</v>
      </c>
      <c r="D1565" s="17" t="s">
        <v>91</v>
      </c>
      <c r="E1565" s="14">
        <v>8377.83</v>
      </c>
      <c r="F1565" s="14">
        <v>10341.85</v>
      </c>
      <c r="G1565" s="14">
        <v>10341.85</v>
      </c>
      <c r="H1565" s="22">
        <f>F1565*(1+Assumptions!$B$6+IF(D1565="Yes",Assumptions!$C$6,0))</f>
        <v>10652.105500000001</v>
      </c>
      <c r="I1565" s="22">
        <f>F1565*(1+Assumptions!$B$7+IF(D1565="Yes",Assumptions!$C$7,0))</f>
        <v>10858.942500000001</v>
      </c>
      <c r="J1565" s="22">
        <f>F1565*(1+Assumptions!$B$8+IF(D1565="Yes",Assumptions!$C$8,0))</f>
        <v>10445.2685</v>
      </c>
    </row>
    <row r="1566" spans="1:10" ht="15">
      <c r="A1566" s="21">
        <v>41054</v>
      </c>
      <c r="B1566" s="21">
        <v>41030</v>
      </c>
      <c r="C1566" s="17">
        <v>60</v>
      </c>
      <c r="D1566" s="17" t="s">
        <v>91</v>
      </c>
      <c r="E1566" s="14">
        <v>11357.8</v>
      </c>
      <c r="F1566" s="14">
        <v>11924</v>
      </c>
      <c r="G1566" s="14">
        <v>11924</v>
      </c>
      <c r="H1566" s="22">
        <f>F1566*(1+Assumptions!$B$6+IF(D1566="Yes",Assumptions!$C$6,0))</f>
        <v>12281.720000000001</v>
      </c>
      <c r="I1566" s="22">
        <f>F1566*(1+Assumptions!$B$7+IF(D1566="Yes",Assumptions!$C$7,0))</f>
        <v>12520.2</v>
      </c>
      <c r="J1566" s="22">
        <f>F1566*(1+Assumptions!$B$8+IF(D1566="Yes",Assumptions!$C$8,0))</f>
        <v>12043.24</v>
      </c>
    </row>
    <row r="1567" spans="1:10" ht="15">
      <c r="A1567" s="21">
        <v>41054</v>
      </c>
      <c r="B1567" s="21">
        <v>41030</v>
      </c>
      <c r="C1567" s="17">
        <v>65</v>
      </c>
      <c r="D1567" s="17" t="s">
        <v>91</v>
      </c>
      <c r="E1567" s="14">
        <v>45896.88</v>
      </c>
      <c r="F1567" s="14">
        <v>46790.83</v>
      </c>
      <c r="G1567" s="14">
        <v>46790.83</v>
      </c>
      <c r="H1567" s="22">
        <f>F1567*(1+Assumptions!$B$6+IF(D1567="Yes",Assumptions!$C$6,0))</f>
        <v>48194.554900000003</v>
      </c>
      <c r="I1567" s="22">
        <f>F1567*(1+Assumptions!$B$7+IF(D1567="Yes",Assumptions!$C$7,0))</f>
        <v>49130.371500000001</v>
      </c>
      <c r="J1567" s="22">
        <f>F1567*(1+Assumptions!$B$8+IF(D1567="Yes",Assumptions!$C$8,0))</f>
        <v>47258.738300000005</v>
      </c>
    </row>
    <row r="1568" spans="1:10" ht="15">
      <c r="A1568" s="21">
        <v>41054</v>
      </c>
      <c r="B1568" s="21">
        <v>41030</v>
      </c>
      <c r="C1568" s="17">
        <v>67</v>
      </c>
      <c r="D1568" s="17" t="s">
        <v>91</v>
      </c>
      <c r="E1568" s="14">
        <v>360986.61</v>
      </c>
      <c r="F1568" s="14">
        <v>339064.33</v>
      </c>
      <c r="G1568" s="14">
        <v>339064.33</v>
      </c>
      <c r="H1568" s="22">
        <f>F1568*(1+Assumptions!$B$6+IF(D1568="Yes",Assumptions!$C$6,0))</f>
        <v>349236.2599</v>
      </c>
      <c r="I1568" s="22">
        <f>F1568*(1+Assumptions!$B$7+IF(D1568="Yes",Assumptions!$C$7,0))</f>
        <v>356017.54650000005</v>
      </c>
      <c r="J1568" s="22">
        <f>F1568*(1+Assumptions!$B$8+IF(D1568="Yes",Assumptions!$C$8,0))</f>
        <v>342454.97330000001</v>
      </c>
    </row>
    <row r="1569" spans="1:10" ht="15">
      <c r="A1569" s="21">
        <v>41054</v>
      </c>
      <c r="B1569" s="21">
        <v>41030</v>
      </c>
      <c r="C1569" s="17">
        <v>71</v>
      </c>
      <c r="D1569" s="17" t="s">
        <v>91</v>
      </c>
      <c r="E1569" s="14">
        <v>183986.97</v>
      </c>
      <c r="F1569" s="14">
        <v>165056.69</v>
      </c>
      <c r="G1569" s="14">
        <v>165056.69</v>
      </c>
      <c r="H1569" s="22">
        <f>F1569*(1+Assumptions!$B$6+IF(D1569="Yes",Assumptions!$C$6,0))</f>
        <v>170008.39070000002</v>
      </c>
      <c r="I1569" s="22">
        <f>F1569*(1+Assumptions!$B$7+IF(D1569="Yes",Assumptions!$C$7,0))</f>
        <v>173309.5245</v>
      </c>
      <c r="J1569" s="22">
        <f>F1569*(1+Assumptions!$B$8+IF(D1569="Yes",Assumptions!$C$8,0))</f>
        <v>166707.25690000001</v>
      </c>
    </row>
    <row r="1570" spans="1:10" ht="15">
      <c r="A1570" s="21">
        <v>41054</v>
      </c>
      <c r="B1570" s="21">
        <v>41030</v>
      </c>
      <c r="C1570" s="17">
        <v>72</v>
      </c>
      <c r="D1570" s="17" t="s">
        <v>91</v>
      </c>
      <c r="E1570" s="14">
        <v>1511349.35</v>
      </c>
      <c r="F1570" s="14">
        <v>1568919.2</v>
      </c>
      <c r="G1570" s="14">
        <v>1568919.2</v>
      </c>
      <c r="H1570" s="22">
        <f>F1570*(1+Assumptions!$B$6+IF(D1570="Yes",Assumptions!$C$6,0))</f>
        <v>1615986.7760000001</v>
      </c>
      <c r="I1570" s="22">
        <f>F1570*(1+Assumptions!$B$7+IF(D1570="Yes",Assumptions!$C$7,0))</f>
        <v>1647365.16</v>
      </c>
      <c r="J1570" s="22">
        <f>F1570*(1+Assumptions!$B$8+IF(D1570="Yes",Assumptions!$C$8,0))</f>
        <v>1584608.392</v>
      </c>
    </row>
    <row r="1571" spans="1:10" ht="15">
      <c r="A1571" s="21">
        <v>41054</v>
      </c>
      <c r="B1571" s="21">
        <v>41030</v>
      </c>
      <c r="C1571" s="17">
        <v>74</v>
      </c>
      <c r="D1571" s="17" t="s">
        <v>91</v>
      </c>
      <c r="E1571" s="14">
        <v>583780.44999999995</v>
      </c>
      <c r="F1571" s="14">
        <v>582800.99</v>
      </c>
      <c r="G1571" s="14">
        <v>582800.99</v>
      </c>
      <c r="H1571" s="22">
        <f>F1571*(1+Assumptions!$B$6+IF(D1571="Yes",Assumptions!$C$6,0))</f>
        <v>600285.01970000006</v>
      </c>
      <c r="I1571" s="22">
        <f>F1571*(1+Assumptions!$B$7+IF(D1571="Yes",Assumptions!$C$7,0))</f>
        <v>611941.03950000007</v>
      </c>
      <c r="J1571" s="22">
        <f>F1571*(1+Assumptions!$B$8+IF(D1571="Yes",Assumptions!$C$8,0))</f>
        <v>588628.99990000005</v>
      </c>
    </row>
    <row r="1572" spans="1:10" ht="15">
      <c r="A1572" s="21">
        <v>41054</v>
      </c>
      <c r="B1572" s="21">
        <v>41030</v>
      </c>
      <c r="C1572" s="17">
        <v>79</v>
      </c>
      <c r="D1572" s="17" t="s">
        <v>91</v>
      </c>
      <c r="E1572" s="14">
        <v>960724.15</v>
      </c>
      <c r="F1572" s="14">
        <v>924105.55</v>
      </c>
      <c r="G1572" s="14">
        <v>924105.55</v>
      </c>
      <c r="H1572" s="22">
        <f>F1572*(1+Assumptions!$B$6+IF(D1572="Yes",Assumptions!$C$6,0))</f>
        <v>951828.7165000001</v>
      </c>
      <c r="I1572" s="22">
        <f>F1572*(1+Assumptions!$B$7+IF(D1572="Yes",Assumptions!$C$7,0))</f>
        <v>970310.82750000013</v>
      </c>
      <c r="J1572" s="22">
        <f>F1572*(1+Assumptions!$B$8+IF(D1572="Yes",Assumptions!$C$8,0))</f>
        <v>933346.60550000006</v>
      </c>
    </row>
    <row r="1573" spans="1:10" ht="15">
      <c r="A1573" s="21">
        <v>41054</v>
      </c>
      <c r="B1573" s="21">
        <v>41030</v>
      </c>
      <c r="C1573" s="17">
        <v>80</v>
      </c>
      <c r="D1573" s="17" t="s">
        <v>91</v>
      </c>
      <c r="E1573" s="14">
        <v>513571.33999999997</v>
      </c>
      <c r="F1573" s="14">
        <v>497851.12</v>
      </c>
      <c r="G1573" s="14">
        <v>497851.12</v>
      </c>
      <c r="H1573" s="22">
        <f>F1573*(1+Assumptions!$B$6+IF(D1573="Yes",Assumptions!$C$6,0))</f>
        <v>512786.65360000002</v>
      </c>
      <c r="I1573" s="22">
        <f>F1573*(1+Assumptions!$B$7+IF(D1573="Yes",Assumptions!$C$7,0))</f>
        <v>522743.67600000004</v>
      </c>
      <c r="J1573" s="22">
        <f>F1573*(1+Assumptions!$B$8+IF(D1573="Yes",Assumptions!$C$8,0))</f>
        <v>502829.6312</v>
      </c>
    </row>
    <row r="1574" spans="1:10" ht="15">
      <c r="A1574" s="21">
        <v>41054</v>
      </c>
      <c r="B1574" s="21">
        <v>41030</v>
      </c>
      <c r="C1574" s="17">
        <v>81</v>
      </c>
      <c r="D1574" s="17" t="s">
        <v>91</v>
      </c>
      <c r="E1574" s="14">
        <v>736001.15</v>
      </c>
      <c r="F1574" s="14">
        <v>712109.23</v>
      </c>
      <c r="G1574" s="14">
        <v>712109.23</v>
      </c>
      <c r="H1574" s="22">
        <f>F1574*(1+Assumptions!$B$6+IF(D1574="Yes",Assumptions!$C$6,0))</f>
        <v>733472.50690000004</v>
      </c>
      <c r="I1574" s="22">
        <f>F1574*(1+Assumptions!$B$7+IF(D1574="Yes",Assumptions!$C$7,0))</f>
        <v>747714.69149999996</v>
      </c>
      <c r="J1574" s="22">
        <f>F1574*(1+Assumptions!$B$8+IF(D1574="Yes",Assumptions!$C$8,0))</f>
        <v>719230.3223</v>
      </c>
    </row>
    <row r="1575" spans="1:10" ht="15">
      <c r="A1575" s="21">
        <v>41054</v>
      </c>
      <c r="B1575" s="21">
        <v>41030</v>
      </c>
      <c r="C1575" s="17">
        <v>82</v>
      </c>
      <c r="D1575" s="17" t="s">
        <v>91</v>
      </c>
      <c r="E1575" s="14">
        <v>715731.98</v>
      </c>
      <c r="F1575" s="14">
        <v>634233.48</v>
      </c>
      <c r="G1575" s="14">
        <v>634233.48</v>
      </c>
      <c r="H1575" s="22">
        <f>F1575*(1+Assumptions!$B$6+IF(D1575="Yes",Assumptions!$C$6,0))</f>
        <v>653260.48439999996</v>
      </c>
      <c r="I1575" s="22">
        <f>F1575*(1+Assumptions!$B$7+IF(D1575="Yes",Assumptions!$C$7,0))</f>
        <v>665945.15399999998</v>
      </c>
      <c r="J1575" s="22">
        <f>F1575*(1+Assumptions!$B$8+IF(D1575="Yes",Assumptions!$C$8,0))</f>
        <v>640575.81479999993</v>
      </c>
    </row>
    <row r="1576" spans="1:10" ht="15">
      <c r="A1576" s="21">
        <v>41054</v>
      </c>
      <c r="B1576" s="21">
        <v>41030</v>
      </c>
      <c r="C1576" s="17">
        <v>83</v>
      </c>
      <c r="D1576" s="17" t="s">
        <v>91</v>
      </c>
      <c r="E1576" s="14">
        <v>124540.7</v>
      </c>
      <c r="F1576" s="14">
        <v>116636.73999999999</v>
      </c>
      <c r="G1576" s="14">
        <v>116636.73999999999</v>
      </c>
      <c r="H1576" s="22">
        <f>F1576*(1+Assumptions!$B$6+IF(D1576="Yes",Assumptions!$C$6,0))</f>
        <v>120135.8422</v>
      </c>
      <c r="I1576" s="22">
        <f>F1576*(1+Assumptions!$B$7+IF(D1576="Yes",Assumptions!$C$7,0))</f>
        <v>122468.57699999999</v>
      </c>
      <c r="J1576" s="22">
        <f>F1576*(1+Assumptions!$B$8+IF(D1576="Yes",Assumptions!$C$8,0))</f>
        <v>117803.10739999999</v>
      </c>
    </row>
    <row r="1577" spans="1:10" ht="15">
      <c r="A1577" s="21">
        <v>41054</v>
      </c>
      <c r="B1577" s="21">
        <v>41030</v>
      </c>
      <c r="C1577" s="17">
        <v>85</v>
      </c>
      <c r="D1577" s="17" t="s">
        <v>91</v>
      </c>
      <c r="E1577" s="14">
        <v>95683.97</v>
      </c>
      <c r="F1577" s="14">
        <v>98854.09</v>
      </c>
      <c r="G1577" s="14">
        <v>98854.09</v>
      </c>
      <c r="H1577" s="22">
        <f>F1577*(1+Assumptions!$B$6+IF(D1577="Yes",Assumptions!$C$6,0))</f>
        <v>101819.7127</v>
      </c>
      <c r="I1577" s="22">
        <f>F1577*(1+Assumptions!$B$7+IF(D1577="Yes",Assumptions!$C$7,0))</f>
        <v>103796.7945</v>
      </c>
      <c r="J1577" s="22">
        <f>F1577*(1+Assumptions!$B$8+IF(D1577="Yes",Assumptions!$C$8,0))</f>
        <v>99842.630900000004</v>
      </c>
    </row>
    <row r="1578" spans="1:10" ht="15">
      <c r="A1578" s="21">
        <v>41054</v>
      </c>
      <c r="B1578" s="21">
        <v>41030</v>
      </c>
      <c r="C1578" s="17">
        <v>87</v>
      </c>
      <c r="D1578" s="17" t="s">
        <v>91</v>
      </c>
      <c r="E1578" s="14">
        <v>631288.41</v>
      </c>
      <c r="F1578" s="14">
        <v>516655.29000000004</v>
      </c>
      <c r="G1578" s="14">
        <v>516655.29000000004</v>
      </c>
      <c r="H1578" s="22">
        <f>F1578*(1+Assumptions!$B$6+IF(D1578="Yes",Assumptions!$C$6,0))</f>
        <v>532154.94870000007</v>
      </c>
      <c r="I1578" s="22">
        <f>F1578*(1+Assumptions!$B$7+IF(D1578="Yes",Assumptions!$C$7,0))</f>
        <v>542488.05450000009</v>
      </c>
      <c r="J1578" s="22">
        <f>F1578*(1+Assumptions!$B$8+IF(D1578="Yes",Assumptions!$C$8,0))</f>
        <v>521821.84290000005</v>
      </c>
    </row>
    <row r="1579" spans="1:10" ht="15">
      <c r="A1579" s="21">
        <v>41054</v>
      </c>
      <c r="B1579" s="21">
        <v>41030</v>
      </c>
      <c r="C1579" s="17">
        <v>90</v>
      </c>
      <c r="D1579" s="17" t="s">
        <v>91</v>
      </c>
      <c r="E1579" s="14">
        <v>1989612.84</v>
      </c>
      <c r="F1579" s="14">
        <v>1913094.87</v>
      </c>
      <c r="G1579" s="14">
        <v>1913094.87</v>
      </c>
      <c r="H1579" s="22">
        <f>F1579*(1+Assumptions!$B$6+IF(D1579="Yes",Assumptions!$C$6,0))</f>
        <v>1970487.7161000001</v>
      </c>
      <c r="I1579" s="22">
        <f>F1579*(1+Assumptions!$B$7+IF(D1579="Yes",Assumptions!$C$7,0))</f>
        <v>2008749.6135000002</v>
      </c>
      <c r="J1579" s="22">
        <f>F1579*(1+Assumptions!$B$8+IF(D1579="Yes",Assumptions!$C$8,0))</f>
        <v>1932225.8187000002</v>
      </c>
    </row>
    <row r="1580" spans="1:10" ht="15">
      <c r="A1580" s="21">
        <v>41054</v>
      </c>
      <c r="B1580" s="21">
        <v>41030</v>
      </c>
      <c r="C1580" s="17">
        <v>91</v>
      </c>
      <c r="D1580" s="17" t="s">
        <v>91</v>
      </c>
      <c r="E1580" s="14">
        <v>1448207.47</v>
      </c>
      <c r="F1580" s="14">
        <v>1367611.79</v>
      </c>
      <c r="G1580" s="14">
        <v>1367611.79</v>
      </c>
      <c r="H1580" s="22">
        <f>F1580*(1+Assumptions!$B$6+IF(D1580="Yes",Assumptions!$C$6,0))</f>
        <v>1408640.1437000001</v>
      </c>
      <c r="I1580" s="22">
        <f>F1580*(1+Assumptions!$B$7+IF(D1580="Yes",Assumptions!$C$7,0))</f>
        <v>1435992.3795</v>
      </c>
      <c r="J1580" s="22">
        <f>F1580*(1+Assumptions!$B$8+IF(D1580="Yes",Assumptions!$C$8,0))</f>
        <v>1381287.9079</v>
      </c>
    </row>
    <row r="1581" spans="1:10" ht="15">
      <c r="A1581" s="21">
        <v>41054</v>
      </c>
      <c r="B1581" s="21">
        <v>41030</v>
      </c>
      <c r="C1581" s="17">
        <v>92</v>
      </c>
      <c r="D1581" s="17" t="s">
        <v>91</v>
      </c>
      <c r="E1581" s="14">
        <v>3312643.76</v>
      </c>
      <c r="F1581" s="14">
        <v>2982491.92</v>
      </c>
      <c r="G1581" s="14">
        <v>2982491.92</v>
      </c>
      <c r="H1581" s="22">
        <f>F1581*(1+Assumptions!$B$6+IF(D1581="Yes",Assumptions!$C$6,0))</f>
        <v>3071966.6776000001</v>
      </c>
      <c r="I1581" s="22">
        <f>F1581*(1+Assumptions!$B$7+IF(D1581="Yes",Assumptions!$C$7,0))</f>
        <v>3131616.5159999998</v>
      </c>
      <c r="J1581" s="22">
        <f>F1581*(1+Assumptions!$B$8+IF(D1581="Yes",Assumptions!$C$8,0))</f>
        <v>3012316.8391999998</v>
      </c>
    </row>
    <row r="1582" spans="1:10" ht="15">
      <c r="A1582" s="21">
        <v>41054</v>
      </c>
      <c r="B1582" s="21">
        <v>41030</v>
      </c>
      <c r="C1582" s="17">
        <v>93</v>
      </c>
      <c r="D1582" s="17" t="s">
        <v>91</v>
      </c>
      <c r="E1582" s="14">
        <v>1150023.1499999999</v>
      </c>
      <c r="F1582" s="14">
        <v>1063235.6500000001</v>
      </c>
      <c r="G1582" s="14">
        <v>1063235.6500000001</v>
      </c>
      <c r="H1582" s="22">
        <f>F1582*(1+Assumptions!$B$6+IF(D1582="Yes",Assumptions!$C$6,0))</f>
        <v>1095132.7195000001</v>
      </c>
      <c r="I1582" s="22">
        <f>F1582*(1+Assumptions!$B$7+IF(D1582="Yes",Assumptions!$C$7,0))</f>
        <v>1116397.4325000001</v>
      </c>
      <c r="J1582" s="22">
        <f>F1582*(1+Assumptions!$B$8+IF(D1582="Yes",Assumptions!$C$8,0))</f>
        <v>1073868.0065000001</v>
      </c>
    </row>
    <row r="1583" spans="1:10" ht="15">
      <c r="A1583" s="21">
        <v>41054</v>
      </c>
      <c r="B1583" s="21">
        <v>41030</v>
      </c>
      <c r="C1583" s="17">
        <v>94</v>
      </c>
      <c r="D1583" s="17" t="s">
        <v>91</v>
      </c>
      <c r="E1583" s="14">
        <v>1421348</v>
      </c>
      <c r="F1583" s="14">
        <v>1409919.55</v>
      </c>
      <c r="G1583" s="14">
        <v>1409919.55</v>
      </c>
      <c r="H1583" s="22">
        <f>F1583*(1+Assumptions!$B$6+IF(D1583="Yes",Assumptions!$C$6,0))</f>
        <v>1452217.1365</v>
      </c>
      <c r="I1583" s="22">
        <f>F1583*(1+Assumptions!$B$7+IF(D1583="Yes",Assumptions!$C$7,0))</f>
        <v>1480415.5275000001</v>
      </c>
      <c r="J1583" s="22">
        <f>F1583*(1+Assumptions!$B$8+IF(D1583="Yes",Assumptions!$C$8,0))</f>
        <v>1424018.7455</v>
      </c>
    </row>
    <row r="1584" spans="1:10" ht="15">
      <c r="A1584" s="21">
        <v>41054</v>
      </c>
      <c r="B1584" s="21">
        <v>41030</v>
      </c>
      <c r="C1584" s="17">
        <v>95</v>
      </c>
      <c r="D1584" s="17" t="s">
        <v>91</v>
      </c>
      <c r="E1584" s="14">
        <v>3401920.36</v>
      </c>
      <c r="F1584" s="14">
        <v>3214381.31</v>
      </c>
      <c r="G1584" s="14">
        <v>3214381.31</v>
      </c>
      <c r="H1584" s="22">
        <f>F1584*(1+Assumptions!$B$6+IF(D1584="Yes",Assumptions!$C$6,0))</f>
        <v>3310812.7493000003</v>
      </c>
      <c r="I1584" s="22">
        <f>F1584*(1+Assumptions!$B$7+IF(D1584="Yes",Assumptions!$C$7,0))</f>
        <v>3375100.3755000001</v>
      </c>
      <c r="J1584" s="22">
        <f>F1584*(1+Assumptions!$B$8+IF(D1584="Yes",Assumptions!$C$8,0))</f>
        <v>3246525.1231</v>
      </c>
    </row>
    <row r="1585" spans="1:10" ht="15">
      <c r="A1585" s="21">
        <v>41054</v>
      </c>
      <c r="B1585" s="21">
        <v>41030</v>
      </c>
      <c r="C1585" s="17">
        <v>96</v>
      </c>
      <c r="D1585" s="17" t="s">
        <v>91</v>
      </c>
      <c r="E1585" s="14">
        <v>632948.85</v>
      </c>
      <c r="F1585" s="14">
        <v>572198.68000000005</v>
      </c>
      <c r="G1585" s="14">
        <v>572198.68000000005</v>
      </c>
      <c r="H1585" s="22">
        <f>F1585*(1+Assumptions!$B$6+IF(D1585="Yes",Assumptions!$C$6,0))</f>
        <v>589364.64040000003</v>
      </c>
      <c r="I1585" s="22">
        <f>F1585*(1+Assumptions!$B$7+IF(D1585="Yes",Assumptions!$C$7,0))</f>
        <v>600808.61400000006</v>
      </c>
      <c r="J1585" s="22">
        <f>F1585*(1+Assumptions!$B$8+IF(D1585="Yes",Assumptions!$C$8,0))</f>
        <v>577920.66680000001</v>
      </c>
    </row>
    <row r="1586" spans="1:10" ht="15">
      <c r="A1586" s="21">
        <v>41054</v>
      </c>
      <c r="B1586" s="21">
        <v>41030</v>
      </c>
      <c r="C1586" s="17">
        <v>97</v>
      </c>
      <c r="D1586" s="17" t="s">
        <v>91</v>
      </c>
      <c r="E1586" s="14">
        <v>645323.39</v>
      </c>
      <c r="F1586" s="14">
        <v>633900.26</v>
      </c>
      <c r="G1586" s="14">
        <v>633900.26</v>
      </c>
      <c r="H1586" s="22">
        <f>F1586*(1+Assumptions!$B$6+IF(D1586="Yes",Assumptions!$C$6,0))</f>
        <v>652917.26780000003</v>
      </c>
      <c r="I1586" s="22">
        <f>F1586*(1+Assumptions!$B$7+IF(D1586="Yes",Assumptions!$C$7,0))</f>
        <v>665595.27300000004</v>
      </c>
      <c r="J1586" s="22">
        <f>F1586*(1+Assumptions!$B$8+IF(D1586="Yes",Assumptions!$C$8,0))</f>
        <v>640239.26260000002</v>
      </c>
    </row>
    <row r="1587" spans="1:10" ht="15">
      <c r="A1587" s="21">
        <v>41054</v>
      </c>
      <c r="B1587" s="21">
        <v>41030</v>
      </c>
      <c r="C1587" s="17">
        <v>98</v>
      </c>
      <c r="D1587" s="17" t="s">
        <v>91</v>
      </c>
      <c r="E1587" s="14">
        <v>267094.78999999998</v>
      </c>
      <c r="F1587" s="14">
        <v>270740.09000000003</v>
      </c>
      <c r="G1587" s="14">
        <v>270740.09000000003</v>
      </c>
      <c r="H1587" s="22">
        <f>F1587*(1+Assumptions!$B$6+IF(D1587="Yes",Assumptions!$C$6,0))</f>
        <v>278862.29270000005</v>
      </c>
      <c r="I1587" s="22">
        <f>F1587*(1+Assumptions!$B$7+IF(D1587="Yes",Assumptions!$C$7,0))</f>
        <v>284277.09450000006</v>
      </c>
      <c r="J1587" s="22">
        <f>F1587*(1+Assumptions!$B$8+IF(D1587="Yes",Assumptions!$C$8,0))</f>
        <v>273447.49090000003</v>
      </c>
    </row>
    <row r="1588" spans="1:10" ht="15">
      <c r="A1588" s="21">
        <v>41061</v>
      </c>
      <c r="B1588" s="21">
        <v>41061</v>
      </c>
      <c r="C1588" s="17">
        <v>1</v>
      </c>
      <c r="D1588" s="17" t="s">
        <v>91</v>
      </c>
      <c r="E1588" s="14">
        <v>628090.49</v>
      </c>
      <c r="F1588" s="14">
        <v>603592.80000000005</v>
      </c>
      <c r="G1588" s="14">
        <v>603592.80000000005</v>
      </c>
      <c r="H1588" s="22">
        <f>F1588*(1+Assumptions!$B$6+IF(D1588="Yes",Assumptions!$C$6,0))</f>
        <v>621700.58400000003</v>
      </c>
      <c r="I1588" s="22">
        <f>F1588*(1+Assumptions!$B$7+IF(D1588="Yes",Assumptions!$C$7,0))</f>
        <v>633772.44000000006</v>
      </c>
      <c r="J1588" s="22">
        <f>F1588*(1+Assumptions!$B$8+IF(D1588="Yes",Assumptions!$C$8,0))</f>
        <v>609628.728</v>
      </c>
    </row>
    <row r="1589" spans="1:10" ht="15">
      <c r="A1589" s="21">
        <v>41061</v>
      </c>
      <c r="B1589" s="21">
        <v>41061</v>
      </c>
      <c r="C1589" s="17">
        <v>2</v>
      </c>
      <c r="D1589" s="17" t="s">
        <v>91</v>
      </c>
      <c r="E1589" s="14">
        <v>1981080.91</v>
      </c>
      <c r="F1589" s="14">
        <v>1995935.92</v>
      </c>
      <c r="G1589" s="14">
        <v>1995935.92</v>
      </c>
      <c r="H1589" s="22">
        <f>F1589*(1+Assumptions!$B$6+IF(D1589="Yes",Assumptions!$C$6,0))</f>
        <v>2055813.9975999999</v>
      </c>
      <c r="I1589" s="22">
        <f>F1589*(1+Assumptions!$B$7+IF(D1589="Yes",Assumptions!$C$7,0))</f>
        <v>2095732.716</v>
      </c>
      <c r="J1589" s="22">
        <f>F1589*(1+Assumptions!$B$8+IF(D1589="Yes",Assumptions!$C$8,0))</f>
        <v>2015895.2792</v>
      </c>
    </row>
    <row r="1590" spans="1:10" ht="15">
      <c r="A1590" s="21">
        <v>41061</v>
      </c>
      <c r="B1590" s="21">
        <v>41061</v>
      </c>
      <c r="C1590" s="17">
        <v>3</v>
      </c>
      <c r="D1590" s="17" t="s">
        <v>91</v>
      </c>
      <c r="E1590" s="14">
        <v>319572.31</v>
      </c>
      <c r="F1590" s="14">
        <v>322765.83</v>
      </c>
      <c r="G1590" s="14">
        <v>322765.83</v>
      </c>
      <c r="H1590" s="22">
        <f>F1590*(1+Assumptions!$B$6+IF(D1590="Yes",Assumptions!$C$6,0))</f>
        <v>332448.80490000005</v>
      </c>
      <c r="I1590" s="22">
        <f>F1590*(1+Assumptions!$B$7+IF(D1590="Yes",Assumptions!$C$7,0))</f>
        <v>338904.12150000001</v>
      </c>
      <c r="J1590" s="22">
        <f>F1590*(1+Assumptions!$B$8+IF(D1590="Yes",Assumptions!$C$8,0))</f>
        <v>325993.48830000003</v>
      </c>
    </row>
    <row r="1591" spans="1:10" ht="15">
      <c r="A1591" s="21">
        <v>41061</v>
      </c>
      <c r="B1591" s="21">
        <v>41061</v>
      </c>
      <c r="C1591" s="17">
        <v>4</v>
      </c>
      <c r="D1591" s="17" t="s">
        <v>91</v>
      </c>
      <c r="E1591" s="14">
        <v>1252502.93</v>
      </c>
      <c r="F1591" s="14">
        <v>1243921.8600000001</v>
      </c>
      <c r="G1591" s="14">
        <v>1243921.8600000001</v>
      </c>
      <c r="H1591" s="22">
        <f>F1591*(1+Assumptions!$B$6+IF(D1591="Yes",Assumptions!$C$6,0))</f>
        <v>1281239.5158000002</v>
      </c>
      <c r="I1591" s="22">
        <f>F1591*(1+Assumptions!$B$7+IF(D1591="Yes",Assumptions!$C$7,0))</f>
        <v>1306117.9530000002</v>
      </c>
      <c r="J1591" s="22">
        <f>F1591*(1+Assumptions!$B$8+IF(D1591="Yes",Assumptions!$C$8,0))</f>
        <v>1256361.0786000001</v>
      </c>
    </row>
    <row r="1592" spans="1:10" ht="15">
      <c r="A1592" s="21">
        <v>41061</v>
      </c>
      <c r="B1592" s="21">
        <v>41061</v>
      </c>
      <c r="C1592" s="17">
        <v>5</v>
      </c>
      <c r="D1592" s="17" t="s">
        <v>91</v>
      </c>
      <c r="E1592" s="14">
        <v>609839.49</v>
      </c>
      <c r="F1592" s="14">
        <v>687301.93</v>
      </c>
      <c r="G1592" s="14">
        <v>687301.93</v>
      </c>
      <c r="H1592" s="22">
        <f>F1592*(1+Assumptions!$B$6+IF(D1592="Yes",Assumptions!$C$6,0))</f>
        <v>707920.98790000007</v>
      </c>
      <c r="I1592" s="22">
        <f>F1592*(1+Assumptions!$B$7+IF(D1592="Yes",Assumptions!$C$7,0))</f>
        <v>721667.02650000004</v>
      </c>
      <c r="J1592" s="22">
        <f>F1592*(1+Assumptions!$B$8+IF(D1592="Yes",Assumptions!$C$8,0))</f>
        <v>694174.94930000009</v>
      </c>
    </row>
    <row r="1593" spans="1:10" ht="15">
      <c r="A1593" s="21">
        <v>41061</v>
      </c>
      <c r="B1593" s="21">
        <v>41061</v>
      </c>
      <c r="C1593" s="17">
        <v>6</v>
      </c>
      <c r="D1593" s="17" t="s">
        <v>91</v>
      </c>
      <c r="E1593" s="14">
        <v>146055.42000000001</v>
      </c>
      <c r="F1593" s="14">
        <v>190278.62</v>
      </c>
      <c r="G1593" s="14">
        <v>190278.62</v>
      </c>
      <c r="H1593" s="22">
        <f>F1593*(1+Assumptions!$B$6+IF(D1593="Yes",Assumptions!$C$6,0))</f>
        <v>195986.9786</v>
      </c>
      <c r="I1593" s="22">
        <f>F1593*(1+Assumptions!$B$7+IF(D1593="Yes",Assumptions!$C$7,0))</f>
        <v>199792.55100000001</v>
      </c>
      <c r="J1593" s="22">
        <f>F1593*(1+Assumptions!$B$8+IF(D1593="Yes",Assumptions!$C$8,0))</f>
        <v>192181.4062</v>
      </c>
    </row>
    <row r="1594" spans="1:10" ht="15">
      <c r="A1594" s="21">
        <v>41061</v>
      </c>
      <c r="B1594" s="21">
        <v>41061</v>
      </c>
      <c r="C1594" s="17">
        <v>7</v>
      </c>
      <c r="D1594" s="17" t="s">
        <v>91</v>
      </c>
      <c r="E1594" s="14">
        <v>1322697.02</v>
      </c>
      <c r="F1594" s="14">
        <v>1367407.63</v>
      </c>
      <c r="G1594" s="14">
        <v>1367407.63</v>
      </c>
      <c r="H1594" s="22">
        <f>F1594*(1+Assumptions!$B$6+IF(D1594="Yes",Assumptions!$C$6,0))</f>
        <v>1408429.8588999999</v>
      </c>
      <c r="I1594" s="22">
        <f>F1594*(1+Assumptions!$B$7+IF(D1594="Yes",Assumptions!$C$7,0))</f>
        <v>1435778.0115</v>
      </c>
      <c r="J1594" s="22">
        <f>F1594*(1+Assumptions!$B$8+IF(D1594="Yes",Assumptions!$C$8,0))</f>
        <v>1381081.7063</v>
      </c>
    </row>
    <row r="1595" spans="1:10" ht="15">
      <c r="A1595" s="21">
        <v>41061</v>
      </c>
      <c r="B1595" s="21">
        <v>41061</v>
      </c>
      <c r="C1595" s="17">
        <v>8</v>
      </c>
      <c r="D1595" s="17" t="s">
        <v>91</v>
      </c>
      <c r="E1595" s="14">
        <v>1365628.94</v>
      </c>
      <c r="F1595" s="14">
        <v>1371599.9</v>
      </c>
      <c r="G1595" s="14">
        <v>1371599.9</v>
      </c>
      <c r="H1595" s="22">
        <f>F1595*(1+Assumptions!$B$6+IF(D1595="Yes",Assumptions!$C$6,0))</f>
        <v>1412747.8969999999</v>
      </c>
      <c r="I1595" s="22">
        <f>F1595*(1+Assumptions!$B$7+IF(D1595="Yes",Assumptions!$C$7,0))</f>
        <v>1440179.895</v>
      </c>
      <c r="J1595" s="22">
        <f>F1595*(1+Assumptions!$B$8+IF(D1595="Yes",Assumptions!$C$8,0))</f>
        <v>1385315.899</v>
      </c>
    </row>
    <row r="1596" spans="1:10" ht="15">
      <c r="A1596" s="21">
        <v>41061</v>
      </c>
      <c r="B1596" s="21">
        <v>41061</v>
      </c>
      <c r="C1596" s="17">
        <v>9</v>
      </c>
      <c r="D1596" s="17" t="s">
        <v>91</v>
      </c>
      <c r="E1596" s="14">
        <v>1233587.1000000001</v>
      </c>
      <c r="F1596" s="14">
        <v>1191697.1200000001</v>
      </c>
      <c r="G1596" s="14">
        <v>1191697.1200000001</v>
      </c>
      <c r="H1596" s="22">
        <f>F1596*(1+Assumptions!$B$6+IF(D1596="Yes",Assumptions!$C$6,0))</f>
        <v>1227448.0336000002</v>
      </c>
      <c r="I1596" s="22">
        <f>F1596*(1+Assumptions!$B$7+IF(D1596="Yes",Assumptions!$C$7,0))</f>
        <v>1251281.9760000003</v>
      </c>
      <c r="J1596" s="22">
        <f>F1596*(1+Assumptions!$B$8+IF(D1596="Yes",Assumptions!$C$8,0))</f>
        <v>1203614.0912000001</v>
      </c>
    </row>
    <row r="1597" spans="1:10" ht="15">
      <c r="A1597" s="21">
        <v>41061</v>
      </c>
      <c r="B1597" s="21">
        <v>41061</v>
      </c>
      <c r="C1597" s="17">
        <v>10</v>
      </c>
      <c r="D1597" s="17" t="s">
        <v>91</v>
      </c>
      <c r="E1597" s="14">
        <v>908410.71</v>
      </c>
      <c r="F1597" s="14">
        <v>886684.51</v>
      </c>
      <c r="G1597" s="14">
        <v>886684.51</v>
      </c>
      <c r="H1597" s="22">
        <f>F1597*(1+Assumptions!$B$6+IF(D1597="Yes",Assumptions!$C$6,0))</f>
        <v>913285.0453</v>
      </c>
      <c r="I1597" s="22">
        <f>F1597*(1+Assumptions!$B$7+IF(D1597="Yes",Assumptions!$C$7,0))</f>
        <v>931018.73550000007</v>
      </c>
      <c r="J1597" s="22">
        <f>F1597*(1+Assumptions!$B$8+IF(D1597="Yes",Assumptions!$C$8,0))</f>
        <v>895551.35510000004</v>
      </c>
    </row>
    <row r="1598" spans="1:10" ht="15">
      <c r="A1598" s="21">
        <v>41061</v>
      </c>
      <c r="B1598" s="21">
        <v>41061</v>
      </c>
      <c r="C1598" s="17">
        <v>11</v>
      </c>
      <c r="D1598" s="17" t="s">
        <v>91</v>
      </c>
      <c r="E1598" s="14">
        <v>1089705.6499999999</v>
      </c>
      <c r="F1598" s="14">
        <v>1264504.74</v>
      </c>
      <c r="G1598" s="14">
        <v>1264504.74</v>
      </c>
      <c r="H1598" s="22">
        <f>F1598*(1+Assumptions!$B$6+IF(D1598="Yes",Assumptions!$C$6,0))</f>
        <v>1302439.8822000001</v>
      </c>
      <c r="I1598" s="22">
        <f>F1598*(1+Assumptions!$B$7+IF(D1598="Yes",Assumptions!$C$7,0))</f>
        <v>1327729.977</v>
      </c>
      <c r="J1598" s="22">
        <f>F1598*(1+Assumptions!$B$8+IF(D1598="Yes",Assumptions!$C$8,0))</f>
        <v>1277149.7874</v>
      </c>
    </row>
    <row r="1599" spans="1:10" ht="15">
      <c r="A1599" s="21">
        <v>41061</v>
      </c>
      <c r="B1599" s="21">
        <v>41061</v>
      </c>
      <c r="C1599" s="17">
        <v>12</v>
      </c>
      <c r="D1599" s="17" t="s">
        <v>91</v>
      </c>
      <c r="E1599" s="14">
        <v>219054.76</v>
      </c>
      <c r="F1599" s="14">
        <v>225753.75</v>
      </c>
      <c r="G1599" s="14">
        <v>225753.75</v>
      </c>
      <c r="H1599" s="22">
        <f>F1599*(1+Assumptions!$B$6+IF(D1599="Yes",Assumptions!$C$6,0))</f>
        <v>232526.36250000002</v>
      </c>
      <c r="I1599" s="22">
        <f>F1599*(1+Assumptions!$B$7+IF(D1599="Yes",Assumptions!$C$7,0))</f>
        <v>237041.4375</v>
      </c>
      <c r="J1599" s="22">
        <f>F1599*(1+Assumptions!$B$8+IF(D1599="Yes",Assumptions!$C$8,0))</f>
        <v>228011.28750000001</v>
      </c>
    </row>
    <row r="1600" spans="1:10" ht="15">
      <c r="A1600" s="21">
        <v>41061</v>
      </c>
      <c r="B1600" s="21">
        <v>41061</v>
      </c>
      <c r="C1600" s="17">
        <v>13</v>
      </c>
      <c r="D1600" s="17" t="s">
        <v>91</v>
      </c>
      <c r="E1600" s="14">
        <v>1379750.28</v>
      </c>
      <c r="F1600" s="14">
        <v>1381967.21</v>
      </c>
      <c r="G1600" s="14">
        <v>1381967.21</v>
      </c>
      <c r="H1600" s="22">
        <f>F1600*(1+Assumptions!$B$6+IF(D1600="Yes",Assumptions!$C$6,0))</f>
        <v>1423426.2263</v>
      </c>
      <c r="I1600" s="22">
        <f>F1600*(1+Assumptions!$B$7+IF(D1600="Yes",Assumptions!$C$7,0))</f>
        <v>1451065.5704999999</v>
      </c>
      <c r="J1600" s="22">
        <f>F1600*(1+Assumptions!$B$8+IF(D1600="Yes",Assumptions!$C$8,0))</f>
        <v>1395786.8821</v>
      </c>
    </row>
    <row r="1601" spans="1:10" ht="15">
      <c r="A1601" s="21">
        <v>41061</v>
      </c>
      <c r="B1601" s="21">
        <v>41061</v>
      </c>
      <c r="C1601" s="17">
        <v>14</v>
      </c>
      <c r="D1601" s="17" t="s">
        <v>91</v>
      </c>
      <c r="E1601" s="14">
        <v>616773.16</v>
      </c>
      <c r="F1601" s="14">
        <v>599223.43000000005</v>
      </c>
      <c r="G1601" s="14">
        <v>599223.43000000005</v>
      </c>
      <c r="H1601" s="22">
        <f>F1601*(1+Assumptions!$B$6+IF(D1601="Yes",Assumptions!$C$6,0))</f>
        <v>617200.13290000008</v>
      </c>
      <c r="I1601" s="22">
        <f>F1601*(1+Assumptions!$B$7+IF(D1601="Yes",Assumptions!$C$7,0))</f>
        <v>629184.60150000011</v>
      </c>
      <c r="J1601" s="22">
        <f>F1601*(1+Assumptions!$B$8+IF(D1601="Yes",Assumptions!$C$8,0))</f>
        <v>605215.66430000006</v>
      </c>
    </row>
    <row r="1602" spans="1:10" ht="15">
      <c r="A1602" s="21">
        <v>41061</v>
      </c>
      <c r="B1602" s="21">
        <v>41061</v>
      </c>
      <c r="C1602" s="17">
        <v>16</v>
      </c>
      <c r="D1602" s="17" t="s">
        <v>91</v>
      </c>
      <c r="E1602" s="14">
        <v>1634627.02</v>
      </c>
      <c r="F1602" s="14">
        <v>1740803.3</v>
      </c>
      <c r="G1602" s="14">
        <v>1740803.3</v>
      </c>
      <c r="H1602" s="22">
        <f>F1602*(1+Assumptions!$B$6+IF(D1602="Yes",Assumptions!$C$6,0))</f>
        <v>1793027.3990000002</v>
      </c>
      <c r="I1602" s="22">
        <f>F1602*(1+Assumptions!$B$7+IF(D1602="Yes",Assumptions!$C$7,0))</f>
        <v>1827843.4650000001</v>
      </c>
      <c r="J1602" s="22">
        <f>F1602*(1+Assumptions!$B$8+IF(D1602="Yes",Assumptions!$C$8,0))</f>
        <v>1758211.3330000001</v>
      </c>
    </row>
    <row r="1603" spans="1:10" ht="15">
      <c r="A1603" s="21">
        <v>41061</v>
      </c>
      <c r="B1603" s="21">
        <v>41061</v>
      </c>
      <c r="C1603" s="17">
        <v>17</v>
      </c>
      <c r="D1603" s="17" t="s">
        <v>91</v>
      </c>
      <c r="E1603" s="14">
        <v>392401.55</v>
      </c>
      <c r="F1603" s="14">
        <v>394843.31</v>
      </c>
      <c r="G1603" s="14">
        <v>394843.31</v>
      </c>
      <c r="H1603" s="22">
        <f>F1603*(1+Assumptions!$B$6+IF(D1603="Yes",Assumptions!$C$6,0))</f>
        <v>406688.60930000001</v>
      </c>
      <c r="I1603" s="22">
        <f>F1603*(1+Assumptions!$B$7+IF(D1603="Yes",Assumptions!$C$7,0))</f>
        <v>414585.4755</v>
      </c>
      <c r="J1603" s="22">
        <f>F1603*(1+Assumptions!$B$8+IF(D1603="Yes",Assumptions!$C$8,0))</f>
        <v>398791.74310000002</v>
      </c>
    </row>
    <row r="1604" spans="1:10" ht="15">
      <c r="A1604" s="21">
        <v>41061</v>
      </c>
      <c r="B1604" s="21">
        <v>41061</v>
      </c>
      <c r="C1604" s="17">
        <v>18</v>
      </c>
      <c r="D1604" s="17" t="s">
        <v>91</v>
      </c>
      <c r="E1604" s="14">
        <v>-15.149999999999995</v>
      </c>
      <c r="F1604" s="14">
        <v>33.43</v>
      </c>
      <c r="G1604" s="14">
        <v>33.43</v>
      </c>
      <c r="H1604" s="22">
        <f>F1604*(1+Assumptions!$B$6+IF(D1604="Yes",Assumptions!$C$6,0))</f>
        <v>34.432900000000004</v>
      </c>
      <c r="I1604" s="22">
        <f>F1604*(1+Assumptions!$B$7+IF(D1604="Yes",Assumptions!$C$7,0))</f>
        <v>35.101500000000001</v>
      </c>
      <c r="J1604" s="22">
        <f>F1604*(1+Assumptions!$B$8+IF(D1604="Yes",Assumptions!$C$8,0))</f>
        <v>33.764299999999999</v>
      </c>
    </row>
    <row r="1605" spans="1:10" ht="15">
      <c r="A1605" s="21">
        <v>41061</v>
      </c>
      <c r="B1605" s="21">
        <v>41061</v>
      </c>
      <c r="C1605" s="17">
        <v>19</v>
      </c>
      <c r="D1605" s="17" t="s">
        <v>91</v>
      </c>
      <c r="E1605" s="14">
        <v>42527.79</v>
      </c>
      <c r="F1605" s="14">
        <v>35794.25</v>
      </c>
      <c r="G1605" s="14">
        <v>35794.25</v>
      </c>
      <c r="H1605" s="22">
        <f>F1605*(1+Assumptions!$B$6+IF(D1605="Yes",Assumptions!$C$6,0))</f>
        <v>36868.077499999999</v>
      </c>
      <c r="I1605" s="22">
        <f>F1605*(1+Assumptions!$B$7+IF(D1605="Yes",Assumptions!$C$7,0))</f>
        <v>37583.962500000001</v>
      </c>
      <c r="J1605" s="22">
        <f>F1605*(1+Assumptions!$B$8+IF(D1605="Yes",Assumptions!$C$8,0))</f>
        <v>36152.192499999997</v>
      </c>
    </row>
    <row r="1606" spans="1:10" ht="15">
      <c r="A1606" s="21">
        <v>41061</v>
      </c>
      <c r="B1606" s="21">
        <v>41061</v>
      </c>
      <c r="C1606" s="17">
        <v>20</v>
      </c>
      <c r="D1606" s="17" t="s">
        <v>91</v>
      </c>
      <c r="E1606" s="14">
        <v>272272.38</v>
      </c>
      <c r="F1606" s="14">
        <v>276517.08999999997</v>
      </c>
      <c r="G1606" s="14">
        <v>276517.08999999997</v>
      </c>
      <c r="H1606" s="22">
        <f>F1606*(1+Assumptions!$B$6+IF(D1606="Yes",Assumptions!$C$6,0))</f>
        <v>284812.60269999999</v>
      </c>
      <c r="I1606" s="22">
        <f>F1606*(1+Assumptions!$B$7+IF(D1606="Yes",Assumptions!$C$7,0))</f>
        <v>290342.94449999998</v>
      </c>
      <c r="J1606" s="22">
        <f>F1606*(1+Assumptions!$B$8+IF(D1606="Yes",Assumptions!$C$8,0))</f>
        <v>279282.26089999999</v>
      </c>
    </row>
    <row r="1607" spans="1:10" ht="15">
      <c r="A1607" s="21">
        <v>41061</v>
      </c>
      <c r="B1607" s="21">
        <v>41061</v>
      </c>
      <c r="C1607" s="17">
        <v>21</v>
      </c>
      <c r="D1607" s="17" t="s">
        <v>91</v>
      </c>
      <c r="E1607" s="14">
        <v>189693.98</v>
      </c>
      <c r="F1607" s="14">
        <v>201632.85</v>
      </c>
      <c r="G1607" s="14">
        <v>201632.85</v>
      </c>
      <c r="H1607" s="22">
        <f>F1607*(1+Assumptions!$B$6+IF(D1607="Yes",Assumptions!$C$6,0))</f>
        <v>207681.83550000002</v>
      </c>
      <c r="I1607" s="22">
        <f>F1607*(1+Assumptions!$B$7+IF(D1607="Yes",Assumptions!$C$7,0))</f>
        <v>211714.49250000002</v>
      </c>
      <c r="J1607" s="22">
        <f>F1607*(1+Assumptions!$B$8+IF(D1607="Yes",Assumptions!$C$8,0))</f>
        <v>203649.17850000001</v>
      </c>
    </row>
    <row r="1608" spans="1:10" ht="15">
      <c r="A1608" s="21">
        <v>41061</v>
      </c>
      <c r="B1608" s="21">
        <v>41061</v>
      </c>
      <c r="C1608" s="17">
        <v>22</v>
      </c>
      <c r="D1608" s="17" t="s">
        <v>91</v>
      </c>
      <c r="E1608" s="14">
        <v>362318.15</v>
      </c>
      <c r="F1608" s="14">
        <v>357772.29</v>
      </c>
      <c r="G1608" s="14">
        <v>357772.29</v>
      </c>
      <c r="H1608" s="22">
        <f>F1608*(1+Assumptions!$B$6+IF(D1608="Yes",Assumptions!$C$6,0))</f>
        <v>368505.45869999996</v>
      </c>
      <c r="I1608" s="22">
        <f>F1608*(1+Assumptions!$B$7+IF(D1608="Yes",Assumptions!$C$7,0))</f>
        <v>375660.9045</v>
      </c>
      <c r="J1608" s="22">
        <f>F1608*(1+Assumptions!$B$8+IF(D1608="Yes",Assumptions!$C$8,0))</f>
        <v>361350.01289999997</v>
      </c>
    </row>
    <row r="1609" spans="1:10" ht="15">
      <c r="A1609" s="21">
        <v>41061</v>
      </c>
      <c r="B1609" s="21">
        <v>41061</v>
      </c>
      <c r="C1609" s="17">
        <v>23</v>
      </c>
      <c r="D1609" s="17" t="s">
        <v>91</v>
      </c>
      <c r="E1609" s="14">
        <v>1089561.6000000001</v>
      </c>
      <c r="F1609" s="14">
        <v>1102755.17</v>
      </c>
      <c r="G1609" s="14">
        <v>1102755.17</v>
      </c>
      <c r="H1609" s="22">
        <f>F1609*(1+Assumptions!$B$6+IF(D1609="Yes",Assumptions!$C$6,0))</f>
        <v>1135837.8251</v>
      </c>
      <c r="I1609" s="22">
        <f>F1609*(1+Assumptions!$B$7+IF(D1609="Yes",Assumptions!$C$7,0))</f>
        <v>1157892.9284999999</v>
      </c>
      <c r="J1609" s="22">
        <f>F1609*(1+Assumptions!$B$8+IF(D1609="Yes",Assumptions!$C$8,0))</f>
        <v>1113782.7216999999</v>
      </c>
    </row>
    <row r="1610" spans="1:10" ht="15">
      <c r="A1610" s="21">
        <v>41061</v>
      </c>
      <c r="B1610" s="21">
        <v>41061</v>
      </c>
      <c r="C1610" s="17">
        <v>24</v>
      </c>
      <c r="D1610" s="17" t="s">
        <v>91</v>
      </c>
      <c r="E1610" s="14">
        <v>219584.55</v>
      </c>
      <c r="F1610" s="14">
        <v>222258.27</v>
      </c>
      <c r="G1610" s="14">
        <v>222258.27</v>
      </c>
      <c r="H1610" s="22">
        <f>F1610*(1+Assumptions!$B$6+IF(D1610="Yes",Assumptions!$C$6,0))</f>
        <v>228926.01809999999</v>
      </c>
      <c r="I1610" s="22">
        <f>F1610*(1+Assumptions!$B$7+IF(D1610="Yes",Assumptions!$C$7,0))</f>
        <v>233371.18349999998</v>
      </c>
      <c r="J1610" s="22">
        <f>F1610*(1+Assumptions!$B$8+IF(D1610="Yes",Assumptions!$C$8,0))</f>
        <v>224480.85269999999</v>
      </c>
    </row>
    <row r="1611" spans="1:10" ht="15">
      <c r="A1611" s="21">
        <v>41061</v>
      </c>
      <c r="B1611" s="21">
        <v>41061</v>
      </c>
      <c r="C1611" s="17">
        <v>25</v>
      </c>
      <c r="D1611" s="17" t="s">
        <v>91</v>
      </c>
      <c r="E1611" s="14">
        <v>456796.79</v>
      </c>
      <c r="F1611" s="14">
        <v>478197.91</v>
      </c>
      <c r="G1611" s="14">
        <v>478197.91</v>
      </c>
      <c r="H1611" s="22">
        <f>F1611*(1+Assumptions!$B$6+IF(D1611="Yes",Assumptions!$C$6,0))</f>
        <v>492543.84729999996</v>
      </c>
      <c r="I1611" s="22">
        <f>F1611*(1+Assumptions!$B$7+IF(D1611="Yes",Assumptions!$C$7,0))</f>
        <v>502107.80550000002</v>
      </c>
      <c r="J1611" s="22">
        <f>F1611*(1+Assumptions!$B$8+IF(D1611="Yes",Assumptions!$C$8,0))</f>
        <v>482979.88909999997</v>
      </c>
    </row>
    <row r="1612" spans="1:10" ht="15">
      <c r="A1612" s="21">
        <v>41061</v>
      </c>
      <c r="B1612" s="21">
        <v>41061</v>
      </c>
      <c r="C1612" s="17">
        <v>26</v>
      </c>
      <c r="D1612" s="17" t="s">
        <v>91</v>
      </c>
      <c r="E1612" s="14">
        <v>277536.01</v>
      </c>
      <c r="F1612" s="14">
        <v>313426.09000000003</v>
      </c>
      <c r="G1612" s="14">
        <v>313426.09000000003</v>
      </c>
      <c r="H1612" s="22">
        <f>F1612*(1+Assumptions!$B$6+IF(D1612="Yes",Assumptions!$C$6,0))</f>
        <v>322828.87270000001</v>
      </c>
      <c r="I1612" s="22">
        <f>F1612*(1+Assumptions!$B$7+IF(D1612="Yes",Assumptions!$C$7,0))</f>
        <v>329097.39450000005</v>
      </c>
      <c r="J1612" s="22">
        <f>F1612*(1+Assumptions!$B$8+IF(D1612="Yes",Assumptions!$C$8,0))</f>
        <v>316560.35090000002</v>
      </c>
    </row>
    <row r="1613" spans="1:10" ht="15">
      <c r="A1613" s="21">
        <v>41061</v>
      </c>
      <c r="B1613" s="21">
        <v>41061</v>
      </c>
      <c r="C1613" s="17">
        <v>27</v>
      </c>
      <c r="D1613" s="17" t="s">
        <v>91</v>
      </c>
      <c r="E1613" s="14">
        <v>46374.45</v>
      </c>
      <c r="F1613" s="14">
        <v>45995.43</v>
      </c>
      <c r="G1613" s="14">
        <v>45995.43</v>
      </c>
      <c r="H1613" s="22">
        <f>F1613*(1+Assumptions!$B$6+IF(D1613="Yes",Assumptions!$C$6,0))</f>
        <v>47375.2929</v>
      </c>
      <c r="I1613" s="22">
        <f>F1613*(1+Assumptions!$B$7+IF(D1613="Yes",Assumptions!$C$7,0))</f>
        <v>48295.201500000003</v>
      </c>
      <c r="J1613" s="22">
        <f>F1613*(1+Assumptions!$B$8+IF(D1613="Yes",Assumptions!$C$8,0))</f>
        <v>46455.384299999998</v>
      </c>
    </row>
    <row r="1614" spans="1:10" ht="15">
      <c r="A1614" s="21">
        <v>41061</v>
      </c>
      <c r="B1614" s="21">
        <v>41061</v>
      </c>
      <c r="C1614" s="17">
        <v>28</v>
      </c>
      <c r="D1614" s="17" t="s">
        <v>91</v>
      </c>
      <c r="E1614" s="14">
        <v>16350.34</v>
      </c>
      <c r="F1614" s="14">
        <v>19179.13</v>
      </c>
      <c r="G1614" s="14">
        <v>19179.13</v>
      </c>
      <c r="H1614" s="22">
        <f>F1614*(1+Assumptions!$B$6+IF(D1614="Yes",Assumptions!$C$6,0))</f>
        <v>19754.503900000003</v>
      </c>
      <c r="I1614" s="22">
        <f>F1614*(1+Assumptions!$B$7+IF(D1614="Yes",Assumptions!$C$7,0))</f>
        <v>20138.086500000001</v>
      </c>
      <c r="J1614" s="22">
        <f>F1614*(1+Assumptions!$B$8+IF(D1614="Yes",Assumptions!$C$8,0))</f>
        <v>19370.921300000002</v>
      </c>
    </row>
    <row r="1615" spans="1:10" ht="15">
      <c r="A1615" s="21">
        <v>41061</v>
      </c>
      <c r="B1615" s="21">
        <v>41061</v>
      </c>
      <c r="C1615" s="17">
        <v>29</v>
      </c>
      <c r="D1615" s="17" t="s">
        <v>91</v>
      </c>
      <c r="E1615" s="14">
        <v>188606.27</v>
      </c>
      <c r="F1615" s="14">
        <v>187790.48</v>
      </c>
      <c r="G1615" s="14">
        <v>187790.48</v>
      </c>
      <c r="H1615" s="22">
        <f>F1615*(1+Assumptions!$B$6+IF(D1615="Yes",Assumptions!$C$6,0))</f>
        <v>193424.19440000001</v>
      </c>
      <c r="I1615" s="22">
        <f>F1615*(1+Assumptions!$B$7+IF(D1615="Yes",Assumptions!$C$7,0))</f>
        <v>197180.00400000002</v>
      </c>
      <c r="J1615" s="22">
        <f>F1615*(1+Assumptions!$B$8+IF(D1615="Yes",Assumptions!$C$8,0))</f>
        <v>189668.3848</v>
      </c>
    </row>
    <row r="1616" spans="1:10" ht="15">
      <c r="A1616" s="21">
        <v>41061</v>
      </c>
      <c r="B1616" s="21">
        <v>41061</v>
      </c>
      <c r="C1616" s="17">
        <v>30</v>
      </c>
      <c r="D1616" s="17" t="s">
        <v>91</v>
      </c>
      <c r="E1616" s="14">
        <v>160612.96</v>
      </c>
      <c r="F1616" s="14">
        <v>181331.45</v>
      </c>
      <c r="G1616" s="14">
        <v>181331.45</v>
      </c>
      <c r="H1616" s="22">
        <f>F1616*(1+Assumptions!$B$6+IF(D1616="Yes",Assumptions!$C$6,0))</f>
        <v>186771.39350000001</v>
      </c>
      <c r="I1616" s="22">
        <f>F1616*(1+Assumptions!$B$7+IF(D1616="Yes",Assumptions!$C$7,0))</f>
        <v>190398.02250000002</v>
      </c>
      <c r="J1616" s="22">
        <f>F1616*(1+Assumptions!$B$8+IF(D1616="Yes",Assumptions!$C$8,0))</f>
        <v>183144.76450000002</v>
      </c>
    </row>
    <row r="1617" spans="1:10" ht="15">
      <c r="A1617" s="21">
        <v>41061</v>
      </c>
      <c r="B1617" s="21">
        <v>41061</v>
      </c>
      <c r="C1617" s="17">
        <v>31</v>
      </c>
      <c r="D1617" s="17" t="s">
        <v>91</v>
      </c>
      <c r="E1617" s="14">
        <v>70924.7</v>
      </c>
      <c r="F1617" s="14">
        <v>78329.399999999994</v>
      </c>
      <c r="G1617" s="14">
        <v>78329.399999999994</v>
      </c>
      <c r="H1617" s="22">
        <f>F1617*(1+Assumptions!$B$6+IF(D1617="Yes",Assumptions!$C$6,0))</f>
        <v>80679.281999999992</v>
      </c>
      <c r="I1617" s="22">
        <f>F1617*(1+Assumptions!$B$7+IF(D1617="Yes",Assumptions!$C$7,0))</f>
        <v>82245.87</v>
      </c>
      <c r="J1617" s="22">
        <f>F1617*(1+Assumptions!$B$8+IF(D1617="Yes",Assumptions!$C$8,0))</f>
        <v>79112.693999999989</v>
      </c>
    </row>
    <row r="1618" spans="1:10" ht="15">
      <c r="A1618" s="21">
        <v>41061</v>
      </c>
      <c r="B1618" s="21">
        <v>41061</v>
      </c>
      <c r="C1618" s="17">
        <v>32</v>
      </c>
      <c r="D1618" s="17" t="s">
        <v>91</v>
      </c>
      <c r="E1618" s="14">
        <v>259110.72</v>
      </c>
      <c r="F1618" s="14">
        <v>272685.17</v>
      </c>
      <c r="G1618" s="14">
        <v>272685.17</v>
      </c>
      <c r="H1618" s="22">
        <f>F1618*(1+Assumptions!$B$6+IF(D1618="Yes",Assumptions!$C$6,0))</f>
        <v>280865.72509999998</v>
      </c>
      <c r="I1618" s="22">
        <f>F1618*(1+Assumptions!$B$7+IF(D1618="Yes",Assumptions!$C$7,0))</f>
        <v>286319.42849999998</v>
      </c>
      <c r="J1618" s="22">
        <f>F1618*(1+Assumptions!$B$8+IF(D1618="Yes",Assumptions!$C$8,0))</f>
        <v>275412.02169999998</v>
      </c>
    </row>
    <row r="1619" spans="1:10" ht="15">
      <c r="A1619" s="21">
        <v>41061</v>
      </c>
      <c r="B1619" s="21">
        <v>41061</v>
      </c>
      <c r="C1619" s="17">
        <v>33</v>
      </c>
      <c r="D1619" s="17" t="s">
        <v>91</v>
      </c>
      <c r="E1619" s="14">
        <v>220322.12</v>
      </c>
      <c r="F1619" s="14">
        <v>247786.78</v>
      </c>
      <c r="G1619" s="14">
        <v>247786.78</v>
      </c>
      <c r="H1619" s="22">
        <f>F1619*(1+Assumptions!$B$6+IF(D1619="Yes",Assumptions!$C$6,0))</f>
        <v>255220.38339999999</v>
      </c>
      <c r="I1619" s="22">
        <f>F1619*(1+Assumptions!$B$7+IF(D1619="Yes",Assumptions!$C$7,0))</f>
        <v>260176.11900000001</v>
      </c>
      <c r="J1619" s="22">
        <f>F1619*(1+Assumptions!$B$8+IF(D1619="Yes",Assumptions!$C$8,0))</f>
        <v>250264.64780000001</v>
      </c>
    </row>
    <row r="1620" spans="1:10" ht="15">
      <c r="A1620" s="21">
        <v>41061</v>
      </c>
      <c r="B1620" s="21">
        <v>41061</v>
      </c>
      <c r="C1620" s="17">
        <v>34</v>
      </c>
      <c r="D1620" s="17" t="s">
        <v>91</v>
      </c>
      <c r="E1620" s="14">
        <v>774978.4</v>
      </c>
      <c r="F1620" s="14">
        <v>766809.71</v>
      </c>
      <c r="G1620" s="14">
        <v>766809.71</v>
      </c>
      <c r="H1620" s="22">
        <f>F1620*(1+Assumptions!$B$6+IF(D1620="Yes",Assumptions!$C$6,0))</f>
        <v>789814.0013</v>
      </c>
      <c r="I1620" s="22">
        <f>F1620*(1+Assumptions!$B$7+IF(D1620="Yes",Assumptions!$C$7,0))</f>
        <v>805150.19550000003</v>
      </c>
      <c r="J1620" s="22">
        <f>F1620*(1+Assumptions!$B$8+IF(D1620="Yes",Assumptions!$C$8,0))</f>
        <v>774477.80709999998</v>
      </c>
    </row>
    <row r="1621" spans="1:10" ht="15">
      <c r="A1621" s="21">
        <v>41061</v>
      </c>
      <c r="B1621" s="21">
        <v>41061</v>
      </c>
      <c r="C1621" s="17">
        <v>35</v>
      </c>
      <c r="D1621" s="17" t="s">
        <v>91</v>
      </c>
      <c r="E1621" s="14">
        <v>145946.78</v>
      </c>
      <c r="F1621" s="14">
        <v>149574.76999999999</v>
      </c>
      <c r="G1621" s="14">
        <v>149574.76999999999</v>
      </c>
      <c r="H1621" s="22">
        <f>F1621*(1+Assumptions!$B$6+IF(D1621="Yes",Assumptions!$C$6,0))</f>
        <v>154062.01309999998</v>
      </c>
      <c r="I1621" s="22">
        <f>F1621*(1+Assumptions!$B$7+IF(D1621="Yes",Assumptions!$C$7,0))</f>
        <v>157053.5085</v>
      </c>
      <c r="J1621" s="22">
        <f>F1621*(1+Assumptions!$B$8+IF(D1621="Yes",Assumptions!$C$8,0))</f>
        <v>151070.5177</v>
      </c>
    </row>
    <row r="1622" spans="1:10" ht="15">
      <c r="A1622" s="21">
        <v>41061</v>
      </c>
      <c r="B1622" s="21">
        <v>41061</v>
      </c>
      <c r="C1622" s="17">
        <v>36</v>
      </c>
      <c r="D1622" s="17" t="s">
        <v>91</v>
      </c>
      <c r="E1622" s="14">
        <v>193969.93</v>
      </c>
      <c r="F1622" s="14">
        <v>208425.01</v>
      </c>
      <c r="G1622" s="14">
        <v>208425.01</v>
      </c>
      <c r="H1622" s="22">
        <f>F1622*(1+Assumptions!$B$6+IF(D1622="Yes",Assumptions!$C$6,0))</f>
        <v>214677.76030000002</v>
      </c>
      <c r="I1622" s="22">
        <f>F1622*(1+Assumptions!$B$7+IF(D1622="Yes",Assumptions!$C$7,0))</f>
        <v>218846.26050000003</v>
      </c>
      <c r="J1622" s="22">
        <f>F1622*(1+Assumptions!$B$8+IF(D1622="Yes",Assumptions!$C$8,0))</f>
        <v>210509.26010000001</v>
      </c>
    </row>
    <row r="1623" spans="1:10" ht="15">
      <c r="A1623" s="21">
        <v>41061</v>
      </c>
      <c r="B1623" s="21">
        <v>41061</v>
      </c>
      <c r="C1623" s="17">
        <v>37</v>
      </c>
      <c r="D1623" s="17" t="s">
        <v>91</v>
      </c>
      <c r="E1623" s="14">
        <v>56175.44</v>
      </c>
      <c r="F1623" s="14">
        <v>52452.6</v>
      </c>
      <c r="G1623" s="14">
        <v>52452.6</v>
      </c>
      <c r="H1623" s="22">
        <f>F1623*(1+Assumptions!$B$6+IF(D1623="Yes",Assumptions!$C$6,0))</f>
        <v>54026.178</v>
      </c>
      <c r="I1623" s="22">
        <f>F1623*(1+Assumptions!$B$7+IF(D1623="Yes",Assumptions!$C$7,0))</f>
        <v>55075.23</v>
      </c>
      <c r="J1623" s="22">
        <f>F1623*(1+Assumptions!$B$8+IF(D1623="Yes",Assumptions!$C$8,0))</f>
        <v>52977.125999999997</v>
      </c>
    </row>
    <row r="1624" spans="1:10" ht="15">
      <c r="A1624" s="21">
        <v>41061</v>
      </c>
      <c r="B1624" s="21">
        <v>41061</v>
      </c>
      <c r="C1624" s="17">
        <v>38</v>
      </c>
      <c r="D1624" s="17" t="s">
        <v>91</v>
      </c>
      <c r="E1624" s="14">
        <v>2643747.5300000003</v>
      </c>
      <c r="F1624" s="14">
        <v>2637814.13</v>
      </c>
      <c r="G1624" s="14">
        <v>2637814.13</v>
      </c>
      <c r="H1624" s="22">
        <f>F1624*(1+Assumptions!$B$6+IF(D1624="Yes",Assumptions!$C$6,0))</f>
        <v>2716948.5539000002</v>
      </c>
      <c r="I1624" s="22">
        <f>F1624*(1+Assumptions!$B$7+IF(D1624="Yes",Assumptions!$C$7,0))</f>
        <v>2769704.8365000002</v>
      </c>
      <c r="J1624" s="22">
        <f>F1624*(1+Assumptions!$B$8+IF(D1624="Yes",Assumptions!$C$8,0))</f>
        <v>2664192.2713000001</v>
      </c>
    </row>
    <row r="1625" spans="1:10" ht="15">
      <c r="A1625" s="21">
        <v>41061</v>
      </c>
      <c r="B1625" s="21">
        <v>41061</v>
      </c>
      <c r="C1625" s="17">
        <v>40</v>
      </c>
      <c r="D1625" s="17" t="s">
        <v>91</v>
      </c>
      <c r="E1625" s="14">
        <v>1977983.13</v>
      </c>
      <c r="F1625" s="14">
        <v>1944335.45</v>
      </c>
      <c r="G1625" s="14">
        <v>1944335.45</v>
      </c>
      <c r="H1625" s="22">
        <f>F1625*(1+Assumptions!$B$6+IF(D1625="Yes",Assumptions!$C$6,0))</f>
        <v>2002665.5135000001</v>
      </c>
      <c r="I1625" s="22">
        <f>F1625*(1+Assumptions!$B$7+IF(D1625="Yes",Assumptions!$C$7,0))</f>
        <v>2041552.2225000001</v>
      </c>
      <c r="J1625" s="22">
        <f>F1625*(1+Assumptions!$B$8+IF(D1625="Yes",Assumptions!$C$8,0))</f>
        <v>1963778.8045000001</v>
      </c>
    </row>
    <row r="1626" spans="1:10" ht="15">
      <c r="A1626" s="21">
        <v>41061</v>
      </c>
      <c r="B1626" s="21">
        <v>41061</v>
      </c>
      <c r="C1626" s="17">
        <v>41</v>
      </c>
      <c r="D1626" s="17" t="s">
        <v>91</v>
      </c>
      <c r="E1626" s="14">
        <v>46705.4</v>
      </c>
      <c r="F1626" s="14">
        <v>53458.63</v>
      </c>
      <c r="G1626" s="14">
        <v>53458.63</v>
      </c>
      <c r="H1626" s="22">
        <f>F1626*(1+Assumptions!$B$6+IF(D1626="Yes",Assumptions!$C$6,0))</f>
        <v>55062.388899999998</v>
      </c>
      <c r="I1626" s="22">
        <f>F1626*(1+Assumptions!$B$7+IF(D1626="Yes",Assumptions!$C$7,0))</f>
        <v>56131.561499999996</v>
      </c>
      <c r="J1626" s="22">
        <f>F1626*(1+Assumptions!$B$8+IF(D1626="Yes",Assumptions!$C$8,0))</f>
        <v>53993.2163</v>
      </c>
    </row>
    <row r="1627" spans="1:10" ht="15">
      <c r="A1627" s="21">
        <v>41061</v>
      </c>
      <c r="B1627" s="21">
        <v>41061</v>
      </c>
      <c r="C1627" s="17">
        <v>42</v>
      </c>
      <c r="D1627" s="17" t="s">
        <v>91</v>
      </c>
      <c r="E1627" s="14">
        <v>239224.11</v>
      </c>
      <c r="F1627" s="14">
        <v>229733.19</v>
      </c>
      <c r="G1627" s="14">
        <v>229733.19</v>
      </c>
      <c r="H1627" s="22">
        <f>F1627*(1+Assumptions!$B$6+IF(D1627="Yes",Assumptions!$C$6,0))</f>
        <v>236625.1857</v>
      </c>
      <c r="I1627" s="22">
        <f>F1627*(1+Assumptions!$B$7+IF(D1627="Yes",Assumptions!$C$7,0))</f>
        <v>241219.84950000001</v>
      </c>
      <c r="J1627" s="22">
        <f>F1627*(1+Assumptions!$B$8+IF(D1627="Yes",Assumptions!$C$8,0))</f>
        <v>232030.52189999999</v>
      </c>
    </row>
    <row r="1628" spans="1:10" ht="15">
      <c r="A1628" s="21">
        <v>41061</v>
      </c>
      <c r="B1628" s="21">
        <v>41061</v>
      </c>
      <c r="C1628" s="17">
        <v>44</v>
      </c>
      <c r="D1628" s="17" t="s">
        <v>91</v>
      </c>
      <c r="E1628" s="14">
        <v>159303.1</v>
      </c>
      <c r="F1628" s="14">
        <v>144087.26</v>
      </c>
      <c r="G1628" s="14">
        <v>144087.26</v>
      </c>
      <c r="H1628" s="22">
        <f>F1628*(1+Assumptions!$B$6+IF(D1628="Yes",Assumptions!$C$6,0))</f>
        <v>148409.87780000002</v>
      </c>
      <c r="I1628" s="22">
        <f>F1628*(1+Assumptions!$B$7+IF(D1628="Yes",Assumptions!$C$7,0))</f>
        <v>151291.62300000002</v>
      </c>
      <c r="J1628" s="22">
        <f>F1628*(1+Assumptions!$B$8+IF(D1628="Yes",Assumptions!$C$8,0))</f>
        <v>145528.13260000001</v>
      </c>
    </row>
    <row r="1629" spans="1:10" ht="15">
      <c r="A1629" s="21">
        <v>41061</v>
      </c>
      <c r="B1629" s="21">
        <v>41061</v>
      </c>
      <c r="C1629" s="17">
        <v>45</v>
      </c>
      <c r="D1629" s="17" t="s">
        <v>91</v>
      </c>
      <c r="E1629" s="14">
        <v>100.10999999999999</v>
      </c>
      <c r="F1629" s="14">
        <v>384.53000000000003</v>
      </c>
      <c r="G1629" s="14">
        <v>384.53000000000003</v>
      </c>
      <c r="H1629" s="22">
        <f>F1629*(1+Assumptions!$B$6+IF(D1629="Yes",Assumptions!$C$6,0))</f>
        <v>396.06590000000006</v>
      </c>
      <c r="I1629" s="22">
        <f>F1629*(1+Assumptions!$B$7+IF(D1629="Yes",Assumptions!$C$7,0))</f>
        <v>403.75650000000007</v>
      </c>
      <c r="J1629" s="22">
        <f>F1629*(1+Assumptions!$B$8+IF(D1629="Yes",Assumptions!$C$8,0))</f>
        <v>388.37530000000004</v>
      </c>
    </row>
    <row r="1630" spans="1:10" ht="15">
      <c r="A1630" s="21">
        <v>41061</v>
      </c>
      <c r="B1630" s="21">
        <v>41061</v>
      </c>
      <c r="C1630" s="17">
        <v>46</v>
      </c>
      <c r="D1630" s="17" t="s">
        <v>91</v>
      </c>
      <c r="E1630" s="14">
        <v>1050800.5900000001</v>
      </c>
      <c r="F1630" s="14">
        <v>1064833.78</v>
      </c>
      <c r="G1630" s="14">
        <v>1064833.78</v>
      </c>
      <c r="H1630" s="22">
        <f>F1630*(1+Assumptions!$B$6+IF(D1630="Yes",Assumptions!$C$6,0))</f>
        <v>1096778.7934000001</v>
      </c>
      <c r="I1630" s="22">
        <f>F1630*(1+Assumptions!$B$7+IF(D1630="Yes",Assumptions!$C$7,0))</f>
        <v>1118075.469</v>
      </c>
      <c r="J1630" s="22">
        <f>F1630*(1+Assumptions!$B$8+IF(D1630="Yes",Assumptions!$C$8,0))</f>
        <v>1075482.1178000001</v>
      </c>
    </row>
    <row r="1631" spans="1:10" ht="15">
      <c r="A1631" s="21">
        <v>41061</v>
      </c>
      <c r="B1631" s="21">
        <v>41061</v>
      </c>
      <c r="C1631" s="17">
        <v>48</v>
      </c>
      <c r="D1631" s="17" t="s">
        <v>91</v>
      </c>
      <c r="E1631" s="14">
        <v>11403</v>
      </c>
      <c r="F1631" s="14">
        <v>6182</v>
      </c>
      <c r="G1631" s="14">
        <v>6182</v>
      </c>
      <c r="H1631" s="22">
        <f>F1631*(1+Assumptions!$B$6+IF(D1631="Yes",Assumptions!$C$6,0))</f>
        <v>6367.46</v>
      </c>
      <c r="I1631" s="22">
        <f>F1631*(1+Assumptions!$B$7+IF(D1631="Yes",Assumptions!$C$7,0))</f>
        <v>6491.1</v>
      </c>
      <c r="J1631" s="22">
        <f>F1631*(1+Assumptions!$B$8+IF(D1631="Yes",Assumptions!$C$8,0))</f>
        <v>6243.82</v>
      </c>
    </row>
    <row r="1632" spans="1:10" ht="15">
      <c r="A1632" s="21">
        <v>41061</v>
      </c>
      <c r="B1632" s="21">
        <v>41061</v>
      </c>
      <c r="C1632" s="17">
        <v>49</v>
      </c>
      <c r="D1632" s="17" t="s">
        <v>91</v>
      </c>
      <c r="E1632" s="14">
        <v>213786.13</v>
      </c>
      <c r="F1632" s="14">
        <v>212765.19</v>
      </c>
      <c r="G1632" s="14">
        <v>212765.19</v>
      </c>
      <c r="H1632" s="22">
        <f>F1632*(1+Assumptions!$B$6+IF(D1632="Yes",Assumptions!$C$6,0))</f>
        <v>219148.14569999999</v>
      </c>
      <c r="I1632" s="22">
        <f>F1632*(1+Assumptions!$B$7+IF(D1632="Yes",Assumptions!$C$7,0))</f>
        <v>223403.44950000002</v>
      </c>
      <c r="J1632" s="22">
        <f>F1632*(1+Assumptions!$B$8+IF(D1632="Yes",Assumptions!$C$8,0))</f>
        <v>214892.8419</v>
      </c>
    </row>
    <row r="1633" spans="1:10" ht="15">
      <c r="A1633" s="21">
        <v>41061</v>
      </c>
      <c r="B1633" s="21">
        <v>41061</v>
      </c>
      <c r="C1633" s="17">
        <v>50</v>
      </c>
      <c r="D1633" s="17" t="s">
        <v>91</v>
      </c>
      <c r="E1633" s="14">
        <v>24879</v>
      </c>
      <c r="F1633" s="14">
        <v>22632.5</v>
      </c>
      <c r="G1633" s="14">
        <v>22632.5</v>
      </c>
      <c r="H1633" s="22">
        <f>F1633*(1+Assumptions!$B$6+IF(D1633="Yes",Assumptions!$C$6,0))</f>
        <v>23311.475000000002</v>
      </c>
      <c r="I1633" s="22">
        <f>F1633*(1+Assumptions!$B$7+IF(D1633="Yes",Assumptions!$C$7,0))</f>
        <v>23764.125</v>
      </c>
      <c r="J1633" s="22">
        <f>F1633*(1+Assumptions!$B$8+IF(D1633="Yes",Assumptions!$C$8,0))</f>
        <v>22858.825000000001</v>
      </c>
    </row>
    <row r="1634" spans="1:10" ht="15">
      <c r="A1634" s="21">
        <v>41061</v>
      </c>
      <c r="B1634" s="21">
        <v>41061</v>
      </c>
      <c r="C1634" s="17">
        <v>51</v>
      </c>
      <c r="D1634" s="17" t="s">
        <v>91</v>
      </c>
      <c r="E1634" s="14">
        <v>8.8800000000000008</v>
      </c>
      <c r="F1634" s="14">
        <v>27.56</v>
      </c>
      <c r="G1634" s="14">
        <v>27.56</v>
      </c>
      <c r="H1634" s="22">
        <f>F1634*(1+Assumptions!$B$6+IF(D1634="Yes",Assumptions!$C$6,0))</f>
        <v>28.386800000000001</v>
      </c>
      <c r="I1634" s="22">
        <f>F1634*(1+Assumptions!$B$7+IF(D1634="Yes",Assumptions!$C$7,0))</f>
        <v>28.937999999999999</v>
      </c>
      <c r="J1634" s="22">
        <f>F1634*(1+Assumptions!$B$8+IF(D1634="Yes",Assumptions!$C$8,0))</f>
        <v>27.835599999999999</v>
      </c>
    </row>
    <row r="1635" spans="1:10" ht="15">
      <c r="A1635" s="21">
        <v>41061</v>
      </c>
      <c r="B1635" s="21">
        <v>41061</v>
      </c>
      <c r="C1635" s="17">
        <v>52</v>
      </c>
      <c r="D1635" s="17" t="s">
        <v>91</v>
      </c>
      <c r="E1635" s="14">
        <v>78407.95</v>
      </c>
      <c r="F1635" s="14">
        <v>73381.34</v>
      </c>
      <c r="G1635" s="14">
        <v>73381.34</v>
      </c>
      <c r="H1635" s="22">
        <f>F1635*(1+Assumptions!$B$6+IF(D1635="Yes",Assumptions!$C$6,0))</f>
        <v>75582.780199999994</v>
      </c>
      <c r="I1635" s="22">
        <f>F1635*(1+Assumptions!$B$7+IF(D1635="Yes",Assumptions!$C$7,0))</f>
        <v>77050.407000000007</v>
      </c>
      <c r="J1635" s="22">
        <f>F1635*(1+Assumptions!$B$8+IF(D1635="Yes",Assumptions!$C$8,0))</f>
        <v>74115.153399999996</v>
      </c>
    </row>
    <row r="1636" spans="1:10" ht="15">
      <c r="A1636" s="21">
        <v>41061</v>
      </c>
      <c r="B1636" s="21">
        <v>41061</v>
      </c>
      <c r="C1636" s="17">
        <v>54</v>
      </c>
      <c r="D1636" s="17" t="s">
        <v>91</v>
      </c>
      <c r="E1636" s="14">
        <v>1011.09</v>
      </c>
      <c r="F1636" s="14">
        <v>1472</v>
      </c>
      <c r="G1636" s="14">
        <v>1472</v>
      </c>
      <c r="H1636" s="22">
        <f>F1636*(1+Assumptions!$B$6+IF(D1636="Yes",Assumptions!$C$6,0))</f>
        <v>1516.16</v>
      </c>
      <c r="I1636" s="22">
        <f>F1636*(1+Assumptions!$B$7+IF(D1636="Yes",Assumptions!$C$7,0))</f>
        <v>1545.6000000000001</v>
      </c>
      <c r="J1636" s="22">
        <f>F1636*(1+Assumptions!$B$8+IF(D1636="Yes",Assumptions!$C$8,0))</f>
        <v>1486.72</v>
      </c>
    </row>
    <row r="1637" spans="1:10" ht="15">
      <c r="A1637" s="21">
        <v>41061</v>
      </c>
      <c r="B1637" s="21">
        <v>41061</v>
      </c>
      <c r="C1637" s="17">
        <v>55</v>
      </c>
      <c r="D1637" s="17" t="s">
        <v>91</v>
      </c>
      <c r="E1637" s="14">
        <v>261543.42</v>
      </c>
      <c r="F1637" s="14">
        <v>304188.7</v>
      </c>
      <c r="G1637" s="14">
        <v>304188.7</v>
      </c>
      <c r="H1637" s="22">
        <f>F1637*(1+Assumptions!$B$6+IF(D1637="Yes",Assumptions!$C$6,0))</f>
        <v>313314.36100000003</v>
      </c>
      <c r="I1637" s="22">
        <f>F1637*(1+Assumptions!$B$7+IF(D1637="Yes",Assumptions!$C$7,0))</f>
        <v>319398.13500000001</v>
      </c>
      <c r="J1637" s="22">
        <f>F1637*(1+Assumptions!$B$8+IF(D1637="Yes",Assumptions!$C$8,0))</f>
        <v>307230.587</v>
      </c>
    </row>
    <row r="1638" spans="1:10" ht="15">
      <c r="A1638" s="21">
        <v>41061</v>
      </c>
      <c r="B1638" s="21">
        <v>41061</v>
      </c>
      <c r="C1638" s="17">
        <v>56</v>
      </c>
      <c r="D1638" s="17" t="s">
        <v>91</v>
      </c>
      <c r="E1638" s="14">
        <v>449616.03</v>
      </c>
      <c r="F1638" s="14">
        <v>455838.27</v>
      </c>
      <c r="G1638" s="14">
        <v>455838.27</v>
      </c>
      <c r="H1638" s="22">
        <f>F1638*(1+Assumptions!$B$6+IF(D1638="Yes",Assumptions!$C$6,0))</f>
        <v>469513.41810000001</v>
      </c>
      <c r="I1638" s="22">
        <f>F1638*(1+Assumptions!$B$7+IF(D1638="Yes",Assumptions!$C$7,0))</f>
        <v>478630.18350000004</v>
      </c>
      <c r="J1638" s="22">
        <f>F1638*(1+Assumptions!$B$8+IF(D1638="Yes",Assumptions!$C$8,0))</f>
        <v>460396.65270000004</v>
      </c>
    </row>
    <row r="1639" spans="1:10" ht="15">
      <c r="A1639" s="21">
        <v>41061</v>
      </c>
      <c r="B1639" s="21">
        <v>41061</v>
      </c>
      <c r="C1639" s="17">
        <v>58</v>
      </c>
      <c r="D1639" s="17" t="s">
        <v>91</v>
      </c>
      <c r="E1639" s="14">
        <v>81285</v>
      </c>
      <c r="F1639" s="14">
        <v>93475</v>
      </c>
      <c r="G1639" s="14">
        <v>93475</v>
      </c>
      <c r="H1639" s="22">
        <f>F1639*(1+Assumptions!$B$6+IF(D1639="Yes",Assumptions!$C$6,0))</f>
        <v>96279.25</v>
      </c>
      <c r="I1639" s="22">
        <f>F1639*(1+Assumptions!$B$7+IF(D1639="Yes",Assumptions!$C$7,0))</f>
        <v>98148.75</v>
      </c>
      <c r="J1639" s="22">
        <f>F1639*(1+Assumptions!$B$8+IF(D1639="Yes",Assumptions!$C$8,0))</f>
        <v>94409.75</v>
      </c>
    </row>
    <row r="1640" spans="1:10" ht="15">
      <c r="A1640" s="21">
        <v>41061</v>
      </c>
      <c r="B1640" s="21">
        <v>41061</v>
      </c>
      <c r="C1640" s="17">
        <v>59</v>
      </c>
      <c r="D1640" s="17" t="s">
        <v>91</v>
      </c>
      <c r="E1640" s="14">
        <v>7009.35</v>
      </c>
      <c r="F1640" s="14">
        <v>9520.44</v>
      </c>
      <c r="G1640" s="14">
        <v>9520.44</v>
      </c>
      <c r="H1640" s="22">
        <f>F1640*(1+Assumptions!$B$6+IF(D1640="Yes",Assumptions!$C$6,0))</f>
        <v>9806.0532000000003</v>
      </c>
      <c r="I1640" s="22">
        <f>F1640*(1+Assumptions!$B$7+IF(D1640="Yes",Assumptions!$C$7,0))</f>
        <v>9996.4620000000014</v>
      </c>
      <c r="J1640" s="22">
        <f>F1640*(1+Assumptions!$B$8+IF(D1640="Yes",Assumptions!$C$8,0))</f>
        <v>9615.644400000001</v>
      </c>
    </row>
    <row r="1641" spans="1:10" ht="15">
      <c r="A1641" s="21">
        <v>41061</v>
      </c>
      <c r="B1641" s="21">
        <v>41061</v>
      </c>
      <c r="C1641" s="17">
        <v>60</v>
      </c>
      <c r="D1641" s="17" t="s">
        <v>91</v>
      </c>
      <c r="E1641" s="14">
        <v>13338</v>
      </c>
      <c r="F1641" s="14">
        <v>13259.46</v>
      </c>
      <c r="G1641" s="14">
        <v>13259.46</v>
      </c>
      <c r="H1641" s="22">
        <f>F1641*(1+Assumptions!$B$6+IF(D1641="Yes",Assumptions!$C$6,0))</f>
        <v>13657.2438</v>
      </c>
      <c r="I1641" s="22">
        <f>F1641*(1+Assumptions!$B$7+IF(D1641="Yes",Assumptions!$C$7,0))</f>
        <v>13922.432999999999</v>
      </c>
      <c r="J1641" s="22">
        <f>F1641*(1+Assumptions!$B$8+IF(D1641="Yes",Assumptions!$C$8,0))</f>
        <v>13392.054599999999</v>
      </c>
    </row>
    <row r="1642" spans="1:10" ht="15">
      <c r="A1642" s="21">
        <v>41061</v>
      </c>
      <c r="B1642" s="21">
        <v>41061</v>
      </c>
      <c r="C1642" s="17">
        <v>65</v>
      </c>
      <c r="D1642" s="17" t="s">
        <v>91</v>
      </c>
      <c r="E1642" s="14">
        <v>47837.27</v>
      </c>
      <c r="F1642" s="14">
        <v>43607.42</v>
      </c>
      <c r="G1642" s="14">
        <v>43607.42</v>
      </c>
      <c r="H1642" s="22">
        <f>F1642*(1+Assumptions!$B$6+IF(D1642="Yes",Assumptions!$C$6,0))</f>
        <v>44915.642599999999</v>
      </c>
      <c r="I1642" s="22">
        <f>F1642*(1+Assumptions!$B$7+IF(D1642="Yes",Assumptions!$C$7,0))</f>
        <v>45787.790999999997</v>
      </c>
      <c r="J1642" s="22">
        <f>F1642*(1+Assumptions!$B$8+IF(D1642="Yes",Assumptions!$C$8,0))</f>
        <v>44043.494200000001</v>
      </c>
    </row>
    <row r="1643" spans="1:10" ht="15">
      <c r="A1643" s="21">
        <v>41061</v>
      </c>
      <c r="B1643" s="21">
        <v>41061</v>
      </c>
      <c r="C1643" s="17">
        <v>67</v>
      </c>
      <c r="D1643" s="17" t="s">
        <v>91</v>
      </c>
      <c r="E1643" s="14">
        <v>332829.89</v>
      </c>
      <c r="F1643" s="14">
        <v>329477.82</v>
      </c>
      <c r="G1643" s="14">
        <v>329477.82</v>
      </c>
      <c r="H1643" s="22">
        <f>F1643*(1+Assumptions!$B$6+IF(D1643="Yes",Assumptions!$C$6,0))</f>
        <v>339362.15460000001</v>
      </c>
      <c r="I1643" s="22">
        <f>F1643*(1+Assumptions!$B$7+IF(D1643="Yes",Assumptions!$C$7,0))</f>
        <v>345951.71100000001</v>
      </c>
      <c r="J1643" s="22">
        <f>F1643*(1+Assumptions!$B$8+IF(D1643="Yes",Assumptions!$C$8,0))</f>
        <v>332772.59820000001</v>
      </c>
    </row>
    <row r="1644" spans="1:10" ht="15">
      <c r="A1644" s="21">
        <v>41061</v>
      </c>
      <c r="B1644" s="21">
        <v>41061</v>
      </c>
      <c r="C1644" s="17">
        <v>71</v>
      </c>
      <c r="D1644" s="17" t="s">
        <v>91</v>
      </c>
      <c r="E1644" s="14">
        <v>192185.3</v>
      </c>
      <c r="F1644" s="14">
        <v>181308.72</v>
      </c>
      <c r="G1644" s="14">
        <v>181308.72</v>
      </c>
      <c r="H1644" s="22">
        <f>F1644*(1+Assumptions!$B$6+IF(D1644="Yes",Assumptions!$C$6,0))</f>
        <v>186747.9816</v>
      </c>
      <c r="I1644" s="22">
        <f>F1644*(1+Assumptions!$B$7+IF(D1644="Yes",Assumptions!$C$7,0))</f>
        <v>190374.15600000002</v>
      </c>
      <c r="J1644" s="22">
        <f>F1644*(1+Assumptions!$B$8+IF(D1644="Yes",Assumptions!$C$8,0))</f>
        <v>183121.80720000001</v>
      </c>
    </row>
    <row r="1645" spans="1:10" ht="15">
      <c r="A1645" s="21">
        <v>41061</v>
      </c>
      <c r="B1645" s="21">
        <v>41061</v>
      </c>
      <c r="C1645" s="17">
        <v>72</v>
      </c>
      <c r="D1645" s="17" t="s">
        <v>91</v>
      </c>
      <c r="E1645" s="14">
        <v>1586151.12</v>
      </c>
      <c r="F1645" s="14">
        <v>1573067.8</v>
      </c>
      <c r="G1645" s="14">
        <v>1573067.8</v>
      </c>
      <c r="H1645" s="22">
        <f>F1645*(1+Assumptions!$B$6+IF(D1645="Yes",Assumptions!$C$6,0))</f>
        <v>1620259.834</v>
      </c>
      <c r="I1645" s="22">
        <f>F1645*(1+Assumptions!$B$7+IF(D1645="Yes",Assumptions!$C$7,0))</f>
        <v>1651721.1900000002</v>
      </c>
      <c r="J1645" s="22">
        <f>F1645*(1+Assumptions!$B$8+IF(D1645="Yes",Assumptions!$C$8,0))</f>
        <v>1588798.4780000001</v>
      </c>
    </row>
    <row r="1646" spans="1:10" ht="15">
      <c r="A1646" s="21">
        <v>41061</v>
      </c>
      <c r="B1646" s="21">
        <v>41061</v>
      </c>
      <c r="C1646" s="17">
        <v>74</v>
      </c>
      <c r="D1646" s="17" t="s">
        <v>91</v>
      </c>
      <c r="E1646" s="14">
        <v>616006.39</v>
      </c>
      <c r="F1646" s="14">
        <v>616823.59</v>
      </c>
      <c r="G1646" s="14">
        <v>616823.59</v>
      </c>
      <c r="H1646" s="22">
        <f>F1646*(1+Assumptions!$B$6+IF(D1646="Yes",Assumptions!$C$6,0))</f>
        <v>635328.2977</v>
      </c>
      <c r="I1646" s="22">
        <f>F1646*(1+Assumptions!$B$7+IF(D1646="Yes",Assumptions!$C$7,0))</f>
        <v>647664.76949999994</v>
      </c>
      <c r="J1646" s="22">
        <f>F1646*(1+Assumptions!$B$8+IF(D1646="Yes",Assumptions!$C$8,0))</f>
        <v>622991.82589999994</v>
      </c>
    </row>
    <row r="1647" spans="1:10" ht="15">
      <c r="A1647" s="21">
        <v>41061</v>
      </c>
      <c r="B1647" s="21">
        <v>41061</v>
      </c>
      <c r="C1647" s="17">
        <v>79</v>
      </c>
      <c r="D1647" s="17" t="s">
        <v>91</v>
      </c>
      <c r="E1647" s="14">
        <v>1004659.41</v>
      </c>
      <c r="F1647" s="14">
        <v>1041971.4400000001</v>
      </c>
      <c r="G1647" s="14">
        <v>1041971.4400000001</v>
      </c>
      <c r="H1647" s="22">
        <f>F1647*(1+Assumptions!$B$6+IF(D1647="Yes",Assumptions!$C$6,0))</f>
        <v>1073230.5832</v>
      </c>
      <c r="I1647" s="22">
        <f>F1647*(1+Assumptions!$B$7+IF(D1647="Yes",Assumptions!$C$7,0))</f>
        <v>1094070.0120000001</v>
      </c>
      <c r="J1647" s="22">
        <f>F1647*(1+Assumptions!$B$8+IF(D1647="Yes",Assumptions!$C$8,0))</f>
        <v>1052391.1544000001</v>
      </c>
    </row>
    <row r="1648" spans="1:10" ht="15">
      <c r="A1648" s="21">
        <v>41061</v>
      </c>
      <c r="B1648" s="21">
        <v>41061</v>
      </c>
      <c r="C1648" s="17">
        <v>80</v>
      </c>
      <c r="D1648" s="17" t="s">
        <v>91</v>
      </c>
      <c r="E1648" s="14">
        <v>500778.8</v>
      </c>
      <c r="F1648" s="14">
        <v>508706.61</v>
      </c>
      <c r="G1648" s="14">
        <v>508706.61</v>
      </c>
      <c r="H1648" s="22">
        <f>F1648*(1+Assumptions!$B$6+IF(D1648="Yes",Assumptions!$C$6,0))</f>
        <v>523967.80829999998</v>
      </c>
      <c r="I1648" s="22">
        <f>F1648*(1+Assumptions!$B$7+IF(D1648="Yes",Assumptions!$C$7,0))</f>
        <v>534141.94050000003</v>
      </c>
      <c r="J1648" s="22">
        <f>F1648*(1+Assumptions!$B$8+IF(D1648="Yes",Assumptions!$C$8,0))</f>
        <v>513793.67609999998</v>
      </c>
    </row>
    <row r="1649" spans="1:10" ht="15">
      <c r="A1649" s="21">
        <v>41061</v>
      </c>
      <c r="B1649" s="21">
        <v>41061</v>
      </c>
      <c r="C1649" s="17">
        <v>81</v>
      </c>
      <c r="D1649" s="17" t="s">
        <v>91</v>
      </c>
      <c r="E1649" s="14">
        <v>736164.92</v>
      </c>
      <c r="F1649" s="14">
        <v>738889.19000000006</v>
      </c>
      <c r="G1649" s="14">
        <v>738889.19000000006</v>
      </c>
      <c r="H1649" s="22">
        <f>F1649*(1+Assumptions!$B$6+IF(D1649="Yes",Assumptions!$C$6,0))</f>
        <v>761055.86570000008</v>
      </c>
      <c r="I1649" s="22">
        <f>F1649*(1+Assumptions!$B$7+IF(D1649="Yes",Assumptions!$C$7,0))</f>
        <v>775833.64950000006</v>
      </c>
      <c r="J1649" s="22">
        <f>F1649*(1+Assumptions!$B$8+IF(D1649="Yes",Assumptions!$C$8,0))</f>
        <v>746278.08190000011</v>
      </c>
    </row>
    <row r="1650" spans="1:10" ht="15">
      <c r="A1650" s="21">
        <v>41061</v>
      </c>
      <c r="B1650" s="21">
        <v>41061</v>
      </c>
      <c r="C1650" s="17">
        <v>82</v>
      </c>
      <c r="D1650" s="17" t="s">
        <v>91</v>
      </c>
      <c r="E1650" s="14">
        <v>703257.75</v>
      </c>
      <c r="F1650" s="14">
        <v>658069.93000000005</v>
      </c>
      <c r="G1650" s="14">
        <v>658069.93000000005</v>
      </c>
      <c r="H1650" s="22">
        <f>F1650*(1+Assumptions!$B$6+IF(D1650="Yes",Assumptions!$C$6,0))</f>
        <v>677812.0279000001</v>
      </c>
      <c r="I1650" s="22">
        <f>F1650*(1+Assumptions!$B$7+IF(D1650="Yes",Assumptions!$C$7,0))</f>
        <v>690973.42650000006</v>
      </c>
      <c r="J1650" s="22">
        <f>F1650*(1+Assumptions!$B$8+IF(D1650="Yes",Assumptions!$C$8,0))</f>
        <v>664650.62930000003</v>
      </c>
    </row>
    <row r="1651" spans="1:10" ht="15">
      <c r="A1651" s="21">
        <v>41061</v>
      </c>
      <c r="B1651" s="21">
        <v>41061</v>
      </c>
      <c r="C1651" s="17">
        <v>83</v>
      </c>
      <c r="D1651" s="17" t="s">
        <v>91</v>
      </c>
      <c r="E1651" s="14">
        <v>122143.34999999999</v>
      </c>
      <c r="F1651" s="14">
        <v>124358.96</v>
      </c>
      <c r="G1651" s="14">
        <v>124358.96</v>
      </c>
      <c r="H1651" s="22">
        <f>F1651*(1+Assumptions!$B$6+IF(D1651="Yes",Assumptions!$C$6,0))</f>
        <v>128089.72880000001</v>
      </c>
      <c r="I1651" s="22">
        <f>F1651*(1+Assumptions!$B$7+IF(D1651="Yes",Assumptions!$C$7,0))</f>
        <v>130576.90800000001</v>
      </c>
      <c r="J1651" s="22">
        <f>F1651*(1+Assumptions!$B$8+IF(D1651="Yes",Assumptions!$C$8,0))</f>
        <v>125602.54960000001</v>
      </c>
    </row>
    <row r="1652" spans="1:10" ht="15">
      <c r="A1652" s="21">
        <v>41061</v>
      </c>
      <c r="B1652" s="21">
        <v>41061</v>
      </c>
      <c r="C1652" s="17">
        <v>85</v>
      </c>
      <c r="D1652" s="17" t="s">
        <v>91</v>
      </c>
      <c r="E1652" s="14">
        <v>89403.92</v>
      </c>
      <c r="F1652" s="14">
        <v>92871.27</v>
      </c>
      <c r="G1652" s="14">
        <v>92871.27</v>
      </c>
      <c r="H1652" s="22">
        <f>F1652*(1+Assumptions!$B$6+IF(D1652="Yes",Assumptions!$C$6,0))</f>
        <v>95657.408100000001</v>
      </c>
      <c r="I1652" s="22">
        <f>F1652*(1+Assumptions!$B$7+IF(D1652="Yes",Assumptions!$C$7,0))</f>
        <v>97514.833500000008</v>
      </c>
      <c r="J1652" s="22">
        <f>F1652*(1+Assumptions!$B$8+IF(D1652="Yes",Assumptions!$C$8,0))</f>
        <v>93799.982700000008</v>
      </c>
    </row>
    <row r="1653" spans="1:10" ht="15">
      <c r="A1653" s="21">
        <v>41061</v>
      </c>
      <c r="B1653" s="21">
        <v>41061</v>
      </c>
      <c r="C1653" s="17">
        <v>87</v>
      </c>
      <c r="D1653" s="17" t="s">
        <v>91</v>
      </c>
      <c r="E1653" s="14">
        <v>700282.79</v>
      </c>
      <c r="F1653" s="14">
        <v>616637.98</v>
      </c>
      <c r="G1653" s="14">
        <v>616637.98</v>
      </c>
      <c r="H1653" s="22">
        <f>F1653*(1+Assumptions!$B$6+IF(D1653="Yes",Assumptions!$C$6,0))</f>
        <v>635137.11939999997</v>
      </c>
      <c r="I1653" s="22">
        <f>F1653*(1+Assumptions!$B$7+IF(D1653="Yes",Assumptions!$C$7,0))</f>
        <v>647469.87899999996</v>
      </c>
      <c r="J1653" s="22">
        <f>F1653*(1+Assumptions!$B$8+IF(D1653="Yes",Assumptions!$C$8,0))</f>
        <v>622804.35979999998</v>
      </c>
    </row>
    <row r="1654" spans="1:10" ht="15">
      <c r="A1654" s="21">
        <v>41061</v>
      </c>
      <c r="B1654" s="21">
        <v>41061</v>
      </c>
      <c r="C1654" s="17">
        <v>90</v>
      </c>
      <c r="D1654" s="17" t="s">
        <v>91</v>
      </c>
      <c r="E1654" s="14">
        <v>1966080.98</v>
      </c>
      <c r="F1654" s="14">
        <v>1975953.33</v>
      </c>
      <c r="G1654" s="14">
        <v>1975953.33</v>
      </c>
      <c r="H1654" s="22">
        <f>F1654*(1+Assumptions!$B$6+IF(D1654="Yes",Assumptions!$C$6,0))</f>
        <v>2035231.9299000001</v>
      </c>
      <c r="I1654" s="22">
        <f>F1654*(1+Assumptions!$B$7+IF(D1654="Yes",Assumptions!$C$7,0))</f>
        <v>2074750.9965000001</v>
      </c>
      <c r="J1654" s="22">
        <f>F1654*(1+Assumptions!$B$8+IF(D1654="Yes",Assumptions!$C$8,0))</f>
        <v>1995712.8633000001</v>
      </c>
    </row>
    <row r="1655" spans="1:10" ht="15">
      <c r="A1655" s="21">
        <v>41061</v>
      </c>
      <c r="B1655" s="21">
        <v>41061</v>
      </c>
      <c r="C1655" s="17">
        <v>91</v>
      </c>
      <c r="D1655" s="17" t="s">
        <v>91</v>
      </c>
      <c r="E1655" s="14">
        <v>1436806.96</v>
      </c>
      <c r="F1655" s="14">
        <v>1467341.5</v>
      </c>
      <c r="G1655" s="14">
        <v>1467341.5</v>
      </c>
      <c r="H1655" s="22">
        <f>F1655*(1+Assumptions!$B$6+IF(D1655="Yes",Assumptions!$C$6,0))</f>
        <v>1511361.7450000001</v>
      </c>
      <c r="I1655" s="22">
        <f>F1655*(1+Assumptions!$B$7+IF(D1655="Yes",Assumptions!$C$7,0))</f>
        <v>1540708.575</v>
      </c>
      <c r="J1655" s="22">
        <f>F1655*(1+Assumptions!$B$8+IF(D1655="Yes",Assumptions!$C$8,0))</f>
        <v>1482014.915</v>
      </c>
    </row>
    <row r="1656" spans="1:10" ht="15">
      <c r="A1656" s="21">
        <v>41061</v>
      </c>
      <c r="B1656" s="21">
        <v>41061</v>
      </c>
      <c r="C1656" s="17">
        <v>92</v>
      </c>
      <c r="D1656" s="17" t="s">
        <v>91</v>
      </c>
      <c r="E1656" s="14">
        <v>3252011.6</v>
      </c>
      <c r="F1656" s="14">
        <v>3142744.02</v>
      </c>
      <c r="G1656" s="14">
        <v>3142744.02</v>
      </c>
      <c r="H1656" s="22">
        <f>F1656*(1+Assumptions!$B$6+IF(D1656="Yes",Assumptions!$C$6,0))</f>
        <v>3237026.3406000002</v>
      </c>
      <c r="I1656" s="22">
        <f>F1656*(1+Assumptions!$B$7+IF(D1656="Yes",Assumptions!$C$7,0))</f>
        <v>3299881.2210000004</v>
      </c>
      <c r="J1656" s="22">
        <f>F1656*(1+Assumptions!$B$8+IF(D1656="Yes",Assumptions!$C$8,0))</f>
        <v>3174171.4602000001</v>
      </c>
    </row>
    <row r="1657" spans="1:10" ht="15">
      <c r="A1657" s="21">
        <v>41061</v>
      </c>
      <c r="B1657" s="21">
        <v>41061</v>
      </c>
      <c r="C1657" s="17">
        <v>93</v>
      </c>
      <c r="D1657" s="17" t="s">
        <v>91</v>
      </c>
      <c r="E1657" s="14">
        <v>1220237.58</v>
      </c>
      <c r="F1657" s="14">
        <v>1214710.74</v>
      </c>
      <c r="G1657" s="14">
        <v>1214710.74</v>
      </c>
      <c r="H1657" s="22">
        <f>F1657*(1+Assumptions!$B$6+IF(D1657="Yes",Assumptions!$C$6,0))</f>
        <v>1251152.0622</v>
      </c>
      <c r="I1657" s="22">
        <f>F1657*(1+Assumptions!$B$7+IF(D1657="Yes",Assumptions!$C$7,0))</f>
        <v>1275446.277</v>
      </c>
      <c r="J1657" s="22">
        <f>F1657*(1+Assumptions!$B$8+IF(D1657="Yes",Assumptions!$C$8,0))</f>
        <v>1226857.8474000001</v>
      </c>
    </row>
    <row r="1658" spans="1:10" ht="15">
      <c r="A1658" s="21">
        <v>41061</v>
      </c>
      <c r="B1658" s="21">
        <v>41061</v>
      </c>
      <c r="C1658" s="17">
        <v>94</v>
      </c>
      <c r="D1658" s="17" t="s">
        <v>91</v>
      </c>
      <c r="E1658" s="14">
        <v>1435747.42</v>
      </c>
      <c r="F1658" s="14">
        <v>1503837.6</v>
      </c>
      <c r="G1658" s="14">
        <v>1503837.6</v>
      </c>
      <c r="H1658" s="22">
        <f>F1658*(1+Assumptions!$B$6+IF(D1658="Yes",Assumptions!$C$6,0))</f>
        <v>1548952.7280000001</v>
      </c>
      <c r="I1658" s="22">
        <f>F1658*(1+Assumptions!$B$7+IF(D1658="Yes",Assumptions!$C$7,0))</f>
        <v>1579029.4800000002</v>
      </c>
      <c r="J1658" s="22">
        <f>F1658*(1+Assumptions!$B$8+IF(D1658="Yes",Assumptions!$C$8,0))</f>
        <v>1518875.976</v>
      </c>
    </row>
    <row r="1659" spans="1:10" ht="15">
      <c r="A1659" s="21">
        <v>41061</v>
      </c>
      <c r="B1659" s="21">
        <v>41061</v>
      </c>
      <c r="C1659" s="17">
        <v>95</v>
      </c>
      <c r="D1659" s="17" t="s">
        <v>91</v>
      </c>
      <c r="E1659" s="14">
        <v>3328657.29</v>
      </c>
      <c r="F1659" s="14">
        <v>3416366.2199999997</v>
      </c>
      <c r="G1659" s="14">
        <v>3416366.2199999997</v>
      </c>
      <c r="H1659" s="22">
        <f>F1659*(1+Assumptions!$B$6+IF(D1659="Yes",Assumptions!$C$6,0))</f>
        <v>3518857.2065999997</v>
      </c>
      <c r="I1659" s="22">
        <f>F1659*(1+Assumptions!$B$7+IF(D1659="Yes",Assumptions!$C$7,0))</f>
        <v>3587184.531</v>
      </c>
      <c r="J1659" s="22">
        <f>F1659*(1+Assumptions!$B$8+IF(D1659="Yes",Assumptions!$C$8,0))</f>
        <v>3450529.8821999999</v>
      </c>
    </row>
    <row r="1660" spans="1:10" ht="15">
      <c r="A1660" s="21">
        <v>41061</v>
      </c>
      <c r="B1660" s="21">
        <v>41061</v>
      </c>
      <c r="C1660" s="17">
        <v>96</v>
      </c>
      <c r="D1660" s="17" t="s">
        <v>91</v>
      </c>
      <c r="E1660" s="14">
        <v>668398.51</v>
      </c>
      <c r="F1660" s="14">
        <v>626943.36</v>
      </c>
      <c r="G1660" s="14">
        <v>626943.36</v>
      </c>
      <c r="H1660" s="22">
        <f>F1660*(1+Assumptions!$B$6+IF(D1660="Yes",Assumptions!$C$6,0))</f>
        <v>645751.66079999995</v>
      </c>
      <c r="I1660" s="22">
        <f>F1660*(1+Assumptions!$B$7+IF(D1660="Yes",Assumptions!$C$7,0))</f>
        <v>658290.52800000005</v>
      </c>
      <c r="J1660" s="22">
        <f>F1660*(1+Assumptions!$B$8+IF(D1660="Yes",Assumptions!$C$8,0))</f>
        <v>633212.79359999998</v>
      </c>
    </row>
    <row r="1661" spans="1:10" ht="15">
      <c r="A1661" s="21">
        <v>41061</v>
      </c>
      <c r="B1661" s="21">
        <v>41061</v>
      </c>
      <c r="C1661" s="17">
        <v>97</v>
      </c>
      <c r="D1661" s="17" t="s">
        <v>91</v>
      </c>
      <c r="E1661" s="14">
        <v>648102.66</v>
      </c>
      <c r="F1661" s="14">
        <v>685045.89</v>
      </c>
      <c r="G1661" s="14">
        <v>685045.89</v>
      </c>
      <c r="H1661" s="22">
        <f>F1661*(1+Assumptions!$B$6+IF(D1661="Yes",Assumptions!$C$6,0))</f>
        <v>705597.26670000004</v>
      </c>
      <c r="I1661" s="22">
        <f>F1661*(1+Assumptions!$B$7+IF(D1661="Yes",Assumptions!$C$7,0))</f>
        <v>719298.18450000009</v>
      </c>
      <c r="J1661" s="22">
        <f>F1661*(1+Assumptions!$B$8+IF(D1661="Yes",Assumptions!$C$8,0))</f>
        <v>691896.34889999998</v>
      </c>
    </row>
    <row r="1662" spans="1:10" ht="15">
      <c r="A1662" s="21">
        <v>41061</v>
      </c>
      <c r="B1662" s="21">
        <v>41061</v>
      </c>
      <c r="C1662" s="17">
        <v>98</v>
      </c>
      <c r="D1662" s="17" t="s">
        <v>91</v>
      </c>
      <c r="E1662" s="14">
        <v>272876.46000000002</v>
      </c>
      <c r="F1662" s="14">
        <v>277025.83</v>
      </c>
      <c r="G1662" s="14">
        <v>277025.83</v>
      </c>
      <c r="H1662" s="22">
        <f>F1662*(1+Assumptions!$B$6+IF(D1662="Yes",Assumptions!$C$6,0))</f>
        <v>285336.60490000003</v>
      </c>
      <c r="I1662" s="22">
        <f>F1662*(1+Assumptions!$B$7+IF(D1662="Yes",Assumptions!$C$7,0))</f>
        <v>290877.12150000001</v>
      </c>
      <c r="J1662" s="22">
        <f>F1662*(1+Assumptions!$B$8+IF(D1662="Yes",Assumptions!$C$8,0))</f>
        <v>279796.0883</v>
      </c>
    </row>
    <row r="1663" spans="1:10" ht="15">
      <c r="A1663" s="21">
        <v>41068</v>
      </c>
      <c r="B1663" s="21">
        <v>41061</v>
      </c>
      <c r="C1663" s="17">
        <v>1</v>
      </c>
      <c r="D1663" s="17" t="s">
        <v>91</v>
      </c>
      <c r="E1663" s="14">
        <v>667201.63</v>
      </c>
      <c r="F1663" s="14">
        <v>607439.84</v>
      </c>
      <c r="G1663" s="14">
        <v>607439.84</v>
      </c>
      <c r="H1663" s="22">
        <f>F1663*(1+Assumptions!$B$6+IF(D1663="Yes",Assumptions!$C$6,0))</f>
        <v>625663.03519999993</v>
      </c>
      <c r="I1663" s="22">
        <f>F1663*(1+Assumptions!$B$7+IF(D1663="Yes",Assumptions!$C$7,0))</f>
        <v>637811.83199999994</v>
      </c>
      <c r="J1663" s="22">
        <f>F1663*(1+Assumptions!$B$8+IF(D1663="Yes",Assumptions!$C$8,0))</f>
        <v>613514.23839999991</v>
      </c>
    </row>
    <row r="1664" spans="1:10" ht="15">
      <c r="A1664" s="21">
        <v>41068</v>
      </c>
      <c r="B1664" s="21">
        <v>41061</v>
      </c>
      <c r="C1664" s="17">
        <v>2</v>
      </c>
      <c r="D1664" s="17" t="s">
        <v>91</v>
      </c>
      <c r="E1664" s="14">
        <v>2090713.58</v>
      </c>
      <c r="F1664" s="14">
        <v>1962504.61</v>
      </c>
      <c r="G1664" s="14">
        <v>1962504.61</v>
      </c>
      <c r="H1664" s="22">
        <f>F1664*(1+Assumptions!$B$6+IF(D1664="Yes",Assumptions!$C$6,0))</f>
        <v>2021379.7483000001</v>
      </c>
      <c r="I1664" s="22">
        <f>F1664*(1+Assumptions!$B$7+IF(D1664="Yes",Assumptions!$C$7,0))</f>
        <v>2060629.8405000002</v>
      </c>
      <c r="J1664" s="22">
        <f>F1664*(1+Assumptions!$B$8+IF(D1664="Yes",Assumptions!$C$8,0))</f>
        <v>1982129.6561</v>
      </c>
    </row>
    <row r="1665" spans="1:10" ht="15">
      <c r="A1665" s="21">
        <v>41068</v>
      </c>
      <c r="B1665" s="21">
        <v>41061</v>
      </c>
      <c r="C1665" s="17">
        <v>3</v>
      </c>
      <c r="D1665" s="17" t="s">
        <v>91</v>
      </c>
      <c r="E1665" s="14">
        <v>339912.5</v>
      </c>
      <c r="F1665" s="14">
        <v>317376.78999999998</v>
      </c>
      <c r="G1665" s="14">
        <v>317376.78999999998</v>
      </c>
      <c r="H1665" s="22">
        <f>F1665*(1+Assumptions!$B$6+IF(D1665="Yes",Assumptions!$C$6,0))</f>
        <v>326898.09369999997</v>
      </c>
      <c r="I1665" s="22">
        <f>F1665*(1+Assumptions!$B$7+IF(D1665="Yes",Assumptions!$C$7,0))</f>
        <v>333245.62949999998</v>
      </c>
      <c r="J1665" s="22">
        <f>F1665*(1+Assumptions!$B$8+IF(D1665="Yes",Assumptions!$C$8,0))</f>
        <v>320550.55789999996</v>
      </c>
    </row>
    <row r="1666" spans="1:10" ht="15">
      <c r="A1666" s="21">
        <v>41068</v>
      </c>
      <c r="B1666" s="21">
        <v>41061</v>
      </c>
      <c r="C1666" s="17">
        <v>4</v>
      </c>
      <c r="D1666" s="17" t="s">
        <v>91</v>
      </c>
      <c r="E1666" s="14">
        <v>1276630.69</v>
      </c>
      <c r="F1666" s="14">
        <v>1168813.75</v>
      </c>
      <c r="G1666" s="14">
        <v>1168813.75</v>
      </c>
      <c r="H1666" s="22">
        <f>F1666*(1+Assumptions!$B$6+IF(D1666="Yes",Assumptions!$C$6,0))</f>
        <v>1203878.1625000001</v>
      </c>
      <c r="I1666" s="22">
        <f>F1666*(1+Assumptions!$B$7+IF(D1666="Yes",Assumptions!$C$7,0))</f>
        <v>1227254.4375</v>
      </c>
      <c r="J1666" s="22">
        <f>F1666*(1+Assumptions!$B$8+IF(D1666="Yes",Assumptions!$C$8,0))</f>
        <v>1180501.8875</v>
      </c>
    </row>
    <row r="1667" spans="1:10" ht="15">
      <c r="A1667" s="21">
        <v>41068</v>
      </c>
      <c r="B1667" s="21">
        <v>41061</v>
      </c>
      <c r="C1667" s="17">
        <v>5</v>
      </c>
      <c r="D1667" s="17" t="s">
        <v>91</v>
      </c>
      <c r="E1667" s="14">
        <v>826307.33</v>
      </c>
      <c r="F1667" s="14">
        <v>736412.08</v>
      </c>
      <c r="G1667" s="14">
        <v>736412.08</v>
      </c>
      <c r="H1667" s="22">
        <f>F1667*(1+Assumptions!$B$6+IF(D1667="Yes",Assumptions!$C$6,0))</f>
        <v>758504.44239999994</v>
      </c>
      <c r="I1667" s="22">
        <f>F1667*(1+Assumptions!$B$7+IF(D1667="Yes",Assumptions!$C$7,0))</f>
        <v>773232.68400000001</v>
      </c>
      <c r="J1667" s="22">
        <f>F1667*(1+Assumptions!$B$8+IF(D1667="Yes",Assumptions!$C$8,0))</f>
        <v>743776.20079999999</v>
      </c>
    </row>
    <row r="1668" spans="1:10" ht="15">
      <c r="A1668" s="21">
        <v>41068</v>
      </c>
      <c r="B1668" s="21">
        <v>41061</v>
      </c>
      <c r="C1668" s="17">
        <v>6</v>
      </c>
      <c r="D1668" s="17" t="s">
        <v>91</v>
      </c>
      <c r="E1668" s="14">
        <v>153845.73000000001</v>
      </c>
      <c r="F1668" s="14">
        <v>199337.66</v>
      </c>
      <c r="G1668" s="14">
        <v>199337.66</v>
      </c>
      <c r="H1668" s="22">
        <f>F1668*(1+Assumptions!$B$6+IF(D1668="Yes",Assumptions!$C$6,0))</f>
        <v>205317.7898</v>
      </c>
      <c r="I1668" s="22">
        <f>F1668*(1+Assumptions!$B$7+IF(D1668="Yes",Assumptions!$C$7,0))</f>
        <v>209304.54300000001</v>
      </c>
      <c r="J1668" s="22">
        <f>F1668*(1+Assumptions!$B$8+IF(D1668="Yes",Assumptions!$C$8,0))</f>
        <v>201331.03659999999</v>
      </c>
    </row>
    <row r="1669" spans="1:10" ht="15">
      <c r="A1669" s="21">
        <v>41068</v>
      </c>
      <c r="B1669" s="21">
        <v>41061</v>
      </c>
      <c r="C1669" s="17">
        <v>7</v>
      </c>
      <c r="D1669" s="17" t="s">
        <v>91</v>
      </c>
      <c r="E1669" s="14">
        <v>1169595.73</v>
      </c>
      <c r="F1669" s="14">
        <v>1222870.6599999999</v>
      </c>
      <c r="G1669" s="14">
        <v>1222870.6599999999</v>
      </c>
      <c r="H1669" s="22">
        <f>F1669*(1+Assumptions!$B$6+IF(D1669="Yes",Assumptions!$C$6,0))</f>
        <v>1259556.7797999999</v>
      </c>
      <c r="I1669" s="22">
        <f>F1669*(1+Assumptions!$B$7+IF(D1669="Yes",Assumptions!$C$7,0))</f>
        <v>1284014.193</v>
      </c>
      <c r="J1669" s="22">
        <f>F1669*(1+Assumptions!$B$8+IF(D1669="Yes",Assumptions!$C$8,0))</f>
        <v>1235099.3665999998</v>
      </c>
    </row>
    <row r="1670" spans="1:10" ht="15">
      <c r="A1670" s="21">
        <v>41068</v>
      </c>
      <c r="B1670" s="21">
        <v>41061</v>
      </c>
      <c r="C1670" s="17">
        <v>8</v>
      </c>
      <c r="D1670" s="17" t="s">
        <v>91</v>
      </c>
      <c r="E1670" s="14">
        <v>1420830.1300000001</v>
      </c>
      <c r="F1670" s="14">
        <v>1342549.21</v>
      </c>
      <c r="G1670" s="14">
        <v>1342549.21</v>
      </c>
      <c r="H1670" s="22">
        <f>F1670*(1+Assumptions!$B$6+IF(D1670="Yes",Assumptions!$C$6,0))</f>
        <v>1382825.6862999999</v>
      </c>
      <c r="I1670" s="22">
        <f>F1670*(1+Assumptions!$B$7+IF(D1670="Yes",Assumptions!$C$7,0))</f>
        <v>1409676.6705</v>
      </c>
      <c r="J1670" s="22">
        <f>F1670*(1+Assumptions!$B$8+IF(D1670="Yes",Assumptions!$C$8,0))</f>
        <v>1355974.7020999999</v>
      </c>
    </row>
    <row r="1671" spans="1:10" ht="15">
      <c r="A1671" s="21">
        <v>41068</v>
      </c>
      <c r="B1671" s="21">
        <v>41061</v>
      </c>
      <c r="C1671" s="17">
        <v>9</v>
      </c>
      <c r="D1671" s="17" t="s">
        <v>91</v>
      </c>
      <c r="E1671" s="14">
        <v>1152739.7</v>
      </c>
      <c r="F1671" s="14">
        <v>1096925.3599999999</v>
      </c>
      <c r="G1671" s="14">
        <v>1096925.3599999999</v>
      </c>
      <c r="H1671" s="22">
        <f>F1671*(1+Assumptions!$B$6+IF(D1671="Yes",Assumptions!$C$6,0))</f>
        <v>1129833.1207999999</v>
      </c>
      <c r="I1671" s="22">
        <f>F1671*(1+Assumptions!$B$7+IF(D1671="Yes",Assumptions!$C$7,0))</f>
        <v>1151771.628</v>
      </c>
      <c r="J1671" s="22">
        <f>F1671*(1+Assumptions!$B$8+IF(D1671="Yes",Assumptions!$C$8,0))</f>
        <v>1107894.6135999998</v>
      </c>
    </row>
    <row r="1672" spans="1:10" ht="15">
      <c r="A1672" s="21">
        <v>41068</v>
      </c>
      <c r="B1672" s="21">
        <v>41061</v>
      </c>
      <c r="C1672" s="17">
        <v>10</v>
      </c>
      <c r="D1672" s="17" t="s">
        <v>91</v>
      </c>
      <c r="E1672" s="14">
        <v>875443.59</v>
      </c>
      <c r="F1672" s="14">
        <v>877498.65</v>
      </c>
      <c r="G1672" s="14">
        <v>877498.65</v>
      </c>
      <c r="H1672" s="22">
        <f>F1672*(1+Assumptions!$B$6+IF(D1672="Yes",Assumptions!$C$6,0))</f>
        <v>903823.60950000002</v>
      </c>
      <c r="I1672" s="22">
        <f>F1672*(1+Assumptions!$B$7+IF(D1672="Yes",Assumptions!$C$7,0))</f>
        <v>921373.58250000002</v>
      </c>
      <c r="J1672" s="22">
        <f>F1672*(1+Assumptions!$B$8+IF(D1672="Yes",Assumptions!$C$8,0))</f>
        <v>886273.63650000002</v>
      </c>
    </row>
    <row r="1673" spans="1:10" ht="15">
      <c r="A1673" s="21">
        <v>41068</v>
      </c>
      <c r="B1673" s="21">
        <v>41061</v>
      </c>
      <c r="C1673" s="17">
        <v>11</v>
      </c>
      <c r="D1673" s="17" t="s">
        <v>91</v>
      </c>
      <c r="E1673" s="14">
        <v>712236.05999999994</v>
      </c>
      <c r="F1673" s="14">
        <v>896310.1</v>
      </c>
      <c r="G1673" s="14">
        <v>896310.1</v>
      </c>
      <c r="H1673" s="22">
        <f>F1673*(1+Assumptions!$B$6+IF(D1673="Yes",Assumptions!$C$6,0))</f>
        <v>923199.40300000005</v>
      </c>
      <c r="I1673" s="22">
        <f>F1673*(1+Assumptions!$B$7+IF(D1673="Yes",Assumptions!$C$7,0))</f>
        <v>941125.60499999998</v>
      </c>
      <c r="J1673" s="22">
        <f>F1673*(1+Assumptions!$B$8+IF(D1673="Yes",Assumptions!$C$8,0))</f>
        <v>905273.201</v>
      </c>
    </row>
    <row r="1674" spans="1:10" ht="15">
      <c r="A1674" s="21">
        <v>41068</v>
      </c>
      <c r="B1674" s="21">
        <v>41061</v>
      </c>
      <c r="C1674" s="17">
        <v>12</v>
      </c>
      <c r="D1674" s="17" t="s">
        <v>91</v>
      </c>
      <c r="E1674" s="14">
        <v>219133.74</v>
      </c>
      <c r="F1674" s="14">
        <v>220881.36</v>
      </c>
      <c r="G1674" s="14">
        <v>220881.36</v>
      </c>
      <c r="H1674" s="22">
        <f>F1674*(1+Assumptions!$B$6+IF(D1674="Yes",Assumptions!$C$6,0))</f>
        <v>227507.8008</v>
      </c>
      <c r="I1674" s="22">
        <f>F1674*(1+Assumptions!$B$7+IF(D1674="Yes",Assumptions!$C$7,0))</f>
        <v>231925.42799999999</v>
      </c>
      <c r="J1674" s="22">
        <f>F1674*(1+Assumptions!$B$8+IF(D1674="Yes",Assumptions!$C$8,0))</f>
        <v>223090.17359999998</v>
      </c>
    </row>
    <row r="1675" spans="1:10" ht="15">
      <c r="A1675" s="21">
        <v>41068</v>
      </c>
      <c r="B1675" s="21">
        <v>41061</v>
      </c>
      <c r="C1675" s="17">
        <v>13</v>
      </c>
      <c r="D1675" s="17" t="s">
        <v>91</v>
      </c>
      <c r="E1675" s="14">
        <v>1439081.74</v>
      </c>
      <c r="F1675" s="14">
        <v>1331832.02</v>
      </c>
      <c r="G1675" s="14">
        <v>1331832.02</v>
      </c>
      <c r="H1675" s="22">
        <f>F1675*(1+Assumptions!$B$6+IF(D1675="Yes",Assumptions!$C$6,0))</f>
        <v>1371786.9806000001</v>
      </c>
      <c r="I1675" s="22">
        <f>F1675*(1+Assumptions!$B$7+IF(D1675="Yes",Assumptions!$C$7,0))</f>
        <v>1398423.621</v>
      </c>
      <c r="J1675" s="22">
        <f>F1675*(1+Assumptions!$B$8+IF(D1675="Yes",Assumptions!$C$8,0))</f>
        <v>1345150.3402</v>
      </c>
    </row>
    <row r="1676" spans="1:10" ht="15">
      <c r="A1676" s="21">
        <v>41068</v>
      </c>
      <c r="B1676" s="21">
        <v>41061</v>
      </c>
      <c r="C1676" s="17">
        <v>14</v>
      </c>
      <c r="D1676" s="17" t="s">
        <v>91</v>
      </c>
      <c r="E1676" s="14">
        <v>628430.57999999996</v>
      </c>
      <c r="F1676" s="14">
        <v>567055.82999999996</v>
      </c>
      <c r="G1676" s="14">
        <v>567055.82999999996</v>
      </c>
      <c r="H1676" s="22">
        <f>F1676*(1+Assumptions!$B$6+IF(D1676="Yes",Assumptions!$C$6,0))</f>
        <v>584067.50489999994</v>
      </c>
      <c r="I1676" s="22">
        <f>F1676*(1+Assumptions!$B$7+IF(D1676="Yes",Assumptions!$C$7,0))</f>
        <v>595408.62150000001</v>
      </c>
      <c r="J1676" s="22">
        <f>F1676*(1+Assumptions!$B$8+IF(D1676="Yes",Assumptions!$C$8,0))</f>
        <v>572726.38829999999</v>
      </c>
    </row>
    <row r="1677" spans="1:10" ht="15">
      <c r="A1677" s="21">
        <v>41068</v>
      </c>
      <c r="B1677" s="21">
        <v>41061</v>
      </c>
      <c r="C1677" s="17">
        <v>16</v>
      </c>
      <c r="D1677" s="17" t="s">
        <v>91</v>
      </c>
      <c r="E1677" s="14">
        <v>1227767.19</v>
      </c>
      <c r="F1677" s="14">
        <v>1439876.91</v>
      </c>
      <c r="G1677" s="14">
        <v>1439876.91</v>
      </c>
      <c r="H1677" s="22">
        <f>F1677*(1+Assumptions!$B$6+IF(D1677="Yes",Assumptions!$C$6,0))</f>
        <v>1483073.2172999999</v>
      </c>
      <c r="I1677" s="22">
        <f>F1677*(1+Assumptions!$B$7+IF(D1677="Yes",Assumptions!$C$7,0))</f>
        <v>1511870.7555</v>
      </c>
      <c r="J1677" s="22">
        <f>F1677*(1+Assumptions!$B$8+IF(D1677="Yes",Assumptions!$C$8,0))</f>
        <v>1454275.6790999998</v>
      </c>
    </row>
    <row r="1678" spans="1:10" ht="15">
      <c r="A1678" s="21">
        <v>41068</v>
      </c>
      <c r="B1678" s="21">
        <v>41061</v>
      </c>
      <c r="C1678" s="17">
        <v>17</v>
      </c>
      <c r="D1678" s="17" t="s">
        <v>91</v>
      </c>
      <c r="E1678" s="14">
        <v>426235.73</v>
      </c>
      <c r="F1678" s="14">
        <v>378713.57</v>
      </c>
      <c r="G1678" s="14">
        <v>378713.57</v>
      </c>
      <c r="H1678" s="22">
        <f>F1678*(1+Assumptions!$B$6+IF(D1678="Yes",Assumptions!$C$6,0))</f>
        <v>390074.97710000002</v>
      </c>
      <c r="I1678" s="22">
        <f>F1678*(1+Assumptions!$B$7+IF(D1678="Yes",Assumptions!$C$7,0))</f>
        <v>397649.24850000005</v>
      </c>
      <c r="J1678" s="22">
        <f>F1678*(1+Assumptions!$B$8+IF(D1678="Yes",Assumptions!$C$8,0))</f>
        <v>382500.70569999999</v>
      </c>
    </row>
    <row r="1679" spans="1:10" ht="15">
      <c r="A1679" s="21">
        <v>41068</v>
      </c>
      <c r="B1679" s="21">
        <v>41061</v>
      </c>
      <c r="C1679" s="17">
        <v>18</v>
      </c>
      <c r="D1679" s="17" t="s">
        <v>91</v>
      </c>
      <c r="E1679" s="14">
        <v>37.519999999999996</v>
      </c>
      <c r="F1679" s="14">
        <v>-21.71</v>
      </c>
      <c r="G1679" s="14">
        <v>-21.71</v>
      </c>
      <c r="H1679" s="22">
        <f>F1679*(1+Assumptions!$B$6+IF(D1679="Yes",Assumptions!$C$6,0))</f>
        <v>-22.3613</v>
      </c>
      <c r="I1679" s="22">
        <f>F1679*(1+Assumptions!$B$7+IF(D1679="Yes",Assumptions!$C$7,0))</f>
        <v>-22.795500000000001</v>
      </c>
      <c r="J1679" s="22">
        <f>F1679*(1+Assumptions!$B$8+IF(D1679="Yes",Assumptions!$C$8,0))</f>
        <v>-21.927099999999999</v>
      </c>
    </row>
    <row r="1680" spans="1:10" ht="15">
      <c r="A1680" s="21">
        <v>41068</v>
      </c>
      <c r="B1680" s="21">
        <v>41061</v>
      </c>
      <c r="C1680" s="17">
        <v>19</v>
      </c>
      <c r="D1680" s="17" t="s">
        <v>91</v>
      </c>
      <c r="E1680" s="14">
        <v>47248.39</v>
      </c>
      <c r="F1680" s="14">
        <v>40660.019999999997</v>
      </c>
      <c r="G1680" s="14">
        <v>40660.019999999997</v>
      </c>
      <c r="H1680" s="22">
        <f>F1680*(1+Assumptions!$B$6+IF(D1680="Yes",Assumptions!$C$6,0))</f>
        <v>41879.820599999999</v>
      </c>
      <c r="I1680" s="22">
        <f>F1680*(1+Assumptions!$B$7+IF(D1680="Yes",Assumptions!$C$7,0))</f>
        <v>42693.021000000001</v>
      </c>
      <c r="J1680" s="22">
        <f>F1680*(1+Assumptions!$B$8+IF(D1680="Yes",Assumptions!$C$8,0))</f>
        <v>41066.620199999998</v>
      </c>
    </row>
    <row r="1681" spans="1:10" ht="15">
      <c r="A1681" s="21">
        <v>41068</v>
      </c>
      <c r="B1681" s="21">
        <v>41061</v>
      </c>
      <c r="C1681" s="17">
        <v>20</v>
      </c>
      <c r="D1681" s="17" t="s">
        <v>91</v>
      </c>
      <c r="E1681" s="14">
        <v>275136.52</v>
      </c>
      <c r="F1681" s="14">
        <v>259735.12</v>
      </c>
      <c r="G1681" s="14">
        <v>259735.12</v>
      </c>
      <c r="H1681" s="22">
        <f>F1681*(1+Assumptions!$B$6+IF(D1681="Yes",Assumptions!$C$6,0))</f>
        <v>267527.17359999998</v>
      </c>
      <c r="I1681" s="22">
        <f>F1681*(1+Assumptions!$B$7+IF(D1681="Yes",Assumptions!$C$7,0))</f>
        <v>272721.87599999999</v>
      </c>
      <c r="J1681" s="22">
        <f>F1681*(1+Assumptions!$B$8+IF(D1681="Yes",Assumptions!$C$8,0))</f>
        <v>262332.47119999997</v>
      </c>
    </row>
    <row r="1682" spans="1:10" ht="15">
      <c r="A1682" s="21">
        <v>41068</v>
      </c>
      <c r="B1682" s="21">
        <v>41061</v>
      </c>
      <c r="C1682" s="17">
        <v>21</v>
      </c>
      <c r="D1682" s="17" t="s">
        <v>91</v>
      </c>
      <c r="E1682" s="14">
        <v>206181.03</v>
      </c>
      <c r="F1682" s="14">
        <v>202766.11000000002</v>
      </c>
      <c r="G1682" s="14">
        <v>202766.11000000002</v>
      </c>
      <c r="H1682" s="22">
        <f>F1682*(1+Assumptions!$B$6+IF(D1682="Yes",Assumptions!$C$6,0))</f>
        <v>208849.09330000001</v>
      </c>
      <c r="I1682" s="22">
        <f>F1682*(1+Assumptions!$B$7+IF(D1682="Yes",Assumptions!$C$7,0))</f>
        <v>212904.41550000003</v>
      </c>
      <c r="J1682" s="22">
        <f>F1682*(1+Assumptions!$B$8+IF(D1682="Yes",Assumptions!$C$8,0))</f>
        <v>204793.77110000001</v>
      </c>
    </row>
    <row r="1683" spans="1:10" ht="15">
      <c r="A1683" s="21">
        <v>41068</v>
      </c>
      <c r="B1683" s="21">
        <v>41061</v>
      </c>
      <c r="C1683" s="17">
        <v>22</v>
      </c>
      <c r="D1683" s="17" t="s">
        <v>91</v>
      </c>
      <c r="E1683" s="14">
        <v>392220.94</v>
      </c>
      <c r="F1683" s="14">
        <v>330175.14</v>
      </c>
      <c r="G1683" s="14">
        <v>330175.14</v>
      </c>
      <c r="H1683" s="22">
        <f>F1683*(1+Assumptions!$B$6+IF(D1683="Yes",Assumptions!$C$6,0))</f>
        <v>340080.39420000004</v>
      </c>
      <c r="I1683" s="22">
        <f>F1683*(1+Assumptions!$B$7+IF(D1683="Yes",Assumptions!$C$7,0))</f>
        <v>346683.89700000006</v>
      </c>
      <c r="J1683" s="22">
        <f>F1683*(1+Assumptions!$B$8+IF(D1683="Yes",Assumptions!$C$8,0))</f>
        <v>333476.89140000002</v>
      </c>
    </row>
    <row r="1684" spans="1:10" ht="15">
      <c r="A1684" s="21">
        <v>41068</v>
      </c>
      <c r="B1684" s="21">
        <v>41061</v>
      </c>
      <c r="C1684" s="17">
        <v>23</v>
      </c>
      <c r="D1684" s="17" t="s">
        <v>91</v>
      </c>
      <c r="E1684" s="14">
        <v>1079726.95</v>
      </c>
      <c r="F1684" s="14">
        <v>1058361.32</v>
      </c>
      <c r="G1684" s="14">
        <v>1058361.32</v>
      </c>
      <c r="H1684" s="22">
        <f>F1684*(1+Assumptions!$B$6+IF(D1684="Yes",Assumptions!$C$6,0))</f>
        <v>1090112.1596000001</v>
      </c>
      <c r="I1684" s="22">
        <f>F1684*(1+Assumptions!$B$7+IF(D1684="Yes",Assumptions!$C$7,0))</f>
        <v>1111279.3860000002</v>
      </c>
      <c r="J1684" s="22">
        <f>F1684*(1+Assumptions!$B$8+IF(D1684="Yes",Assumptions!$C$8,0))</f>
        <v>1068944.9332000001</v>
      </c>
    </row>
    <row r="1685" spans="1:10" ht="15">
      <c r="A1685" s="21">
        <v>41068</v>
      </c>
      <c r="B1685" s="21">
        <v>41061</v>
      </c>
      <c r="C1685" s="17">
        <v>24</v>
      </c>
      <c r="D1685" s="17" t="s">
        <v>91</v>
      </c>
      <c r="E1685" s="14">
        <v>198143.54</v>
      </c>
      <c r="F1685" s="14">
        <v>206267.11</v>
      </c>
      <c r="G1685" s="14">
        <v>206267.11</v>
      </c>
      <c r="H1685" s="22">
        <f>F1685*(1+Assumptions!$B$6+IF(D1685="Yes",Assumptions!$C$6,0))</f>
        <v>212455.12329999998</v>
      </c>
      <c r="I1685" s="22">
        <f>F1685*(1+Assumptions!$B$7+IF(D1685="Yes",Assumptions!$C$7,0))</f>
        <v>216580.46549999999</v>
      </c>
      <c r="J1685" s="22">
        <f>F1685*(1+Assumptions!$B$8+IF(D1685="Yes",Assumptions!$C$8,0))</f>
        <v>208329.78109999999</v>
      </c>
    </row>
    <row r="1686" spans="1:10" ht="15">
      <c r="A1686" s="21">
        <v>41068</v>
      </c>
      <c r="B1686" s="21">
        <v>41061</v>
      </c>
      <c r="C1686" s="17">
        <v>25</v>
      </c>
      <c r="D1686" s="17" t="s">
        <v>91</v>
      </c>
      <c r="E1686" s="14">
        <v>444647.62</v>
      </c>
      <c r="F1686" s="14">
        <v>442207.7</v>
      </c>
      <c r="G1686" s="14">
        <v>442207.7</v>
      </c>
      <c r="H1686" s="22">
        <f>F1686*(1+Assumptions!$B$6+IF(D1686="Yes",Assumptions!$C$6,0))</f>
        <v>455473.93100000004</v>
      </c>
      <c r="I1686" s="22">
        <f>F1686*(1+Assumptions!$B$7+IF(D1686="Yes",Assumptions!$C$7,0))</f>
        <v>464318.08500000002</v>
      </c>
      <c r="J1686" s="22">
        <f>F1686*(1+Assumptions!$B$8+IF(D1686="Yes",Assumptions!$C$8,0))</f>
        <v>446629.777</v>
      </c>
    </row>
    <row r="1687" spans="1:10" ht="15">
      <c r="A1687" s="21">
        <v>41068</v>
      </c>
      <c r="B1687" s="21">
        <v>41061</v>
      </c>
      <c r="C1687" s="17">
        <v>26</v>
      </c>
      <c r="D1687" s="17" t="s">
        <v>91</v>
      </c>
      <c r="E1687" s="14">
        <v>263861.90000000002</v>
      </c>
      <c r="F1687" s="14">
        <v>295995.44</v>
      </c>
      <c r="G1687" s="14">
        <v>295995.44</v>
      </c>
      <c r="H1687" s="22">
        <f>F1687*(1+Assumptions!$B$6+IF(D1687="Yes",Assumptions!$C$6,0))</f>
        <v>304875.30320000002</v>
      </c>
      <c r="I1687" s="22">
        <f>F1687*(1+Assumptions!$B$7+IF(D1687="Yes",Assumptions!$C$7,0))</f>
        <v>310795.212</v>
      </c>
      <c r="J1687" s="22">
        <f>F1687*(1+Assumptions!$B$8+IF(D1687="Yes",Assumptions!$C$8,0))</f>
        <v>298955.39439999999</v>
      </c>
    </row>
    <row r="1688" spans="1:10" ht="15">
      <c r="A1688" s="21">
        <v>41068</v>
      </c>
      <c r="B1688" s="21">
        <v>41061</v>
      </c>
      <c r="C1688" s="17">
        <v>27</v>
      </c>
      <c r="D1688" s="17" t="s">
        <v>91</v>
      </c>
      <c r="E1688" s="14">
        <v>48392.07</v>
      </c>
      <c r="F1688" s="14">
        <v>45033.45</v>
      </c>
      <c r="G1688" s="14">
        <v>45033.45</v>
      </c>
      <c r="H1688" s="22">
        <f>F1688*(1+Assumptions!$B$6+IF(D1688="Yes",Assumptions!$C$6,0))</f>
        <v>46384.453499999996</v>
      </c>
      <c r="I1688" s="22">
        <f>F1688*(1+Assumptions!$B$7+IF(D1688="Yes",Assumptions!$C$7,0))</f>
        <v>47285.122499999998</v>
      </c>
      <c r="J1688" s="22">
        <f>F1688*(1+Assumptions!$B$8+IF(D1688="Yes",Assumptions!$C$8,0))</f>
        <v>45483.784499999994</v>
      </c>
    </row>
    <row r="1689" spans="1:10" ht="15">
      <c r="A1689" s="21">
        <v>41068</v>
      </c>
      <c r="B1689" s="21">
        <v>41061</v>
      </c>
      <c r="C1689" s="17">
        <v>28</v>
      </c>
      <c r="D1689" s="17" t="s">
        <v>91</v>
      </c>
      <c r="E1689" s="14">
        <v>18979.939999999999</v>
      </c>
      <c r="F1689" s="14">
        <v>18692.87</v>
      </c>
      <c r="G1689" s="14">
        <v>18692.87</v>
      </c>
      <c r="H1689" s="22">
        <f>F1689*(1+Assumptions!$B$6+IF(D1689="Yes",Assumptions!$C$6,0))</f>
        <v>19253.6561</v>
      </c>
      <c r="I1689" s="22">
        <f>F1689*(1+Assumptions!$B$7+IF(D1689="Yes",Assumptions!$C$7,0))</f>
        <v>19627.513500000001</v>
      </c>
      <c r="J1689" s="22">
        <f>F1689*(1+Assumptions!$B$8+IF(D1689="Yes",Assumptions!$C$8,0))</f>
        <v>18879.798699999999</v>
      </c>
    </row>
    <row r="1690" spans="1:10" ht="15">
      <c r="A1690" s="21">
        <v>41068</v>
      </c>
      <c r="B1690" s="21">
        <v>41061</v>
      </c>
      <c r="C1690" s="17">
        <v>29</v>
      </c>
      <c r="D1690" s="17" t="s">
        <v>91</v>
      </c>
      <c r="E1690" s="14">
        <v>195746.12</v>
      </c>
      <c r="F1690" s="14">
        <v>184414.79</v>
      </c>
      <c r="G1690" s="14">
        <v>184414.79</v>
      </c>
      <c r="H1690" s="22">
        <f>F1690*(1+Assumptions!$B$6+IF(D1690="Yes",Assumptions!$C$6,0))</f>
        <v>189947.23370000001</v>
      </c>
      <c r="I1690" s="22">
        <f>F1690*(1+Assumptions!$B$7+IF(D1690="Yes",Assumptions!$C$7,0))</f>
        <v>193635.5295</v>
      </c>
      <c r="J1690" s="22">
        <f>F1690*(1+Assumptions!$B$8+IF(D1690="Yes",Assumptions!$C$8,0))</f>
        <v>186258.93790000002</v>
      </c>
    </row>
    <row r="1691" spans="1:10" ht="15">
      <c r="A1691" s="21">
        <v>41068</v>
      </c>
      <c r="B1691" s="21">
        <v>41061</v>
      </c>
      <c r="C1691" s="17">
        <v>30</v>
      </c>
      <c r="D1691" s="17" t="s">
        <v>91</v>
      </c>
      <c r="E1691" s="14">
        <v>167145.23000000001</v>
      </c>
      <c r="F1691" s="14">
        <v>173072.04</v>
      </c>
      <c r="G1691" s="14">
        <v>173072.04</v>
      </c>
      <c r="H1691" s="22">
        <f>F1691*(1+Assumptions!$B$6+IF(D1691="Yes",Assumptions!$C$6,0))</f>
        <v>178264.20120000001</v>
      </c>
      <c r="I1691" s="22">
        <f>F1691*(1+Assumptions!$B$7+IF(D1691="Yes",Assumptions!$C$7,0))</f>
        <v>181725.64200000002</v>
      </c>
      <c r="J1691" s="22">
        <f>F1691*(1+Assumptions!$B$8+IF(D1691="Yes",Assumptions!$C$8,0))</f>
        <v>174802.7604</v>
      </c>
    </row>
    <row r="1692" spans="1:10" ht="15">
      <c r="A1692" s="21">
        <v>41068</v>
      </c>
      <c r="B1692" s="21">
        <v>41061</v>
      </c>
      <c r="C1692" s="17">
        <v>31</v>
      </c>
      <c r="D1692" s="17" t="s">
        <v>91</v>
      </c>
      <c r="E1692" s="14">
        <v>75779.87</v>
      </c>
      <c r="F1692" s="14">
        <v>76771.05</v>
      </c>
      <c r="G1692" s="14">
        <v>76771.05</v>
      </c>
      <c r="H1692" s="22">
        <f>F1692*(1+Assumptions!$B$6+IF(D1692="Yes",Assumptions!$C$6,0))</f>
        <v>79074.181500000006</v>
      </c>
      <c r="I1692" s="22">
        <f>F1692*(1+Assumptions!$B$7+IF(D1692="Yes",Assumptions!$C$7,0))</f>
        <v>80609.602500000008</v>
      </c>
      <c r="J1692" s="22">
        <f>F1692*(1+Assumptions!$B$8+IF(D1692="Yes",Assumptions!$C$8,0))</f>
        <v>77538.760500000004</v>
      </c>
    </row>
    <row r="1693" spans="1:10" ht="15">
      <c r="A1693" s="21">
        <v>41068</v>
      </c>
      <c r="B1693" s="21">
        <v>41061</v>
      </c>
      <c r="C1693" s="17">
        <v>32</v>
      </c>
      <c r="D1693" s="17" t="s">
        <v>91</v>
      </c>
      <c r="E1693" s="14">
        <v>275428.83</v>
      </c>
      <c r="F1693" s="14">
        <v>271611.76</v>
      </c>
      <c r="G1693" s="14">
        <v>271611.76</v>
      </c>
      <c r="H1693" s="22">
        <f>F1693*(1+Assumptions!$B$6+IF(D1693="Yes",Assumptions!$C$6,0))</f>
        <v>279760.1128</v>
      </c>
      <c r="I1693" s="22">
        <f>F1693*(1+Assumptions!$B$7+IF(D1693="Yes",Assumptions!$C$7,0))</f>
        <v>285192.348</v>
      </c>
      <c r="J1693" s="22">
        <f>F1693*(1+Assumptions!$B$8+IF(D1693="Yes",Assumptions!$C$8,0))</f>
        <v>274327.87760000001</v>
      </c>
    </row>
    <row r="1694" spans="1:10" ht="15">
      <c r="A1694" s="21">
        <v>41068</v>
      </c>
      <c r="B1694" s="21">
        <v>41061</v>
      </c>
      <c r="C1694" s="17">
        <v>33</v>
      </c>
      <c r="D1694" s="17" t="s">
        <v>91</v>
      </c>
      <c r="E1694" s="14">
        <v>207915.24</v>
      </c>
      <c r="F1694" s="14">
        <v>223174.18</v>
      </c>
      <c r="G1694" s="14">
        <v>223174.18</v>
      </c>
      <c r="H1694" s="22">
        <f>F1694*(1+Assumptions!$B$6+IF(D1694="Yes",Assumptions!$C$6,0))</f>
        <v>229869.40539999999</v>
      </c>
      <c r="I1694" s="22">
        <f>F1694*(1+Assumptions!$B$7+IF(D1694="Yes",Assumptions!$C$7,0))</f>
        <v>234332.889</v>
      </c>
      <c r="J1694" s="22">
        <f>F1694*(1+Assumptions!$B$8+IF(D1694="Yes",Assumptions!$C$8,0))</f>
        <v>225405.92179999998</v>
      </c>
    </row>
    <row r="1695" spans="1:10" ht="15">
      <c r="A1695" s="21">
        <v>41068</v>
      </c>
      <c r="B1695" s="21">
        <v>41061</v>
      </c>
      <c r="C1695" s="17">
        <v>34</v>
      </c>
      <c r="D1695" s="17" t="s">
        <v>91</v>
      </c>
      <c r="E1695" s="14">
        <v>696349.38</v>
      </c>
      <c r="F1695" s="14">
        <v>712579</v>
      </c>
      <c r="G1695" s="14">
        <v>712579</v>
      </c>
      <c r="H1695" s="22">
        <f>F1695*(1+Assumptions!$B$6+IF(D1695="Yes",Assumptions!$C$6,0))</f>
        <v>733956.37</v>
      </c>
      <c r="I1695" s="22">
        <f>F1695*(1+Assumptions!$B$7+IF(D1695="Yes",Assumptions!$C$7,0))</f>
        <v>748207.95000000007</v>
      </c>
      <c r="J1695" s="22">
        <f>F1695*(1+Assumptions!$B$8+IF(D1695="Yes",Assumptions!$C$8,0))</f>
        <v>719704.79</v>
      </c>
    </row>
    <row r="1696" spans="1:10" ht="15">
      <c r="A1696" s="21">
        <v>41068</v>
      </c>
      <c r="B1696" s="21">
        <v>41061</v>
      </c>
      <c r="C1696" s="17">
        <v>35</v>
      </c>
      <c r="D1696" s="17" t="s">
        <v>91</v>
      </c>
      <c r="E1696" s="14">
        <v>132424.20000000001</v>
      </c>
      <c r="F1696" s="14">
        <v>137460.96</v>
      </c>
      <c r="G1696" s="14">
        <v>137460.96</v>
      </c>
      <c r="H1696" s="22">
        <f>F1696*(1+Assumptions!$B$6+IF(D1696="Yes",Assumptions!$C$6,0))</f>
        <v>141584.78880000001</v>
      </c>
      <c r="I1696" s="22">
        <f>F1696*(1+Assumptions!$B$7+IF(D1696="Yes",Assumptions!$C$7,0))</f>
        <v>144334.008</v>
      </c>
      <c r="J1696" s="22">
        <f>F1696*(1+Assumptions!$B$8+IF(D1696="Yes",Assumptions!$C$8,0))</f>
        <v>138835.56959999999</v>
      </c>
    </row>
    <row r="1697" spans="1:10" ht="15">
      <c r="A1697" s="21">
        <v>41068</v>
      </c>
      <c r="B1697" s="21">
        <v>41061</v>
      </c>
      <c r="C1697" s="17">
        <v>36</v>
      </c>
      <c r="D1697" s="17" t="s">
        <v>91</v>
      </c>
      <c r="E1697" s="14">
        <v>142784.92000000001</v>
      </c>
      <c r="F1697" s="14">
        <v>176757.37</v>
      </c>
      <c r="G1697" s="14">
        <v>176757.37</v>
      </c>
      <c r="H1697" s="22">
        <f>F1697*(1+Assumptions!$B$6+IF(D1697="Yes",Assumptions!$C$6,0))</f>
        <v>182060.09109999999</v>
      </c>
      <c r="I1697" s="22">
        <f>F1697*(1+Assumptions!$B$7+IF(D1697="Yes",Assumptions!$C$7,0))</f>
        <v>185595.23850000001</v>
      </c>
      <c r="J1697" s="22">
        <f>F1697*(1+Assumptions!$B$8+IF(D1697="Yes",Assumptions!$C$8,0))</f>
        <v>178524.9437</v>
      </c>
    </row>
    <row r="1698" spans="1:10" ht="15">
      <c r="A1698" s="21">
        <v>41068</v>
      </c>
      <c r="B1698" s="21">
        <v>41061</v>
      </c>
      <c r="C1698" s="17">
        <v>37</v>
      </c>
      <c r="D1698" s="17" t="s">
        <v>91</v>
      </c>
      <c r="E1698" s="14">
        <v>54953.79</v>
      </c>
      <c r="F1698" s="14">
        <v>53121.36</v>
      </c>
      <c r="G1698" s="14">
        <v>53121.36</v>
      </c>
      <c r="H1698" s="22">
        <f>F1698*(1+Assumptions!$B$6+IF(D1698="Yes",Assumptions!$C$6,0))</f>
        <v>54715.000800000002</v>
      </c>
      <c r="I1698" s="22">
        <f>F1698*(1+Assumptions!$B$7+IF(D1698="Yes",Assumptions!$C$7,0))</f>
        <v>55777.428</v>
      </c>
      <c r="J1698" s="22">
        <f>F1698*(1+Assumptions!$B$8+IF(D1698="Yes",Assumptions!$C$8,0))</f>
        <v>53652.573600000003</v>
      </c>
    </row>
    <row r="1699" spans="1:10" ht="15">
      <c r="A1699" s="21">
        <v>41068</v>
      </c>
      <c r="B1699" s="21">
        <v>41061</v>
      </c>
      <c r="C1699" s="17">
        <v>38</v>
      </c>
      <c r="D1699" s="17" t="s">
        <v>91</v>
      </c>
      <c r="E1699" s="14">
        <v>2859534.65</v>
      </c>
      <c r="F1699" s="14">
        <v>2766931.52</v>
      </c>
      <c r="G1699" s="14">
        <v>2766931.52</v>
      </c>
      <c r="H1699" s="22">
        <f>F1699*(1+Assumptions!$B$6+IF(D1699="Yes",Assumptions!$C$6,0))</f>
        <v>2849939.4656000002</v>
      </c>
      <c r="I1699" s="22">
        <f>F1699*(1+Assumptions!$B$7+IF(D1699="Yes",Assumptions!$C$7,0))</f>
        <v>2905278.0960000004</v>
      </c>
      <c r="J1699" s="22">
        <f>F1699*(1+Assumptions!$B$8+IF(D1699="Yes",Assumptions!$C$8,0))</f>
        <v>2794600.8352000001</v>
      </c>
    </row>
    <row r="1700" spans="1:10" ht="15">
      <c r="A1700" s="21">
        <v>41068</v>
      </c>
      <c r="B1700" s="21">
        <v>41061</v>
      </c>
      <c r="C1700" s="17">
        <v>40</v>
      </c>
      <c r="D1700" s="17" t="s">
        <v>91</v>
      </c>
      <c r="E1700" s="14">
        <v>2099825.16</v>
      </c>
      <c r="F1700" s="14">
        <v>1955637.8900000001</v>
      </c>
      <c r="G1700" s="14">
        <v>1955637.8900000001</v>
      </c>
      <c r="H1700" s="22">
        <f>F1700*(1+Assumptions!$B$6+IF(D1700="Yes",Assumptions!$C$6,0))</f>
        <v>2014307.0267000003</v>
      </c>
      <c r="I1700" s="22">
        <f>F1700*(1+Assumptions!$B$7+IF(D1700="Yes",Assumptions!$C$7,0))</f>
        <v>2053419.7845000003</v>
      </c>
      <c r="J1700" s="22">
        <f>F1700*(1+Assumptions!$B$8+IF(D1700="Yes",Assumptions!$C$8,0))</f>
        <v>1975194.2689000003</v>
      </c>
    </row>
    <row r="1701" spans="1:10" ht="15">
      <c r="A1701" s="21">
        <v>41068</v>
      </c>
      <c r="B1701" s="21">
        <v>41061</v>
      </c>
      <c r="C1701" s="17">
        <v>41</v>
      </c>
      <c r="D1701" s="17" t="s">
        <v>91</v>
      </c>
      <c r="E1701" s="14">
        <v>46815.97</v>
      </c>
      <c r="F1701" s="14">
        <v>56390.19</v>
      </c>
      <c r="G1701" s="14">
        <v>56390.19</v>
      </c>
      <c r="H1701" s="22">
        <f>F1701*(1+Assumptions!$B$6+IF(D1701="Yes",Assumptions!$C$6,0))</f>
        <v>58081.895700000001</v>
      </c>
      <c r="I1701" s="22">
        <f>F1701*(1+Assumptions!$B$7+IF(D1701="Yes",Assumptions!$C$7,0))</f>
        <v>59209.699500000002</v>
      </c>
      <c r="J1701" s="22">
        <f>F1701*(1+Assumptions!$B$8+IF(D1701="Yes",Assumptions!$C$8,0))</f>
        <v>56954.091899999999</v>
      </c>
    </row>
    <row r="1702" spans="1:10" ht="15">
      <c r="A1702" s="21">
        <v>41068</v>
      </c>
      <c r="B1702" s="21">
        <v>41061</v>
      </c>
      <c r="C1702" s="17">
        <v>42</v>
      </c>
      <c r="D1702" s="17" t="s">
        <v>91</v>
      </c>
      <c r="E1702" s="14">
        <v>261595.86</v>
      </c>
      <c r="F1702" s="14">
        <v>236906.56</v>
      </c>
      <c r="G1702" s="14">
        <v>236906.56</v>
      </c>
      <c r="H1702" s="22">
        <f>F1702*(1+Assumptions!$B$6+IF(D1702="Yes",Assumptions!$C$6,0))</f>
        <v>244013.7568</v>
      </c>
      <c r="I1702" s="22">
        <f>F1702*(1+Assumptions!$B$7+IF(D1702="Yes",Assumptions!$C$7,0))</f>
        <v>248751.88800000001</v>
      </c>
      <c r="J1702" s="22">
        <f>F1702*(1+Assumptions!$B$8+IF(D1702="Yes",Assumptions!$C$8,0))</f>
        <v>239275.6256</v>
      </c>
    </row>
    <row r="1703" spans="1:10" ht="15">
      <c r="A1703" s="21">
        <v>41068</v>
      </c>
      <c r="B1703" s="21">
        <v>41061</v>
      </c>
      <c r="C1703" s="17">
        <v>44</v>
      </c>
      <c r="D1703" s="17" t="s">
        <v>91</v>
      </c>
      <c r="E1703" s="14">
        <v>174628.94</v>
      </c>
      <c r="F1703" s="14">
        <v>152794.49</v>
      </c>
      <c r="G1703" s="14">
        <v>152794.49</v>
      </c>
      <c r="H1703" s="22">
        <f>F1703*(1+Assumptions!$B$6+IF(D1703="Yes",Assumptions!$C$6,0))</f>
        <v>157378.3247</v>
      </c>
      <c r="I1703" s="22">
        <f>F1703*(1+Assumptions!$B$7+IF(D1703="Yes",Assumptions!$C$7,0))</f>
        <v>160434.2145</v>
      </c>
      <c r="J1703" s="22">
        <f>F1703*(1+Assumptions!$B$8+IF(D1703="Yes",Assumptions!$C$8,0))</f>
        <v>154322.43489999999</v>
      </c>
    </row>
    <row r="1704" spans="1:10" ht="15">
      <c r="A1704" s="21">
        <v>41068</v>
      </c>
      <c r="B1704" s="21">
        <v>41061</v>
      </c>
      <c r="C1704" s="17">
        <v>45</v>
      </c>
      <c r="D1704" s="17" t="s">
        <v>91</v>
      </c>
      <c r="E1704" s="14">
        <v>104.64</v>
      </c>
      <c r="F1704" s="14">
        <v>91.2</v>
      </c>
      <c r="G1704" s="14">
        <v>91.2</v>
      </c>
      <c r="H1704" s="22">
        <f>F1704*(1+Assumptions!$B$6+IF(D1704="Yes",Assumptions!$C$6,0))</f>
        <v>93.936000000000007</v>
      </c>
      <c r="I1704" s="22">
        <f>F1704*(1+Assumptions!$B$7+IF(D1704="Yes",Assumptions!$C$7,0))</f>
        <v>95.76</v>
      </c>
      <c r="J1704" s="22">
        <f>F1704*(1+Assumptions!$B$8+IF(D1704="Yes",Assumptions!$C$8,0))</f>
        <v>92.112000000000009</v>
      </c>
    </row>
    <row r="1705" spans="1:10" ht="15">
      <c r="A1705" s="21">
        <v>41068</v>
      </c>
      <c r="B1705" s="21">
        <v>41061</v>
      </c>
      <c r="C1705" s="17">
        <v>46</v>
      </c>
      <c r="D1705" s="17" t="s">
        <v>91</v>
      </c>
      <c r="E1705" s="14">
        <v>1056669.6399999999</v>
      </c>
      <c r="F1705" s="14">
        <v>1037273.08</v>
      </c>
      <c r="G1705" s="14">
        <v>1037273.08</v>
      </c>
      <c r="H1705" s="22">
        <f>F1705*(1+Assumptions!$B$6+IF(D1705="Yes",Assumptions!$C$6,0))</f>
        <v>1068391.2723999999</v>
      </c>
      <c r="I1705" s="22">
        <f>F1705*(1+Assumptions!$B$7+IF(D1705="Yes",Assumptions!$C$7,0))</f>
        <v>1089136.7339999999</v>
      </c>
      <c r="J1705" s="22">
        <f>F1705*(1+Assumptions!$B$8+IF(D1705="Yes",Assumptions!$C$8,0))</f>
        <v>1047645.8108</v>
      </c>
    </row>
    <row r="1706" spans="1:10" ht="15">
      <c r="A1706" s="21">
        <v>41068</v>
      </c>
      <c r="B1706" s="21">
        <v>41061</v>
      </c>
      <c r="C1706" s="17">
        <v>48</v>
      </c>
      <c r="D1706" s="17" t="s">
        <v>91</v>
      </c>
      <c r="E1706" s="14">
        <v>12139</v>
      </c>
      <c r="F1706" s="14">
        <v>7763</v>
      </c>
      <c r="G1706" s="14">
        <v>7763</v>
      </c>
      <c r="H1706" s="22">
        <f>F1706*(1+Assumptions!$B$6+IF(D1706="Yes",Assumptions!$C$6,0))</f>
        <v>7995.89</v>
      </c>
      <c r="I1706" s="22">
        <f>F1706*(1+Assumptions!$B$7+IF(D1706="Yes",Assumptions!$C$7,0))</f>
        <v>8151.1500000000005</v>
      </c>
      <c r="J1706" s="22">
        <f>F1706*(1+Assumptions!$B$8+IF(D1706="Yes",Assumptions!$C$8,0))</f>
        <v>7840.63</v>
      </c>
    </row>
    <row r="1707" spans="1:10" ht="15">
      <c r="A1707" s="21">
        <v>41068</v>
      </c>
      <c r="B1707" s="21">
        <v>41061</v>
      </c>
      <c r="C1707" s="17">
        <v>49</v>
      </c>
      <c r="D1707" s="17" t="s">
        <v>91</v>
      </c>
      <c r="E1707" s="14">
        <v>257798.19</v>
      </c>
      <c r="F1707" s="14">
        <v>270636.69</v>
      </c>
      <c r="G1707" s="14">
        <v>270636.69</v>
      </c>
      <c r="H1707" s="22">
        <f>F1707*(1+Assumptions!$B$6+IF(D1707="Yes",Assumptions!$C$6,0))</f>
        <v>278755.79070000001</v>
      </c>
      <c r="I1707" s="22">
        <f>F1707*(1+Assumptions!$B$7+IF(D1707="Yes",Assumptions!$C$7,0))</f>
        <v>284168.5245</v>
      </c>
      <c r="J1707" s="22">
        <f>F1707*(1+Assumptions!$B$8+IF(D1707="Yes",Assumptions!$C$8,0))</f>
        <v>273343.05690000003</v>
      </c>
    </row>
    <row r="1708" spans="1:10" ht="15">
      <c r="A1708" s="21">
        <v>41068</v>
      </c>
      <c r="B1708" s="21">
        <v>41061</v>
      </c>
      <c r="C1708" s="17">
        <v>50</v>
      </c>
      <c r="D1708" s="17" t="s">
        <v>91</v>
      </c>
      <c r="E1708" s="14">
        <v>31137</v>
      </c>
      <c r="F1708" s="14">
        <v>29869.08</v>
      </c>
      <c r="G1708" s="14">
        <v>29869.08</v>
      </c>
      <c r="H1708" s="22">
        <f>F1708*(1+Assumptions!$B$6+IF(D1708="Yes",Assumptions!$C$6,0))</f>
        <v>30765.152400000003</v>
      </c>
      <c r="I1708" s="22">
        <f>F1708*(1+Assumptions!$B$7+IF(D1708="Yes",Assumptions!$C$7,0))</f>
        <v>31362.534000000003</v>
      </c>
      <c r="J1708" s="22">
        <f>F1708*(1+Assumptions!$B$8+IF(D1708="Yes",Assumptions!$C$8,0))</f>
        <v>30167.770800000002</v>
      </c>
    </row>
    <row r="1709" spans="1:10" ht="15">
      <c r="A1709" s="21">
        <v>41068</v>
      </c>
      <c r="B1709" s="21">
        <v>41061</v>
      </c>
      <c r="C1709" s="17">
        <v>51</v>
      </c>
      <c r="D1709" s="17" t="s">
        <v>91</v>
      </c>
      <c r="E1709" s="14">
        <v>32.200000000000003</v>
      </c>
      <c r="F1709" s="14">
        <v>10.8</v>
      </c>
      <c r="G1709" s="14">
        <v>10.8</v>
      </c>
      <c r="H1709" s="22">
        <f>F1709*(1+Assumptions!$B$6+IF(D1709="Yes",Assumptions!$C$6,0))</f>
        <v>11.124000000000001</v>
      </c>
      <c r="I1709" s="22">
        <f>F1709*(1+Assumptions!$B$7+IF(D1709="Yes",Assumptions!$C$7,0))</f>
        <v>11.340000000000002</v>
      </c>
      <c r="J1709" s="22">
        <f>F1709*(1+Assumptions!$B$8+IF(D1709="Yes",Assumptions!$C$8,0))</f>
        <v>10.908000000000001</v>
      </c>
    </row>
    <row r="1710" spans="1:10" ht="15">
      <c r="A1710" s="21">
        <v>41068</v>
      </c>
      <c r="B1710" s="21">
        <v>41061</v>
      </c>
      <c r="C1710" s="17">
        <v>52</v>
      </c>
      <c r="D1710" s="17" t="s">
        <v>91</v>
      </c>
      <c r="E1710" s="14">
        <v>75816.84</v>
      </c>
      <c r="F1710" s="14">
        <v>65609.929999999993</v>
      </c>
      <c r="G1710" s="14">
        <v>65609.929999999993</v>
      </c>
      <c r="H1710" s="22">
        <f>F1710*(1+Assumptions!$B$6+IF(D1710="Yes",Assumptions!$C$6,0))</f>
        <v>67578.227899999998</v>
      </c>
      <c r="I1710" s="22">
        <f>F1710*(1+Assumptions!$B$7+IF(D1710="Yes",Assumptions!$C$7,0))</f>
        <v>68890.426500000001</v>
      </c>
      <c r="J1710" s="22">
        <f>F1710*(1+Assumptions!$B$8+IF(D1710="Yes",Assumptions!$C$8,0))</f>
        <v>66266.029299999995</v>
      </c>
    </row>
    <row r="1711" spans="1:10" ht="15">
      <c r="A1711" s="21">
        <v>41068</v>
      </c>
      <c r="B1711" s="21">
        <v>41061</v>
      </c>
      <c r="C1711" s="17">
        <v>54</v>
      </c>
      <c r="D1711" s="17" t="s">
        <v>91</v>
      </c>
      <c r="E1711" s="14">
        <v>716.62</v>
      </c>
      <c r="F1711" s="14">
        <v>1751.74</v>
      </c>
      <c r="G1711" s="14">
        <v>1751.74</v>
      </c>
      <c r="H1711" s="22">
        <f>F1711*(1+Assumptions!$B$6+IF(D1711="Yes",Assumptions!$C$6,0))</f>
        <v>1804.2922000000001</v>
      </c>
      <c r="I1711" s="22">
        <f>F1711*(1+Assumptions!$B$7+IF(D1711="Yes",Assumptions!$C$7,0))</f>
        <v>1839.327</v>
      </c>
      <c r="J1711" s="22">
        <f>F1711*(1+Assumptions!$B$8+IF(D1711="Yes",Assumptions!$C$8,0))</f>
        <v>1769.2574</v>
      </c>
    </row>
    <row r="1712" spans="1:10" ht="15">
      <c r="A1712" s="21">
        <v>41068</v>
      </c>
      <c r="B1712" s="21">
        <v>41061</v>
      </c>
      <c r="C1712" s="17">
        <v>55</v>
      </c>
      <c r="D1712" s="17" t="s">
        <v>91</v>
      </c>
      <c r="E1712" s="14">
        <v>265214.31</v>
      </c>
      <c r="F1712" s="14">
        <v>291701.93</v>
      </c>
      <c r="G1712" s="14">
        <v>291701.93</v>
      </c>
      <c r="H1712" s="22">
        <f>F1712*(1+Assumptions!$B$6+IF(D1712="Yes",Assumptions!$C$6,0))</f>
        <v>300452.98790000001</v>
      </c>
      <c r="I1712" s="22">
        <f>F1712*(1+Assumptions!$B$7+IF(D1712="Yes",Assumptions!$C$7,0))</f>
        <v>306287.02649999998</v>
      </c>
      <c r="J1712" s="22">
        <f>F1712*(1+Assumptions!$B$8+IF(D1712="Yes",Assumptions!$C$8,0))</f>
        <v>294618.94929999998</v>
      </c>
    </row>
    <row r="1713" spans="1:10" ht="15">
      <c r="A1713" s="21">
        <v>41068</v>
      </c>
      <c r="B1713" s="21">
        <v>41061</v>
      </c>
      <c r="C1713" s="17">
        <v>56</v>
      </c>
      <c r="D1713" s="17" t="s">
        <v>91</v>
      </c>
      <c r="E1713" s="14">
        <v>338222.39</v>
      </c>
      <c r="F1713" s="14">
        <v>397284.37</v>
      </c>
      <c r="G1713" s="14">
        <v>397284.37</v>
      </c>
      <c r="H1713" s="22">
        <f>F1713*(1+Assumptions!$B$6+IF(D1713="Yes",Assumptions!$C$6,0))</f>
        <v>409202.90110000002</v>
      </c>
      <c r="I1713" s="22">
        <f>F1713*(1+Assumptions!$B$7+IF(D1713="Yes",Assumptions!$C$7,0))</f>
        <v>417148.58850000001</v>
      </c>
      <c r="J1713" s="22">
        <f>F1713*(1+Assumptions!$B$8+IF(D1713="Yes",Assumptions!$C$8,0))</f>
        <v>401257.21370000002</v>
      </c>
    </row>
    <row r="1714" spans="1:10" ht="15">
      <c r="A1714" s="21">
        <v>41068</v>
      </c>
      <c r="B1714" s="21">
        <v>41061</v>
      </c>
      <c r="C1714" s="17">
        <v>58</v>
      </c>
      <c r="D1714" s="17" t="s">
        <v>91</v>
      </c>
      <c r="E1714" s="14">
        <v>102399.97</v>
      </c>
      <c r="F1714" s="14">
        <v>95800</v>
      </c>
      <c r="G1714" s="14">
        <v>95800</v>
      </c>
      <c r="H1714" s="22">
        <f>F1714*(1+Assumptions!$B$6+IF(D1714="Yes",Assumptions!$C$6,0))</f>
        <v>98674</v>
      </c>
      <c r="I1714" s="22">
        <f>F1714*(1+Assumptions!$B$7+IF(D1714="Yes",Assumptions!$C$7,0))</f>
        <v>100590</v>
      </c>
      <c r="J1714" s="22">
        <f>F1714*(1+Assumptions!$B$8+IF(D1714="Yes",Assumptions!$C$8,0))</f>
        <v>96758</v>
      </c>
    </row>
    <row r="1715" spans="1:10" ht="15">
      <c r="A1715" s="21">
        <v>41068</v>
      </c>
      <c r="B1715" s="21">
        <v>41061</v>
      </c>
      <c r="C1715" s="17">
        <v>59</v>
      </c>
      <c r="D1715" s="17" t="s">
        <v>91</v>
      </c>
      <c r="E1715" s="14">
        <v>8473.9500000000007</v>
      </c>
      <c r="F1715" s="14">
        <v>9704.9699999999993</v>
      </c>
      <c r="G1715" s="14">
        <v>9704.9699999999993</v>
      </c>
      <c r="H1715" s="22">
        <f>F1715*(1+Assumptions!$B$6+IF(D1715="Yes",Assumptions!$C$6,0))</f>
        <v>9996.1190999999999</v>
      </c>
      <c r="I1715" s="22">
        <f>F1715*(1+Assumptions!$B$7+IF(D1715="Yes",Assumptions!$C$7,0))</f>
        <v>10190.218499999999</v>
      </c>
      <c r="J1715" s="22">
        <f>F1715*(1+Assumptions!$B$8+IF(D1715="Yes",Assumptions!$C$8,0))</f>
        <v>9802.0196999999989</v>
      </c>
    </row>
    <row r="1716" spans="1:10" ht="15">
      <c r="A1716" s="21">
        <v>41068</v>
      </c>
      <c r="B1716" s="21">
        <v>41061</v>
      </c>
      <c r="C1716" s="17">
        <v>60</v>
      </c>
      <c r="D1716" s="17" t="s">
        <v>91</v>
      </c>
      <c r="E1716" s="14">
        <v>16146</v>
      </c>
      <c r="F1716" s="14">
        <v>14853.2</v>
      </c>
      <c r="G1716" s="14">
        <v>14853.2</v>
      </c>
      <c r="H1716" s="22">
        <f>F1716*(1+Assumptions!$B$6+IF(D1716="Yes",Assumptions!$C$6,0))</f>
        <v>15298.796</v>
      </c>
      <c r="I1716" s="22">
        <f>F1716*(1+Assumptions!$B$7+IF(D1716="Yes",Assumptions!$C$7,0))</f>
        <v>15595.86</v>
      </c>
      <c r="J1716" s="22">
        <f>F1716*(1+Assumptions!$B$8+IF(D1716="Yes",Assumptions!$C$8,0))</f>
        <v>15001.732</v>
      </c>
    </row>
    <row r="1717" spans="1:10" ht="15">
      <c r="A1717" s="21">
        <v>41068</v>
      </c>
      <c r="B1717" s="21">
        <v>41061</v>
      </c>
      <c r="C1717" s="17">
        <v>65</v>
      </c>
      <c r="D1717" s="17" t="s">
        <v>91</v>
      </c>
      <c r="E1717" s="14">
        <v>48193.65</v>
      </c>
      <c r="F1717" s="14">
        <v>39256.49</v>
      </c>
      <c r="G1717" s="14">
        <v>39256.49</v>
      </c>
      <c r="H1717" s="22">
        <f>F1717*(1+Assumptions!$B$6+IF(D1717="Yes",Assumptions!$C$6,0))</f>
        <v>40434.184699999998</v>
      </c>
      <c r="I1717" s="22">
        <f>F1717*(1+Assumptions!$B$7+IF(D1717="Yes",Assumptions!$C$7,0))</f>
        <v>41219.3145</v>
      </c>
      <c r="J1717" s="22">
        <f>F1717*(1+Assumptions!$B$8+IF(D1717="Yes",Assumptions!$C$8,0))</f>
        <v>39649.054899999996</v>
      </c>
    </row>
    <row r="1718" spans="1:10" ht="15">
      <c r="A1718" s="21">
        <v>41068</v>
      </c>
      <c r="B1718" s="21">
        <v>41061</v>
      </c>
      <c r="C1718" s="17">
        <v>67</v>
      </c>
      <c r="D1718" s="17" t="s">
        <v>91</v>
      </c>
      <c r="E1718" s="14">
        <v>374697.34</v>
      </c>
      <c r="F1718" s="14">
        <v>353260.48</v>
      </c>
      <c r="G1718" s="14">
        <v>353260.48</v>
      </c>
      <c r="H1718" s="22">
        <f>F1718*(1+Assumptions!$B$6+IF(D1718="Yes",Assumptions!$C$6,0))</f>
        <v>363858.29440000001</v>
      </c>
      <c r="I1718" s="22">
        <f>F1718*(1+Assumptions!$B$7+IF(D1718="Yes",Assumptions!$C$7,0))</f>
        <v>370923.50400000002</v>
      </c>
      <c r="J1718" s="22">
        <f>F1718*(1+Assumptions!$B$8+IF(D1718="Yes",Assumptions!$C$8,0))</f>
        <v>356793.08480000001</v>
      </c>
    </row>
    <row r="1719" spans="1:10" ht="15">
      <c r="A1719" s="21">
        <v>41068</v>
      </c>
      <c r="B1719" s="21">
        <v>41061</v>
      </c>
      <c r="C1719" s="17">
        <v>71</v>
      </c>
      <c r="D1719" s="17" t="s">
        <v>91</v>
      </c>
      <c r="E1719" s="14">
        <v>207917.73</v>
      </c>
      <c r="F1719" s="14">
        <v>172125.15</v>
      </c>
      <c r="G1719" s="14">
        <v>172125.15</v>
      </c>
      <c r="H1719" s="22">
        <f>F1719*(1+Assumptions!$B$6+IF(D1719="Yes",Assumptions!$C$6,0))</f>
        <v>177288.9045</v>
      </c>
      <c r="I1719" s="22">
        <f>F1719*(1+Assumptions!$B$7+IF(D1719="Yes",Assumptions!$C$7,0))</f>
        <v>180731.4075</v>
      </c>
      <c r="J1719" s="22">
        <f>F1719*(1+Assumptions!$B$8+IF(D1719="Yes",Assumptions!$C$8,0))</f>
        <v>173846.40150000001</v>
      </c>
    </row>
    <row r="1720" spans="1:10" ht="15">
      <c r="A1720" s="21">
        <v>41068</v>
      </c>
      <c r="B1720" s="21">
        <v>41061</v>
      </c>
      <c r="C1720" s="17">
        <v>72</v>
      </c>
      <c r="D1720" s="17" t="s">
        <v>91</v>
      </c>
      <c r="E1720" s="14">
        <v>1696804.83</v>
      </c>
      <c r="F1720" s="14">
        <v>1543060.04</v>
      </c>
      <c r="G1720" s="14">
        <v>1543060.04</v>
      </c>
      <c r="H1720" s="22">
        <f>F1720*(1+Assumptions!$B$6+IF(D1720="Yes",Assumptions!$C$6,0))</f>
        <v>1589351.8412000001</v>
      </c>
      <c r="I1720" s="22">
        <f>F1720*(1+Assumptions!$B$7+IF(D1720="Yes",Assumptions!$C$7,0))</f>
        <v>1620213.0420000001</v>
      </c>
      <c r="J1720" s="22">
        <f>F1720*(1+Assumptions!$B$8+IF(D1720="Yes",Assumptions!$C$8,0))</f>
        <v>1558490.6404000001</v>
      </c>
    </row>
    <row r="1721" spans="1:10" ht="15">
      <c r="A1721" s="21">
        <v>41068</v>
      </c>
      <c r="B1721" s="21">
        <v>41061</v>
      </c>
      <c r="C1721" s="17">
        <v>74</v>
      </c>
      <c r="D1721" s="17" t="s">
        <v>91</v>
      </c>
      <c r="E1721" s="14">
        <v>626621.35</v>
      </c>
      <c r="F1721" s="14">
        <v>570775.72</v>
      </c>
      <c r="G1721" s="14">
        <v>570775.72</v>
      </c>
      <c r="H1721" s="22">
        <f>F1721*(1+Assumptions!$B$6+IF(D1721="Yes",Assumptions!$C$6,0))</f>
        <v>587898.99159999995</v>
      </c>
      <c r="I1721" s="22">
        <f>F1721*(1+Assumptions!$B$7+IF(D1721="Yes",Assumptions!$C$7,0))</f>
        <v>599314.50600000005</v>
      </c>
      <c r="J1721" s="22">
        <f>F1721*(1+Assumptions!$B$8+IF(D1721="Yes",Assumptions!$C$8,0))</f>
        <v>576483.47719999996</v>
      </c>
    </row>
    <row r="1722" spans="1:10" ht="15">
      <c r="A1722" s="21">
        <v>41068</v>
      </c>
      <c r="B1722" s="21">
        <v>41061</v>
      </c>
      <c r="C1722" s="17">
        <v>79</v>
      </c>
      <c r="D1722" s="17" t="s">
        <v>91</v>
      </c>
      <c r="E1722" s="14">
        <v>1077723.98</v>
      </c>
      <c r="F1722" s="14">
        <v>978626.63</v>
      </c>
      <c r="G1722" s="14">
        <v>978626.63</v>
      </c>
      <c r="H1722" s="22">
        <f>F1722*(1+Assumptions!$B$6+IF(D1722="Yes",Assumptions!$C$6,0))</f>
        <v>1007985.4289000001</v>
      </c>
      <c r="I1722" s="22">
        <f>F1722*(1+Assumptions!$B$7+IF(D1722="Yes",Assumptions!$C$7,0))</f>
        <v>1027557.9615000001</v>
      </c>
      <c r="J1722" s="22">
        <f>F1722*(1+Assumptions!$B$8+IF(D1722="Yes",Assumptions!$C$8,0))</f>
        <v>988412.89630000002</v>
      </c>
    </row>
    <row r="1723" spans="1:10" ht="15">
      <c r="A1723" s="21">
        <v>41068</v>
      </c>
      <c r="B1723" s="21">
        <v>41061</v>
      </c>
      <c r="C1723" s="17">
        <v>80</v>
      </c>
      <c r="D1723" s="17" t="s">
        <v>91</v>
      </c>
      <c r="E1723" s="14">
        <v>537605.28</v>
      </c>
      <c r="F1723" s="14">
        <v>523750.97</v>
      </c>
      <c r="G1723" s="14">
        <v>523750.97</v>
      </c>
      <c r="H1723" s="22">
        <f>F1723*(1+Assumptions!$B$6+IF(D1723="Yes",Assumptions!$C$6,0))</f>
        <v>539463.49910000002</v>
      </c>
      <c r="I1723" s="22">
        <f>F1723*(1+Assumptions!$B$7+IF(D1723="Yes",Assumptions!$C$7,0))</f>
        <v>549938.51850000001</v>
      </c>
      <c r="J1723" s="22">
        <f>F1723*(1+Assumptions!$B$8+IF(D1723="Yes",Assumptions!$C$8,0))</f>
        <v>528988.47970000003</v>
      </c>
    </row>
    <row r="1724" spans="1:10" ht="15">
      <c r="A1724" s="21">
        <v>41068</v>
      </c>
      <c r="B1724" s="21">
        <v>41061</v>
      </c>
      <c r="C1724" s="17">
        <v>81</v>
      </c>
      <c r="D1724" s="17" t="s">
        <v>91</v>
      </c>
      <c r="E1724" s="14">
        <v>762330.67999999993</v>
      </c>
      <c r="F1724" s="14">
        <v>730677.02</v>
      </c>
      <c r="G1724" s="14">
        <v>730677.02</v>
      </c>
      <c r="H1724" s="22">
        <f>F1724*(1+Assumptions!$B$6+IF(D1724="Yes",Assumptions!$C$6,0))</f>
        <v>752597.33059999999</v>
      </c>
      <c r="I1724" s="22">
        <f>F1724*(1+Assumptions!$B$7+IF(D1724="Yes",Assumptions!$C$7,0))</f>
        <v>767210.87100000004</v>
      </c>
      <c r="J1724" s="22">
        <f>F1724*(1+Assumptions!$B$8+IF(D1724="Yes",Assumptions!$C$8,0))</f>
        <v>737983.79020000005</v>
      </c>
    </row>
    <row r="1725" spans="1:10" ht="15">
      <c r="A1725" s="21">
        <v>41068</v>
      </c>
      <c r="B1725" s="21">
        <v>41061</v>
      </c>
      <c r="C1725" s="17">
        <v>82</v>
      </c>
      <c r="D1725" s="17" t="s">
        <v>91</v>
      </c>
      <c r="E1725" s="14">
        <v>734362.42</v>
      </c>
      <c r="F1725" s="14">
        <v>673254.43</v>
      </c>
      <c r="G1725" s="14">
        <v>673254.43</v>
      </c>
      <c r="H1725" s="22">
        <f>F1725*(1+Assumptions!$B$6+IF(D1725="Yes",Assumptions!$C$6,0))</f>
        <v>693452.06290000002</v>
      </c>
      <c r="I1725" s="22">
        <f>F1725*(1+Assumptions!$B$7+IF(D1725="Yes",Assumptions!$C$7,0))</f>
        <v>706917.15150000004</v>
      </c>
      <c r="J1725" s="22">
        <f>F1725*(1+Assumptions!$B$8+IF(D1725="Yes",Assumptions!$C$8,0))</f>
        <v>679986.9743</v>
      </c>
    </row>
    <row r="1726" spans="1:10" ht="15">
      <c r="A1726" s="21">
        <v>41068</v>
      </c>
      <c r="B1726" s="21">
        <v>41061</v>
      </c>
      <c r="C1726" s="17">
        <v>83</v>
      </c>
      <c r="D1726" s="17" t="s">
        <v>91</v>
      </c>
      <c r="E1726" s="14">
        <v>148528.46</v>
      </c>
      <c r="F1726" s="14">
        <v>132860.19</v>
      </c>
      <c r="G1726" s="14">
        <v>132860.19</v>
      </c>
      <c r="H1726" s="22">
        <f>F1726*(1+Assumptions!$B$6+IF(D1726="Yes",Assumptions!$C$6,0))</f>
        <v>136845.9957</v>
      </c>
      <c r="I1726" s="22">
        <f>F1726*(1+Assumptions!$B$7+IF(D1726="Yes",Assumptions!$C$7,0))</f>
        <v>139503.19950000002</v>
      </c>
      <c r="J1726" s="22">
        <f>F1726*(1+Assumptions!$B$8+IF(D1726="Yes",Assumptions!$C$8,0))</f>
        <v>134188.79190000001</v>
      </c>
    </row>
    <row r="1727" spans="1:10" ht="15">
      <c r="A1727" s="21">
        <v>41068</v>
      </c>
      <c r="B1727" s="21">
        <v>41061</v>
      </c>
      <c r="C1727" s="17">
        <v>85</v>
      </c>
      <c r="D1727" s="17" t="s">
        <v>91</v>
      </c>
      <c r="E1727" s="14">
        <v>91563.069999999992</v>
      </c>
      <c r="F1727" s="14">
        <v>94500.88</v>
      </c>
      <c r="G1727" s="14">
        <v>94500.88</v>
      </c>
      <c r="H1727" s="22">
        <f>F1727*(1+Assumptions!$B$6+IF(D1727="Yes",Assumptions!$C$6,0))</f>
        <v>97335.906400000007</v>
      </c>
      <c r="I1727" s="22">
        <f>F1727*(1+Assumptions!$B$7+IF(D1727="Yes",Assumptions!$C$7,0))</f>
        <v>99225.924000000014</v>
      </c>
      <c r="J1727" s="22">
        <f>F1727*(1+Assumptions!$B$8+IF(D1727="Yes",Assumptions!$C$8,0))</f>
        <v>95445.888800000001</v>
      </c>
    </row>
    <row r="1728" spans="1:10" ht="15">
      <c r="A1728" s="21">
        <v>41068</v>
      </c>
      <c r="B1728" s="21">
        <v>41061</v>
      </c>
      <c r="C1728" s="17">
        <v>87</v>
      </c>
      <c r="D1728" s="17" t="s">
        <v>91</v>
      </c>
      <c r="E1728" s="14">
        <v>742860.46</v>
      </c>
      <c r="F1728" s="14">
        <v>578401.97</v>
      </c>
      <c r="G1728" s="14">
        <v>578401.97</v>
      </c>
      <c r="H1728" s="22">
        <f>F1728*(1+Assumptions!$B$6+IF(D1728="Yes",Assumptions!$C$6,0))</f>
        <v>595754.02910000004</v>
      </c>
      <c r="I1728" s="22">
        <f>F1728*(1+Assumptions!$B$7+IF(D1728="Yes",Assumptions!$C$7,0))</f>
        <v>607322.06850000005</v>
      </c>
      <c r="J1728" s="22">
        <f>F1728*(1+Assumptions!$B$8+IF(D1728="Yes",Assumptions!$C$8,0))</f>
        <v>584185.98970000003</v>
      </c>
    </row>
    <row r="1729" spans="1:10" ht="15">
      <c r="A1729" s="21">
        <v>41068</v>
      </c>
      <c r="B1729" s="21">
        <v>41061</v>
      </c>
      <c r="C1729" s="17">
        <v>90</v>
      </c>
      <c r="D1729" s="17" t="s">
        <v>91</v>
      </c>
      <c r="E1729" s="14">
        <v>2132808.86</v>
      </c>
      <c r="F1729" s="14">
        <v>2025549.59</v>
      </c>
      <c r="G1729" s="14">
        <v>2025549.59</v>
      </c>
      <c r="H1729" s="22">
        <f>F1729*(1+Assumptions!$B$6+IF(D1729="Yes",Assumptions!$C$6,0))</f>
        <v>2086316.0777000003</v>
      </c>
      <c r="I1729" s="22">
        <f>F1729*(1+Assumptions!$B$7+IF(D1729="Yes",Assumptions!$C$7,0))</f>
        <v>2126827.0695000002</v>
      </c>
      <c r="J1729" s="22">
        <f>F1729*(1+Assumptions!$B$8+IF(D1729="Yes",Assumptions!$C$8,0))</f>
        <v>2045805.0859000001</v>
      </c>
    </row>
    <row r="1730" spans="1:10" ht="15">
      <c r="A1730" s="21">
        <v>41068</v>
      </c>
      <c r="B1730" s="21">
        <v>41061</v>
      </c>
      <c r="C1730" s="17">
        <v>91</v>
      </c>
      <c r="D1730" s="17" t="s">
        <v>91</v>
      </c>
      <c r="E1730" s="14">
        <v>1714955.32</v>
      </c>
      <c r="F1730" s="14">
        <v>1618636.6199999999</v>
      </c>
      <c r="G1730" s="14">
        <v>1618636.6199999999</v>
      </c>
      <c r="H1730" s="22">
        <f>F1730*(1+Assumptions!$B$6+IF(D1730="Yes",Assumptions!$C$6,0))</f>
        <v>1667195.7186</v>
      </c>
      <c r="I1730" s="22">
        <f>F1730*(1+Assumptions!$B$7+IF(D1730="Yes",Assumptions!$C$7,0))</f>
        <v>1699568.4509999999</v>
      </c>
      <c r="J1730" s="22">
        <f>F1730*(1+Assumptions!$B$8+IF(D1730="Yes",Assumptions!$C$8,0))</f>
        <v>1634822.9861999999</v>
      </c>
    </row>
    <row r="1731" spans="1:10" ht="15">
      <c r="A1731" s="21">
        <v>41068</v>
      </c>
      <c r="B1731" s="21">
        <v>41061</v>
      </c>
      <c r="C1731" s="17">
        <v>92</v>
      </c>
      <c r="D1731" s="17" t="s">
        <v>91</v>
      </c>
      <c r="E1731" s="14">
        <v>3762798.34</v>
      </c>
      <c r="F1731" s="14">
        <v>3308362.06</v>
      </c>
      <c r="G1731" s="14">
        <v>3308362.06</v>
      </c>
      <c r="H1731" s="22">
        <f>F1731*(1+Assumptions!$B$6+IF(D1731="Yes",Assumptions!$C$6,0))</f>
        <v>3407612.9218000001</v>
      </c>
      <c r="I1731" s="22">
        <f>F1731*(1+Assumptions!$B$7+IF(D1731="Yes",Assumptions!$C$7,0))</f>
        <v>3473780.1630000002</v>
      </c>
      <c r="J1731" s="22">
        <f>F1731*(1+Assumptions!$B$8+IF(D1731="Yes",Assumptions!$C$8,0))</f>
        <v>3341445.6806000001</v>
      </c>
    </row>
    <row r="1732" spans="1:10" ht="15">
      <c r="A1732" s="21">
        <v>41068</v>
      </c>
      <c r="B1732" s="21">
        <v>41061</v>
      </c>
      <c r="C1732" s="17">
        <v>93</v>
      </c>
      <c r="D1732" s="17" t="s">
        <v>91</v>
      </c>
      <c r="E1732" s="14">
        <v>1291229.76</v>
      </c>
      <c r="F1732" s="14">
        <v>1191795.78</v>
      </c>
      <c r="G1732" s="14">
        <v>1191795.78</v>
      </c>
      <c r="H1732" s="22">
        <f>F1732*(1+Assumptions!$B$6+IF(D1732="Yes",Assumptions!$C$6,0))</f>
        <v>1227549.6534</v>
      </c>
      <c r="I1732" s="22">
        <f>F1732*(1+Assumptions!$B$7+IF(D1732="Yes",Assumptions!$C$7,0))</f>
        <v>1251385.5690000001</v>
      </c>
      <c r="J1732" s="22">
        <f>F1732*(1+Assumptions!$B$8+IF(D1732="Yes",Assumptions!$C$8,0))</f>
        <v>1203713.7378</v>
      </c>
    </row>
    <row r="1733" spans="1:10" ht="15">
      <c r="A1733" s="21">
        <v>41068</v>
      </c>
      <c r="B1733" s="21">
        <v>41061</v>
      </c>
      <c r="C1733" s="17">
        <v>94</v>
      </c>
      <c r="D1733" s="17" t="s">
        <v>91</v>
      </c>
      <c r="E1733" s="14">
        <v>1477178.45</v>
      </c>
      <c r="F1733" s="14">
        <v>1458828.66</v>
      </c>
      <c r="G1733" s="14">
        <v>1458828.66</v>
      </c>
      <c r="H1733" s="22">
        <f>F1733*(1+Assumptions!$B$6+IF(D1733="Yes",Assumptions!$C$6,0))</f>
        <v>1502593.5197999999</v>
      </c>
      <c r="I1733" s="22">
        <f>F1733*(1+Assumptions!$B$7+IF(D1733="Yes",Assumptions!$C$7,0))</f>
        <v>1531770.0929999999</v>
      </c>
      <c r="J1733" s="22">
        <f>F1733*(1+Assumptions!$B$8+IF(D1733="Yes",Assumptions!$C$8,0))</f>
        <v>1473416.9465999999</v>
      </c>
    </row>
    <row r="1734" spans="1:10" ht="15">
      <c r="A1734" s="21">
        <v>41068</v>
      </c>
      <c r="B1734" s="21">
        <v>41061</v>
      </c>
      <c r="C1734" s="17">
        <v>95</v>
      </c>
      <c r="D1734" s="17" t="s">
        <v>91</v>
      </c>
      <c r="E1734" s="14">
        <v>3511273.29</v>
      </c>
      <c r="F1734" s="14">
        <v>3491710.12</v>
      </c>
      <c r="G1734" s="14">
        <v>3491710.12</v>
      </c>
      <c r="H1734" s="22">
        <f>F1734*(1+Assumptions!$B$6+IF(D1734="Yes",Assumptions!$C$6,0))</f>
        <v>3596461.4236000003</v>
      </c>
      <c r="I1734" s="22">
        <f>F1734*(1+Assumptions!$B$7+IF(D1734="Yes",Assumptions!$C$7,0))</f>
        <v>3666295.6260000002</v>
      </c>
      <c r="J1734" s="22">
        <f>F1734*(1+Assumptions!$B$8+IF(D1734="Yes",Assumptions!$C$8,0))</f>
        <v>3526627.2212</v>
      </c>
    </row>
    <row r="1735" spans="1:10" ht="15">
      <c r="A1735" s="21">
        <v>41068</v>
      </c>
      <c r="B1735" s="21">
        <v>41061</v>
      </c>
      <c r="C1735" s="17">
        <v>96</v>
      </c>
      <c r="D1735" s="17" t="s">
        <v>91</v>
      </c>
      <c r="E1735" s="14">
        <v>579309.27</v>
      </c>
      <c r="F1735" s="14">
        <v>553378.46</v>
      </c>
      <c r="G1735" s="14">
        <v>553378.46</v>
      </c>
      <c r="H1735" s="22">
        <f>F1735*(1+Assumptions!$B$6+IF(D1735="Yes",Assumptions!$C$6,0))</f>
        <v>569979.8138</v>
      </c>
      <c r="I1735" s="22">
        <f>F1735*(1+Assumptions!$B$7+IF(D1735="Yes",Assumptions!$C$7,0))</f>
        <v>581047.38300000003</v>
      </c>
      <c r="J1735" s="22">
        <f>F1735*(1+Assumptions!$B$8+IF(D1735="Yes",Assumptions!$C$8,0))</f>
        <v>558912.24459999998</v>
      </c>
    </row>
    <row r="1736" spans="1:10" ht="15">
      <c r="A1736" s="21">
        <v>41068</v>
      </c>
      <c r="B1736" s="21">
        <v>41061</v>
      </c>
      <c r="C1736" s="17">
        <v>97</v>
      </c>
      <c r="D1736" s="17" t="s">
        <v>91</v>
      </c>
      <c r="E1736" s="14">
        <v>696572.47</v>
      </c>
      <c r="F1736" s="14">
        <v>692784.4</v>
      </c>
      <c r="G1736" s="14">
        <v>692784.4</v>
      </c>
      <c r="H1736" s="22">
        <f>F1736*(1+Assumptions!$B$6+IF(D1736="Yes",Assumptions!$C$6,0))</f>
        <v>713567.93200000003</v>
      </c>
      <c r="I1736" s="22">
        <f>F1736*(1+Assumptions!$B$7+IF(D1736="Yes",Assumptions!$C$7,0))</f>
        <v>727423.62000000011</v>
      </c>
      <c r="J1736" s="22">
        <f>F1736*(1+Assumptions!$B$8+IF(D1736="Yes",Assumptions!$C$8,0))</f>
        <v>699712.24400000006</v>
      </c>
    </row>
    <row r="1737" spans="1:10" ht="15">
      <c r="A1737" s="21">
        <v>41068</v>
      </c>
      <c r="B1737" s="21">
        <v>41061</v>
      </c>
      <c r="C1737" s="17">
        <v>98</v>
      </c>
      <c r="D1737" s="17" t="s">
        <v>91</v>
      </c>
      <c r="E1737" s="14">
        <v>262447</v>
      </c>
      <c r="F1737" s="14">
        <v>262575.39</v>
      </c>
      <c r="G1737" s="14">
        <v>262575.39</v>
      </c>
      <c r="H1737" s="22">
        <f>F1737*(1+Assumptions!$B$6+IF(D1737="Yes",Assumptions!$C$6,0))</f>
        <v>270452.65170000005</v>
      </c>
      <c r="I1737" s="22">
        <f>F1737*(1+Assumptions!$B$7+IF(D1737="Yes",Assumptions!$C$7,0))</f>
        <v>275704.15950000001</v>
      </c>
      <c r="J1737" s="22">
        <f>F1737*(1+Assumptions!$B$8+IF(D1737="Yes",Assumptions!$C$8,0))</f>
        <v>265201.14390000002</v>
      </c>
    </row>
    <row r="1738" spans="1:10" ht="15">
      <c r="A1738" s="21">
        <v>41075</v>
      </c>
      <c r="B1738" s="21">
        <v>41061</v>
      </c>
      <c r="C1738" s="17">
        <v>1</v>
      </c>
      <c r="D1738" s="17" t="s">
        <v>91</v>
      </c>
      <c r="E1738" s="14">
        <v>662747.62</v>
      </c>
      <c r="F1738" s="14">
        <v>621559.64</v>
      </c>
      <c r="G1738" s="14">
        <v>621559.64</v>
      </c>
      <c r="H1738" s="22">
        <f>F1738*(1+Assumptions!$B$6+IF(D1738="Yes",Assumptions!$C$6,0))</f>
        <v>640206.42920000001</v>
      </c>
      <c r="I1738" s="22">
        <f>F1738*(1+Assumptions!$B$7+IF(D1738="Yes",Assumptions!$C$7,0))</f>
        <v>652637.62200000009</v>
      </c>
      <c r="J1738" s="22">
        <f>F1738*(1+Assumptions!$B$8+IF(D1738="Yes",Assumptions!$C$8,0))</f>
        <v>627775.23640000005</v>
      </c>
    </row>
    <row r="1739" spans="1:10" ht="15">
      <c r="A1739" s="21">
        <v>41075</v>
      </c>
      <c r="B1739" s="21">
        <v>41061</v>
      </c>
      <c r="C1739" s="17">
        <v>2</v>
      </c>
      <c r="D1739" s="17" t="s">
        <v>91</v>
      </c>
      <c r="E1739" s="14">
        <v>2012809.67</v>
      </c>
      <c r="F1739" s="14">
        <v>1984413.22</v>
      </c>
      <c r="G1739" s="14">
        <v>1984413.22</v>
      </c>
      <c r="H1739" s="22">
        <f>F1739*(1+Assumptions!$B$6+IF(D1739="Yes",Assumptions!$C$6,0))</f>
        <v>2043945.6166000001</v>
      </c>
      <c r="I1739" s="22">
        <f>F1739*(1+Assumptions!$B$7+IF(D1739="Yes",Assumptions!$C$7,0))</f>
        <v>2083633.8810000001</v>
      </c>
      <c r="J1739" s="22">
        <f>F1739*(1+Assumptions!$B$8+IF(D1739="Yes",Assumptions!$C$8,0))</f>
        <v>2004257.3522000001</v>
      </c>
    </row>
    <row r="1740" spans="1:10" ht="15">
      <c r="A1740" s="21">
        <v>41075</v>
      </c>
      <c r="B1740" s="21">
        <v>41061</v>
      </c>
      <c r="C1740" s="17">
        <v>3</v>
      </c>
      <c r="D1740" s="17" t="s">
        <v>91</v>
      </c>
      <c r="E1740" s="14">
        <v>328550.96999999997</v>
      </c>
      <c r="F1740" s="14">
        <v>315321.40000000002</v>
      </c>
      <c r="G1740" s="14">
        <v>315321.40000000002</v>
      </c>
      <c r="H1740" s="22">
        <f>F1740*(1+Assumptions!$B$6+IF(D1740="Yes",Assumptions!$C$6,0))</f>
        <v>324781.04200000002</v>
      </c>
      <c r="I1740" s="22">
        <f>F1740*(1+Assumptions!$B$7+IF(D1740="Yes",Assumptions!$C$7,0))</f>
        <v>331087.47000000003</v>
      </c>
      <c r="J1740" s="22">
        <f>F1740*(1+Assumptions!$B$8+IF(D1740="Yes",Assumptions!$C$8,0))</f>
        <v>318474.614</v>
      </c>
    </row>
    <row r="1741" spans="1:10" ht="15">
      <c r="A1741" s="21">
        <v>41075</v>
      </c>
      <c r="B1741" s="21">
        <v>41061</v>
      </c>
      <c r="C1741" s="17">
        <v>4</v>
      </c>
      <c r="D1741" s="17" t="s">
        <v>91</v>
      </c>
      <c r="E1741" s="14">
        <v>1186658.6399999999</v>
      </c>
      <c r="F1741" s="14">
        <v>1153631.08</v>
      </c>
      <c r="G1741" s="14">
        <v>1153631.08</v>
      </c>
      <c r="H1741" s="22">
        <f>F1741*(1+Assumptions!$B$6+IF(D1741="Yes",Assumptions!$C$6,0))</f>
        <v>1188240.0124000001</v>
      </c>
      <c r="I1741" s="22">
        <f>F1741*(1+Assumptions!$B$7+IF(D1741="Yes",Assumptions!$C$7,0))</f>
        <v>1211312.6340000001</v>
      </c>
      <c r="J1741" s="22">
        <f>F1741*(1+Assumptions!$B$8+IF(D1741="Yes",Assumptions!$C$8,0))</f>
        <v>1165167.3908000002</v>
      </c>
    </row>
    <row r="1742" spans="1:10" ht="15">
      <c r="A1742" s="21">
        <v>41075</v>
      </c>
      <c r="B1742" s="21">
        <v>41061</v>
      </c>
      <c r="C1742" s="17">
        <v>5</v>
      </c>
      <c r="D1742" s="17" t="s">
        <v>91</v>
      </c>
      <c r="E1742" s="14">
        <v>850973.81</v>
      </c>
      <c r="F1742" s="14">
        <v>795270.5</v>
      </c>
      <c r="G1742" s="14">
        <v>795270.5</v>
      </c>
      <c r="H1742" s="22">
        <f>F1742*(1+Assumptions!$B$6+IF(D1742="Yes",Assumptions!$C$6,0))</f>
        <v>819128.61499999999</v>
      </c>
      <c r="I1742" s="22">
        <f>F1742*(1+Assumptions!$B$7+IF(D1742="Yes",Assumptions!$C$7,0))</f>
        <v>835034.02500000002</v>
      </c>
      <c r="J1742" s="22">
        <f>F1742*(1+Assumptions!$B$8+IF(D1742="Yes",Assumptions!$C$8,0))</f>
        <v>803223.20499999996</v>
      </c>
    </row>
    <row r="1743" spans="1:10" ht="15">
      <c r="A1743" s="21">
        <v>41075</v>
      </c>
      <c r="B1743" s="21">
        <v>41061</v>
      </c>
      <c r="C1743" s="17">
        <v>6</v>
      </c>
      <c r="D1743" s="17" t="s">
        <v>91</v>
      </c>
      <c r="E1743" s="14">
        <v>172464.2</v>
      </c>
      <c r="F1743" s="14">
        <v>215876.66</v>
      </c>
      <c r="G1743" s="14">
        <v>215876.66</v>
      </c>
      <c r="H1743" s="22">
        <f>F1743*(1+Assumptions!$B$6+IF(D1743="Yes",Assumptions!$C$6,0))</f>
        <v>222352.95980000001</v>
      </c>
      <c r="I1743" s="22">
        <f>F1743*(1+Assumptions!$B$7+IF(D1743="Yes",Assumptions!$C$7,0))</f>
        <v>226670.49300000002</v>
      </c>
      <c r="J1743" s="22">
        <f>F1743*(1+Assumptions!$B$8+IF(D1743="Yes",Assumptions!$C$8,0))</f>
        <v>218035.42660000001</v>
      </c>
    </row>
    <row r="1744" spans="1:10" ht="15">
      <c r="A1744" s="21">
        <v>41075</v>
      </c>
      <c r="B1744" s="21">
        <v>41061</v>
      </c>
      <c r="C1744" s="17">
        <v>7</v>
      </c>
      <c r="D1744" s="17" t="s">
        <v>91</v>
      </c>
      <c r="E1744" s="14">
        <v>1161920.1399999999</v>
      </c>
      <c r="F1744" s="14">
        <v>1147669.8899999999</v>
      </c>
      <c r="G1744" s="14">
        <v>1147669.8899999999</v>
      </c>
      <c r="H1744" s="22">
        <f>F1744*(1+Assumptions!$B$6+IF(D1744="Yes",Assumptions!$C$6,0))</f>
        <v>1182099.9867</v>
      </c>
      <c r="I1744" s="22">
        <f>F1744*(1+Assumptions!$B$7+IF(D1744="Yes",Assumptions!$C$7,0))</f>
        <v>1205053.3844999999</v>
      </c>
      <c r="J1744" s="22">
        <f>F1744*(1+Assumptions!$B$8+IF(D1744="Yes",Assumptions!$C$8,0))</f>
        <v>1159146.5888999999</v>
      </c>
    </row>
    <row r="1745" spans="1:10" ht="15">
      <c r="A1745" s="21">
        <v>41075</v>
      </c>
      <c r="B1745" s="21">
        <v>41061</v>
      </c>
      <c r="C1745" s="17">
        <v>8</v>
      </c>
      <c r="D1745" s="17" t="s">
        <v>91</v>
      </c>
      <c r="E1745" s="14">
        <v>1364355.26</v>
      </c>
      <c r="F1745" s="14">
        <v>1350708.76</v>
      </c>
      <c r="G1745" s="14">
        <v>1350708.76</v>
      </c>
      <c r="H1745" s="22">
        <f>F1745*(1+Assumptions!$B$6+IF(D1745="Yes",Assumptions!$C$6,0))</f>
        <v>1391230.0228000002</v>
      </c>
      <c r="I1745" s="22">
        <f>F1745*(1+Assumptions!$B$7+IF(D1745="Yes",Assumptions!$C$7,0))</f>
        <v>1418244.1980000001</v>
      </c>
      <c r="J1745" s="22">
        <f>F1745*(1+Assumptions!$B$8+IF(D1745="Yes",Assumptions!$C$8,0))</f>
        <v>1364215.8476</v>
      </c>
    </row>
    <row r="1746" spans="1:10" ht="15">
      <c r="A1746" s="21">
        <v>41075</v>
      </c>
      <c r="B1746" s="21">
        <v>41061</v>
      </c>
      <c r="C1746" s="17">
        <v>9</v>
      </c>
      <c r="D1746" s="17" t="s">
        <v>91</v>
      </c>
      <c r="E1746" s="14">
        <v>1213925.52</v>
      </c>
      <c r="F1746" s="14">
        <v>1152946.28</v>
      </c>
      <c r="G1746" s="14">
        <v>1152946.28</v>
      </c>
      <c r="H1746" s="22">
        <f>F1746*(1+Assumptions!$B$6+IF(D1746="Yes",Assumptions!$C$6,0))</f>
        <v>1187534.6684000001</v>
      </c>
      <c r="I1746" s="22">
        <f>F1746*(1+Assumptions!$B$7+IF(D1746="Yes",Assumptions!$C$7,0))</f>
        <v>1210593.594</v>
      </c>
      <c r="J1746" s="22">
        <f>F1746*(1+Assumptions!$B$8+IF(D1746="Yes",Assumptions!$C$8,0))</f>
        <v>1164475.7428000001</v>
      </c>
    </row>
    <row r="1747" spans="1:10" ht="15">
      <c r="A1747" s="21">
        <v>41075</v>
      </c>
      <c r="B1747" s="21">
        <v>41061</v>
      </c>
      <c r="C1747" s="17">
        <v>10</v>
      </c>
      <c r="D1747" s="17" t="s">
        <v>91</v>
      </c>
      <c r="E1747" s="14">
        <v>883821.88</v>
      </c>
      <c r="F1747" s="14">
        <v>883818.22</v>
      </c>
      <c r="G1747" s="14">
        <v>883818.22</v>
      </c>
      <c r="H1747" s="22">
        <f>F1747*(1+Assumptions!$B$6+IF(D1747="Yes",Assumptions!$C$6,0))</f>
        <v>910332.76659999997</v>
      </c>
      <c r="I1747" s="22">
        <f>F1747*(1+Assumptions!$B$7+IF(D1747="Yes",Assumptions!$C$7,0))</f>
        <v>928009.13100000005</v>
      </c>
      <c r="J1747" s="22">
        <f>F1747*(1+Assumptions!$B$8+IF(D1747="Yes",Assumptions!$C$8,0))</f>
        <v>892656.40220000001</v>
      </c>
    </row>
    <row r="1748" spans="1:10" ht="15">
      <c r="A1748" s="21">
        <v>41075</v>
      </c>
      <c r="B1748" s="21">
        <v>41061</v>
      </c>
      <c r="C1748" s="17">
        <v>11</v>
      </c>
      <c r="D1748" s="17" t="s">
        <v>91</v>
      </c>
      <c r="E1748" s="14">
        <v>759360.97</v>
      </c>
      <c r="F1748" s="14">
        <v>768551.55</v>
      </c>
      <c r="G1748" s="14">
        <v>768551.55</v>
      </c>
      <c r="H1748" s="22">
        <f>F1748*(1+Assumptions!$B$6+IF(D1748="Yes",Assumptions!$C$6,0))</f>
        <v>791608.0965000001</v>
      </c>
      <c r="I1748" s="22">
        <f>F1748*(1+Assumptions!$B$7+IF(D1748="Yes",Assumptions!$C$7,0))</f>
        <v>806979.12750000006</v>
      </c>
      <c r="J1748" s="22">
        <f>F1748*(1+Assumptions!$B$8+IF(D1748="Yes",Assumptions!$C$8,0))</f>
        <v>776237.06550000003</v>
      </c>
    </row>
    <row r="1749" spans="1:10" ht="15">
      <c r="A1749" s="21">
        <v>41075</v>
      </c>
      <c r="B1749" s="21">
        <v>41061</v>
      </c>
      <c r="C1749" s="17">
        <v>12</v>
      </c>
      <c r="D1749" s="17" t="s">
        <v>91</v>
      </c>
      <c r="E1749" s="14">
        <v>216327.16</v>
      </c>
      <c r="F1749" s="14">
        <v>212251.06</v>
      </c>
      <c r="G1749" s="14">
        <v>212251.06</v>
      </c>
      <c r="H1749" s="22">
        <f>F1749*(1+Assumptions!$B$6+IF(D1749="Yes",Assumptions!$C$6,0))</f>
        <v>218618.59179999999</v>
      </c>
      <c r="I1749" s="22">
        <f>F1749*(1+Assumptions!$B$7+IF(D1749="Yes",Assumptions!$C$7,0))</f>
        <v>222863.61300000001</v>
      </c>
      <c r="J1749" s="22">
        <f>F1749*(1+Assumptions!$B$8+IF(D1749="Yes",Assumptions!$C$8,0))</f>
        <v>214373.57060000001</v>
      </c>
    </row>
    <row r="1750" spans="1:10" ht="15">
      <c r="A1750" s="21">
        <v>41075</v>
      </c>
      <c r="B1750" s="21">
        <v>41061</v>
      </c>
      <c r="C1750" s="17">
        <v>13</v>
      </c>
      <c r="D1750" s="17" t="s">
        <v>91</v>
      </c>
      <c r="E1750" s="14">
        <v>1346871.89</v>
      </c>
      <c r="F1750" s="14">
        <v>1323248.58</v>
      </c>
      <c r="G1750" s="14">
        <v>1323248.58</v>
      </c>
      <c r="H1750" s="22">
        <f>F1750*(1+Assumptions!$B$6+IF(D1750="Yes",Assumptions!$C$6,0))</f>
        <v>1362946.0374</v>
      </c>
      <c r="I1750" s="22">
        <f>F1750*(1+Assumptions!$B$7+IF(D1750="Yes",Assumptions!$C$7,0))</f>
        <v>1389411.0090000001</v>
      </c>
      <c r="J1750" s="22">
        <f>F1750*(1+Assumptions!$B$8+IF(D1750="Yes",Assumptions!$C$8,0))</f>
        <v>1336481.0658</v>
      </c>
    </row>
    <row r="1751" spans="1:10" ht="15">
      <c r="A1751" s="21">
        <v>41075</v>
      </c>
      <c r="B1751" s="21">
        <v>41061</v>
      </c>
      <c r="C1751" s="17">
        <v>14</v>
      </c>
      <c r="D1751" s="17" t="s">
        <v>91</v>
      </c>
      <c r="E1751" s="14">
        <v>615805.79</v>
      </c>
      <c r="F1751" s="14">
        <v>574915.29</v>
      </c>
      <c r="G1751" s="14">
        <v>574915.29</v>
      </c>
      <c r="H1751" s="22">
        <f>F1751*(1+Assumptions!$B$6+IF(D1751="Yes",Assumptions!$C$6,0))</f>
        <v>592162.7487</v>
      </c>
      <c r="I1751" s="22">
        <f>F1751*(1+Assumptions!$B$7+IF(D1751="Yes",Assumptions!$C$7,0))</f>
        <v>603661.05450000009</v>
      </c>
      <c r="J1751" s="22">
        <f>F1751*(1+Assumptions!$B$8+IF(D1751="Yes",Assumptions!$C$8,0))</f>
        <v>580664.44290000002</v>
      </c>
    </row>
    <row r="1752" spans="1:10" ht="15">
      <c r="A1752" s="21">
        <v>41075</v>
      </c>
      <c r="B1752" s="21">
        <v>41061</v>
      </c>
      <c r="C1752" s="17">
        <v>16</v>
      </c>
      <c r="D1752" s="17" t="s">
        <v>91</v>
      </c>
      <c r="E1752" s="14">
        <v>1295393.56</v>
      </c>
      <c r="F1752" s="14">
        <v>1265990.56</v>
      </c>
      <c r="G1752" s="14">
        <v>1265990.56</v>
      </c>
      <c r="H1752" s="22">
        <f>F1752*(1+Assumptions!$B$6+IF(D1752="Yes",Assumptions!$C$6,0))</f>
        <v>1303970.2768000001</v>
      </c>
      <c r="I1752" s="22">
        <f>F1752*(1+Assumptions!$B$7+IF(D1752="Yes",Assumptions!$C$7,0))</f>
        <v>1329290.0880000002</v>
      </c>
      <c r="J1752" s="22">
        <f>F1752*(1+Assumptions!$B$8+IF(D1752="Yes",Assumptions!$C$8,0))</f>
        <v>1278650.4656</v>
      </c>
    </row>
    <row r="1753" spans="1:10" ht="15">
      <c r="A1753" s="21">
        <v>41075</v>
      </c>
      <c r="B1753" s="21">
        <v>41061</v>
      </c>
      <c r="C1753" s="17">
        <v>17</v>
      </c>
      <c r="D1753" s="17" t="s">
        <v>91</v>
      </c>
      <c r="E1753" s="14">
        <v>396020.25</v>
      </c>
      <c r="F1753" s="14">
        <v>397148.42</v>
      </c>
      <c r="G1753" s="14">
        <v>397148.42</v>
      </c>
      <c r="H1753" s="22">
        <f>F1753*(1+Assumptions!$B$6+IF(D1753="Yes",Assumptions!$C$6,0))</f>
        <v>409062.8726</v>
      </c>
      <c r="I1753" s="22">
        <f>F1753*(1+Assumptions!$B$7+IF(D1753="Yes",Assumptions!$C$7,0))</f>
        <v>417005.84100000001</v>
      </c>
      <c r="J1753" s="22">
        <f>F1753*(1+Assumptions!$B$8+IF(D1753="Yes",Assumptions!$C$8,0))</f>
        <v>401119.90419999999</v>
      </c>
    </row>
    <row r="1754" spans="1:10" ht="15">
      <c r="A1754" s="21">
        <v>41075</v>
      </c>
      <c r="B1754" s="21">
        <v>41061</v>
      </c>
      <c r="C1754" s="17">
        <v>18</v>
      </c>
      <c r="D1754" s="17" t="s">
        <v>91</v>
      </c>
      <c r="E1754" s="14">
        <v>-5.4600000000000009</v>
      </c>
      <c r="F1754" s="14">
        <v>-29.689999999999998</v>
      </c>
      <c r="G1754" s="14">
        <v>-29.689999999999998</v>
      </c>
      <c r="H1754" s="22">
        <f>F1754*(1+Assumptions!$B$6+IF(D1754="Yes",Assumptions!$C$6,0))</f>
        <v>-30.5807</v>
      </c>
      <c r="I1754" s="22">
        <f>F1754*(1+Assumptions!$B$7+IF(D1754="Yes",Assumptions!$C$7,0))</f>
        <v>-31.174499999999998</v>
      </c>
      <c r="J1754" s="22">
        <f>F1754*(1+Assumptions!$B$8+IF(D1754="Yes",Assumptions!$C$8,0))</f>
        <v>-29.986899999999999</v>
      </c>
    </row>
    <row r="1755" spans="1:10" ht="15">
      <c r="A1755" s="21">
        <v>41075</v>
      </c>
      <c r="B1755" s="21">
        <v>41061</v>
      </c>
      <c r="C1755" s="17">
        <v>19</v>
      </c>
      <c r="D1755" s="17" t="s">
        <v>91</v>
      </c>
      <c r="E1755" s="14">
        <v>42423.03</v>
      </c>
      <c r="F1755" s="14">
        <v>38830.410000000003</v>
      </c>
      <c r="G1755" s="14">
        <v>38830.410000000003</v>
      </c>
      <c r="H1755" s="22">
        <f>F1755*(1+Assumptions!$B$6+IF(D1755="Yes",Assumptions!$C$6,0))</f>
        <v>39995.322300000007</v>
      </c>
      <c r="I1755" s="22">
        <f>F1755*(1+Assumptions!$B$7+IF(D1755="Yes",Assumptions!$C$7,0))</f>
        <v>40771.930500000002</v>
      </c>
      <c r="J1755" s="22">
        <f>F1755*(1+Assumptions!$B$8+IF(D1755="Yes",Assumptions!$C$8,0))</f>
        <v>39218.714100000005</v>
      </c>
    </row>
    <row r="1756" spans="1:10" ht="15">
      <c r="A1756" s="21">
        <v>41075</v>
      </c>
      <c r="B1756" s="21">
        <v>41061</v>
      </c>
      <c r="C1756" s="17">
        <v>20</v>
      </c>
      <c r="D1756" s="17" t="s">
        <v>91</v>
      </c>
      <c r="E1756" s="14">
        <v>254021.73</v>
      </c>
      <c r="F1756" s="14">
        <v>248261.63</v>
      </c>
      <c r="G1756" s="14">
        <v>248261.63</v>
      </c>
      <c r="H1756" s="22">
        <f>F1756*(1+Assumptions!$B$6+IF(D1756="Yes",Assumptions!$C$6,0))</f>
        <v>255709.47890000002</v>
      </c>
      <c r="I1756" s="22">
        <f>F1756*(1+Assumptions!$B$7+IF(D1756="Yes",Assumptions!$C$7,0))</f>
        <v>260674.7115</v>
      </c>
      <c r="J1756" s="22">
        <f>F1756*(1+Assumptions!$B$8+IF(D1756="Yes",Assumptions!$C$8,0))</f>
        <v>250744.2463</v>
      </c>
    </row>
    <row r="1757" spans="1:10" ht="15">
      <c r="A1757" s="21">
        <v>41075</v>
      </c>
      <c r="B1757" s="21">
        <v>41061</v>
      </c>
      <c r="C1757" s="17">
        <v>21</v>
      </c>
      <c r="D1757" s="17" t="s">
        <v>91</v>
      </c>
      <c r="E1757" s="14">
        <v>205794.8</v>
      </c>
      <c r="F1757" s="14">
        <v>204508.28</v>
      </c>
      <c r="G1757" s="14">
        <v>204508.28</v>
      </c>
      <c r="H1757" s="22">
        <f>F1757*(1+Assumptions!$B$6+IF(D1757="Yes",Assumptions!$C$6,0))</f>
        <v>210643.52840000001</v>
      </c>
      <c r="I1757" s="22">
        <f>F1757*(1+Assumptions!$B$7+IF(D1757="Yes",Assumptions!$C$7,0))</f>
        <v>214733.69400000002</v>
      </c>
      <c r="J1757" s="22">
        <f>F1757*(1+Assumptions!$B$8+IF(D1757="Yes",Assumptions!$C$8,0))</f>
        <v>206553.3628</v>
      </c>
    </row>
    <row r="1758" spans="1:10" ht="15">
      <c r="A1758" s="21">
        <v>41075</v>
      </c>
      <c r="B1758" s="21">
        <v>41061</v>
      </c>
      <c r="C1758" s="17">
        <v>22</v>
      </c>
      <c r="D1758" s="17" t="s">
        <v>91</v>
      </c>
      <c r="E1758" s="14">
        <v>358704.47000000003</v>
      </c>
      <c r="F1758" s="14">
        <v>348955.06</v>
      </c>
      <c r="G1758" s="14">
        <v>348955.06</v>
      </c>
      <c r="H1758" s="22">
        <f>F1758*(1+Assumptions!$B$6+IF(D1758="Yes",Assumptions!$C$6,0))</f>
        <v>359423.71179999999</v>
      </c>
      <c r="I1758" s="22">
        <f>F1758*(1+Assumptions!$B$7+IF(D1758="Yes",Assumptions!$C$7,0))</f>
        <v>366402.81300000002</v>
      </c>
      <c r="J1758" s="22">
        <f>F1758*(1+Assumptions!$B$8+IF(D1758="Yes",Assumptions!$C$8,0))</f>
        <v>352444.61060000001</v>
      </c>
    </row>
    <row r="1759" spans="1:10" ht="15">
      <c r="A1759" s="21">
        <v>41075</v>
      </c>
      <c r="B1759" s="21">
        <v>41061</v>
      </c>
      <c r="C1759" s="17">
        <v>23</v>
      </c>
      <c r="D1759" s="17" t="s">
        <v>91</v>
      </c>
      <c r="E1759" s="14">
        <v>1176714.67</v>
      </c>
      <c r="F1759" s="14">
        <v>1156559.46</v>
      </c>
      <c r="G1759" s="14">
        <v>1156559.46</v>
      </c>
      <c r="H1759" s="22">
        <f>F1759*(1+Assumptions!$B$6+IF(D1759="Yes",Assumptions!$C$6,0))</f>
        <v>1191256.2438000001</v>
      </c>
      <c r="I1759" s="22">
        <f>F1759*(1+Assumptions!$B$7+IF(D1759="Yes",Assumptions!$C$7,0))</f>
        <v>1214387.433</v>
      </c>
      <c r="J1759" s="22">
        <f>F1759*(1+Assumptions!$B$8+IF(D1759="Yes",Assumptions!$C$8,0))</f>
        <v>1168125.0545999999</v>
      </c>
    </row>
    <row r="1760" spans="1:10" ht="15">
      <c r="A1760" s="21">
        <v>41075</v>
      </c>
      <c r="B1760" s="21">
        <v>41061</v>
      </c>
      <c r="C1760" s="17">
        <v>24</v>
      </c>
      <c r="D1760" s="17" t="s">
        <v>91</v>
      </c>
      <c r="E1760" s="14">
        <v>192214.56</v>
      </c>
      <c r="F1760" s="14">
        <v>192411.94</v>
      </c>
      <c r="G1760" s="14">
        <v>192411.94</v>
      </c>
      <c r="H1760" s="22">
        <f>F1760*(1+Assumptions!$B$6+IF(D1760="Yes",Assumptions!$C$6,0))</f>
        <v>198184.29820000002</v>
      </c>
      <c r="I1760" s="22">
        <f>F1760*(1+Assumptions!$B$7+IF(D1760="Yes",Assumptions!$C$7,0))</f>
        <v>202032.53700000001</v>
      </c>
      <c r="J1760" s="22">
        <f>F1760*(1+Assumptions!$B$8+IF(D1760="Yes",Assumptions!$C$8,0))</f>
        <v>194336.0594</v>
      </c>
    </row>
    <row r="1761" spans="1:10" ht="15">
      <c r="A1761" s="21">
        <v>41075</v>
      </c>
      <c r="B1761" s="21">
        <v>41061</v>
      </c>
      <c r="C1761" s="17">
        <v>25</v>
      </c>
      <c r="D1761" s="17" t="s">
        <v>91</v>
      </c>
      <c r="E1761" s="14">
        <v>421016.31</v>
      </c>
      <c r="F1761" s="14">
        <v>427435.74</v>
      </c>
      <c r="G1761" s="14">
        <v>427435.74</v>
      </c>
      <c r="H1761" s="22">
        <f>F1761*(1+Assumptions!$B$6+IF(D1761="Yes",Assumptions!$C$6,0))</f>
        <v>440258.81219999999</v>
      </c>
      <c r="I1761" s="22">
        <f>F1761*(1+Assumptions!$B$7+IF(D1761="Yes",Assumptions!$C$7,0))</f>
        <v>448807.527</v>
      </c>
      <c r="J1761" s="22">
        <f>F1761*(1+Assumptions!$B$8+IF(D1761="Yes",Assumptions!$C$8,0))</f>
        <v>431710.09739999997</v>
      </c>
    </row>
    <row r="1762" spans="1:10" ht="15">
      <c r="A1762" s="21">
        <v>41075</v>
      </c>
      <c r="B1762" s="21">
        <v>41061</v>
      </c>
      <c r="C1762" s="17">
        <v>26</v>
      </c>
      <c r="D1762" s="17" t="s">
        <v>91</v>
      </c>
      <c r="E1762" s="14">
        <v>248823.61</v>
      </c>
      <c r="F1762" s="14">
        <v>273753.61</v>
      </c>
      <c r="G1762" s="14">
        <v>273753.61</v>
      </c>
      <c r="H1762" s="22">
        <f>F1762*(1+Assumptions!$B$6+IF(D1762="Yes",Assumptions!$C$6,0))</f>
        <v>281966.21830000001</v>
      </c>
      <c r="I1762" s="22">
        <f>F1762*(1+Assumptions!$B$7+IF(D1762="Yes",Assumptions!$C$7,0))</f>
        <v>287441.2905</v>
      </c>
      <c r="J1762" s="22">
        <f>F1762*(1+Assumptions!$B$8+IF(D1762="Yes",Assumptions!$C$8,0))</f>
        <v>276491.14610000001</v>
      </c>
    </row>
    <row r="1763" spans="1:10" ht="15">
      <c r="A1763" s="21">
        <v>41075</v>
      </c>
      <c r="B1763" s="21">
        <v>41061</v>
      </c>
      <c r="C1763" s="17">
        <v>27</v>
      </c>
      <c r="D1763" s="17" t="s">
        <v>91</v>
      </c>
      <c r="E1763" s="14">
        <v>45775.45</v>
      </c>
      <c r="F1763" s="14">
        <v>44652.5</v>
      </c>
      <c r="G1763" s="14">
        <v>44652.5</v>
      </c>
      <c r="H1763" s="22">
        <f>F1763*(1+Assumptions!$B$6+IF(D1763="Yes",Assumptions!$C$6,0))</f>
        <v>45992.075000000004</v>
      </c>
      <c r="I1763" s="22">
        <f>F1763*(1+Assumptions!$B$7+IF(D1763="Yes",Assumptions!$C$7,0))</f>
        <v>46885.125</v>
      </c>
      <c r="J1763" s="22">
        <f>F1763*(1+Assumptions!$B$8+IF(D1763="Yes",Assumptions!$C$8,0))</f>
        <v>45099.025000000001</v>
      </c>
    </row>
    <row r="1764" spans="1:10" ht="15">
      <c r="A1764" s="21">
        <v>41075</v>
      </c>
      <c r="B1764" s="21">
        <v>41061</v>
      </c>
      <c r="C1764" s="17">
        <v>28</v>
      </c>
      <c r="D1764" s="17" t="s">
        <v>91</v>
      </c>
      <c r="E1764" s="14">
        <v>18317.349999999999</v>
      </c>
      <c r="F1764" s="14">
        <v>17695.47</v>
      </c>
      <c r="G1764" s="14">
        <v>17695.47</v>
      </c>
      <c r="H1764" s="22">
        <f>F1764*(1+Assumptions!$B$6+IF(D1764="Yes",Assumptions!$C$6,0))</f>
        <v>18226.3341</v>
      </c>
      <c r="I1764" s="22">
        <f>F1764*(1+Assumptions!$B$7+IF(D1764="Yes",Assumptions!$C$7,0))</f>
        <v>18580.2435</v>
      </c>
      <c r="J1764" s="22">
        <f>F1764*(1+Assumptions!$B$8+IF(D1764="Yes",Assumptions!$C$8,0))</f>
        <v>17872.4247</v>
      </c>
    </row>
    <row r="1765" spans="1:10" ht="15">
      <c r="A1765" s="21">
        <v>41075</v>
      </c>
      <c r="B1765" s="21">
        <v>41061</v>
      </c>
      <c r="C1765" s="17">
        <v>29</v>
      </c>
      <c r="D1765" s="17" t="s">
        <v>91</v>
      </c>
      <c r="E1765" s="14">
        <v>183726.57</v>
      </c>
      <c r="F1765" s="14">
        <v>183916.58000000002</v>
      </c>
      <c r="G1765" s="14">
        <v>183916.58000000002</v>
      </c>
      <c r="H1765" s="22">
        <f>F1765*(1+Assumptions!$B$6+IF(D1765="Yes",Assumptions!$C$6,0))</f>
        <v>189434.07740000001</v>
      </c>
      <c r="I1765" s="22">
        <f>F1765*(1+Assumptions!$B$7+IF(D1765="Yes",Assumptions!$C$7,0))</f>
        <v>193112.40900000001</v>
      </c>
      <c r="J1765" s="22">
        <f>F1765*(1+Assumptions!$B$8+IF(D1765="Yes",Assumptions!$C$8,0))</f>
        <v>185755.7458</v>
      </c>
    </row>
    <row r="1766" spans="1:10" ht="15">
      <c r="A1766" s="21">
        <v>41075</v>
      </c>
      <c r="B1766" s="21">
        <v>41061</v>
      </c>
      <c r="C1766" s="17">
        <v>30</v>
      </c>
      <c r="D1766" s="17" t="s">
        <v>91</v>
      </c>
      <c r="E1766" s="14">
        <v>163063.88999999998</v>
      </c>
      <c r="F1766" s="14">
        <v>167609.41</v>
      </c>
      <c r="G1766" s="14">
        <v>167609.41</v>
      </c>
      <c r="H1766" s="22">
        <f>F1766*(1+Assumptions!$B$6+IF(D1766="Yes",Assumptions!$C$6,0))</f>
        <v>172637.6923</v>
      </c>
      <c r="I1766" s="22">
        <f>F1766*(1+Assumptions!$B$7+IF(D1766="Yes",Assumptions!$C$7,0))</f>
        <v>175989.8805</v>
      </c>
      <c r="J1766" s="22">
        <f>F1766*(1+Assumptions!$B$8+IF(D1766="Yes",Assumptions!$C$8,0))</f>
        <v>169285.50409999999</v>
      </c>
    </row>
    <row r="1767" spans="1:10" ht="15">
      <c r="A1767" s="21">
        <v>41075</v>
      </c>
      <c r="B1767" s="21">
        <v>41061</v>
      </c>
      <c r="C1767" s="17">
        <v>31</v>
      </c>
      <c r="D1767" s="17" t="s">
        <v>91</v>
      </c>
      <c r="E1767" s="14">
        <v>70118.58</v>
      </c>
      <c r="F1767" s="14">
        <v>79627.72</v>
      </c>
      <c r="G1767" s="14">
        <v>79627.72</v>
      </c>
      <c r="H1767" s="22">
        <f>F1767*(1+Assumptions!$B$6+IF(D1767="Yes",Assumptions!$C$6,0))</f>
        <v>82016.551600000006</v>
      </c>
      <c r="I1767" s="22">
        <f>F1767*(1+Assumptions!$B$7+IF(D1767="Yes",Assumptions!$C$7,0))</f>
        <v>83609.106</v>
      </c>
      <c r="J1767" s="22">
        <f>F1767*(1+Assumptions!$B$8+IF(D1767="Yes",Assumptions!$C$8,0))</f>
        <v>80423.997199999998</v>
      </c>
    </row>
    <row r="1768" spans="1:10" ht="15">
      <c r="A1768" s="21">
        <v>41075</v>
      </c>
      <c r="B1768" s="21">
        <v>41061</v>
      </c>
      <c r="C1768" s="17">
        <v>32</v>
      </c>
      <c r="D1768" s="17" t="s">
        <v>91</v>
      </c>
      <c r="E1768" s="14">
        <v>275124.71000000002</v>
      </c>
      <c r="F1768" s="14">
        <v>280470.63</v>
      </c>
      <c r="G1768" s="14">
        <v>280470.63</v>
      </c>
      <c r="H1768" s="22">
        <f>F1768*(1+Assumptions!$B$6+IF(D1768="Yes",Assumptions!$C$6,0))</f>
        <v>288884.74890000001</v>
      </c>
      <c r="I1768" s="22">
        <f>F1768*(1+Assumptions!$B$7+IF(D1768="Yes",Assumptions!$C$7,0))</f>
        <v>294494.16150000005</v>
      </c>
      <c r="J1768" s="22">
        <f>F1768*(1+Assumptions!$B$8+IF(D1768="Yes",Assumptions!$C$8,0))</f>
        <v>283275.33630000002</v>
      </c>
    </row>
    <row r="1769" spans="1:10" ht="15">
      <c r="A1769" s="21">
        <v>41075</v>
      </c>
      <c r="B1769" s="21">
        <v>41061</v>
      </c>
      <c r="C1769" s="17">
        <v>33</v>
      </c>
      <c r="D1769" s="17" t="s">
        <v>91</v>
      </c>
      <c r="E1769" s="14">
        <v>198239.42</v>
      </c>
      <c r="F1769" s="14">
        <v>203649.74</v>
      </c>
      <c r="G1769" s="14">
        <v>203649.74</v>
      </c>
      <c r="H1769" s="22">
        <f>F1769*(1+Assumptions!$B$6+IF(D1769="Yes",Assumptions!$C$6,0))</f>
        <v>209759.2322</v>
      </c>
      <c r="I1769" s="22">
        <f>F1769*(1+Assumptions!$B$7+IF(D1769="Yes",Assumptions!$C$7,0))</f>
        <v>213832.22700000001</v>
      </c>
      <c r="J1769" s="22">
        <f>F1769*(1+Assumptions!$B$8+IF(D1769="Yes",Assumptions!$C$8,0))</f>
        <v>205686.23739999998</v>
      </c>
    </row>
    <row r="1770" spans="1:10" ht="15">
      <c r="A1770" s="21">
        <v>41075</v>
      </c>
      <c r="B1770" s="21">
        <v>41061</v>
      </c>
      <c r="C1770" s="17">
        <v>34</v>
      </c>
      <c r="D1770" s="17" t="s">
        <v>91</v>
      </c>
      <c r="E1770" s="14">
        <v>669192.65</v>
      </c>
      <c r="F1770" s="14">
        <v>622514.61</v>
      </c>
      <c r="G1770" s="14">
        <v>622514.61</v>
      </c>
      <c r="H1770" s="22">
        <f>F1770*(1+Assumptions!$B$6+IF(D1770="Yes",Assumptions!$C$6,0))</f>
        <v>641190.04830000002</v>
      </c>
      <c r="I1770" s="22">
        <f>F1770*(1+Assumptions!$B$7+IF(D1770="Yes",Assumptions!$C$7,0))</f>
        <v>653640.34050000005</v>
      </c>
      <c r="J1770" s="22">
        <f>F1770*(1+Assumptions!$B$8+IF(D1770="Yes",Assumptions!$C$8,0))</f>
        <v>628739.7561</v>
      </c>
    </row>
    <row r="1771" spans="1:10" ht="15">
      <c r="A1771" s="21">
        <v>41075</v>
      </c>
      <c r="B1771" s="21">
        <v>41061</v>
      </c>
      <c r="C1771" s="17">
        <v>35</v>
      </c>
      <c r="D1771" s="17" t="s">
        <v>91</v>
      </c>
      <c r="E1771" s="14">
        <v>128537.85</v>
      </c>
      <c r="F1771" s="14">
        <v>123258.01</v>
      </c>
      <c r="G1771" s="14">
        <v>123258.01</v>
      </c>
      <c r="H1771" s="22">
        <f>F1771*(1+Assumptions!$B$6+IF(D1771="Yes",Assumptions!$C$6,0))</f>
        <v>126955.7503</v>
      </c>
      <c r="I1771" s="22">
        <f>F1771*(1+Assumptions!$B$7+IF(D1771="Yes",Assumptions!$C$7,0))</f>
        <v>129420.9105</v>
      </c>
      <c r="J1771" s="22">
        <f>F1771*(1+Assumptions!$B$8+IF(D1771="Yes",Assumptions!$C$8,0))</f>
        <v>124490.5901</v>
      </c>
    </row>
    <row r="1772" spans="1:10" ht="15">
      <c r="A1772" s="21">
        <v>41075</v>
      </c>
      <c r="B1772" s="21">
        <v>41061</v>
      </c>
      <c r="C1772" s="17">
        <v>36</v>
      </c>
      <c r="D1772" s="17" t="s">
        <v>91</v>
      </c>
      <c r="E1772" s="14">
        <v>149106.38</v>
      </c>
      <c r="F1772" s="14">
        <v>151837.17000000001</v>
      </c>
      <c r="G1772" s="14">
        <v>151837.17000000001</v>
      </c>
      <c r="H1772" s="22">
        <f>F1772*(1+Assumptions!$B$6+IF(D1772="Yes",Assumptions!$C$6,0))</f>
        <v>156392.28510000001</v>
      </c>
      <c r="I1772" s="22">
        <f>F1772*(1+Assumptions!$B$7+IF(D1772="Yes",Assumptions!$C$7,0))</f>
        <v>159429.02850000001</v>
      </c>
      <c r="J1772" s="22">
        <f>F1772*(1+Assumptions!$B$8+IF(D1772="Yes",Assumptions!$C$8,0))</f>
        <v>153355.5417</v>
      </c>
    </row>
    <row r="1773" spans="1:10" ht="15">
      <c r="A1773" s="21">
        <v>41075</v>
      </c>
      <c r="B1773" s="21">
        <v>41061</v>
      </c>
      <c r="C1773" s="17">
        <v>37</v>
      </c>
      <c r="D1773" s="17" t="s">
        <v>91</v>
      </c>
      <c r="E1773" s="14">
        <v>54301.04</v>
      </c>
      <c r="F1773" s="14">
        <v>55681.159999999996</v>
      </c>
      <c r="G1773" s="14">
        <v>55681.159999999996</v>
      </c>
      <c r="H1773" s="22">
        <f>F1773*(1+Assumptions!$B$6+IF(D1773="Yes",Assumptions!$C$6,0))</f>
        <v>57351.594799999999</v>
      </c>
      <c r="I1773" s="22">
        <f>F1773*(1+Assumptions!$B$7+IF(D1773="Yes",Assumptions!$C$7,0))</f>
        <v>58465.218000000001</v>
      </c>
      <c r="J1773" s="22">
        <f>F1773*(1+Assumptions!$B$8+IF(D1773="Yes",Assumptions!$C$8,0))</f>
        <v>56237.971599999997</v>
      </c>
    </row>
    <row r="1774" spans="1:10" ht="15">
      <c r="A1774" s="21">
        <v>41075</v>
      </c>
      <c r="B1774" s="21">
        <v>41061</v>
      </c>
      <c r="C1774" s="17">
        <v>38</v>
      </c>
      <c r="D1774" s="17" t="s">
        <v>91</v>
      </c>
      <c r="E1774" s="14">
        <v>2636544.84</v>
      </c>
      <c r="F1774" s="14">
        <v>2671492.83</v>
      </c>
      <c r="G1774" s="14">
        <v>2671492.83</v>
      </c>
      <c r="H1774" s="22">
        <f>F1774*(1+Assumptions!$B$6+IF(D1774="Yes",Assumptions!$C$6,0))</f>
        <v>2751637.6148999999</v>
      </c>
      <c r="I1774" s="22">
        <f>F1774*(1+Assumptions!$B$7+IF(D1774="Yes",Assumptions!$C$7,0))</f>
        <v>2805067.4715</v>
      </c>
      <c r="J1774" s="22">
        <f>F1774*(1+Assumptions!$B$8+IF(D1774="Yes",Assumptions!$C$8,0))</f>
        <v>2698207.7582999999</v>
      </c>
    </row>
    <row r="1775" spans="1:10" ht="15">
      <c r="A1775" s="21">
        <v>41075</v>
      </c>
      <c r="B1775" s="21">
        <v>41061</v>
      </c>
      <c r="C1775" s="17">
        <v>40</v>
      </c>
      <c r="D1775" s="17" t="s">
        <v>91</v>
      </c>
      <c r="E1775" s="14">
        <v>2020702.47</v>
      </c>
      <c r="F1775" s="14">
        <v>1937126.3800000001</v>
      </c>
      <c r="G1775" s="14">
        <v>1937126.3800000001</v>
      </c>
      <c r="H1775" s="22">
        <f>F1775*(1+Assumptions!$B$6+IF(D1775="Yes",Assumptions!$C$6,0))</f>
        <v>1995240.1714000001</v>
      </c>
      <c r="I1775" s="22">
        <f>F1775*(1+Assumptions!$B$7+IF(D1775="Yes",Assumptions!$C$7,0))</f>
        <v>2033982.6990000003</v>
      </c>
      <c r="J1775" s="22">
        <f>F1775*(1+Assumptions!$B$8+IF(D1775="Yes",Assumptions!$C$8,0))</f>
        <v>1956497.6438000002</v>
      </c>
    </row>
    <row r="1776" spans="1:10" ht="15">
      <c r="A1776" s="21">
        <v>41075</v>
      </c>
      <c r="B1776" s="21">
        <v>41061</v>
      </c>
      <c r="C1776" s="17">
        <v>41</v>
      </c>
      <c r="D1776" s="17" t="s">
        <v>91</v>
      </c>
      <c r="E1776" s="14">
        <v>57261.45</v>
      </c>
      <c r="F1776" s="14">
        <v>88619.21</v>
      </c>
      <c r="G1776" s="14">
        <v>88619.21</v>
      </c>
      <c r="H1776" s="22">
        <f>F1776*(1+Assumptions!$B$6+IF(D1776="Yes",Assumptions!$C$6,0))</f>
        <v>91277.786300000007</v>
      </c>
      <c r="I1776" s="22">
        <f>F1776*(1+Assumptions!$B$7+IF(D1776="Yes",Assumptions!$C$7,0))</f>
        <v>93050.170500000007</v>
      </c>
      <c r="J1776" s="22">
        <f>F1776*(1+Assumptions!$B$8+IF(D1776="Yes",Assumptions!$C$8,0))</f>
        <v>89505.402100000007</v>
      </c>
    </row>
    <row r="1777" spans="1:10" ht="15">
      <c r="A1777" s="21">
        <v>41075</v>
      </c>
      <c r="B1777" s="21">
        <v>41061</v>
      </c>
      <c r="C1777" s="17">
        <v>42</v>
      </c>
      <c r="D1777" s="17" t="s">
        <v>91</v>
      </c>
      <c r="E1777" s="14">
        <v>248306.33</v>
      </c>
      <c r="F1777" s="14">
        <v>234150.61</v>
      </c>
      <c r="G1777" s="14">
        <v>234150.61</v>
      </c>
      <c r="H1777" s="22">
        <f>F1777*(1+Assumptions!$B$6+IF(D1777="Yes",Assumptions!$C$6,0))</f>
        <v>241175.12829999998</v>
      </c>
      <c r="I1777" s="22">
        <f>F1777*(1+Assumptions!$B$7+IF(D1777="Yes",Assumptions!$C$7,0))</f>
        <v>245858.14050000001</v>
      </c>
      <c r="J1777" s="22">
        <f>F1777*(1+Assumptions!$B$8+IF(D1777="Yes",Assumptions!$C$8,0))</f>
        <v>236492.11609999998</v>
      </c>
    </row>
    <row r="1778" spans="1:10" ht="15">
      <c r="A1778" s="21">
        <v>41075</v>
      </c>
      <c r="B1778" s="21">
        <v>41061</v>
      </c>
      <c r="C1778" s="17">
        <v>44</v>
      </c>
      <c r="D1778" s="17" t="s">
        <v>91</v>
      </c>
      <c r="E1778" s="14">
        <v>172653.59</v>
      </c>
      <c r="F1778" s="14">
        <v>164320.69</v>
      </c>
      <c r="G1778" s="14">
        <v>164320.69</v>
      </c>
      <c r="H1778" s="22">
        <f>F1778*(1+Assumptions!$B$6+IF(D1778="Yes",Assumptions!$C$6,0))</f>
        <v>169250.3107</v>
      </c>
      <c r="I1778" s="22">
        <f>F1778*(1+Assumptions!$B$7+IF(D1778="Yes",Assumptions!$C$7,0))</f>
        <v>172536.72450000001</v>
      </c>
      <c r="J1778" s="22">
        <f>F1778*(1+Assumptions!$B$8+IF(D1778="Yes",Assumptions!$C$8,0))</f>
        <v>165963.89689999999</v>
      </c>
    </row>
    <row r="1779" spans="1:10" ht="15">
      <c r="A1779" s="21">
        <v>41075</v>
      </c>
      <c r="B1779" s="21">
        <v>41061</v>
      </c>
      <c r="C1779" s="17">
        <v>45</v>
      </c>
      <c r="D1779" s="17" t="s">
        <v>91</v>
      </c>
      <c r="E1779" s="14">
        <v>167.52</v>
      </c>
      <c r="F1779" s="14">
        <v>116.52</v>
      </c>
      <c r="G1779" s="14">
        <v>116.52</v>
      </c>
      <c r="H1779" s="22">
        <f>F1779*(1+Assumptions!$B$6+IF(D1779="Yes",Assumptions!$C$6,0))</f>
        <v>120.01559999999999</v>
      </c>
      <c r="I1779" s="22">
        <f>F1779*(1+Assumptions!$B$7+IF(D1779="Yes",Assumptions!$C$7,0))</f>
        <v>122.346</v>
      </c>
      <c r="J1779" s="22">
        <f>F1779*(1+Assumptions!$B$8+IF(D1779="Yes",Assumptions!$C$8,0))</f>
        <v>117.68519999999999</v>
      </c>
    </row>
    <row r="1780" spans="1:10" ht="15">
      <c r="A1780" s="21">
        <v>41075</v>
      </c>
      <c r="B1780" s="21">
        <v>41061</v>
      </c>
      <c r="C1780" s="17">
        <v>46</v>
      </c>
      <c r="D1780" s="17" t="s">
        <v>91</v>
      </c>
      <c r="E1780" s="14">
        <v>1022703.7</v>
      </c>
      <c r="F1780" s="14">
        <v>1001349.68</v>
      </c>
      <c r="G1780" s="14">
        <v>1001349.68</v>
      </c>
      <c r="H1780" s="22">
        <f>F1780*(1+Assumptions!$B$6+IF(D1780="Yes",Assumptions!$C$6,0))</f>
        <v>1031390.1704000001</v>
      </c>
      <c r="I1780" s="22">
        <f>F1780*(1+Assumptions!$B$7+IF(D1780="Yes",Assumptions!$C$7,0))</f>
        <v>1051417.1640000001</v>
      </c>
      <c r="J1780" s="22">
        <f>F1780*(1+Assumptions!$B$8+IF(D1780="Yes",Assumptions!$C$8,0))</f>
        <v>1011363.1768</v>
      </c>
    </row>
    <row r="1781" spans="1:10" ht="15">
      <c r="A1781" s="21">
        <v>41075</v>
      </c>
      <c r="B1781" s="21">
        <v>41061</v>
      </c>
      <c r="C1781" s="17">
        <v>47</v>
      </c>
      <c r="D1781" s="17" t="s">
        <v>91</v>
      </c>
      <c r="E1781" s="14">
        <v>-38.880000000000003</v>
      </c>
      <c r="F1781" s="14">
        <v>24</v>
      </c>
      <c r="G1781" s="14">
        <v>24</v>
      </c>
      <c r="H1781" s="22">
        <f>F1781*(1+Assumptions!$B$6+IF(D1781="Yes",Assumptions!$C$6,0))</f>
        <v>24.72</v>
      </c>
      <c r="I1781" s="22">
        <f>F1781*(1+Assumptions!$B$7+IF(D1781="Yes",Assumptions!$C$7,0))</f>
        <v>25.200000000000003</v>
      </c>
      <c r="J1781" s="22">
        <f>F1781*(1+Assumptions!$B$8+IF(D1781="Yes",Assumptions!$C$8,0))</f>
        <v>24.240000000000002</v>
      </c>
    </row>
    <row r="1782" spans="1:10" ht="15">
      <c r="A1782" s="21">
        <v>41075</v>
      </c>
      <c r="B1782" s="21">
        <v>41061</v>
      </c>
      <c r="C1782" s="17">
        <v>48</v>
      </c>
      <c r="D1782" s="17" t="s">
        <v>91</v>
      </c>
      <c r="E1782" s="14">
        <v>12901</v>
      </c>
      <c r="F1782" s="14">
        <v>8743.99</v>
      </c>
      <c r="G1782" s="14">
        <v>8743.99</v>
      </c>
      <c r="H1782" s="22">
        <f>F1782*(1+Assumptions!$B$6+IF(D1782="Yes",Assumptions!$C$6,0))</f>
        <v>9006.3096999999998</v>
      </c>
      <c r="I1782" s="22">
        <f>F1782*(1+Assumptions!$B$7+IF(D1782="Yes",Assumptions!$C$7,0))</f>
        <v>9181.1895000000004</v>
      </c>
      <c r="J1782" s="22">
        <f>F1782*(1+Assumptions!$B$8+IF(D1782="Yes",Assumptions!$C$8,0))</f>
        <v>8831.4298999999992</v>
      </c>
    </row>
    <row r="1783" spans="1:10" ht="15">
      <c r="A1783" s="21">
        <v>41075</v>
      </c>
      <c r="B1783" s="21">
        <v>41061</v>
      </c>
      <c r="C1783" s="17">
        <v>49</v>
      </c>
      <c r="D1783" s="17" t="s">
        <v>91</v>
      </c>
      <c r="E1783" s="14">
        <v>236949.28</v>
      </c>
      <c r="F1783" s="14">
        <v>263129.93</v>
      </c>
      <c r="G1783" s="14">
        <v>263129.93</v>
      </c>
      <c r="H1783" s="22">
        <f>F1783*(1+Assumptions!$B$6+IF(D1783="Yes",Assumptions!$C$6,0))</f>
        <v>271023.82789999997</v>
      </c>
      <c r="I1783" s="22">
        <f>F1783*(1+Assumptions!$B$7+IF(D1783="Yes",Assumptions!$C$7,0))</f>
        <v>276286.4265</v>
      </c>
      <c r="J1783" s="22">
        <f>F1783*(1+Assumptions!$B$8+IF(D1783="Yes",Assumptions!$C$8,0))</f>
        <v>265761.22930000001</v>
      </c>
    </row>
    <row r="1784" spans="1:10" ht="15">
      <c r="A1784" s="21">
        <v>41075</v>
      </c>
      <c r="B1784" s="21">
        <v>41061</v>
      </c>
      <c r="C1784" s="17">
        <v>50</v>
      </c>
      <c r="D1784" s="17" t="s">
        <v>91</v>
      </c>
      <c r="E1784" s="14">
        <v>27106.1</v>
      </c>
      <c r="F1784" s="14">
        <v>30200.22</v>
      </c>
      <c r="G1784" s="14">
        <v>30200.22</v>
      </c>
      <c r="H1784" s="22">
        <f>F1784*(1+Assumptions!$B$6+IF(D1784="Yes",Assumptions!$C$6,0))</f>
        <v>31106.226600000002</v>
      </c>
      <c r="I1784" s="22">
        <f>F1784*(1+Assumptions!$B$7+IF(D1784="Yes",Assumptions!$C$7,0))</f>
        <v>31710.231000000003</v>
      </c>
      <c r="J1784" s="22">
        <f>F1784*(1+Assumptions!$B$8+IF(D1784="Yes",Assumptions!$C$8,0))</f>
        <v>30502.2222</v>
      </c>
    </row>
    <row r="1785" spans="1:10" ht="15">
      <c r="A1785" s="21">
        <v>41075</v>
      </c>
      <c r="B1785" s="21">
        <v>41061</v>
      </c>
      <c r="C1785" s="17">
        <v>51</v>
      </c>
      <c r="D1785" s="17" t="s">
        <v>91</v>
      </c>
      <c r="E1785" s="14">
        <v>6.72</v>
      </c>
      <c r="F1785" s="14">
        <v>3.92</v>
      </c>
      <c r="G1785" s="14">
        <v>3.92</v>
      </c>
      <c r="H1785" s="22">
        <f>F1785*(1+Assumptions!$B$6+IF(D1785="Yes",Assumptions!$C$6,0))</f>
        <v>4.0376000000000003</v>
      </c>
      <c r="I1785" s="22">
        <f>F1785*(1+Assumptions!$B$7+IF(D1785="Yes",Assumptions!$C$7,0))</f>
        <v>4.1159999999999997</v>
      </c>
      <c r="J1785" s="22">
        <f>F1785*(1+Assumptions!$B$8+IF(D1785="Yes",Assumptions!$C$8,0))</f>
        <v>3.9592000000000001</v>
      </c>
    </row>
    <row r="1786" spans="1:10" ht="15">
      <c r="A1786" s="21">
        <v>41075</v>
      </c>
      <c r="B1786" s="21">
        <v>41061</v>
      </c>
      <c r="C1786" s="17">
        <v>52</v>
      </c>
      <c r="D1786" s="17" t="s">
        <v>91</v>
      </c>
      <c r="E1786" s="14">
        <v>74202.31</v>
      </c>
      <c r="F1786" s="14">
        <v>66273.06</v>
      </c>
      <c r="G1786" s="14">
        <v>66273.06</v>
      </c>
      <c r="H1786" s="22">
        <f>F1786*(1+Assumptions!$B$6+IF(D1786="Yes",Assumptions!$C$6,0))</f>
        <v>68261.251799999998</v>
      </c>
      <c r="I1786" s="22">
        <f>F1786*(1+Assumptions!$B$7+IF(D1786="Yes",Assumptions!$C$7,0))</f>
        <v>69586.713000000003</v>
      </c>
      <c r="J1786" s="22">
        <f>F1786*(1+Assumptions!$B$8+IF(D1786="Yes",Assumptions!$C$8,0))</f>
        <v>66935.790599999993</v>
      </c>
    </row>
    <row r="1787" spans="1:10" ht="15">
      <c r="A1787" s="21">
        <v>41075</v>
      </c>
      <c r="B1787" s="21">
        <v>41061</v>
      </c>
      <c r="C1787" s="17">
        <v>54</v>
      </c>
      <c r="D1787" s="17" t="s">
        <v>91</v>
      </c>
      <c r="E1787" s="14">
        <v>1106.08</v>
      </c>
      <c r="F1787" s="14">
        <v>1982.8700000000001</v>
      </c>
      <c r="G1787" s="14">
        <v>1982.8700000000001</v>
      </c>
      <c r="H1787" s="22">
        <f>F1787*(1+Assumptions!$B$6+IF(D1787="Yes",Assumptions!$C$6,0))</f>
        <v>2042.3561000000002</v>
      </c>
      <c r="I1787" s="22">
        <f>F1787*(1+Assumptions!$B$7+IF(D1787="Yes",Assumptions!$C$7,0))</f>
        <v>2082.0135</v>
      </c>
      <c r="J1787" s="22">
        <f>F1787*(1+Assumptions!$B$8+IF(D1787="Yes",Assumptions!$C$8,0))</f>
        <v>2002.6987000000001</v>
      </c>
    </row>
    <row r="1788" spans="1:10" ht="15">
      <c r="A1788" s="21">
        <v>41075</v>
      </c>
      <c r="B1788" s="21">
        <v>41061</v>
      </c>
      <c r="C1788" s="17">
        <v>55</v>
      </c>
      <c r="D1788" s="17" t="s">
        <v>91</v>
      </c>
      <c r="E1788" s="14">
        <v>255676.36</v>
      </c>
      <c r="F1788" s="14">
        <v>321478.59999999998</v>
      </c>
      <c r="G1788" s="14">
        <v>321478.59999999998</v>
      </c>
      <c r="H1788" s="22">
        <f>F1788*(1+Assumptions!$B$6+IF(D1788="Yes",Assumptions!$C$6,0))</f>
        <v>331122.95799999998</v>
      </c>
      <c r="I1788" s="22">
        <f>F1788*(1+Assumptions!$B$7+IF(D1788="Yes",Assumptions!$C$7,0))</f>
        <v>337552.52999999997</v>
      </c>
      <c r="J1788" s="22">
        <f>F1788*(1+Assumptions!$B$8+IF(D1788="Yes",Assumptions!$C$8,0))</f>
        <v>324693.386</v>
      </c>
    </row>
    <row r="1789" spans="1:10" ht="15">
      <c r="A1789" s="21">
        <v>41075</v>
      </c>
      <c r="B1789" s="21">
        <v>41061</v>
      </c>
      <c r="C1789" s="17">
        <v>56</v>
      </c>
      <c r="D1789" s="17" t="s">
        <v>91</v>
      </c>
      <c r="E1789" s="14">
        <v>286318.02999999997</v>
      </c>
      <c r="F1789" s="14">
        <v>279222.64</v>
      </c>
      <c r="G1789" s="14">
        <v>279222.64</v>
      </c>
      <c r="H1789" s="22">
        <f>F1789*(1+Assumptions!$B$6+IF(D1789="Yes",Assumptions!$C$6,0))</f>
        <v>287599.31920000003</v>
      </c>
      <c r="I1789" s="22">
        <f>F1789*(1+Assumptions!$B$7+IF(D1789="Yes",Assumptions!$C$7,0))</f>
        <v>293183.77200000006</v>
      </c>
      <c r="J1789" s="22">
        <f>F1789*(1+Assumptions!$B$8+IF(D1789="Yes",Assumptions!$C$8,0))</f>
        <v>282014.8664</v>
      </c>
    </row>
    <row r="1790" spans="1:10" ht="15">
      <c r="A1790" s="21">
        <v>41075</v>
      </c>
      <c r="B1790" s="21">
        <v>41061</v>
      </c>
      <c r="C1790" s="17">
        <v>58</v>
      </c>
      <c r="D1790" s="17" t="s">
        <v>91</v>
      </c>
      <c r="E1790" s="14">
        <v>144090</v>
      </c>
      <c r="F1790" s="14">
        <v>126071.82</v>
      </c>
      <c r="G1790" s="14">
        <v>126071.82</v>
      </c>
      <c r="H1790" s="22">
        <f>F1790*(1+Assumptions!$B$6+IF(D1790="Yes",Assumptions!$C$6,0))</f>
        <v>129853.97460000002</v>
      </c>
      <c r="I1790" s="22">
        <f>F1790*(1+Assumptions!$B$7+IF(D1790="Yes",Assumptions!$C$7,0))</f>
        <v>132375.41100000002</v>
      </c>
      <c r="J1790" s="22">
        <f>F1790*(1+Assumptions!$B$8+IF(D1790="Yes",Assumptions!$C$8,0))</f>
        <v>127332.53820000001</v>
      </c>
    </row>
    <row r="1791" spans="1:10" ht="15">
      <c r="A1791" s="21">
        <v>41075</v>
      </c>
      <c r="B1791" s="21">
        <v>41061</v>
      </c>
      <c r="C1791" s="17">
        <v>59</v>
      </c>
      <c r="D1791" s="17" t="s">
        <v>91</v>
      </c>
      <c r="E1791" s="14">
        <v>8249.85</v>
      </c>
      <c r="F1791" s="14">
        <v>10003.17</v>
      </c>
      <c r="G1791" s="14">
        <v>10003.17</v>
      </c>
      <c r="H1791" s="22">
        <f>F1791*(1+Assumptions!$B$6+IF(D1791="Yes",Assumptions!$C$6,0))</f>
        <v>10303.265100000001</v>
      </c>
      <c r="I1791" s="22">
        <f>F1791*(1+Assumptions!$B$7+IF(D1791="Yes",Assumptions!$C$7,0))</f>
        <v>10503.3285</v>
      </c>
      <c r="J1791" s="22">
        <f>F1791*(1+Assumptions!$B$8+IF(D1791="Yes",Assumptions!$C$8,0))</f>
        <v>10103.2017</v>
      </c>
    </row>
    <row r="1792" spans="1:10" ht="15">
      <c r="A1792" s="21">
        <v>41075</v>
      </c>
      <c r="B1792" s="21">
        <v>41061</v>
      </c>
      <c r="C1792" s="17">
        <v>60</v>
      </c>
      <c r="D1792" s="17" t="s">
        <v>91</v>
      </c>
      <c r="E1792" s="14">
        <v>15111</v>
      </c>
      <c r="F1792" s="14">
        <v>14916</v>
      </c>
      <c r="G1792" s="14">
        <v>14916</v>
      </c>
      <c r="H1792" s="22">
        <f>F1792*(1+Assumptions!$B$6+IF(D1792="Yes",Assumptions!$C$6,0))</f>
        <v>15363.48</v>
      </c>
      <c r="I1792" s="22">
        <f>F1792*(1+Assumptions!$B$7+IF(D1792="Yes",Assumptions!$C$7,0))</f>
        <v>15661.800000000001</v>
      </c>
      <c r="J1792" s="22">
        <f>F1792*(1+Assumptions!$B$8+IF(D1792="Yes",Assumptions!$C$8,0))</f>
        <v>15065.16</v>
      </c>
    </row>
    <row r="1793" spans="1:10" ht="15">
      <c r="A1793" s="21">
        <v>41075</v>
      </c>
      <c r="B1793" s="21">
        <v>41061</v>
      </c>
      <c r="C1793" s="17">
        <v>65</v>
      </c>
      <c r="D1793" s="17" t="s">
        <v>91</v>
      </c>
      <c r="E1793" s="14">
        <v>43296.45</v>
      </c>
      <c r="F1793" s="14">
        <v>38254.730000000003</v>
      </c>
      <c r="G1793" s="14">
        <v>38254.730000000003</v>
      </c>
      <c r="H1793" s="22">
        <f>F1793*(1+Assumptions!$B$6+IF(D1793="Yes",Assumptions!$C$6,0))</f>
        <v>39402.371900000006</v>
      </c>
      <c r="I1793" s="22">
        <f>F1793*(1+Assumptions!$B$7+IF(D1793="Yes",Assumptions!$C$7,0))</f>
        <v>40167.466500000002</v>
      </c>
      <c r="J1793" s="22">
        <f>F1793*(1+Assumptions!$B$8+IF(D1793="Yes",Assumptions!$C$8,0))</f>
        <v>38637.277300000002</v>
      </c>
    </row>
    <row r="1794" spans="1:10" ht="15">
      <c r="A1794" s="21">
        <v>41075</v>
      </c>
      <c r="B1794" s="21">
        <v>41061</v>
      </c>
      <c r="C1794" s="17">
        <v>67</v>
      </c>
      <c r="D1794" s="17" t="s">
        <v>91</v>
      </c>
      <c r="E1794" s="14">
        <v>548195.4</v>
      </c>
      <c r="F1794" s="14">
        <v>536216.61</v>
      </c>
      <c r="G1794" s="14">
        <v>536216.61</v>
      </c>
      <c r="H1794" s="22">
        <f>F1794*(1+Assumptions!$B$6+IF(D1794="Yes",Assumptions!$C$6,0))</f>
        <v>552303.10829999996</v>
      </c>
      <c r="I1794" s="22">
        <f>F1794*(1+Assumptions!$B$7+IF(D1794="Yes",Assumptions!$C$7,0))</f>
        <v>563027.44050000003</v>
      </c>
      <c r="J1794" s="22">
        <f>F1794*(1+Assumptions!$B$8+IF(D1794="Yes",Assumptions!$C$8,0))</f>
        <v>541578.77610000002</v>
      </c>
    </row>
    <row r="1795" spans="1:10" ht="15">
      <c r="A1795" s="21">
        <v>41075</v>
      </c>
      <c r="B1795" s="21">
        <v>41061</v>
      </c>
      <c r="C1795" s="17">
        <v>71</v>
      </c>
      <c r="D1795" s="17" t="s">
        <v>91</v>
      </c>
      <c r="E1795" s="14">
        <v>181876.92</v>
      </c>
      <c r="F1795" s="14">
        <v>185183.96</v>
      </c>
      <c r="G1795" s="14">
        <v>185183.96</v>
      </c>
      <c r="H1795" s="22">
        <f>F1795*(1+Assumptions!$B$6+IF(D1795="Yes",Assumptions!$C$6,0))</f>
        <v>190739.47879999998</v>
      </c>
      <c r="I1795" s="22">
        <f>F1795*(1+Assumptions!$B$7+IF(D1795="Yes",Assumptions!$C$7,0))</f>
        <v>194443.158</v>
      </c>
      <c r="J1795" s="22">
        <f>F1795*(1+Assumptions!$B$8+IF(D1795="Yes",Assumptions!$C$8,0))</f>
        <v>187035.7996</v>
      </c>
    </row>
    <row r="1796" spans="1:10" ht="15">
      <c r="A1796" s="21">
        <v>41075</v>
      </c>
      <c r="B1796" s="21">
        <v>41061</v>
      </c>
      <c r="C1796" s="17">
        <v>72</v>
      </c>
      <c r="D1796" s="17" t="s">
        <v>91</v>
      </c>
      <c r="E1796" s="14">
        <v>1757046.57</v>
      </c>
      <c r="F1796" s="14">
        <v>1902397.59</v>
      </c>
      <c r="G1796" s="14">
        <v>1902397.59</v>
      </c>
      <c r="H1796" s="22">
        <f>F1796*(1+Assumptions!$B$6+IF(D1796="Yes",Assumptions!$C$6,0))</f>
        <v>1959469.5177000002</v>
      </c>
      <c r="I1796" s="22">
        <f>F1796*(1+Assumptions!$B$7+IF(D1796="Yes",Assumptions!$C$7,0))</f>
        <v>1997517.4695000001</v>
      </c>
      <c r="J1796" s="22">
        <f>F1796*(1+Assumptions!$B$8+IF(D1796="Yes",Assumptions!$C$8,0))</f>
        <v>1921421.5659</v>
      </c>
    </row>
    <row r="1797" spans="1:10" ht="15">
      <c r="A1797" s="21">
        <v>41075</v>
      </c>
      <c r="B1797" s="21">
        <v>41061</v>
      </c>
      <c r="C1797" s="17">
        <v>74</v>
      </c>
      <c r="D1797" s="17" t="s">
        <v>91</v>
      </c>
      <c r="E1797" s="14">
        <v>581655.89</v>
      </c>
      <c r="F1797" s="14">
        <v>593276.57999999996</v>
      </c>
      <c r="G1797" s="14">
        <v>593276.57999999996</v>
      </c>
      <c r="H1797" s="22">
        <f>F1797*(1+Assumptions!$B$6+IF(D1797="Yes",Assumptions!$C$6,0))</f>
        <v>611074.8774</v>
      </c>
      <c r="I1797" s="22">
        <f>F1797*(1+Assumptions!$B$7+IF(D1797="Yes",Assumptions!$C$7,0))</f>
        <v>622940.40899999999</v>
      </c>
      <c r="J1797" s="22">
        <f>F1797*(1+Assumptions!$B$8+IF(D1797="Yes",Assumptions!$C$8,0))</f>
        <v>599209.34580000001</v>
      </c>
    </row>
    <row r="1798" spans="1:10" ht="15">
      <c r="A1798" s="21">
        <v>41075</v>
      </c>
      <c r="B1798" s="21">
        <v>41061</v>
      </c>
      <c r="C1798" s="17">
        <v>79</v>
      </c>
      <c r="D1798" s="17" t="s">
        <v>91</v>
      </c>
      <c r="E1798" s="14">
        <v>983471.7</v>
      </c>
      <c r="F1798" s="14">
        <v>958892.29</v>
      </c>
      <c r="G1798" s="14">
        <v>958892.29</v>
      </c>
      <c r="H1798" s="22">
        <f>F1798*(1+Assumptions!$B$6+IF(D1798="Yes",Assumptions!$C$6,0))</f>
        <v>987659.05870000005</v>
      </c>
      <c r="I1798" s="22">
        <f>F1798*(1+Assumptions!$B$7+IF(D1798="Yes",Assumptions!$C$7,0))</f>
        <v>1006836.9045000001</v>
      </c>
      <c r="J1798" s="22">
        <f>F1798*(1+Assumptions!$B$8+IF(D1798="Yes",Assumptions!$C$8,0))</f>
        <v>968481.21290000004</v>
      </c>
    </row>
    <row r="1799" spans="1:10" ht="15">
      <c r="A1799" s="21">
        <v>41075</v>
      </c>
      <c r="B1799" s="21">
        <v>41061</v>
      </c>
      <c r="C1799" s="17">
        <v>80</v>
      </c>
      <c r="D1799" s="17" t="s">
        <v>91</v>
      </c>
      <c r="E1799" s="14">
        <v>523480.06</v>
      </c>
      <c r="F1799" s="14">
        <v>526677.16</v>
      </c>
      <c r="G1799" s="14">
        <v>526677.16</v>
      </c>
      <c r="H1799" s="22">
        <f>F1799*(1+Assumptions!$B$6+IF(D1799="Yes",Assumptions!$C$6,0))</f>
        <v>542477.47480000008</v>
      </c>
      <c r="I1799" s="22">
        <f>F1799*(1+Assumptions!$B$7+IF(D1799="Yes",Assumptions!$C$7,0))</f>
        <v>553011.01800000004</v>
      </c>
      <c r="J1799" s="22">
        <f>F1799*(1+Assumptions!$B$8+IF(D1799="Yes",Assumptions!$C$8,0))</f>
        <v>531943.93160000001</v>
      </c>
    </row>
    <row r="1800" spans="1:10" ht="15">
      <c r="A1800" s="21">
        <v>41075</v>
      </c>
      <c r="B1800" s="21">
        <v>41061</v>
      </c>
      <c r="C1800" s="17">
        <v>81</v>
      </c>
      <c r="D1800" s="17" t="s">
        <v>91</v>
      </c>
      <c r="E1800" s="14">
        <v>739940.69000000006</v>
      </c>
      <c r="F1800" s="14">
        <v>726471.61</v>
      </c>
      <c r="G1800" s="14">
        <v>726471.61</v>
      </c>
      <c r="H1800" s="22">
        <f>F1800*(1+Assumptions!$B$6+IF(D1800="Yes",Assumptions!$C$6,0))</f>
        <v>748265.75829999999</v>
      </c>
      <c r="I1800" s="22">
        <f>F1800*(1+Assumptions!$B$7+IF(D1800="Yes",Assumptions!$C$7,0))</f>
        <v>762795.19050000003</v>
      </c>
      <c r="J1800" s="22">
        <f>F1800*(1+Assumptions!$B$8+IF(D1800="Yes",Assumptions!$C$8,0))</f>
        <v>733736.32609999995</v>
      </c>
    </row>
    <row r="1801" spans="1:10" ht="15">
      <c r="A1801" s="21">
        <v>41075</v>
      </c>
      <c r="B1801" s="21">
        <v>41061</v>
      </c>
      <c r="C1801" s="17">
        <v>82</v>
      </c>
      <c r="D1801" s="17" t="s">
        <v>91</v>
      </c>
      <c r="E1801" s="14">
        <v>729687.48</v>
      </c>
      <c r="F1801" s="14">
        <v>703293.36</v>
      </c>
      <c r="G1801" s="14">
        <v>703293.36</v>
      </c>
      <c r="H1801" s="22">
        <f>F1801*(1+Assumptions!$B$6+IF(D1801="Yes",Assumptions!$C$6,0))</f>
        <v>724392.16079999995</v>
      </c>
      <c r="I1801" s="22">
        <f>F1801*(1+Assumptions!$B$7+IF(D1801="Yes",Assumptions!$C$7,0))</f>
        <v>738458.02800000005</v>
      </c>
      <c r="J1801" s="22">
        <f>F1801*(1+Assumptions!$B$8+IF(D1801="Yes",Assumptions!$C$8,0))</f>
        <v>710326.29359999998</v>
      </c>
    </row>
    <row r="1802" spans="1:10" ht="15">
      <c r="A1802" s="21">
        <v>41075</v>
      </c>
      <c r="B1802" s="21">
        <v>41061</v>
      </c>
      <c r="C1802" s="17">
        <v>83</v>
      </c>
      <c r="D1802" s="17" t="s">
        <v>91</v>
      </c>
      <c r="E1802" s="14">
        <v>140468.48000000001</v>
      </c>
      <c r="F1802" s="14">
        <v>130596.58</v>
      </c>
      <c r="G1802" s="14">
        <v>130596.58</v>
      </c>
      <c r="H1802" s="22">
        <f>F1802*(1+Assumptions!$B$6+IF(D1802="Yes",Assumptions!$C$6,0))</f>
        <v>134514.4774</v>
      </c>
      <c r="I1802" s="22">
        <f>F1802*(1+Assumptions!$B$7+IF(D1802="Yes",Assumptions!$C$7,0))</f>
        <v>137126.40900000001</v>
      </c>
      <c r="J1802" s="22">
        <f>F1802*(1+Assumptions!$B$8+IF(D1802="Yes",Assumptions!$C$8,0))</f>
        <v>131902.54579999999</v>
      </c>
    </row>
    <row r="1803" spans="1:10" ht="15">
      <c r="A1803" s="21">
        <v>41075</v>
      </c>
      <c r="B1803" s="21">
        <v>41061</v>
      </c>
      <c r="C1803" s="17">
        <v>85</v>
      </c>
      <c r="D1803" s="17" t="s">
        <v>91</v>
      </c>
      <c r="E1803" s="14">
        <v>100763.04000000001</v>
      </c>
      <c r="F1803" s="14">
        <v>104108.58</v>
      </c>
      <c r="G1803" s="14">
        <v>104108.58</v>
      </c>
      <c r="H1803" s="22">
        <f>F1803*(1+Assumptions!$B$6+IF(D1803="Yes",Assumptions!$C$6,0))</f>
        <v>107231.8374</v>
      </c>
      <c r="I1803" s="22">
        <f>F1803*(1+Assumptions!$B$7+IF(D1803="Yes",Assumptions!$C$7,0))</f>
        <v>109314.00900000001</v>
      </c>
      <c r="J1803" s="22">
        <f>F1803*(1+Assumptions!$B$8+IF(D1803="Yes",Assumptions!$C$8,0))</f>
        <v>105149.6658</v>
      </c>
    </row>
    <row r="1804" spans="1:10" ht="15">
      <c r="A1804" s="21">
        <v>41075</v>
      </c>
      <c r="B1804" s="21">
        <v>41061</v>
      </c>
      <c r="C1804" s="17">
        <v>87</v>
      </c>
      <c r="D1804" s="17" t="s">
        <v>91</v>
      </c>
      <c r="E1804" s="14">
        <v>659273.39</v>
      </c>
      <c r="F1804" s="14">
        <v>577660.71</v>
      </c>
      <c r="G1804" s="14">
        <v>577660.71</v>
      </c>
      <c r="H1804" s="22">
        <f>F1804*(1+Assumptions!$B$6+IF(D1804="Yes",Assumptions!$C$6,0))</f>
        <v>594990.53130000003</v>
      </c>
      <c r="I1804" s="22">
        <f>F1804*(1+Assumptions!$B$7+IF(D1804="Yes",Assumptions!$C$7,0))</f>
        <v>606543.74549999996</v>
      </c>
      <c r="J1804" s="22">
        <f>F1804*(1+Assumptions!$B$8+IF(D1804="Yes",Assumptions!$C$8,0))</f>
        <v>583437.31709999999</v>
      </c>
    </row>
    <row r="1805" spans="1:10" ht="15">
      <c r="A1805" s="21">
        <v>41075</v>
      </c>
      <c r="B1805" s="21">
        <v>41061</v>
      </c>
      <c r="C1805" s="17">
        <v>90</v>
      </c>
      <c r="D1805" s="17" t="s">
        <v>91</v>
      </c>
      <c r="E1805" s="14">
        <v>2052788.1099999999</v>
      </c>
      <c r="F1805" s="14">
        <v>2009204.75</v>
      </c>
      <c r="G1805" s="14">
        <v>2009204.75</v>
      </c>
      <c r="H1805" s="22">
        <f>F1805*(1+Assumptions!$B$6+IF(D1805="Yes",Assumptions!$C$6,0))</f>
        <v>2069480.8925000001</v>
      </c>
      <c r="I1805" s="22">
        <f>F1805*(1+Assumptions!$B$7+IF(D1805="Yes",Assumptions!$C$7,0))</f>
        <v>2109664.9875000003</v>
      </c>
      <c r="J1805" s="22">
        <f>F1805*(1+Assumptions!$B$8+IF(D1805="Yes",Assumptions!$C$8,0))</f>
        <v>2029296.7975000001</v>
      </c>
    </row>
    <row r="1806" spans="1:10" ht="15">
      <c r="A1806" s="21">
        <v>41075</v>
      </c>
      <c r="B1806" s="21">
        <v>41061</v>
      </c>
      <c r="C1806" s="17">
        <v>91</v>
      </c>
      <c r="D1806" s="17" t="s">
        <v>91</v>
      </c>
      <c r="E1806" s="14">
        <v>1598652.62</v>
      </c>
      <c r="F1806" s="14">
        <v>1558787.74</v>
      </c>
      <c r="G1806" s="14">
        <v>1558787.74</v>
      </c>
      <c r="H1806" s="22">
        <f>F1806*(1+Assumptions!$B$6+IF(D1806="Yes",Assumptions!$C$6,0))</f>
        <v>1605551.3722000001</v>
      </c>
      <c r="I1806" s="22">
        <f>F1806*(1+Assumptions!$B$7+IF(D1806="Yes",Assumptions!$C$7,0))</f>
        <v>1636727.1270000001</v>
      </c>
      <c r="J1806" s="22">
        <f>F1806*(1+Assumptions!$B$8+IF(D1806="Yes",Assumptions!$C$8,0))</f>
        <v>1574375.6174000001</v>
      </c>
    </row>
    <row r="1807" spans="1:10" ht="15">
      <c r="A1807" s="21">
        <v>41075</v>
      </c>
      <c r="B1807" s="21">
        <v>41061</v>
      </c>
      <c r="C1807" s="17">
        <v>92</v>
      </c>
      <c r="D1807" s="17" t="s">
        <v>91</v>
      </c>
      <c r="E1807" s="14">
        <v>3508427.03</v>
      </c>
      <c r="F1807" s="14">
        <v>3207409.36</v>
      </c>
      <c r="G1807" s="14">
        <v>3207409.36</v>
      </c>
      <c r="H1807" s="22">
        <f>F1807*(1+Assumptions!$B$6+IF(D1807="Yes",Assumptions!$C$6,0))</f>
        <v>3303631.6408000002</v>
      </c>
      <c r="I1807" s="22">
        <f>F1807*(1+Assumptions!$B$7+IF(D1807="Yes",Assumptions!$C$7,0))</f>
        <v>3367779.8280000002</v>
      </c>
      <c r="J1807" s="22">
        <f>F1807*(1+Assumptions!$B$8+IF(D1807="Yes",Assumptions!$C$8,0))</f>
        <v>3239483.4536000001</v>
      </c>
    </row>
    <row r="1808" spans="1:10" ht="15">
      <c r="A1808" s="21">
        <v>41075</v>
      </c>
      <c r="B1808" s="21">
        <v>41061</v>
      </c>
      <c r="C1808" s="17">
        <v>93</v>
      </c>
      <c r="D1808" s="17" t="s">
        <v>91</v>
      </c>
      <c r="E1808" s="14">
        <v>1231108.22</v>
      </c>
      <c r="F1808" s="14">
        <v>1133788.21</v>
      </c>
      <c r="G1808" s="14">
        <v>1133788.21</v>
      </c>
      <c r="H1808" s="22">
        <f>F1808*(1+Assumptions!$B$6+IF(D1808="Yes",Assumptions!$C$6,0))</f>
        <v>1167801.8563000001</v>
      </c>
      <c r="I1808" s="22">
        <f>F1808*(1+Assumptions!$B$7+IF(D1808="Yes",Assumptions!$C$7,0))</f>
        <v>1190477.6205</v>
      </c>
      <c r="J1808" s="22">
        <f>F1808*(1+Assumptions!$B$8+IF(D1808="Yes",Assumptions!$C$8,0))</f>
        <v>1145126.0921</v>
      </c>
    </row>
    <row r="1809" spans="1:10" ht="15">
      <c r="A1809" s="21">
        <v>41075</v>
      </c>
      <c r="B1809" s="21">
        <v>41061</v>
      </c>
      <c r="C1809" s="17">
        <v>94</v>
      </c>
      <c r="D1809" s="17" t="s">
        <v>91</v>
      </c>
      <c r="E1809" s="14">
        <v>1461356.84</v>
      </c>
      <c r="F1809" s="14">
        <v>1405029.11</v>
      </c>
      <c r="G1809" s="14">
        <v>1405029.11</v>
      </c>
      <c r="H1809" s="22">
        <f>F1809*(1+Assumptions!$B$6+IF(D1809="Yes",Assumptions!$C$6,0))</f>
        <v>1447179.9833000002</v>
      </c>
      <c r="I1809" s="22">
        <f>F1809*(1+Assumptions!$B$7+IF(D1809="Yes",Assumptions!$C$7,0))</f>
        <v>1475280.5655000003</v>
      </c>
      <c r="J1809" s="22">
        <f>F1809*(1+Assumptions!$B$8+IF(D1809="Yes",Assumptions!$C$8,0))</f>
        <v>1419079.4011000001</v>
      </c>
    </row>
    <row r="1810" spans="1:10" ht="15">
      <c r="A1810" s="21">
        <v>41075</v>
      </c>
      <c r="B1810" s="21">
        <v>41061</v>
      </c>
      <c r="C1810" s="17">
        <v>95</v>
      </c>
      <c r="D1810" s="17" t="s">
        <v>91</v>
      </c>
      <c r="E1810" s="14">
        <v>3473471.57</v>
      </c>
      <c r="F1810" s="14">
        <v>3452812.32</v>
      </c>
      <c r="G1810" s="14">
        <v>3452812.32</v>
      </c>
      <c r="H1810" s="22">
        <f>F1810*(1+Assumptions!$B$6+IF(D1810="Yes",Assumptions!$C$6,0))</f>
        <v>3556396.6895999997</v>
      </c>
      <c r="I1810" s="22">
        <f>F1810*(1+Assumptions!$B$7+IF(D1810="Yes",Assumptions!$C$7,0))</f>
        <v>3625452.9359999998</v>
      </c>
      <c r="J1810" s="22">
        <f>F1810*(1+Assumptions!$B$8+IF(D1810="Yes",Assumptions!$C$8,0))</f>
        <v>3487340.4431999996</v>
      </c>
    </row>
    <row r="1811" spans="1:10" ht="15">
      <c r="A1811" s="21">
        <v>41075</v>
      </c>
      <c r="B1811" s="21">
        <v>41061</v>
      </c>
      <c r="C1811" s="17">
        <v>96</v>
      </c>
      <c r="D1811" s="17" t="s">
        <v>91</v>
      </c>
      <c r="E1811" s="14">
        <v>606287.88</v>
      </c>
      <c r="F1811" s="14">
        <v>546625.36</v>
      </c>
      <c r="G1811" s="14">
        <v>546625.36</v>
      </c>
      <c r="H1811" s="22">
        <f>F1811*(1+Assumptions!$B$6+IF(D1811="Yes",Assumptions!$C$6,0))</f>
        <v>563024.12080000003</v>
      </c>
      <c r="I1811" s="22">
        <f>F1811*(1+Assumptions!$B$7+IF(D1811="Yes",Assumptions!$C$7,0))</f>
        <v>573956.62800000003</v>
      </c>
      <c r="J1811" s="22">
        <f>F1811*(1+Assumptions!$B$8+IF(D1811="Yes",Assumptions!$C$8,0))</f>
        <v>552091.61360000004</v>
      </c>
    </row>
    <row r="1812" spans="1:10" ht="15">
      <c r="A1812" s="21">
        <v>41075</v>
      </c>
      <c r="B1812" s="21">
        <v>41061</v>
      </c>
      <c r="C1812" s="17">
        <v>97</v>
      </c>
      <c r="D1812" s="17" t="s">
        <v>91</v>
      </c>
      <c r="E1812" s="14">
        <v>667696.59</v>
      </c>
      <c r="F1812" s="14">
        <v>671932.83</v>
      </c>
      <c r="G1812" s="14">
        <v>671932.83</v>
      </c>
      <c r="H1812" s="22">
        <f>F1812*(1+Assumptions!$B$6+IF(D1812="Yes",Assumptions!$C$6,0))</f>
        <v>692090.8149</v>
      </c>
      <c r="I1812" s="22">
        <f>F1812*(1+Assumptions!$B$7+IF(D1812="Yes",Assumptions!$C$7,0))</f>
        <v>705529.47149999999</v>
      </c>
      <c r="J1812" s="22">
        <f>F1812*(1+Assumptions!$B$8+IF(D1812="Yes",Assumptions!$C$8,0))</f>
        <v>678652.15830000001</v>
      </c>
    </row>
    <row r="1813" spans="1:10" ht="15">
      <c r="A1813" s="21">
        <v>41075</v>
      </c>
      <c r="B1813" s="21">
        <v>41061</v>
      </c>
      <c r="C1813" s="17">
        <v>98</v>
      </c>
      <c r="D1813" s="17" t="s">
        <v>91</v>
      </c>
      <c r="E1813" s="14">
        <v>262900.49</v>
      </c>
      <c r="F1813" s="14">
        <v>268677.34999999998</v>
      </c>
      <c r="G1813" s="14">
        <v>268677.34999999998</v>
      </c>
      <c r="H1813" s="22">
        <f>F1813*(1+Assumptions!$B$6+IF(D1813="Yes",Assumptions!$C$6,0))</f>
        <v>276737.67050000001</v>
      </c>
      <c r="I1813" s="22">
        <f>F1813*(1+Assumptions!$B$7+IF(D1813="Yes",Assumptions!$C$7,0))</f>
        <v>282111.21749999997</v>
      </c>
      <c r="J1813" s="22">
        <f>F1813*(1+Assumptions!$B$8+IF(D1813="Yes",Assumptions!$C$8,0))</f>
        <v>271364.12349999999</v>
      </c>
    </row>
    <row r="1814" spans="1:10" ht="15">
      <c r="A1814" s="21">
        <v>41075</v>
      </c>
      <c r="B1814" s="21">
        <v>41061</v>
      </c>
      <c r="C1814" s="17">
        <v>99</v>
      </c>
      <c r="D1814" s="17" t="s">
        <v>91</v>
      </c>
      <c r="E1814" s="14">
        <v>3329.76</v>
      </c>
      <c r="F1814" s="14">
        <v>2200</v>
      </c>
      <c r="G1814" s="14">
        <v>2200</v>
      </c>
      <c r="H1814" s="22">
        <f>F1814*(1+Assumptions!$B$6+IF(D1814="Yes",Assumptions!$C$6,0))</f>
        <v>2266</v>
      </c>
      <c r="I1814" s="22">
        <f>F1814*(1+Assumptions!$B$7+IF(D1814="Yes",Assumptions!$C$7,0))</f>
        <v>2310</v>
      </c>
      <c r="J1814" s="22">
        <f>F1814*(1+Assumptions!$B$8+IF(D1814="Yes",Assumptions!$C$8,0))</f>
        <v>2222</v>
      </c>
    </row>
    <row r="1815" spans="1:10" ht="15">
      <c r="A1815" s="21">
        <v>41082</v>
      </c>
      <c r="B1815" s="21">
        <v>41061</v>
      </c>
      <c r="C1815" s="17">
        <v>1</v>
      </c>
      <c r="D1815" s="17" t="s">
        <v>91</v>
      </c>
      <c r="E1815" s="14">
        <v>650481.17999999993</v>
      </c>
      <c r="F1815" s="14">
        <v>628891.77</v>
      </c>
      <c r="G1815" s="14">
        <v>628891.77</v>
      </c>
      <c r="H1815" s="22">
        <f>F1815*(1+Assumptions!$B$6+IF(D1815="Yes",Assumptions!$C$6,0))</f>
        <v>647758.52309999999</v>
      </c>
      <c r="I1815" s="22">
        <f>F1815*(1+Assumptions!$B$7+IF(D1815="Yes",Assumptions!$C$7,0))</f>
        <v>660336.35850000009</v>
      </c>
      <c r="J1815" s="22">
        <f>F1815*(1+Assumptions!$B$8+IF(D1815="Yes",Assumptions!$C$8,0))</f>
        <v>635180.68770000001</v>
      </c>
    </row>
    <row r="1816" spans="1:10" ht="15">
      <c r="A1816" s="21">
        <v>41082</v>
      </c>
      <c r="B1816" s="21">
        <v>41061</v>
      </c>
      <c r="C1816" s="17">
        <v>2</v>
      </c>
      <c r="D1816" s="17" t="s">
        <v>91</v>
      </c>
      <c r="E1816" s="14">
        <v>2018846.25</v>
      </c>
      <c r="F1816" s="14">
        <v>1932495.59</v>
      </c>
      <c r="G1816" s="14">
        <v>1932495.59</v>
      </c>
      <c r="H1816" s="22">
        <f>F1816*(1+Assumptions!$B$6+IF(D1816="Yes",Assumptions!$C$6,0))</f>
        <v>1990470.4577000001</v>
      </c>
      <c r="I1816" s="22">
        <f>F1816*(1+Assumptions!$B$7+IF(D1816="Yes",Assumptions!$C$7,0))</f>
        <v>2029120.3695000003</v>
      </c>
      <c r="J1816" s="22">
        <f>F1816*(1+Assumptions!$B$8+IF(D1816="Yes",Assumptions!$C$8,0))</f>
        <v>1951820.5459</v>
      </c>
    </row>
    <row r="1817" spans="1:10" ht="15">
      <c r="A1817" s="21">
        <v>41082</v>
      </c>
      <c r="B1817" s="21">
        <v>41061</v>
      </c>
      <c r="C1817" s="17">
        <v>3</v>
      </c>
      <c r="D1817" s="17" t="s">
        <v>91</v>
      </c>
      <c r="E1817" s="14">
        <v>309118.73</v>
      </c>
      <c r="F1817" s="14">
        <v>309003.32</v>
      </c>
      <c r="G1817" s="14">
        <v>309003.32</v>
      </c>
      <c r="H1817" s="22">
        <f>F1817*(1+Assumptions!$B$6+IF(D1817="Yes",Assumptions!$C$6,0))</f>
        <v>318273.41960000002</v>
      </c>
      <c r="I1817" s="22">
        <f>F1817*(1+Assumptions!$B$7+IF(D1817="Yes",Assumptions!$C$7,0))</f>
        <v>324453.48600000003</v>
      </c>
      <c r="J1817" s="22">
        <f>F1817*(1+Assumptions!$B$8+IF(D1817="Yes",Assumptions!$C$8,0))</f>
        <v>312093.35320000001</v>
      </c>
    </row>
    <row r="1818" spans="1:10" ht="15">
      <c r="A1818" s="21">
        <v>41082</v>
      </c>
      <c r="B1818" s="21">
        <v>41061</v>
      </c>
      <c r="C1818" s="17">
        <v>4</v>
      </c>
      <c r="D1818" s="17" t="s">
        <v>91</v>
      </c>
      <c r="E1818" s="14">
        <v>1168655.8600000001</v>
      </c>
      <c r="F1818" s="14">
        <v>1130147.71</v>
      </c>
      <c r="G1818" s="14">
        <v>1130147.71</v>
      </c>
      <c r="H1818" s="22">
        <f>F1818*(1+Assumptions!$B$6+IF(D1818="Yes",Assumptions!$C$6,0))</f>
        <v>1164052.1413</v>
      </c>
      <c r="I1818" s="22">
        <f>F1818*(1+Assumptions!$B$7+IF(D1818="Yes",Assumptions!$C$7,0))</f>
        <v>1186655.0955000001</v>
      </c>
      <c r="J1818" s="22">
        <f>F1818*(1+Assumptions!$B$8+IF(D1818="Yes",Assumptions!$C$8,0))</f>
        <v>1141449.1871</v>
      </c>
    </row>
    <row r="1819" spans="1:10" ht="15">
      <c r="A1819" s="21">
        <v>41082</v>
      </c>
      <c r="B1819" s="21">
        <v>41061</v>
      </c>
      <c r="C1819" s="17">
        <v>5</v>
      </c>
      <c r="D1819" s="17" t="s">
        <v>91</v>
      </c>
      <c r="E1819" s="14">
        <v>733859.27</v>
      </c>
      <c r="F1819" s="14">
        <v>756607.14</v>
      </c>
      <c r="G1819" s="14">
        <v>756607.14</v>
      </c>
      <c r="H1819" s="22">
        <f>F1819*(1+Assumptions!$B$6+IF(D1819="Yes",Assumptions!$C$6,0))</f>
        <v>779305.35420000006</v>
      </c>
      <c r="I1819" s="22">
        <f>F1819*(1+Assumptions!$B$7+IF(D1819="Yes",Assumptions!$C$7,0))</f>
        <v>794437.49700000009</v>
      </c>
      <c r="J1819" s="22">
        <f>F1819*(1+Assumptions!$B$8+IF(D1819="Yes",Assumptions!$C$8,0))</f>
        <v>764173.21140000003</v>
      </c>
    </row>
    <row r="1820" spans="1:10" ht="15">
      <c r="A1820" s="21">
        <v>41082</v>
      </c>
      <c r="B1820" s="21">
        <v>41061</v>
      </c>
      <c r="C1820" s="17">
        <v>6</v>
      </c>
      <c r="D1820" s="17" t="s">
        <v>91</v>
      </c>
      <c r="E1820" s="14">
        <v>164989.85</v>
      </c>
      <c r="F1820" s="14">
        <v>204652.62</v>
      </c>
      <c r="G1820" s="14">
        <v>204652.62</v>
      </c>
      <c r="H1820" s="22">
        <f>F1820*(1+Assumptions!$B$6+IF(D1820="Yes",Assumptions!$C$6,0))</f>
        <v>210792.1986</v>
      </c>
      <c r="I1820" s="22">
        <f>F1820*(1+Assumptions!$B$7+IF(D1820="Yes",Assumptions!$C$7,0))</f>
        <v>214885.25100000002</v>
      </c>
      <c r="J1820" s="22">
        <f>F1820*(1+Assumptions!$B$8+IF(D1820="Yes",Assumptions!$C$8,0))</f>
        <v>206699.14619999999</v>
      </c>
    </row>
    <row r="1821" spans="1:10" ht="15">
      <c r="A1821" s="21">
        <v>41082</v>
      </c>
      <c r="B1821" s="21">
        <v>41061</v>
      </c>
      <c r="C1821" s="17">
        <v>7</v>
      </c>
      <c r="D1821" s="17" t="s">
        <v>91</v>
      </c>
      <c r="E1821" s="14">
        <v>1185908.8799999999</v>
      </c>
      <c r="F1821" s="14">
        <v>1114565.6499999999</v>
      </c>
      <c r="G1821" s="14">
        <v>1114565.6499999999</v>
      </c>
      <c r="H1821" s="22">
        <f>F1821*(1+Assumptions!$B$6+IF(D1821="Yes",Assumptions!$C$6,0))</f>
        <v>1148002.6195</v>
      </c>
      <c r="I1821" s="22">
        <f>F1821*(1+Assumptions!$B$7+IF(D1821="Yes",Assumptions!$C$7,0))</f>
        <v>1170293.9324999999</v>
      </c>
      <c r="J1821" s="22">
        <f>F1821*(1+Assumptions!$B$8+IF(D1821="Yes",Assumptions!$C$8,0))</f>
        <v>1125711.3064999999</v>
      </c>
    </row>
    <row r="1822" spans="1:10" ht="15">
      <c r="A1822" s="21">
        <v>41082</v>
      </c>
      <c r="B1822" s="21">
        <v>41061</v>
      </c>
      <c r="C1822" s="17">
        <v>8</v>
      </c>
      <c r="D1822" s="17" t="s">
        <v>91</v>
      </c>
      <c r="E1822" s="14">
        <v>1327482.57</v>
      </c>
      <c r="F1822" s="14">
        <v>1333790.23</v>
      </c>
      <c r="G1822" s="14">
        <v>1333790.23</v>
      </c>
      <c r="H1822" s="22">
        <f>F1822*(1+Assumptions!$B$6+IF(D1822="Yes",Assumptions!$C$6,0))</f>
        <v>1373803.9369000001</v>
      </c>
      <c r="I1822" s="22">
        <f>F1822*(1+Assumptions!$B$7+IF(D1822="Yes",Assumptions!$C$7,0))</f>
        <v>1400479.7415</v>
      </c>
      <c r="J1822" s="22">
        <f>F1822*(1+Assumptions!$B$8+IF(D1822="Yes",Assumptions!$C$8,0))</f>
        <v>1347128.1322999999</v>
      </c>
    </row>
    <row r="1823" spans="1:10" ht="15">
      <c r="A1823" s="21">
        <v>41082</v>
      </c>
      <c r="B1823" s="21">
        <v>41061</v>
      </c>
      <c r="C1823" s="17">
        <v>9</v>
      </c>
      <c r="D1823" s="17" t="s">
        <v>91</v>
      </c>
      <c r="E1823" s="14">
        <v>1264978.72</v>
      </c>
      <c r="F1823" s="14">
        <v>1200356.68</v>
      </c>
      <c r="G1823" s="14">
        <v>1200356.68</v>
      </c>
      <c r="H1823" s="22">
        <f>F1823*(1+Assumptions!$B$6+IF(D1823="Yes",Assumptions!$C$6,0))</f>
        <v>1236367.3803999999</v>
      </c>
      <c r="I1823" s="22">
        <f>F1823*(1+Assumptions!$B$7+IF(D1823="Yes",Assumptions!$C$7,0))</f>
        <v>1260374.514</v>
      </c>
      <c r="J1823" s="22">
        <f>F1823*(1+Assumptions!$B$8+IF(D1823="Yes",Assumptions!$C$8,0))</f>
        <v>1212360.2467999998</v>
      </c>
    </row>
    <row r="1824" spans="1:10" ht="15">
      <c r="A1824" s="21">
        <v>41082</v>
      </c>
      <c r="B1824" s="21">
        <v>41061</v>
      </c>
      <c r="C1824" s="17">
        <v>10</v>
      </c>
      <c r="D1824" s="17" t="s">
        <v>91</v>
      </c>
      <c r="E1824" s="14">
        <v>917796.98</v>
      </c>
      <c r="F1824" s="14">
        <v>883050.89</v>
      </c>
      <c r="G1824" s="14">
        <v>883050.89</v>
      </c>
      <c r="H1824" s="22">
        <f>F1824*(1+Assumptions!$B$6+IF(D1824="Yes",Assumptions!$C$6,0))</f>
        <v>909542.41670000006</v>
      </c>
      <c r="I1824" s="22">
        <f>F1824*(1+Assumptions!$B$7+IF(D1824="Yes",Assumptions!$C$7,0))</f>
        <v>927203.43450000009</v>
      </c>
      <c r="J1824" s="22">
        <f>F1824*(1+Assumptions!$B$8+IF(D1824="Yes",Assumptions!$C$8,0))</f>
        <v>891881.39890000003</v>
      </c>
    </row>
    <row r="1825" spans="1:10" ht="15">
      <c r="A1825" s="21">
        <v>41082</v>
      </c>
      <c r="B1825" s="21">
        <v>41061</v>
      </c>
      <c r="C1825" s="17">
        <v>11</v>
      </c>
      <c r="D1825" s="17" t="s">
        <v>91</v>
      </c>
      <c r="E1825" s="14">
        <v>1136239.46</v>
      </c>
      <c r="F1825" s="14">
        <v>763600.01</v>
      </c>
      <c r="G1825" s="14">
        <v>763600.01</v>
      </c>
      <c r="H1825" s="22">
        <f>F1825*(1+Assumptions!$B$6+IF(D1825="Yes",Assumptions!$C$6,0))</f>
        <v>786508.01030000008</v>
      </c>
      <c r="I1825" s="22">
        <f>F1825*(1+Assumptions!$B$7+IF(D1825="Yes",Assumptions!$C$7,0))</f>
        <v>801780.01050000009</v>
      </c>
      <c r="J1825" s="22">
        <f>F1825*(1+Assumptions!$B$8+IF(D1825="Yes",Assumptions!$C$8,0))</f>
        <v>771236.01010000007</v>
      </c>
    </row>
    <row r="1826" spans="1:10" ht="15">
      <c r="A1826" s="21">
        <v>41082</v>
      </c>
      <c r="B1826" s="21">
        <v>41061</v>
      </c>
      <c r="C1826" s="17">
        <v>12</v>
      </c>
      <c r="D1826" s="17" t="s">
        <v>91</v>
      </c>
      <c r="E1826" s="14">
        <v>206782.71</v>
      </c>
      <c r="F1826" s="14">
        <v>205904</v>
      </c>
      <c r="G1826" s="14">
        <v>205904</v>
      </c>
      <c r="H1826" s="22">
        <f>F1826*(1+Assumptions!$B$6+IF(D1826="Yes",Assumptions!$C$6,0))</f>
        <v>212081.12</v>
      </c>
      <c r="I1826" s="22">
        <f>F1826*(1+Assumptions!$B$7+IF(D1826="Yes",Assumptions!$C$7,0))</f>
        <v>216199.2</v>
      </c>
      <c r="J1826" s="22">
        <f>F1826*(1+Assumptions!$B$8+IF(D1826="Yes",Assumptions!$C$8,0))</f>
        <v>207963.04</v>
      </c>
    </row>
    <row r="1827" spans="1:10" ht="15">
      <c r="A1827" s="21">
        <v>41082</v>
      </c>
      <c r="B1827" s="21">
        <v>41061</v>
      </c>
      <c r="C1827" s="17">
        <v>13</v>
      </c>
      <c r="D1827" s="17" t="s">
        <v>91</v>
      </c>
      <c r="E1827" s="14">
        <v>1320373.2</v>
      </c>
      <c r="F1827" s="14">
        <v>1288021.8500000001</v>
      </c>
      <c r="G1827" s="14">
        <v>1288021.8500000001</v>
      </c>
      <c r="H1827" s="22">
        <f>F1827*(1+Assumptions!$B$6+IF(D1827="Yes",Assumptions!$C$6,0))</f>
        <v>1326662.5055000002</v>
      </c>
      <c r="I1827" s="22">
        <f>F1827*(1+Assumptions!$B$7+IF(D1827="Yes",Assumptions!$C$7,0))</f>
        <v>1352422.9425000001</v>
      </c>
      <c r="J1827" s="22">
        <f>F1827*(1+Assumptions!$B$8+IF(D1827="Yes",Assumptions!$C$8,0))</f>
        <v>1300902.0685000001</v>
      </c>
    </row>
    <row r="1828" spans="1:10" ht="15">
      <c r="A1828" s="21">
        <v>41082</v>
      </c>
      <c r="B1828" s="21">
        <v>41061</v>
      </c>
      <c r="C1828" s="17">
        <v>14</v>
      </c>
      <c r="D1828" s="17" t="s">
        <v>91</v>
      </c>
      <c r="E1828" s="14">
        <v>596303.80999999994</v>
      </c>
      <c r="F1828" s="14">
        <v>557294.36</v>
      </c>
      <c r="G1828" s="14">
        <v>557294.36</v>
      </c>
      <c r="H1828" s="22">
        <f>F1828*(1+Assumptions!$B$6+IF(D1828="Yes",Assumptions!$C$6,0))</f>
        <v>574013.19079999998</v>
      </c>
      <c r="I1828" s="22">
        <f>F1828*(1+Assumptions!$B$7+IF(D1828="Yes",Assumptions!$C$7,0))</f>
        <v>585159.07799999998</v>
      </c>
      <c r="J1828" s="22">
        <f>F1828*(1+Assumptions!$B$8+IF(D1828="Yes",Assumptions!$C$8,0))</f>
        <v>562867.30359999998</v>
      </c>
    </row>
    <row r="1829" spans="1:10" ht="15">
      <c r="A1829" s="21">
        <v>41082</v>
      </c>
      <c r="B1829" s="21">
        <v>41061</v>
      </c>
      <c r="C1829" s="17">
        <v>16</v>
      </c>
      <c r="D1829" s="17" t="s">
        <v>91</v>
      </c>
      <c r="E1829" s="14">
        <v>1268975.06</v>
      </c>
      <c r="F1829" s="14">
        <v>1221957.01</v>
      </c>
      <c r="G1829" s="14">
        <v>1221957.01</v>
      </c>
      <c r="H1829" s="22">
        <f>F1829*(1+Assumptions!$B$6+IF(D1829="Yes",Assumptions!$C$6,0))</f>
        <v>1258615.7202999999</v>
      </c>
      <c r="I1829" s="22">
        <f>F1829*(1+Assumptions!$B$7+IF(D1829="Yes",Assumptions!$C$7,0))</f>
        <v>1283054.8605</v>
      </c>
      <c r="J1829" s="22">
        <f>F1829*(1+Assumptions!$B$8+IF(D1829="Yes",Assumptions!$C$8,0))</f>
        <v>1234176.5800999999</v>
      </c>
    </row>
    <row r="1830" spans="1:10" ht="15">
      <c r="A1830" s="21">
        <v>41082</v>
      </c>
      <c r="B1830" s="21">
        <v>41061</v>
      </c>
      <c r="C1830" s="17">
        <v>17</v>
      </c>
      <c r="D1830" s="17" t="s">
        <v>91</v>
      </c>
      <c r="E1830" s="14">
        <v>388197.36</v>
      </c>
      <c r="F1830" s="14">
        <v>386441.02</v>
      </c>
      <c r="G1830" s="14">
        <v>386441.02</v>
      </c>
      <c r="H1830" s="22">
        <f>F1830*(1+Assumptions!$B$6+IF(D1830="Yes",Assumptions!$C$6,0))</f>
        <v>398034.25060000003</v>
      </c>
      <c r="I1830" s="22">
        <f>F1830*(1+Assumptions!$B$7+IF(D1830="Yes",Assumptions!$C$7,0))</f>
        <v>405763.07100000005</v>
      </c>
      <c r="J1830" s="22">
        <f>F1830*(1+Assumptions!$B$8+IF(D1830="Yes",Assumptions!$C$8,0))</f>
        <v>390305.4302</v>
      </c>
    </row>
    <row r="1831" spans="1:10" ht="15">
      <c r="A1831" s="21">
        <v>41082</v>
      </c>
      <c r="B1831" s="21">
        <v>41061</v>
      </c>
      <c r="C1831" s="17">
        <v>18</v>
      </c>
      <c r="D1831" s="17" t="s">
        <v>91</v>
      </c>
      <c r="E1831" s="14">
        <v>23.8</v>
      </c>
      <c r="F1831" s="14">
        <v>399.89</v>
      </c>
      <c r="G1831" s="14">
        <v>399.89</v>
      </c>
      <c r="H1831" s="22">
        <f>F1831*(1+Assumptions!$B$6+IF(D1831="Yes",Assumptions!$C$6,0))</f>
        <v>411.88670000000002</v>
      </c>
      <c r="I1831" s="22">
        <f>F1831*(1+Assumptions!$B$7+IF(D1831="Yes",Assumptions!$C$7,0))</f>
        <v>419.8845</v>
      </c>
      <c r="J1831" s="22">
        <f>F1831*(1+Assumptions!$B$8+IF(D1831="Yes",Assumptions!$C$8,0))</f>
        <v>403.88889999999998</v>
      </c>
    </row>
    <row r="1832" spans="1:10" ht="15">
      <c r="A1832" s="21">
        <v>41082</v>
      </c>
      <c r="B1832" s="21">
        <v>41061</v>
      </c>
      <c r="C1832" s="17">
        <v>19</v>
      </c>
      <c r="D1832" s="17" t="s">
        <v>91</v>
      </c>
      <c r="E1832" s="14">
        <v>39179.199999999997</v>
      </c>
      <c r="F1832" s="14">
        <v>34092.550000000003</v>
      </c>
      <c r="G1832" s="14">
        <v>34092.550000000003</v>
      </c>
      <c r="H1832" s="22">
        <f>F1832*(1+Assumptions!$B$6+IF(D1832="Yes",Assumptions!$C$6,0))</f>
        <v>35115.326500000003</v>
      </c>
      <c r="I1832" s="22">
        <f>F1832*(1+Assumptions!$B$7+IF(D1832="Yes",Assumptions!$C$7,0))</f>
        <v>35797.177500000005</v>
      </c>
      <c r="J1832" s="22">
        <f>F1832*(1+Assumptions!$B$8+IF(D1832="Yes",Assumptions!$C$8,0))</f>
        <v>34433.4755</v>
      </c>
    </row>
    <row r="1833" spans="1:10" ht="15">
      <c r="A1833" s="21">
        <v>41082</v>
      </c>
      <c r="B1833" s="21">
        <v>41061</v>
      </c>
      <c r="C1833" s="17">
        <v>20</v>
      </c>
      <c r="D1833" s="17" t="s">
        <v>91</v>
      </c>
      <c r="E1833" s="14">
        <v>255462.14</v>
      </c>
      <c r="F1833" s="14">
        <v>255731.81</v>
      </c>
      <c r="G1833" s="14">
        <v>255731.81</v>
      </c>
      <c r="H1833" s="22">
        <f>F1833*(1+Assumptions!$B$6+IF(D1833="Yes",Assumptions!$C$6,0))</f>
        <v>263403.76429999998</v>
      </c>
      <c r="I1833" s="22">
        <f>F1833*(1+Assumptions!$B$7+IF(D1833="Yes",Assumptions!$C$7,0))</f>
        <v>268518.40049999999</v>
      </c>
      <c r="J1833" s="22">
        <f>F1833*(1+Assumptions!$B$8+IF(D1833="Yes",Assumptions!$C$8,0))</f>
        <v>258289.1281</v>
      </c>
    </row>
    <row r="1834" spans="1:10" ht="15">
      <c r="A1834" s="21">
        <v>41082</v>
      </c>
      <c r="B1834" s="21">
        <v>41061</v>
      </c>
      <c r="C1834" s="17">
        <v>21</v>
      </c>
      <c r="D1834" s="17" t="s">
        <v>91</v>
      </c>
      <c r="E1834" s="14">
        <v>199200.08</v>
      </c>
      <c r="F1834" s="14">
        <v>216385.27</v>
      </c>
      <c r="G1834" s="14">
        <v>216385.27</v>
      </c>
      <c r="H1834" s="22">
        <f>F1834*(1+Assumptions!$B$6+IF(D1834="Yes",Assumptions!$C$6,0))</f>
        <v>222876.82809999998</v>
      </c>
      <c r="I1834" s="22">
        <f>F1834*(1+Assumptions!$B$7+IF(D1834="Yes",Assumptions!$C$7,0))</f>
        <v>227204.53349999999</v>
      </c>
      <c r="J1834" s="22">
        <f>F1834*(1+Assumptions!$B$8+IF(D1834="Yes",Assumptions!$C$8,0))</f>
        <v>218549.12269999998</v>
      </c>
    </row>
    <row r="1835" spans="1:10" ht="15">
      <c r="A1835" s="21">
        <v>41082</v>
      </c>
      <c r="B1835" s="21">
        <v>41061</v>
      </c>
      <c r="C1835" s="17">
        <v>22</v>
      </c>
      <c r="D1835" s="17" t="s">
        <v>91</v>
      </c>
      <c r="E1835" s="14">
        <v>357002.95</v>
      </c>
      <c r="F1835" s="14">
        <v>350828.07</v>
      </c>
      <c r="G1835" s="14">
        <v>350828.07</v>
      </c>
      <c r="H1835" s="22">
        <f>F1835*(1+Assumptions!$B$6+IF(D1835="Yes",Assumptions!$C$6,0))</f>
        <v>361352.91210000002</v>
      </c>
      <c r="I1835" s="22">
        <f>F1835*(1+Assumptions!$B$7+IF(D1835="Yes",Assumptions!$C$7,0))</f>
        <v>368369.47350000002</v>
      </c>
      <c r="J1835" s="22">
        <f>F1835*(1+Assumptions!$B$8+IF(D1835="Yes",Assumptions!$C$8,0))</f>
        <v>354336.35070000001</v>
      </c>
    </row>
    <row r="1836" spans="1:10" ht="15">
      <c r="A1836" s="21">
        <v>41082</v>
      </c>
      <c r="B1836" s="21">
        <v>41061</v>
      </c>
      <c r="C1836" s="17">
        <v>23</v>
      </c>
      <c r="D1836" s="17" t="s">
        <v>91</v>
      </c>
      <c r="E1836" s="14">
        <v>1232606.58</v>
      </c>
      <c r="F1836" s="14">
        <v>1144534.71</v>
      </c>
      <c r="G1836" s="14">
        <v>1144534.71</v>
      </c>
      <c r="H1836" s="22">
        <f>F1836*(1+Assumptions!$B$6+IF(D1836="Yes",Assumptions!$C$6,0))</f>
        <v>1178870.7512999999</v>
      </c>
      <c r="I1836" s="22">
        <f>F1836*(1+Assumptions!$B$7+IF(D1836="Yes",Assumptions!$C$7,0))</f>
        <v>1201761.4454999999</v>
      </c>
      <c r="J1836" s="22">
        <f>F1836*(1+Assumptions!$B$8+IF(D1836="Yes",Assumptions!$C$8,0))</f>
        <v>1155980.0570999999</v>
      </c>
    </row>
    <row r="1837" spans="1:10" ht="15">
      <c r="A1837" s="21">
        <v>41082</v>
      </c>
      <c r="B1837" s="21">
        <v>41061</v>
      </c>
      <c r="C1837" s="17">
        <v>24</v>
      </c>
      <c r="D1837" s="17" t="s">
        <v>91</v>
      </c>
      <c r="E1837" s="14">
        <v>187378.81</v>
      </c>
      <c r="F1837" s="14">
        <v>187243.44</v>
      </c>
      <c r="G1837" s="14">
        <v>187243.44</v>
      </c>
      <c r="H1837" s="22">
        <f>F1837*(1+Assumptions!$B$6+IF(D1837="Yes",Assumptions!$C$6,0))</f>
        <v>192860.7432</v>
      </c>
      <c r="I1837" s="22">
        <f>F1837*(1+Assumptions!$B$7+IF(D1837="Yes",Assumptions!$C$7,0))</f>
        <v>196605.61200000002</v>
      </c>
      <c r="J1837" s="22">
        <f>F1837*(1+Assumptions!$B$8+IF(D1837="Yes",Assumptions!$C$8,0))</f>
        <v>189115.8744</v>
      </c>
    </row>
    <row r="1838" spans="1:10" ht="15">
      <c r="A1838" s="21">
        <v>41082</v>
      </c>
      <c r="B1838" s="21">
        <v>41061</v>
      </c>
      <c r="C1838" s="17">
        <v>25</v>
      </c>
      <c r="D1838" s="17" t="s">
        <v>91</v>
      </c>
      <c r="E1838" s="14">
        <v>424164.04</v>
      </c>
      <c r="F1838" s="14">
        <v>422694.07</v>
      </c>
      <c r="G1838" s="14">
        <v>422694.07</v>
      </c>
      <c r="H1838" s="22">
        <f>F1838*(1+Assumptions!$B$6+IF(D1838="Yes",Assumptions!$C$6,0))</f>
        <v>435374.8921</v>
      </c>
      <c r="I1838" s="22">
        <f>F1838*(1+Assumptions!$B$7+IF(D1838="Yes",Assumptions!$C$7,0))</f>
        <v>443828.77350000001</v>
      </c>
      <c r="J1838" s="22">
        <f>F1838*(1+Assumptions!$B$8+IF(D1838="Yes",Assumptions!$C$8,0))</f>
        <v>426921.01069999998</v>
      </c>
    </row>
    <row r="1839" spans="1:10" ht="15">
      <c r="A1839" s="21">
        <v>41082</v>
      </c>
      <c r="B1839" s="21">
        <v>41061</v>
      </c>
      <c r="C1839" s="17">
        <v>26</v>
      </c>
      <c r="D1839" s="17" t="s">
        <v>91</v>
      </c>
      <c r="E1839" s="14">
        <v>240553.03</v>
      </c>
      <c r="F1839" s="14">
        <v>252686.16999999998</v>
      </c>
      <c r="G1839" s="14">
        <v>252686.16999999998</v>
      </c>
      <c r="H1839" s="22">
        <f>F1839*(1+Assumptions!$B$6+IF(D1839="Yes",Assumptions!$C$6,0))</f>
        <v>260266.75509999998</v>
      </c>
      <c r="I1839" s="22">
        <f>F1839*(1+Assumptions!$B$7+IF(D1839="Yes",Assumptions!$C$7,0))</f>
        <v>265320.47849999997</v>
      </c>
      <c r="J1839" s="22">
        <f>F1839*(1+Assumptions!$B$8+IF(D1839="Yes",Assumptions!$C$8,0))</f>
        <v>255213.03169999999</v>
      </c>
    </row>
    <row r="1840" spans="1:10" ht="15">
      <c r="A1840" s="21">
        <v>41082</v>
      </c>
      <c r="B1840" s="21">
        <v>41061</v>
      </c>
      <c r="C1840" s="17">
        <v>27</v>
      </c>
      <c r="D1840" s="17" t="s">
        <v>91</v>
      </c>
      <c r="E1840" s="14">
        <v>45776.52</v>
      </c>
      <c r="F1840" s="14">
        <v>42403.26</v>
      </c>
      <c r="G1840" s="14">
        <v>42403.26</v>
      </c>
      <c r="H1840" s="22">
        <f>F1840*(1+Assumptions!$B$6+IF(D1840="Yes",Assumptions!$C$6,0))</f>
        <v>43675.357800000005</v>
      </c>
      <c r="I1840" s="22">
        <f>F1840*(1+Assumptions!$B$7+IF(D1840="Yes",Assumptions!$C$7,0))</f>
        <v>44523.423000000003</v>
      </c>
      <c r="J1840" s="22">
        <f>F1840*(1+Assumptions!$B$8+IF(D1840="Yes",Assumptions!$C$8,0))</f>
        <v>42827.292600000001</v>
      </c>
    </row>
    <row r="1841" spans="1:10" ht="15">
      <c r="A1841" s="21">
        <v>41082</v>
      </c>
      <c r="B1841" s="21">
        <v>41061</v>
      </c>
      <c r="C1841" s="17">
        <v>28</v>
      </c>
      <c r="D1841" s="17" t="s">
        <v>91</v>
      </c>
      <c r="E1841" s="14">
        <v>15926.85</v>
      </c>
      <c r="F1841" s="14">
        <v>16525.57</v>
      </c>
      <c r="G1841" s="14">
        <v>16525.57</v>
      </c>
      <c r="H1841" s="22">
        <f>F1841*(1+Assumptions!$B$6+IF(D1841="Yes",Assumptions!$C$6,0))</f>
        <v>17021.337100000001</v>
      </c>
      <c r="I1841" s="22">
        <f>F1841*(1+Assumptions!$B$7+IF(D1841="Yes",Assumptions!$C$7,0))</f>
        <v>17351.8485</v>
      </c>
      <c r="J1841" s="22">
        <f>F1841*(1+Assumptions!$B$8+IF(D1841="Yes",Assumptions!$C$8,0))</f>
        <v>16690.825700000001</v>
      </c>
    </row>
    <row r="1842" spans="1:10" ht="15">
      <c r="A1842" s="21">
        <v>41082</v>
      </c>
      <c r="B1842" s="21">
        <v>41061</v>
      </c>
      <c r="C1842" s="17">
        <v>29</v>
      </c>
      <c r="D1842" s="17" t="s">
        <v>91</v>
      </c>
      <c r="E1842" s="14">
        <v>193733.57</v>
      </c>
      <c r="F1842" s="14">
        <v>186572.5</v>
      </c>
      <c r="G1842" s="14">
        <v>186572.5</v>
      </c>
      <c r="H1842" s="22">
        <f>F1842*(1+Assumptions!$B$6+IF(D1842="Yes",Assumptions!$C$6,0))</f>
        <v>192169.67500000002</v>
      </c>
      <c r="I1842" s="22">
        <f>F1842*(1+Assumptions!$B$7+IF(D1842="Yes",Assumptions!$C$7,0))</f>
        <v>195901.125</v>
      </c>
      <c r="J1842" s="22">
        <f>F1842*(1+Assumptions!$B$8+IF(D1842="Yes",Assumptions!$C$8,0))</f>
        <v>188438.22500000001</v>
      </c>
    </row>
    <row r="1843" spans="1:10" ht="15">
      <c r="A1843" s="21">
        <v>41082</v>
      </c>
      <c r="B1843" s="21">
        <v>41061</v>
      </c>
      <c r="C1843" s="17">
        <v>30</v>
      </c>
      <c r="D1843" s="17" t="s">
        <v>91</v>
      </c>
      <c r="E1843" s="14">
        <v>162680.34</v>
      </c>
      <c r="F1843" s="14">
        <v>161352.88</v>
      </c>
      <c r="G1843" s="14">
        <v>161352.88</v>
      </c>
      <c r="H1843" s="22">
        <f>F1843*(1+Assumptions!$B$6+IF(D1843="Yes",Assumptions!$C$6,0))</f>
        <v>166193.4664</v>
      </c>
      <c r="I1843" s="22">
        <f>F1843*(1+Assumptions!$B$7+IF(D1843="Yes",Assumptions!$C$7,0))</f>
        <v>169420.524</v>
      </c>
      <c r="J1843" s="22">
        <f>F1843*(1+Assumptions!$B$8+IF(D1843="Yes",Assumptions!$C$8,0))</f>
        <v>162966.4088</v>
      </c>
    </row>
    <row r="1844" spans="1:10" ht="15">
      <c r="A1844" s="21">
        <v>41082</v>
      </c>
      <c r="B1844" s="21">
        <v>41061</v>
      </c>
      <c r="C1844" s="17">
        <v>31</v>
      </c>
      <c r="D1844" s="17" t="s">
        <v>91</v>
      </c>
      <c r="E1844" s="14">
        <v>71362.2</v>
      </c>
      <c r="F1844" s="14">
        <v>82354.66</v>
      </c>
      <c r="G1844" s="14">
        <v>82354.66</v>
      </c>
      <c r="H1844" s="22">
        <f>F1844*(1+Assumptions!$B$6+IF(D1844="Yes",Assumptions!$C$6,0))</f>
        <v>84825.299800000008</v>
      </c>
      <c r="I1844" s="22">
        <f>F1844*(1+Assumptions!$B$7+IF(D1844="Yes",Assumptions!$C$7,0))</f>
        <v>86472.393000000011</v>
      </c>
      <c r="J1844" s="22">
        <f>F1844*(1+Assumptions!$B$8+IF(D1844="Yes",Assumptions!$C$8,0))</f>
        <v>83178.206600000005</v>
      </c>
    </row>
    <row r="1845" spans="1:10" ht="15">
      <c r="A1845" s="21">
        <v>41082</v>
      </c>
      <c r="B1845" s="21">
        <v>41061</v>
      </c>
      <c r="C1845" s="17">
        <v>32</v>
      </c>
      <c r="D1845" s="17" t="s">
        <v>91</v>
      </c>
      <c r="E1845" s="14">
        <v>291501.56</v>
      </c>
      <c r="F1845" s="14">
        <v>278022.07</v>
      </c>
      <c r="G1845" s="14">
        <v>278022.07</v>
      </c>
      <c r="H1845" s="22">
        <f>F1845*(1+Assumptions!$B$6+IF(D1845="Yes",Assumptions!$C$6,0))</f>
        <v>286362.73210000002</v>
      </c>
      <c r="I1845" s="22">
        <f>F1845*(1+Assumptions!$B$7+IF(D1845="Yes",Assumptions!$C$7,0))</f>
        <v>291923.17350000003</v>
      </c>
      <c r="J1845" s="22">
        <f>F1845*(1+Assumptions!$B$8+IF(D1845="Yes",Assumptions!$C$8,0))</f>
        <v>280802.29070000001</v>
      </c>
    </row>
    <row r="1846" spans="1:10" ht="15">
      <c r="A1846" s="21">
        <v>41082</v>
      </c>
      <c r="B1846" s="21">
        <v>41061</v>
      </c>
      <c r="C1846" s="17">
        <v>33</v>
      </c>
      <c r="D1846" s="17" t="s">
        <v>91</v>
      </c>
      <c r="E1846" s="14">
        <v>194450.14</v>
      </c>
      <c r="F1846" s="14">
        <v>208141.34</v>
      </c>
      <c r="G1846" s="14">
        <v>208141.34</v>
      </c>
      <c r="H1846" s="22">
        <f>F1846*(1+Assumptions!$B$6+IF(D1846="Yes",Assumptions!$C$6,0))</f>
        <v>214385.5802</v>
      </c>
      <c r="I1846" s="22">
        <f>F1846*(1+Assumptions!$B$7+IF(D1846="Yes",Assumptions!$C$7,0))</f>
        <v>218548.40700000001</v>
      </c>
      <c r="J1846" s="22">
        <f>F1846*(1+Assumptions!$B$8+IF(D1846="Yes",Assumptions!$C$8,0))</f>
        <v>210222.75339999999</v>
      </c>
    </row>
    <row r="1847" spans="1:10" ht="15">
      <c r="A1847" s="21">
        <v>41082</v>
      </c>
      <c r="B1847" s="21">
        <v>41061</v>
      </c>
      <c r="C1847" s="17">
        <v>34</v>
      </c>
      <c r="D1847" s="17" t="s">
        <v>91</v>
      </c>
      <c r="E1847" s="14">
        <v>692468.79</v>
      </c>
      <c r="F1847" s="14">
        <v>612949.44000000006</v>
      </c>
      <c r="G1847" s="14">
        <v>612949.44000000006</v>
      </c>
      <c r="H1847" s="22">
        <f>F1847*(1+Assumptions!$B$6+IF(D1847="Yes",Assumptions!$C$6,0))</f>
        <v>631337.92320000008</v>
      </c>
      <c r="I1847" s="22">
        <f>F1847*(1+Assumptions!$B$7+IF(D1847="Yes",Assumptions!$C$7,0))</f>
        <v>643596.91200000013</v>
      </c>
      <c r="J1847" s="22">
        <f>F1847*(1+Assumptions!$B$8+IF(D1847="Yes",Assumptions!$C$8,0))</f>
        <v>619078.93440000003</v>
      </c>
    </row>
    <row r="1848" spans="1:10" ht="15">
      <c r="A1848" s="21">
        <v>41082</v>
      </c>
      <c r="B1848" s="21">
        <v>41061</v>
      </c>
      <c r="C1848" s="17">
        <v>35</v>
      </c>
      <c r="D1848" s="17" t="s">
        <v>91</v>
      </c>
      <c r="E1848" s="14">
        <v>133441.54</v>
      </c>
      <c r="F1848" s="14">
        <v>116247.72</v>
      </c>
      <c r="G1848" s="14">
        <v>116247.72</v>
      </c>
      <c r="H1848" s="22">
        <f>F1848*(1+Assumptions!$B$6+IF(D1848="Yes",Assumptions!$C$6,0))</f>
        <v>119735.1516</v>
      </c>
      <c r="I1848" s="22">
        <f>F1848*(1+Assumptions!$B$7+IF(D1848="Yes",Assumptions!$C$7,0))</f>
        <v>122060.106</v>
      </c>
      <c r="J1848" s="22">
        <f>F1848*(1+Assumptions!$B$8+IF(D1848="Yes",Assumptions!$C$8,0))</f>
        <v>117410.1972</v>
      </c>
    </row>
    <row r="1849" spans="1:10" ht="15">
      <c r="A1849" s="21">
        <v>41082</v>
      </c>
      <c r="B1849" s="21">
        <v>41061</v>
      </c>
      <c r="C1849" s="17">
        <v>36</v>
      </c>
      <c r="D1849" s="17" t="s">
        <v>91</v>
      </c>
      <c r="E1849" s="14">
        <v>166933.47</v>
      </c>
      <c r="F1849" s="14">
        <v>168876.22</v>
      </c>
      <c r="G1849" s="14">
        <v>168876.22</v>
      </c>
      <c r="H1849" s="22">
        <f>F1849*(1+Assumptions!$B$6+IF(D1849="Yes",Assumptions!$C$6,0))</f>
        <v>173942.50659999999</v>
      </c>
      <c r="I1849" s="22">
        <f>F1849*(1+Assumptions!$B$7+IF(D1849="Yes",Assumptions!$C$7,0))</f>
        <v>177320.03100000002</v>
      </c>
      <c r="J1849" s="22">
        <f>F1849*(1+Assumptions!$B$8+IF(D1849="Yes",Assumptions!$C$8,0))</f>
        <v>170564.9822</v>
      </c>
    </row>
    <row r="1850" spans="1:10" ht="15">
      <c r="A1850" s="21">
        <v>41082</v>
      </c>
      <c r="B1850" s="21">
        <v>41061</v>
      </c>
      <c r="C1850" s="17">
        <v>37</v>
      </c>
      <c r="D1850" s="17" t="s">
        <v>91</v>
      </c>
      <c r="E1850" s="14">
        <v>55566.61</v>
      </c>
      <c r="F1850" s="14">
        <v>53281.86</v>
      </c>
      <c r="G1850" s="14">
        <v>53281.86</v>
      </c>
      <c r="H1850" s="22">
        <f>F1850*(1+Assumptions!$B$6+IF(D1850="Yes",Assumptions!$C$6,0))</f>
        <v>54880.315800000004</v>
      </c>
      <c r="I1850" s="22">
        <f>F1850*(1+Assumptions!$B$7+IF(D1850="Yes",Assumptions!$C$7,0))</f>
        <v>55945.953000000001</v>
      </c>
      <c r="J1850" s="22">
        <f>F1850*(1+Assumptions!$B$8+IF(D1850="Yes",Assumptions!$C$8,0))</f>
        <v>53814.678599999999</v>
      </c>
    </row>
    <row r="1851" spans="1:10" ht="15">
      <c r="A1851" s="21">
        <v>41082</v>
      </c>
      <c r="B1851" s="21">
        <v>41061</v>
      </c>
      <c r="C1851" s="17">
        <v>38</v>
      </c>
      <c r="D1851" s="17" t="s">
        <v>91</v>
      </c>
      <c r="E1851" s="14">
        <v>2606796.21</v>
      </c>
      <c r="F1851" s="14">
        <v>2648983.5099999998</v>
      </c>
      <c r="G1851" s="14">
        <v>2648983.5099999998</v>
      </c>
      <c r="H1851" s="22">
        <f>F1851*(1+Assumptions!$B$6+IF(D1851="Yes",Assumptions!$C$6,0))</f>
        <v>2728453.0152999996</v>
      </c>
      <c r="I1851" s="22">
        <f>F1851*(1+Assumptions!$B$7+IF(D1851="Yes",Assumptions!$C$7,0))</f>
        <v>2781432.6854999997</v>
      </c>
      <c r="J1851" s="22">
        <f>F1851*(1+Assumptions!$B$8+IF(D1851="Yes",Assumptions!$C$8,0))</f>
        <v>2675473.3450999996</v>
      </c>
    </row>
    <row r="1852" spans="1:10" ht="15">
      <c r="A1852" s="21">
        <v>41082</v>
      </c>
      <c r="B1852" s="21">
        <v>41061</v>
      </c>
      <c r="C1852" s="17">
        <v>40</v>
      </c>
      <c r="D1852" s="17" t="s">
        <v>91</v>
      </c>
      <c r="E1852" s="14">
        <v>1970137.71</v>
      </c>
      <c r="F1852" s="14">
        <v>1877239.08</v>
      </c>
      <c r="G1852" s="14">
        <v>1877239.08</v>
      </c>
      <c r="H1852" s="22">
        <f>F1852*(1+Assumptions!$B$6+IF(D1852="Yes",Assumptions!$C$6,0))</f>
        <v>1933556.2524000001</v>
      </c>
      <c r="I1852" s="22">
        <f>F1852*(1+Assumptions!$B$7+IF(D1852="Yes",Assumptions!$C$7,0))</f>
        <v>1971101.0340000002</v>
      </c>
      <c r="J1852" s="22">
        <f>F1852*(1+Assumptions!$B$8+IF(D1852="Yes",Assumptions!$C$8,0))</f>
        <v>1896011.4708</v>
      </c>
    </row>
    <row r="1853" spans="1:10" ht="15">
      <c r="A1853" s="21">
        <v>41082</v>
      </c>
      <c r="B1853" s="21">
        <v>41061</v>
      </c>
      <c r="C1853" s="17">
        <v>41</v>
      </c>
      <c r="D1853" s="17" t="s">
        <v>91</v>
      </c>
      <c r="E1853" s="14">
        <v>59297.89</v>
      </c>
      <c r="F1853" s="14">
        <v>74395.14</v>
      </c>
      <c r="G1853" s="14">
        <v>74395.14</v>
      </c>
      <c r="H1853" s="22">
        <f>F1853*(1+Assumptions!$B$6+IF(D1853="Yes",Assumptions!$C$6,0))</f>
        <v>76626.994200000001</v>
      </c>
      <c r="I1853" s="22">
        <f>F1853*(1+Assumptions!$B$7+IF(D1853="Yes",Assumptions!$C$7,0))</f>
        <v>78114.896999999997</v>
      </c>
      <c r="J1853" s="22">
        <f>F1853*(1+Assumptions!$B$8+IF(D1853="Yes",Assumptions!$C$8,0))</f>
        <v>75139.091400000005</v>
      </c>
    </row>
    <row r="1854" spans="1:10" ht="15">
      <c r="A1854" s="21">
        <v>41082</v>
      </c>
      <c r="B1854" s="21">
        <v>41061</v>
      </c>
      <c r="C1854" s="17">
        <v>42</v>
      </c>
      <c r="D1854" s="17" t="s">
        <v>91</v>
      </c>
      <c r="E1854" s="14">
        <v>245812.65</v>
      </c>
      <c r="F1854" s="14">
        <v>226877.66</v>
      </c>
      <c r="G1854" s="14">
        <v>226877.66</v>
      </c>
      <c r="H1854" s="22">
        <f>F1854*(1+Assumptions!$B$6+IF(D1854="Yes",Assumptions!$C$6,0))</f>
        <v>233683.98980000001</v>
      </c>
      <c r="I1854" s="22">
        <f>F1854*(1+Assumptions!$B$7+IF(D1854="Yes",Assumptions!$C$7,0))</f>
        <v>238221.54300000001</v>
      </c>
      <c r="J1854" s="22">
        <f>F1854*(1+Assumptions!$B$8+IF(D1854="Yes",Assumptions!$C$8,0))</f>
        <v>229146.43660000002</v>
      </c>
    </row>
    <row r="1855" spans="1:10" ht="15">
      <c r="A1855" s="21">
        <v>41082</v>
      </c>
      <c r="B1855" s="21">
        <v>41061</v>
      </c>
      <c r="C1855" s="17">
        <v>44</v>
      </c>
      <c r="D1855" s="17" t="s">
        <v>91</v>
      </c>
      <c r="E1855" s="14">
        <v>161781.69</v>
      </c>
      <c r="F1855" s="14">
        <v>157507.59</v>
      </c>
      <c r="G1855" s="14">
        <v>157507.59</v>
      </c>
      <c r="H1855" s="22">
        <f>F1855*(1+Assumptions!$B$6+IF(D1855="Yes",Assumptions!$C$6,0))</f>
        <v>162232.81770000001</v>
      </c>
      <c r="I1855" s="22">
        <f>F1855*(1+Assumptions!$B$7+IF(D1855="Yes",Assumptions!$C$7,0))</f>
        <v>165382.96950000001</v>
      </c>
      <c r="J1855" s="22">
        <f>F1855*(1+Assumptions!$B$8+IF(D1855="Yes",Assumptions!$C$8,0))</f>
        <v>159082.66589999999</v>
      </c>
    </row>
    <row r="1856" spans="1:10" ht="15">
      <c r="A1856" s="21">
        <v>41082</v>
      </c>
      <c r="B1856" s="21">
        <v>41061</v>
      </c>
      <c r="C1856" s="17">
        <v>45</v>
      </c>
      <c r="D1856" s="17" t="s">
        <v>91</v>
      </c>
      <c r="E1856" s="14">
        <v>77.7</v>
      </c>
      <c r="F1856" s="14">
        <v>38.25</v>
      </c>
      <c r="G1856" s="14">
        <v>38.25</v>
      </c>
      <c r="H1856" s="22">
        <f>F1856*(1+Assumptions!$B$6+IF(D1856="Yes",Assumptions!$C$6,0))</f>
        <v>39.397500000000001</v>
      </c>
      <c r="I1856" s="22">
        <f>F1856*(1+Assumptions!$B$7+IF(D1856="Yes",Assumptions!$C$7,0))</f>
        <v>40.162500000000001</v>
      </c>
      <c r="J1856" s="22">
        <f>F1856*(1+Assumptions!$B$8+IF(D1856="Yes",Assumptions!$C$8,0))</f>
        <v>38.6325</v>
      </c>
    </row>
    <row r="1857" spans="1:10" ht="15">
      <c r="A1857" s="21">
        <v>41082</v>
      </c>
      <c r="B1857" s="21">
        <v>41061</v>
      </c>
      <c r="C1857" s="17">
        <v>46</v>
      </c>
      <c r="D1857" s="17" t="s">
        <v>91</v>
      </c>
      <c r="E1857" s="14">
        <v>1030028.76</v>
      </c>
      <c r="F1857" s="14">
        <v>975440.65</v>
      </c>
      <c r="G1857" s="14">
        <v>975440.65</v>
      </c>
      <c r="H1857" s="22">
        <f>F1857*(1+Assumptions!$B$6+IF(D1857="Yes",Assumptions!$C$6,0))</f>
        <v>1004703.8695</v>
      </c>
      <c r="I1857" s="22">
        <f>F1857*(1+Assumptions!$B$7+IF(D1857="Yes",Assumptions!$C$7,0))</f>
        <v>1024212.6825000001</v>
      </c>
      <c r="J1857" s="22">
        <f>F1857*(1+Assumptions!$B$8+IF(D1857="Yes",Assumptions!$C$8,0))</f>
        <v>985195.05650000006</v>
      </c>
    </row>
    <row r="1858" spans="1:10" ht="15">
      <c r="A1858" s="21">
        <v>41082</v>
      </c>
      <c r="B1858" s="21">
        <v>41061</v>
      </c>
      <c r="C1858" s="17">
        <v>48</v>
      </c>
      <c r="D1858" s="17" t="s">
        <v>91</v>
      </c>
      <c r="E1858" s="14">
        <v>9355</v>
      </c>
      <c r="F1858" s="14">
        <v>7596.97</v>
      </c>
      <c r="G1858" s="14">
        <v>7596.97</v>
      </c>
      <c r="H1858" s="22">
        <f>F1858*(1+Assumptions!$B$6+IF(D1858="Yes",Assumptions!$C$6,0))</f>
        <v>7824.8791000000001</v>
      </c>
      <c r="I1858" s="22">
        <f>F1858*(1+Assumptions!$B$7+IF(D1858="Yes",Assumptions!$C$7,0))</f>
        <v>7976.8185000000003</v>
      </c>
      <c r="J1858" s="22">
        <f>F1858*(1+Assumptions!$B$8+IF(D1858="Yes",Assumptions!$C$8,0))</f>
        <v>7672.9396999999999</v>
      </c>
    </row>
    <row r="1859" spans="1:10" ht="15">
      <c r="A1859" s="21">
        <v>41082</v>
      </c>
      <c r="B1859" s="21">
        <v>41061</v>
      </c>
      <c r="C1859" s="17">
        <v>49</v>
      </c>
      <c r="D1859" s="17" t="s">
        <v>91</v>
      </c>
      <c r="E1859" s="14">
        <v>249913.51</v>
      </c>
      <c r="F1859" s="14">
        <v>247563.44999999998</v>
      </c>
      <c r="G1859" s="14">
        <v>247563.44999999998</v>
      </c>
      <c r="H1859" s="22">
        <f>F1859*(1+Assumptions!$B$6+IF(D1859="Yes",Assumptions!$C$6,0))</f>
        <v>254990.3535</v>
      </c>
      <c r="I1859" s="22">
        <f>F1859*(1+Assumptions!$B$7+IF(D1859="Yes",Assumptions!$C$7,0))</f>
        <v>259941.6225</v>
      </c>
      <c r="J1859" s="22">
        <f>F1859*(1+Assumptions!$B$8+IF(D1859="Yes",Assumptions!$C$8,0))</f>
        <v>250039.0845</v>
      </c>
    </row>
    <row r="1860" spans="1:10" ht="15">
      <c r="A1860" s="21">
        <v>41082</v>
      </c>
      <c r="B1860" s="21">
        <v>41061</v>
      </c>
      <c r="C1860" s="17">
        <v>50</v>
      </c>
      <c r="D1860" s="17" t="s">
        <v>91</v>
      </c>
      <c r="E1860" s="14">
        <v>30432.48</v>
      </c>
      <c r="F1860" s="14">
        <v>28157.360000000001</v>
      </c>
      <c r="G1860" s="14">
        <v>28157.360000000001</v>
      </c>
      <c r="H1860" s="22">
        <f>F1860*(1+Assumptions!$B$6+IF(D1860="Yes",Assumptions!$C$6,0))</f>
        <v>29002.0808</v>
      </c>
      <c r="I1860" s="22">
        <f>F1860*(1+Assumptions!$B$7+IF(D1860="Yes",Assumptions!$C$7,0))</f>
        <v>29565.228000000003</v>
      </c>
      <c r="J1860" s="22">
        <f>F1860*(1+Assumptions!$B$8+IF(D1860="Yes",Assumptions!$C$8,0))</f>
        <v>28438.9336</v>
      </c>
    </row>
    <row r="1861" spans="1:10" ht="15">
      <c r="A1861" s="21">
        <v>41082</v>
      </c>
      <c r="B1861" s="21">
        <v>41061</v>
      </c>
      <c r="C1861" s="17">
        <v>51</v>
      </c>
      <c r="D1861" s="17" t="s">
        <v>91</v>
      </c>
      <c r="E1861" s="14">
        <v>7.92</v>
      </c>
      <c r="F1861" s="14">
        <v>1.5</v>
      </c>
      <c r="G1861" s="14">
        <v>1.5</v>
      </c>
      <c r="H1861" s="22">
        <f>F1861*(1+Assumptions!$B$6+IF(D1861="Yes",Assumptions!$C$6,0))</f>
        <v>1.5449999999999999</v>
      </c>
      <c r="I1861" s="22">
        <f>F1861*(1+Assumptions!$B$7+IF(D1861="Yes",Assumptions!$C$7,0))</f>
        <v>1.5750000000000002</v>
      </c>
      <c r="J1861" s="22">
        <f>F1861*(1+Assumptions!$B$8+IF(D1861="Yes",Assumptions!$C$8,0))</f>
        <v>1.5150000000000001</v>
      </c>
    </row>
    <row r="1862" spans="1:10" ht="15">
      <c r="A1862" s="21">
        <v>41082</v>
      </c>
      <c r="B1862" s="21">
        <v>41061</v>
      </c>
      <c r="C1862" s="17">
        <v>52</v>
      </c>
      <c r="D1862" s="17" t="s">
        <v>91</v>
      </c>
      <c r="E1862" s="14">
        <v>75435.61</v>
      </c>
      <c r="F1862" s="14">
        <v>65939.209999999992</v>
      </c>
      <c r="G1862" s="14">
        <v>65939.209999999992</v>
      </c>
      <c r="H1862" s="22">
        <f>F1862*(1+Assumptions!$B$6+IF(D1862="Yes",Assumptions!$C$6,0))</f>
        <v>67917.386299999998</v>
      </c>
      <c r="I1862" s="22">
        <f>F1862*(1+Assumptions!$B$7+IF(D1862="Yes",Assumptions!$C$7,0))</f>
        <v>69236.170499999993</v>
      </c>
      <c r="J1862" s="22">
        <f>F1862*(1+Assumptions!$B$8+IF(D1862="Yes",Assumptions!$C$8,0))</f>
        <v>66598.602099999989</v>
      </c>
    </row>
    <row r="1863" spans="1:10" ht="15">
      <c r="A1863" s="21">
        <v>41082</v>
      </c>
      <c r="B1863" s="21">
        <v>41061</v>
      </c>
      <c r="C1863" s="17">
        <v>54</v>
      </c>
      <c r="D1863" s="17" t="s">
        <v>91</v>
      </c>
      <c r="E1863" s="14">
        <v>1080.8800000000001</v>
      </c>
      <c r="F1863" s="14">
        <v>1409.96</v>
      </c>
      <c r="G1863" s="14">
        <v>1409.96</v>
      </c>
      <c r="H1863" s="22">
        <f>F1863*(1+Assumptions!$B$6+IF(D1863="Yes",Assumptions!$C$6,0))</f>
        <v>1452.2588000000001</v>
      </c>
      <c r="I1863" s="22">
        <f>F1863*(1+Assumptions!$B$7+IF(D1863="Yes",Assumptions!$C$7,0))</f>
        <v>1480.4580000000001</v>
      </c>
      <c r="J1863" s="22">
        <f>F1863*(1+Assumptions!$B$8+IF(D1863="Yes",Assumptions!$C$8,0))</f>
        <v>1424.0596</v>
      </c>
    </row>
    <row r="1864" spans="1:10" ht="15">
      <c r="A1864" s="21">
        <v>41082</v>
      </c>
      <c r="B1864" s="21">
        <v>41061</v>
      </c>
      <c r="C1864" s="17">
        <v>55</v>
      </c>
      <c r="D1864" s="17" t="s">
        <v>91</v>
      </c>
      <c r="E1864" s="14">
        <v>295365.88</v>
      </c>
      <c r="F1864" s="14">
        <v>335879.47000000003</v>
      </c>
      <c r="G1864" s="14">
        <v>335879.47000000003</v>
      </c>
      <c r="H1864" s="22">
        <f>F1864*(1+Assumptions!$B$6+IF(D1864="Yes",Assumptions!$C$6,0))</f>
        <v>345955.85410000006</v>
      </c>
      <c r="I1864" s="22">
        <f>F1864*(1+Assumptions!$B$7+IF(D1864="Yes",Assumptions!$C$7,0))</f>
        <v>352673.44350000005</v>
      </c>
      <c r="J1864" s="22">
        <f>F1864*(1+Assumptions!$B$8+IF(D1864="Yes",Assumptions!$C$8,0))</f>
        <v>339238.26470000006</v>
      </c>
    </row>
    <row r="1865" spans="1:10" ht="15">
      <c r="A1865" s="21">
        <v>41082</v>
      </c>
      <c r="B1865" s="21">
        <v>41061</v>
      </c>
      <c r="C1865" s="17">
        <v>56</v>
      </c>
      <c r="D1865" s="17" t="s">
        <v>91</v>
      </c>
      <c r="E1865" s="14">
        <v>231021.97</v>
      </c>
      <c r="F1865" s="14">
        <v>226667.84</v>
      </c>
      <c r="G1865" s="14">
        <v>226667.84</v>
      </c>
      <c r="H1865" s="22">
        <f>F1865*(1+Assumptions!$B$6+IF(D1865="Yes",Assumptions!$C$6,0))</f>
        <v>233467.87520000001</v>
      </c>
      <c r="I1865" s="22">
        <f>F1865*(1+Assumptions!$B$7+IF(D1865="Yes",Assumptions!$C$7,0))</f>
        <v>238001.23200000002</v>
      </c>
      <c r="J1865" s="22">
        <f>F1865*(1+Assumptions!$B$8+IF(D1865="Yes",Assumptions!$C$8,0))</f>
        <v>228934.5184</v>
      </c>
    </row>
    <row r="1866" spans="1:10" ht="15">
      <c r="A1866" s="21">
        <v>41082</v>
      </c>
      <c r="B1866" s="21">
        <v>41061</v>
      </c>
      <c r="C1866" s="17">
        <v>58</v>
      </c>
      <c r="D1866" s="17" t="s">
        <v>91</v>
      </c>
      <c r="E1866" s="14">
        <v>122968.97</v>
      </c>
      <c r="F1866" s="14">
        <v>122105</v>
      </c>
      <c r="G1866" s="14">
        <v>122105</v>
      </c>
      <c r="H1866" s="22">
        <f>F1866*(1+Assumptions!$B$6+IF(D1866="Yes",Assumptions!$C$6,0))</f>
        <v>125768.15000000001</v>
      </c>
      <c r="I1866" s="22">
        <f>F1866*(1+Assumptions!$B$7+IF(D1866="Yes",Assumptions!$C$7,0))</f>
        <v>128210.25</v>
      </c>
      <c r="J1866" s="22">
        <f>F1866*(1+Assumptions!$B$8+IF(D1866="Yes",Assumptions!$C$8,0))</f>
        <v>123326.05</v>
      </c>
    </row>
    <row r="1867" spans="1:10" ht="15">
      <c r="A1867" s="21">
        <v>41082</v>
      </c>
      <c r="B1867" s="21">
        <v>41061</v>
      </c>
      <c r="C1867" s="17">
        <v>59</v>
      </c>
      <c r="D1867" s="17" t="s">
        <v>91</v>
      </c>
      <c r="E1867" s="14">
        <v>7836.24</v>
      </c>
      <c r="F1867" s="14">
        <v>9785.84</v>
      </c>
      <c r="G1867" s="14">
        <v>9785.84</v>
      </c>
      <c r="H1867" s="22">
        <f>F1867*(1+Assumptions!$B$6+IF(D1867="Yes",Assumptions!$C$6,0))</f>
        <v>10079.415200000001</v>
      </c>
      <c r="I1867" s="22">
        <f>F1867*(1+Assumptions!$B$7+IF(D1867="Yes",Assumptions!$C$7,0))</f>
        <v>10275.132000000001</v>
      </c>
      <c r="J1867" s="22">
        <f>F1867*(1+Assumptions!$B$8+IF(D1867="Yes",Assumptions!$C$8,0))</f>
        <v>9883.6984000000011</v>
      </c>
    </row>
    <row r="1868" spans="1:10" ht="15">
      <c r="A1868" s="21">
        <v>41082</v>
      </c>
      <c r="B1868" s="21">
        <v>41061</v>
      </c>
      <c r="C1868" s="17">
        <v>60</v>
      </c>
      <c r="D1868" s="17" t="s">
        <v>91</v>
      </c>
      <c r="E1868" s="14">
        <v>13615.4</v>
      </c>
      <c r="F1868" s="14">
        <v>11959.2</v>
      </c>
      <c r="G1868" s="14">
        <v>11959.2</v>
      </c>
      <c r="H1868" s="22">
        <f>F1868*(1+Assumptions!$B$6+IF(D1868="Yes",Assumptions!$C$6,0))</f>
        <v>12317.976000000001</v>
      </c>
      <c r="I1868" s="22">
        <f>F1868*(1+Assumptions!$B$7+IF(D1868="Yes",Assumptions!$C$7,0))</f>
        <v>12557.160000000002</v>
      </c>
      <c r="J1868" s="22">
        <f>F1868*(1+Assumptions!$B$8+IF(D1868="Yes",Assumptions!$C$8,0))</f>
        <v>12078.792000000001</v>
      </c>
    </row>
    <row r="1869" spans="1:10" ht="15">
      <c r="A1869" s="21">
        <v>41082</v>
      </c>
      <c r="B1869" s="21">
        <v>41061</v>
      </c>
      <c r="C1869" s="17">
        <v>65</v>
      </c>
      <c r="D1869" s="17" t="s">
        <v>91</v>
      </c>
      <c r="E1869" s="14">
        <v>46051.75</v>
      </c>
      <c r="F1869" s="14">
        <v>39678.65</v>
      </c>
      <c r="G1869" s="14">
        <v>39678.65</v>
      </c>
      <c r="H1869" s="22">
        <f>F1869*(1+Assumptions!$B$6+IF(D1869="Yes",Assumptions!$C$6,0))</f>
        <v>40869.0095</v>
      </c>
      <c r="I1869" s="22">
        <f>F1869*(1+Assumptions!$B$7+IF(D1869="Yes",Assumptions!$C$7,0))</f>
        <v>41662.582500000004</v>
      </c>
      <c r="J1869" s="22">
        <f>F1869*(1+Assumptions!$B$8+IF(D1869="Yes",Assumptions!$C$8,0))</f>
        <v>40075.436500000003</v>
      </c>
    </row>
    <row r="1870" spans="1:10" ht="15">
      <c r="A1870" s="21">
        <v>41082</v>
      </c>
      <c r="B1870" s="21">
        <v>41061</v>
      </c>
      <c r="C1870" s="17">
        <v>67</v>
      </c>
      <c r="D1870" s="17" t="s">
        <v>91</v>
      </c>
      <c r="E1870" s="14">
        <v>464654.81</v>
      </c>
      <c r="F1870" s="14">
        <v>458395.24</v>
      </c>
      <c r="G1870" s="14">
        <v>458395.24</v>
      </c>
      <c r="H1870" s="22">
        <f>F1870*(1+Assumptions!$B$6+IF(D1870="Yes",Assumptions!$C$6,0))</f>
        <v>472147.09720000002</v>
      </c>
      <c r="I1870" s="22">
        <f>F1870*(1+Assumptions!$B$7+IF(D1870="Yes",Assumptions!$C$7,0))</f>
        <v>481315.00200000004</v>
      </c>
      <c r="J1870" s="22">
        <f>F1870*(1+Assumptions!$B$8+IF(D1870="Yes",Assumptions!$C$8,0))</f>
        <v>462979.1924</v>
      </c>
    </row>
    <row r="1871" spans="1:10" ht="15">
      <c r="A1871" s="21">
        <v>41082</v>
      </c>
      <c r="B1871" s="21">
        <v>41061</v>
      </c>
      <c r="C1871" s="17">
        <v>71</v>
      </c>
      <c r="D1871" s="17" t="s">
        <v>91</v>
      </c>
      <c r="E1871" s="14">
        <v>191365.68</v>
      </c>
      <c r="F1871" s="14">
        <v>177174.13</v>
      </c>
      <c r="G1871" s="14">
        <v>177174.13</v>
      </c>
      <c r="H1871" s="22">
        <f>F1871*(1+Assumptions!$B$6+IF(D1871="Yes",Assumptions!$C$6,0))</f>
        <v>182489.35390000002</v>
      </c>
      <c r="I1871" s="22">
        <f>F1871*(1+Assumptions!$B$7+IF(D1871="Yes",Assumptions!$C$7,0))</f>
        <v>186032.8365</v>
      </c>
      <c r="J1871" s="22">
        <f>F1871*(1+Assumptions!$B$8+IF(D1871="Yes",Assumptions!$C$8,0))</f>
        <v>178945.8713</v>
      </c>
    </row>
    <row r="1872" spans="1:10" ht="15">
      <c r="A1872" s="21">
        <v>41082</v>
      </c>
      <c r="B1872" s="21">
        <v>41061</v>
      </c>
      <c r="C1872" s="17">
        <v>72</v>
      </c>
      <c r="D1872" s="17" t="s">
        <v>91</v>
      </c>
      <c r="E1872" s="14">
        <v>1706866.42</v>
      </c>
      <c r="F1872" s="14">
        <v>1844308.97</v>
      </c>
      <c r="G1872" s="14">
        <v>1844308.97</v>
      </c>
      <c r="H1872" s="22">
        <f>F1872*(1+Assumptions!$B$6+IF(D1872="Yes",Assumptions!$C$6,0))</f>
        <v>1899638.2391000001</v>
      </c>
      <c r="I1872" s="22">
        <f>F1872*(1+Assumptions!$B$7+IF(D1872="Yes",Assumptions!$C$7,0))</f>
        <v>1936524.4185000001</v>
      </c>
      <c r="J1872" s="22">
        <f>F1872*(1+Assumptions!$B$8+IF(D1872="Yes",Assumptions!$C$8,0))</f>
        <v>1862752.0597000001</v>
      </c>
    </row>
    <row r="1873" spans="1:10" ht="15">
      <c r="A1873" s="21">
        <v>41082</v>
      </c>
      <c r="B1873" s="21">
        <v>41061</v>
      </c>
      <c r="C1873" s="17">
        <v>74</v>
      </c>
      <c r="D1873" s="17" t="s">
        <v>91</v>
      </c>
      <c r="E1873" s="14">
        <v>576404.15</v>
      </c>
      <c r="F1873" s="14">
        <v>570093.88</v>
      </c>
      <c r="G1873" s="14">
        <v>570093.88</v>
      </c>
      <c r="H1873" s="22">
        <f>F1873*(1+Assumptions!$B$6+IF(D1873="Yes",Assumptions!$C$6,0))</f>
        <v>587196.69640000002</v>
      </c>
      <c r="I1873" s="22">
        <f>F1873*(1+Assumptions!$B$7+IF(D1873="Yes",Assumptions!$C$7,0))</f>
        <v>598598.57400000002</v>
      </c>
      <c r="J1873" s="22">
        <f>F1873*(1+Assumptions!$B$8+IF(D1873="Yes",Assumptions!$C$8,0))</f>
        <v>575794.81880000001</v>
      </c>
    </row>
    <row r="1874" spans="1:10" ht="15">
      <c r="A1874" s="21">
        <v>41082</v>
      </c>
      <c r="B1874" s="21">
        <v>41061</v>
      </c>
      <c r="C1874" s="17">
        <v>79</v>
      </c>
      <c r="D1874" s="17" t="s">
        <v>91</v>
      </c>
      <c r="E1874" s="14">
        <v>942719.93</v>
      </c>
      <c r="F1874" s="14">
        <v>929368.02</v>
      </c>
      <c r="G1874" s="14">
        <v>929368.02</v>
      </c>
      <c r="H1874" s="22">
        <f>F1874*(1+Assumptions!$B$6+IF(D1874="Yes",Assumptions!$C$6,0))</f>
        <v>957249.06060000008</v>
      </c>
      <c r="I1874" s="22">
        <f>F1874*(1+Assumptions!$B$7+IF(D1874="Yes",Assumptions!$C$7,0))</f>
        <v>975836.42100000009</v>
      </c>
      <c r="J1874" s="22">
        <f>F1874*(1+Assumptions!$B$8+IF(D1874="Yes",Assumptions!$C$8,0))</f>
        <v>938661.70020000008</v>
      </c>
    </row>
    <row r="1875" spans="1:10" ht="15">
      <c r="A1875" s="21">
        <v>41082</v>
      </c>
      <c r="B1875" s="21">
        <v>41061</v>
      </c>
      <c r="C1875" s="17">
        <v>80</v>
      </c>
      <c r="D1875" s="17" t="s">
        <v>91</v>
      </c>
      <c r="E1875" s="14">
        <v>498989.33</v>
      </c>
      <c r="F1875" s="14">
        <v>502007.47</v>
      </c>
      <c r="G1875" s="14">
        <v>502007.47</v>
      </c>
      <c r="H1875" s="22">
        <f>F1875*(1+Assumptions!$B$6+IF(D1875="Yes",Assumptions!$C$6,0))</f>
        <v>517067.69409999996</v>
      </c>
      <c r="I1875" s="22">
        <f>F1875*(1+Assumptions!$B$7+IF(D1875="Yes",Assumptions!$C$7,0))</f>
        <v>527107.84349999996</v>
      </c>
      <c r="J1875" s="22">
        <f>F1875*(1+Assumptions!$B$8+IF(D1875="Yes",Assumptions!$C$8,0))</f>
        <v>507027.54469999997</v>
      </c>
    </row>
    <row r="1876" spans="1:10" ht="15">
      <c r="A1876" s="21">
        <v>41082</v>
      </c>
      <c r="B1876" s="21">
        <v>41061</v>
      </c>
      <c r="C1876" s="17">
        <v>81</v>
      </c>
      <c r="D1876" s="17" t="s">
        <v>91</v>
      </c>
      <c r="E1876" s="14">
        <v>704231.23</v>
      </c>
      <c r="F1876" s="14">
        <v>687294.79</v>
      </c>
      <c r="G1876" s="14">
        <v>687294.79</v>
      </c>
      <c r="H1876" s="22">
        <f>F1876*(1+Assumptions!$B$6+IF(D1876="Yes",Assumptions!$C$6,0))</f>
        <v>707913.63370000001</v>
      </c>
      <c r="I1876" s="22">
        <f>F1876*(1+Assumptions!$B$7+IF(D1876="Yes",Assumptions!$C$7,0))</f>
        <v>721659.52950000006</v>
      </c>
      <c r="J1876" s="22">
        <f>F1876*(1+Assumptions!$B$8+IF(D1876="Yes",Assumptions!$C$8,0))</f>
        <v>694167.73790000007</v>
      </c>
    </row>
    <row r="1877" spans="1:10" ht="15">
      <c r="A1877" s="21">
        <v>41082</v>
      </c>
      <c r="B1877" s="21">
        <v>41061</v>
      </c>
      <c r="C1877" s="17">
        <v>82</v>
      </c>
      <c r="D1877" s="17" t="s">
        <v>91</v>
      </c>
      <c r="E1877" s="14">
        <v>750750.45</v>
      </c>
      <c r="F1877" s="14">
        <v>748069.99</v>
      </c>
      <c r="G1877" s="14">
        <v>748069.99</v>
      </c>
      <c r="H1877" s="22">
        <f>F1877*(1+Assumptions!$B$6+IF(D1877="Yes",Assumptions!$C$6,0))</f>
        <v>770512.08970000001</v>
      </c>
      <c r="I1877" s="22">
        <f>F1877*(1+Assumptions!$B$7+IF(D1877="Yes",Assumptions!$C$7,0))</f>
        <v>785473.48950000003</v>
      </c>
      <c r="J1877" s="22">
        <f>F1877*(1+Assumptions!$B$8+IF(D1877="Yes",Assumptions!$C$8,0))</f>
        <v>755550.6899</v>
      </c>
    </row>
    <row r="1878" spans="1:10" ht="15">
      <c r="A1878" s="21">
        <v>41082</v>
      </c>
      <c r="B1878" s="21">
        <v>41061</v>
      </c>
      <c r="C1878" s="17">
        <v>83</v>
      </c>
      <c r="D1878" s="17" t="s">
        <v>91</v>
      </c>
      <c r="E1878" s="14">
        <v>127273.97</v>
      </c>
      <c r="F1878" s="14">
        <v>119492.54000000001</v>
      </c>
      <c r="G1878" s="14">
        <v>119492.54000000001</v>
      </c>
      <c r="H1878" s="22">
        <f>F1878*(1+Assumptions!$B$6+IF(D1878="Yes",Assumptions!$C$6,0))</f>
        <v>123077.31620000002</v>
      </c>
      <c r="I1878" s="22">
        <f>F1878*(1+Assumptions!$B$7+IF(D1878="Yes",Assumptions!$C$7,0))</f>
        <v>125467.16700000002</v>
      </c>
      <c r="J1878" s="22">
        <f>F1878*(1+Assumptions!$B$8+IF(D1878="Yes",Assumptions!$C$8,0))</f>
        <v>120687.46540000002</v>
      </c>
    </row>
    <row r="1879" spans="1:10" ht="15">
      <c r="A1879" s="21">
        <v>41082</v>
      </c>
      <c r="B1879" s="21">
        <v>41061</v>
      </c>
      <c r="C1879" s="17">
        <v>85</v>
      </c>
      <c r="D1879" s="17" t="s">
        <v>91</v>
      </c>
      <c r="E1879" s="14">
        <v>94052.05</v>
      </c>
      <c r="F1879" s="14">
        <v>99003.01</v>
      </c>
      <c r="G1879" s="14">
        <v>99003.01</v>
      </c>
      <c r="H1879" s="22">
        <f>F1879*(1+Assumptions!$B$6+IF(D1879="Yes",Assumptions!$C$6,0))</f>
        <v>101973.10029999999</v>
      </c>
      <c r="I1879" s="22">
        <f>F1879*(1+Assumptions!$B$7+IF(D1879="Yes",Assumptions!$C$7,0))</f>
        <v>103953.1605</v>
      </c>
      <c r="J1879" s="22">
        <f>F1879*(1+Assumptions!$B$8+IF(D1879="Yes",Assumptions!$C$8,0))</f>
        <v>99993.040099999998</v>
      </c>
    </row>
    <row r="1880" spans="1:10" ht="15">
      <c r="A1880" s="21">
        <v>41082</v>
      </c>
      <c r="B1880" s="21">
        <v>41061</v>
      </c>
      <c r="C1880" s="17">
        <v>87</v>
      </c>
      <c r="D1880" s="17" t="s">
        <v>91</v>
      </c>
      <c r="E1880" s="14">
        <v>689355.83</v>
      </c>
      <c r="F1880" s="14">
        <v>577331.1</v>
      </c>
      <c r="G1880" s="14">
        <v>577331.1</v>
      </c>
      <c r="H1880" s="22">
        <f>F1880*(1+Assumptions!$B$6+IF(D1880="Yes",Assumptions!$C$6,0))</f>
        <v>594651.03299999994</v>
      </c>
      <c r="I1880" s="22">
        <f>F1880*(1+Assumptions!$B$7+IF(D1880="Yes",Assumptions!$C$7,0))</f>
        <v>606197.65500000003</v>
      </c>
      <c r="J1880" s="22">
        <f>F1880*(1+Assumptions!$B$8+IF(D1880="Yes",Assumptions!$C$8,0))</f>
        <v>583104.41099999996</v>
      </c>
    </row>
    <row r="1881" spans="1:10" ht="15">
      <c r="A1881" s="21">
        <v>41082</v>
      </c>
      <c r="B1881" s="21">
        <v>41061</v>
      </c>
      <c r="C1881" s="17">
        <v>90</v>
      </c>
      <c r="D1881" s="17" t="s">
        <v>91</v>
      </c>
      <c r="E1881" s="14">
        <v>1947787.17</v>
      </c>
      <c r="F1881" s="14">
        <v>1909655.2</v>
      </c>
      <c r="G1881" s="14">
        <v>1909655.2</v>
      </c>
      <c r="H1881" s="22">
        <f>F1881*(1+Assumptions!$B$6+IF(D1881="Yes",Assumptions!$C$6,0))</f>
        <v>1966944.8559999999</v>
      </c>
      <c r="I1881" s="22">
        <f>F1881*(1+Assumptions!$B$7+IF(D1881="Yes",Assumptions!$C$7,0))</f>
        <v>2005137.96</v>
      </c>
      <c r="J1881" s="22">
        <f>F1881*(1+Assumptions!$B$8+IF(D1881="Yes",Assumptions!$C$8,0))</f>
        <v>1928751.7519999999</v>
      </c>
    </row>
    <row r="1882" spans="1:10" ht="15">
      <c r="A1882" s="21">
        <v>41082</v>
      </c>
      <c r="B1882" s="21">
        <v>41061</v>
      </c>
      <c r="C1882" s="17">
        <v>91</v>
      </c>
      <c r="D1882" s="17" t="s">
        <v>91</v>
      </c>
      <c r="E1882" s="14">
        <v>1458372.75</v>
      </c>
      <c r="F1882" s="14">
        <v>1398242.78</v>
      </c>
      <c r="G1882" s="14">
        <v>1398242.78</v>
      </c>
      <c r="H1882" s="22">
        <f>F1882*(1+Assumptions!$B$6+IF(D1882="Yes",Assumptions!$C$6,0))</f>
        <v>1440190.0634000001</v>
      </c>
      <c r="I1882" s="22">
        <f>F1882*(1+Assumptions!$B$7+IF(D1882="Yes",Assumptions!$C$7,0))</f>
        <v>1468154.919</v>
      </c>
      <c r="J1882" s="22">
        <f>F1882*(1+Assumptions!$B$8+IF(D1882="Yes",Assumptions!$C$8,0))</f>
        <v>1412225.2078</v>
      </c>
    </row>
    <row r="1883" spans="1:10" ht="15">
      <c r="A1883" s="21">
        <v>41082</v>
      </c>
      <c r="B1883" s="21">
        <v>41061</v>
      </c>
      <c r="C1883" s="17">
        <v>92</v>
      </c>
      <c r="D1883" s="17" t="s">
        <v>91</v>
      </c>
      <c r="E1883" s="14">
        <v>3219124.83</v>
      </c>
      <c r="F1883" s="14">
        <v>2960337.45</v>
      </c>
      <c r="G1883" s="14">
        <v>2960337.45</v>
      </c>
      <c r="H1883" s="22">
        <f>F1883*(1+Assumptions!$B$6+IF(D1883="Yes",Assumptions!$C$6,0))</f>
        <v>3049147.5735000004</v>
      </c>
      <c r="I1883" s="22">
        <f>F1883*(1+Assumptions!$B$7+IF(D1883="Yes",Assumptions!$C$7,0))</f>
        <v>3108354.3225000002</v>
      </c>
      <c r="J1883" s="22">
        <f>F1883*(1+Assumptions!$B$8+IF(D1883="Yes",Assumptions!$C$8,0))</f>
        <v>2989940.8245000001</v>
      </c>
    </row>
    <row r="1884" spans="1:10" ht="15">
      <c r="A1884" s="21">
        <v>41082</v>
      </c>
      <c r="B1884" s="21">
        <v>41061</v>
      </c>
      <c r="C1884" s="17">
        <v>93</v>
      </c>
      <c r="D1884" s="17" t="s">
        <v>91</v>
      </c>
      <c r="E1884" s="14">
        <v>1141896.28</v>
      </c>
      <c r="F1884" s="14">
        <v>1033942.1</v>
      </c>
      <c r="G1884" s="14">
        <v>1033942.1</v>
      </c>
      <c r="H1884" s="22">
        <f>F1884*(1+Assumptions!$B$6+IF(D1884="Yes",Assumptions!$C$6,0))</f>
        <v>1064960.3629999999</v>
      </c>
      <c r="I1884" s="22">
        <f>F1884*(1+Assumptions!$B$7+IF(D1884="Yes",Assumptions!$C$7,0))</f>
        <v>1085639.2050000001</v>
      </c>
      <c r="J1884" s="22">
        <f>F1884*(1+Assumptions!$B$8+IF(D1884="Yes",Assumptions!$C$8,0))</f>
        <v>1044281.5209999999</v>
      </c>
    </row>
    <row r="1885" spans="1:10" ht="15">
      <c r="A1885" s="21">
        <v>41082</v>
      </c>
      <c r="B1885" s="21">
        <v>41061</v>
      </c>
      <c r="C1885" s="17">
        <v>94</v>
      </c>
      <c r="D1885" s="17" t="s">
        <v>91</v>
      </c>
      <c r="E1885" s="14">
        <v>1450260.02</v>
      </c>
      <c r="F1885" s="14">
        <v>1350680.73</v>
      </c>
      <c r="G1885" s="14">
        <v>1350680.73</v>
      </c>
      <c r="H1885" s="22">
        <f>F1885*(1+Assumptions!$B$6+IF(D1885="Yes",Assumptions!$C$6,0))</f>
        <v>1391201.1518999999</v>
      </c>
      <c r="I1885" s="22">
        <f>F1885*(1+Assumptions!$B$7+IF(D1885="Yes",Assumptions!$C$7,0))</f>
        <v>1418214.7665000001</v>
      </c>
      <c r="J1885" s="22">
        <f>F1885*(1+Assumptions!$B$8+IF(D1885="Yes",Assumptions!$C$8,0))</f>
        <v>1364187.5373</v>
      </c>
    </row>
    <row r="1886" spans="1:10" ht="15">
      <c r="A1886" s="21">
        <v>41082</v>
      </c>
      <c r="B1886" s="21">
        <v>41061</v>
      </c>
      <c r="C1886" s="17">
        <v>95</v>
      </c>
      <c r="D1886" s="17" t="s">
        <v>91</v>
      </c>
      <c r="E1886" s="14">
        <v>3391574.55</v>
      </c>
      <c r="F1886" s="14">
        <v>3282218.7</v>
      </c>
      <c r="G1886" s="14">
        <v>3282218.7</v>
      </c>
      <c r="H1886" s="22">
        <f>F1886*(1+Assumptions!$B$6+IF(D1886="Yes",Assumptions!$C$6,0))</f>
        <v>3380685.2610000004</v>
      </c>
      <c r="I1886" s="22">
        <f>F1886*(1+Assumptions!$B$7+IF(D1886="Yes",Assumptions!$C$7,0))</f>
        <v>3446329.6350000002</v>
      </c>
      <c r="J1886" s="22">
        <f>F1886*(1+Assumptions!$B$8+IF(D1886="Yes",Assumptions!$C$8,0))</f>
        <v>3315040.8870000001</v>
      </c>
    </row>
    <row r="1887" spans="1:10" ht="15">
      <c r="A1887" s="21">
        <v>41082</v>
      </c>
      <c r="B1887" s="21">
        <v>41061</v>
      </c>
      <c r="C1887" s="17">
        <v>96</v>
      </c>
      <c r="D1887" s="17" t="s">
        <v>91</v>
      </c>
      <c r="E1887" s="14">
        <v>620725.37</v>
      </c>
      <c r="F1887" s="14">
        <v>575254.35</v>
      </c>
      <c r="G1887" s="14">
        <v>575254.35</v>
      </c>
      <c r="H1887" s="22">
        <f>F1887*(1+Assumptions!$B$6+IF(D1887="Yes",Assumptions!$C$6,0))</f>
        <v>592511.98049999995</v>
      </c>
      <c r="I1887" s="22">
        <f>F1887*(1+Assumptions!$B$7+IF(D1887="Yes",Assumptions!$C$7,0))</f>
        <v>604017.0675</v>
      </c>
      <c r="J1887" s="22">
        <f>F1887*(1+Assumptions!$B$8+IF(D1887="Yes",Assumptions!$C$8,0))</f>
        <v>581006.89350000001</v>
      </c>
    </row>
    <row r="1888" spans="1:10" ht="15">
      <c r="A1888" s="21">
        <v>41082</v>
      </c>
      <c r="B1888" s="21">
        <v>41061</v>
      </c>
      <c r="C1888" s="17">
        <v>97</v>
      </c>
      <c r="D1888" s="17" t="s">
        <v>91</v>
      </c>
      <c r="E1888" s="14">
        <v>628134.57999999996</v>
      </c>
      <c r="F1888" s="14">
        <v>616172.61</v>
      </c>
      <c r="G1888" s="14">
        <v>616172.61</v>
      </c>
      <c r="H1888" s="22">
        <f>F1888*(1+Assumptions!$B$6+IF(D1888="Yes",Assumptions!$C$6,0))</f>
        <v>634657.78830000001</v>
      </c>
      <c r="I1888" s="22">
        <f>F1888*(1+Assumptions!$B$7+IF(D1888="Yes",Assumptions!$C$7,0))</f>
        <v>646981.24049999996</v>
      </c>
      <c r="J1888" s="22">
        <f>F1888*(1+Assumptions!$B$8+IF(D1888="Yes",Assumptions!$C$8,0))</f>
        <v>622334.33609999996</v>
      </c>
    </row>
    <row r="1889" spans="1:10" ht="15">
      <c r="A1889" s="21">
        <v>41082</v>
      </c>
      <c r="B1889" s="21">
        <v>41061</v>
      </c>
      <c r="C1889" s="17">
        <v>98</v>
      </c>
      <c r="D1889" s="17" t="s">
        <v>91</v>
      </c>
      <c r="E1889" s="14">
        <v>271007.82</v>
      </c>
      <c r="F1889" s="14">
        <v>275414.24</v>
      </c>
      <c r="G1889" s="14">
        <v>275414.24</v>
      </c>
      <c r="H1889" s="22">
        <f>F1889*(1+Assumptions!$B$6+IF(D1889="Yes",Assumptions!$C$6,0))</f>
        <v>283676.66720000003</v>
      </c>
      <c r="I1889" s="22">
        <f>F1889*(1+Assumptions!$B$7+IF(D1889="Yes",Assumptions!$C$7,0))</f>
        <v>289184.95199999999</v>
      </c>
      <c r="J1889" s="22">
        <f>F1889*(1+Assumptions!$B$8+IF(D1889="Yes",Assumptions!$C$8,0))</f>
        <v>278168.3824</v>
      </c>
    </row>
    <row r="1890" spans="1:10" ht="15">
      <c r="A1890" s="21">
        <v>41082</v>
      </c>
      <c r="B1890" s="21">
        <v>41061</v>
      </c>
      <c r="C1890" s="17">
        <v>99</v>
      </c>
      <c r="D1890" s="17" t="s">
        <v>91</v>
      </c>
      <c r="E1890" s="14">
        <v>265</v>
      </c>
      <c r="F1890" s="14">
        <v>300</v>
      </c>
      <c r="G1890" s="14">
        <v>300</v>
      </c>
      <c r="H1890" s="22">
        <f>F1890*(1+Assumptions!$B$6+IF(D1890="Yes",Assumptions!$C$6,0))</f>
        <v>309</v>
      </c>
      <c r="I1890" s="22">
        <f>F1890*(1+Assumptions!$B$7+IF(D1890="Yes",Assumptions!$C$7,0))</f>
        <v>315</v>
      </c>
      <c r="J1890" s="22">
        <f>F1890*(1+Assumptions!$B$8+IF(D1890="Yes",Assumptions!$C$8,0))</f>
        <v>303</v>
      </c>
    </row>
    <row r="1891" spans="1:10" ht="15">
      <c r="A1891" s="21">
        <v>41089</v>
      </c>
      <c r="B1891" s="21">
        <v>41061</v>
      </c>
      <c r="C1891" s="17">
        <v>1</v>
      </c>
      <c r="D1891" s="17" t="s">
        <v>91</v>
      </c>
      <c r="E1891" s="14">
        <v>642542.41</v>
      </c>
      <c r="F1891" s="14">
        <v>645093.80000000005</v>
      </c>
      <c r="G1891" s="14">
        <v>645093.80000000005</v>
      </c>
      <c r="H1891" s="22">
        <f>F1891*(1+Assumptions!$B$6+IF(D1891="Yes",Assumptions!$C$6,0))</f>
        <v>664446.61400000006</v>
      </c>
      <c r="I1891" s="22">
        <f>F1891*(1+Assumptions!$B$7+IF(D1891="Yes",Assumptions!$C$7,0))</f>
        <v>677348.49000000011</v>
      </c>
      <c r="J1891" s="22">
        <f>F1891*(1+Assumptions!$B$8+IF(D1891="Yes",Assumptions!$C$8,0))</f>
        <v>651544.73800000001</v>
      </c>
    </row>
    <row r="1892" spans="1:10" ht="15">
      <c r="A1892" s="21">
        <v>41089</v>
      </c>
      <c r="B1892" s="21">
        <v>41061</v>
      </c>
      <c r="C1892" s="17">
        <v>2</v>
      </c>
      <c r="D1892" s="17" t="s">
        <v>91</v>
      </c>
      <c r="E1892" s="14">
        <v>2030133.87</v>
      </c>
      <c r="F1892" s="14">
        <v>2025082.02</v>
      </c>
      <c r="G1892" s="14">
        <v>2025082.02</v>
      </c>
      <c r="H1892" s="22">
        <f>F1892*(1+Assumptions!$B$6+IF(D1892="Yes",Assumptions!$C$6,0))</f>
        <v>2085834.4806000001</v>
      </c>
      <c r="I1892" s="22">
        <f>F1892*(1+Assumptions!$B$7+IF(D1892="Yes",Assumptions!$C$7,0))</f>
        <v>2126336.1210000003</v>
      </c>
      <c r="J1892" s="22">
        <f>F1892*(1+Assumptions!$B$8+IF(D1892="Yes",Assumptions!$C$8,0))</f>
        <v>2045332.8402</v>
      </c>
    </row>
    <row r="1893" spans="1:10" ht="15">
      <c r="A1893" s="21">
        <v>41089</v>
      </c>
      <c r="B1893" s="21">
        <v>41061</v>
      </c>
      <c r="C1893" s="17">
        <v>3</v>
      </c>
      <c r="D1893" s="17" t="s">
        <v>91</v>
      </c>
      <c r="E1893" s="14">
        <v>324072.5</v>
      </c>
      <c r="F1893" s="14">
        <v>320664.27</v>
      </c>
      <c r="G1893" s="14">
        <v>320664.27</v>
      </c>
      <c r="H1893" s="22">
        <f>F1893*(1+Assumptions!$B$6+IF(D1893="Yes",Assumptions!$C$6,0))</f>
        <v>330284.19810000004</v>
      </c>
      <c r="I1893" s="22">
        <f>F1893*(1+Assumptions!$B$7+IF(D1893="Yes",Assumptions!$C$7,0))</f>
        <v>336697.48350000003</v>
      </c>
      <c r="J1893" s="22">
        <f>F1893*(1+Assumptions!$B$8+IF(D1893="Yes",Assumptions!$C$8,0))</f>
        <v>323870.91270000004</v>
      </c>
    </row>
    <row r="1894" spans="1:10" ht="15">
      <c r="A1894" s="21">
        <v>41089</v>
      </c>
      <c r="B1894" s="21">
        <v>41061</v>
      </c>
      <c r="C1894" s="17">
        <v>4</v>
      </c>
      <c r="D1894" s="17" t="s">
        <v>91</v>
      </c>
      <c r="E1894" s="14">
        <v>1206631.79</v>
      </c>
      <c r="F1894" s="14">
        <v>1245458.23</v>
      </c>
      <c r="G1894" s="14">
        <v>1245458.23</v>
      </c>
      <c r="H1894" s="22">
        <f>F1894*(1+Assumptions!$B$6+IF(D1894="Yes",Assumptions!$C$6,0))</f>
        <v>1282821.9769000001</v>
      </c>
      <c r="I1894" s="22">
        <f>F1894*(1+Assumptions!$B$7+IF(D1894="Yes",Assumptions!$C$7,0))</f>
        <v>1307731.1415000001</v>
      </c>
      <c r="J1894" s="22">
        <f>F1894*(1+Assumptions!$B$8+IF(D1894="Yes",Assumptions!$C$8,0))</f>
        <v>1257912.8123000001</v>
      </c>
    </row>
    <row r="1895" spans="1:10" ht="15">
      <c r="A1895" s="21">
        <v>41089</v>
      </c>
      <c r="B1895" s="21">
        <v>41061</v>
      </c>
      <c r="C1895" s="17">
        <v>5</v>
      </c>
      <c r="D1895" s="17" t="s">
        <v>91</v>
      </c>
      <c r="E1895" s="14">
        <v>705479.18</v>
      </c>
      <c r="F1895" s="14">
        <v>711924.78</v>
      </c>
      <c r="G1895" s="14">
        <v>711924.78</v>
      </c>
      <c r="H1895" s="22">
        <f>F1895*(1+Assumptions!$B$6+IF(D1895="Yes",Assumptions!$C$6,0))</f>
        <v>733282.52340000006</v>
      </c>
      <c r="I1895" s="22">
        <f>F1895*(1+Assumptions!$B$7+IF(D1895="Yes",Assumptions!$C$7,0))</f>
        <v>747521.01900000009</v>
      </c>
      <c r="J1895" s="22">
        <f>F1895*(1+Assumptions!$B$8+IF(D1895="Yes",Assumptions!$C$8,0))</f>
        <v>719044.02780000004</v>
      </c>
    </row>
    <row r="1896" spans="1:10" ht="15">
      <c r="A1896" s="21">
        <v>41089</v>
      </c>
      <c r="B1896" s="21">
        <v>41061</v>
      </c>
      <c r="C1896" s="17">
        <v>6</v>
      </c>
      <c r="D1896" s="17" t="s">
        <v>91</v>
      </c>
      <c r="E1896" s="14">
        <v>153945.79999999999</v>
      </c>
      <c r="F1896" s="14">
        <v>198280.21</v>
      </c>
      <c r="G1896" s="14">
        <v>198280.21</v>
      </c>
      <c r="H1896" s="22">
        <f>F1896*(1+Assumptions!$B$6+IF(D1896="Yes",Assumptions!$C$6,0))</f>
        <v>204228.61629999999</v>
      </c>
      <c r="I1896" s="22">
        <f>F1896*(1+Assumptions!$B$7+IF(D1896="Yes",Assumptions!$C$7,0))</f>
        <v>208194.2205</v>
      </c>
      <c r="J1896" s="22">
        <f>F1896*(1+Assumptions!$B$8+IF(D1896="Yes",Assumptions!$C$8,0))</f>
        <v>200263.01209999999</v>
      </c>
    </row>
    <row r="1897" spans="1:10" ht="15">
      <c r="A1897" s="21">
        <v>41089</v>
      </c>
      <c r="B1897" s="21">
        <v>41061</v>
      </c>
      <c r="C1897" s="17">
        <v>7</v>
      </c>
      <c r="D1897" s="17" t="s">
        <v>91</v>
      </c>
      <c r="E1897" s="14">
        <v>1145894.01</v>
      </c>
      <c r="F1897" s="14">
        <v>1204442.05</v>
      </c>
      <c r="G1897" s="14">
        <v>1204442.05</v>
      </c>
      <c r="H1897" s="22">
        <f>F1897*(1+Assumptions!$B$6+IF(D1897="Yes",Assumptions!$C$6,0))</f>
        <v>1240575.3115000001</v>
      </c>
      <c r="I1897" s="22">
        <f>F1897*(1+Assumptions!$B$7+IF(D1897="Yes",Assumptions!$C$7,0))</f>
        <v>1264664.1525000001</v>
      </c>
      <c r="J1897" s="22">
        <f>F1897*(1+Assumptions!$B$8+IF(D1897="Yes",Assumptions!$C$8,0))</f>
        <v>1216486.4705000001</v>
      </c>
    </row>
    <row r="1898" spans="1:10" ht="15">
      <c r="A1898" s="21">
        <v>41089</v>
      </c>
      <c r="B1898" s="21">
        <v>41061</v>
      </c>
      <c r="C1898" s="17">
        <v>8</v>
      </c>
      <c r="D1898" s="17" t="s">
        <v>91</v>
      </c>
      <c r="E1898" s="14">
        <v>1366030.99</v>
      </c>
      <c r="F1898" s="14">
        <v>1387758.15</v>
      </c>
      <c r="G1898" s="14">
        <v>1387758.15</v>
      </c>
      <c r="H1898" s="22">
        <f>F1898*(1+Assumptions!$B$6+IF(D1898="Yes",Assumptions!$C$6,0))</f>
        <v>1429390.8944999999</v>
      </c>
      <c r="I1898" s="22">
        <f>F1898*(1+Assumptions!$B$7+IF(D1898="Yes",Assumptions!$C$7,0))</f>
        <v>1457146.0574999999</v>
      </c>
      <c r="J1898" s="22">
        <f>F1898*(1+Assumptions!$B$8+IF(D1898="Yes",Assumptions!$C$8,0))</f>
        <v>1401635.7315</v>
      </c>
    </row>
    <row r="1899" spans="1:10" ht="15">
      <c r="A1899" s="21">
        <v>41089</v>
      </c>
      <c r="B1899" s="21">
        <v>41061</v>
      </c>
      <c r="C1899" s="17">
        <v>9</v>
      </c>
      <c r="D1899" s="17" t="s">
        <v>91</v>
      </c>
      <c r="E1899" s="14">
        <v>1180004.1100000001</v>
      </c>
      <c r="F1899" s="14">
        <v>1315852.03</v>
      </c>
      <c r="G1899" s="14">
        <v>1315852.03</v>
      </c>
      <c r="H1899" s="22">
        <f>F1899*(1+Assumptions!$B$6+IF(D1899="Yes",Assumptions!$C$6,0))</f>
        <v>1355327.5909</v>
      </c>
      <c r="I1899" s="22">
        <f>F1899*(1+Assumptions!$B$7+IF(D1899="Yes",Assumptions!$C$7,0))</f>
        <v>1381644.6315000001</v>
      </c>
      <c r="J1899" s="22">
        <f>F1899*(1+Assumptions!$B$8+IF(D1899="Yes",Assumptions!$C$8,0))</f>
        <v>1329010.5503</v>
      </c>
    </row>
    <row r="1900" spans="1:10" ht="15">
      <c r="A1900" s="21">
        <v>41089</v>
      </c>
      <c r="B1900" s="21">
        <v>41061</v>
      </c>
      <c r="C1900" s="17">
        <v>10</v>
      </c>
      <c r="D1900" s="17" t="s">
        <v>91</v>
      </c>
      <c r="E1900" s="14">
        <v>930361.30999999994</v>
      </c>
      <c r="F1900" s="14">
        <v>937458.64</v>
      </c>
      <c r="G1900" s="14">
        <v>937458.64</v>
      </c>
      <c r="H1900" s="22">
        <f>F1900*(1+Assumptions!$B$6+IF(D1900="Yes",Assumptions!$C$6,0))</f>
        <v>965582.39919999999</v>
      </c>
      <c r="I1900" s="22">
        <f>F1900*(1+Assumptions!$B$7+IF(D1900="Yes",Assumptions!$C$7,0))</f>
        <v>984331.57200000004</v>
      </c>
      <c r="J1900" s="22">
        <f>F1900*(1+Assumptions!$B$8+IF(D1900="Yes",Assumptions!$C$8,0))</f>
        <v>946833.22640000004</v>
      </c>
    </row>
    <row r="1901" spans="1:10" ht="15">
      <c r="A1901" s="21">
        <v>41089</v>
      </c>
      <c r="B1901" s="21">
        <v>41061</v>
      </c>
      <c r="C1901" s="17">
        <v>11</v>
      </c>
      <c r="D1901" s="17" t="s">
        <v>91</v>
      </c>
      <c r="E1901" s="14">
        <v>971052.3</v>
      </c>
      <c r="F1901" s="14">
        <v>813507.98</v>
      </c>
      <c r="G1901" s="14">
        <v>813507.98</v>
      </c>
      <c r="H1901" s="22">
        <f>F1901*(1+Assumptions!$B$6+IF(D1901="Yes",Assumptions!$C$6,0))</f>
        <v>837913.21940000006</v>
      </c>
      <c r="I1901" s="22">
        <f>F1901*(1+Assumptions!$B$7+IF(D1901="Yes",Assumptions!$C$7,0))</f>
        <v>854183.37900000007</v>
      </c>
      <c r="J1901" s="22">
        <f>F1901*(1+Assumptions!$B$8+IF(D1901="Yes",Assumptions!$C$8,0))</f>
        <v>821643.05980000005</v>
      </c>
    </row>
    <row r="1902" spans="1:10" ht="15">
      <c r="A1902" s="21">
        <v>41089</v>
      </c>
      <c r="B1902" s="21">
        <v>41061</v>
      </c>
      <c r="C1902" s="17">
        <v>12</v>
      </c>
      <c r="D1902" s="17" t="s">
        <v>91</v>
      </c>
      <c r="E1902" s="14">
        <v>216349.74</v>
      </c>
      <c r="F1902" s="14">
        <v>218612.88</v>
      </c>
      <c r="G1902" s="14">
        <v>218612.88</v>
      </c>
      <c r="H1902" s="22">
        <f>F1902*(1+Assumptions!$B$6+IF(D1902="Yes",Assumptions!$C$6,0))</f>
        <v>225171.26640000002</v>
      </c>
      <c r="I1902" s="22">
        <f>F1902*(1+Assumptions!$B$7+IF(D1902="Yes",Assumptions!$C$7,0))</f>
        <v>229543.524</v>
      </c>
      <c r="J1902" s="22">
        <f>F1902*(1+Assumptions!$B$8+IF(D1902="Yes",Assumptions!$C$8,0))</f>
        <v>220799.00880000001</v>
      </c>
    </row>
    <row r="1903" spans="1:10" ht="15">
      <c r="A1903" s="21">
        <v>41089</v>
      </c>
      <c r="B1903" s="21">
        <v>41061</v>
      </c>
      <c r="C1903" s="17">
        <v>13</v>
      </c>
      <c r="D1903" s="17" t="s">
        <v>91</v>
      </c>
      <c r="E1903" s="14">
        <v>1360284.15</v>
      </c>
      <c r="F1903" s="14">
        <v>1382483.5</v>
      </c>
      <c r="G1903" s="14">
        <v>1382483.5</v>
      </c>
      <c r="H1903" s="22">
        <f>F1903*(1+Assumptions!$B$6+IF(D1903="Yes",Assumptions!$C$6,0))</f>
        <v>1423958.0050000001</v>
      </c>
      <c r="I1903" s="22">
        <f>F1903*(1+Assumptions!$B$7+IF(D1903="Yes",Assumptions!$C$7,0))</f>
        <v>1451607.675</v>
      </c>
      <c r="J1903" s="22">
        <f>F1903*(1+Assumptions!$B$8+IF(D1903="Yes",Assumptions!$C$8,0))</f>
        <v>1396308.335</v>
      </c>
    </row>
    <row r="1904" spans="1:10" ht="15">
      <c r="A1904" s="21">
        <v>41089</v>
      </c>
      <c r="B1904" s="21">
        <v>41061</v>
      </c>
      <c r="C1904" s="17">
        <v>14</v>
      </c>
      <c r="D1904" s="17" t="s">
        <v>91</v>
      </c>
      <c r="E1904" s="14">
        <v>599685.81999999995</v>
      </c>
      <c r="F1904" s="14">
        <v>563959.96</v>
      </c>
      <c r="G1904" s="14">
        <v>563959.96</v>
      </c>
      <c r="H1904" s="22">
        <f>F1904*(1+Assumptions!$B$6+IF(D1904="Yes",Assumptions!$C$6,0))</f>
        <v>580878.75879999995</v>
      </c>
      <c r="I1904" s="22">
        <f>F1904*(1+Assumptions!$B$7+IF(D1904="Yes",Assumptions!$C$7,0))</f>
        <v>592157.95799999998</v>
      </c>
      <c r="J1904" s="22">
        <f>F1904*(1+Assumptions!$B$8+IF(D1904="Yes",Assumptions!$C$8,0))</f>
        <v>569599.55959999992</v>
      </c>
    </row>
    <row r="1905" spans="1:10" ht="15">
      <c r="A1905" s="21">
        <v>41089</v>
      </c>
      <c r="B1905" s="21">
        <v>41061</v>
      </c>
      <c r="C1905" s="17">
        <v>16</v>
      </c>
      <c r="D1905" s="17" t="s">
        <v>91</v>
      </c>
      <c r="E1905" s="14">
        <v>1125596.27</v>
      </c>
      <c r="F1905" s="14">
        <v>1297109.17</v>
      </c>
      <c r="G1905" s="14">
        <v>1297109.17</v>
      </c>
      <c r="H1905" s="22">
        <f>F1905*(1+Assumptions!$B$6+IF(D1905="Yes",Assumptions!$C$6,0))</f>
        <v>1336022.4450999999</v>
      </c>
      <c r="I1905" s="22">
        <f>F1905*(1+Assumptions!$B$7+IF(D1905="Yes",Assumptions!$C$7,0))</f>
        <v>1361964.6284999999</v>
      </c>
      <c r="J1905" s="22">
        <f>F1905*(1+Assumptions!$B$8+IF(D1905="Yes",Assumptions!$C$8,0))</f>
        <v>1310080.2616999999</v>
      </c>
    </row>
    <row r="1906" spans="1:10" ht="15">
      <c r="A1906" s="21">
        <v>41089</v>
      </c>
      <c r="B1906" s="21">
        <v>41061</v>
      </c>
      <c r="C1906" s="17">
        <v>17</v>
      </c>
      <c r="D1906" s="17" t="s">
        <v>91</v>
      </c>
      <c r="E1906" s="14">
        <v>380868.42</v>
      </c>
      <c r="F1906" s="14">
        <v>395007.75</v>
      </c>
      <c r="G1906" s="14">
        <v>395007.75</v>
      </c>
      <c r="H1906" s="22">
        <f>F1906*(1+Assumptions!$B$6+IF(D1906="Yes",Assumptions!$C$6,0))</f>
        <v>406857.98249999998</v>
      </c>
      <c r="I1906" s="22">
        <f>F1906*(1+Assumptions!$B$7+IF(D1906="Yes",Assumptions!$C$7,0))</f>
        <v>414758.13750000001</v>
      </c>
      <c r="J1906" s="22">
        <f>F1906*(1+Assumptions!$B$8+IF(D1906="Yes",Assumptions!$C$8,0))</f>
        <v>398957.82750000001</v>
      </c>
    </row>
    <row r="1907" spans="1:10" ht="15">
      <c r="A1907" s="21">
        <v>41089</v>
      </c>
      <c r="B1907" s="21">
        <v>41061</v>
      </c>
      <c r="C1907" s="17">
        <v>18</v>
      </c>
      <c r="D1907" s="17" t="s">
        <v>91</v>
      </c>
      <c r="E1907" s="14">
        <v>18.79</v>
      </c>
      <c r="F1907" s="14">
        <v>13.88</v>
      </c>
      <c r="G1907" s="14">
        <v>13.88</v>
      </c>
      <c r="H1907" s="22">
        <f>F1907*(1+Assumptions!$B$6+IF(D1907="Yes",Assumptions!$C$6,0))</f>
        <v>14.296400000000002</v>
      </c>
      <c r="I1907" s="22">
        <f>F1907*(1+Assumptions!$B$7+IF(D1907="Yes",Assumptions!$C$7,0))</f>
        <v>14.574000000000002</v>
      </c>
      <c r="J1907" s="22">
        <f>F1907*(1+Assumptions!$B$8+IF(D1907="Yes",Assumptions!$C$8,0))</f>
        <v>14.018800000000001</v>
      </c>
    </row>
    <row r="1908" spans="1:10" ht="15">
      <c r="A1908" s="21">
        <v>41089</v>
      </c>
      <c r="B1908" s="21">
        <v>41061</v>
      </c>
      <c r="C1908" s="17">
        <v>19</v>
      </c>
      <c r="D1908" s="17" t="s">
        <v>91</v>
      </c>
      <c r="E1908" s="14">
        <v>41125.75</v>
      </c>
      <c r="F1908" s="14">
        <v>37258</v>
      </c>
      <c r="G1908" s="14">
        <v>37258</v>
      </c>
      <c r="H1908" s="22">
        <f>F1908*(1+Assumptions!$B$6+IF(D1908="Yes",Assumptions!$C$6,0))</f>
        <v>38375.74</v>
      </c>
      <c r="I1908" s="22">
        <f>F1908*(1+Assumptions!$B$7+IF(D1908="Yes",Assumptions!$C$7,0))</f>
        <v>39120.9</v>
      </c>
      <c r="J1908" s="22">
        <f>F1908*(1+Assumptions!$B$8+IF(D1908="Yes",Assumptions!$C$8,0))</f>
        <v>37630.58</v>
      </c>
    </row>
    <row r="1909" spans="1:10" ht="15">
      <c r="A1909" s="21">
        <v>41089</v>
      </c>
      <c r="B1909" s="21">
        <v>41061</v>
      </c>
      <c r="C1909" s="17">
        <v>20</v>
      </c>
      <c r="D1909" s="17" t="s">
        <v>91</v>
      </c>
      <c r="E1909" s="14">
        <v>267446.83999999997</v>
      </c>
      <c r="F1909" s="14">
        <v>299340.76</v>
      </c>
      <c r="G1909" s="14">
        <v>299340.76</v>
      </c>
      <c r="H1909" s="22">
        <f>F1909*(1+Assumptions!$B$6+IF(D1909="Yes",Assumptions!$C$6,0))</f>
        <v>308320.9828</v>
      </c>
      <c r="I1909" s="22">
        <f>F1909*(1+Assumptions!$B$7+IF(D1909="Yes",Assumptions!$C$7,0))</f>
        <v>314307.79800000001</v>
      </c>
      <c r="J1909" s="22">
        <f>F1909*(1+Assumptions!$B$8+IF(D1909="Yes",Assumptions!$C$8,0))</f>
        <v>302334.16759999999</v>
      </c>
    </row>
    <row r="1910" spans="1:10" ht="15">
      <c r="A1910" s="21">
        <v>41089</v>
      </c>
      <c r="B1910" s="21">
        <v>41061</v>
      </c>
      <c r="C1910" s="17">
        <v>21</v>
      </c>
      <c r="D1910" s="17" t="s">
        <v>91</v>
      </c>
      <c r="E1910" s="14">
        <v>199050.72</v>
      </c>
      <c r="F1910" s="14">
        <v>215007.46</v>
      </c>
      <c r="G1910" s="14">
        <v>215007.46</v>
      </c>
      <c r="H1910" s="22">
        <f>F1910*(1+Assumptions!$B$6+IF(D1910="Yes",Assumptions!$C$6,0))</f>
        <v>221457.6838</v>
      </c>
      <c r="I1910" s="22">
        <f>F1910*(1+Assumptions!$B$7+IF(D1910="Yes",Assumptions!$C$7,0))</f>
        <v>225757.83300000001</v>
      </c>
      <c r="J1910" s="22">
        <f>F1910*(1+Assumptions!$B$8+IF(D1910="Yes",Assumptions!$C$8,0))</f>
        <v>217157.53459999998</v>
      </c>
    </row>
    <row r="1911" spans="1:10" ht="15">
      <c r="A1911" s="21">
        <v>41089</v>
      </c>
      <c r="B1911" s="21">
        <v>41061</v>
      </c>
      <c r="C1911" s="17">
        <v>22</v>
      </c>
      <c r="D1911" s="17" t="s">
        <v>91</v>
      </c>
      <c r="E1911" s="14">
        <v>367032.77999999997</v>
      </c>
      <c r="F1911" s="14">
        <v>387588.83</v>
      </c>
      <c r="G1911" s="14">
        <v>387588.83</v>
      </c>
      <c r="H1911" s="22">
        <f>F1911*(1+Assumptions!$B$6+IF(D1911="Yes",Assumptions!$C$6,0))</f>
        <v>399216.49490000005</v>
      </c>
      <c r="I1911" s="22">
        <f>F1911*(1+Assumptions!$B$7+IF(D1911="Yes",Assumptions!$C$7,0))</f>
        <v>406968.27150000003</v>
      </c>
      <c r="J1911" s="22">
        <f>F1911*(1+Assumptions!$B$8+IF(D1911="Yes",Assumptions!$C$8,0))</f>
        <v>391464.71830000001</v>
      </c>
    </row>
    <row r="1912" spans="1:10" ht="15">
      <c r="A1912" s="21">
        <v>41089</v>
      </c>
      <c r="B1912" s="21">
        <v>41061</v>
      </c>
      <c r="C1912" s="17">
        <v>23</v>
      </c>
      <c r="D1912" s="17" t="s">
        <v>91</v>
      </c>
      <c r="E1912" s="14">
        <v>1037436.52</v>
      </c>
      <c r="F1912" s="14">
        <v>990671.83000000007</v>
      </c>
      <c r="G1912" s="14">
        <v>990671.83000000007</v>
      </c>
      <c r="H1912" s="22">
        <f>F1912*(1+Assumptions!$B$6+IF(D1912="Yes",Assumptions!$C$6,0))</f>
        <v>1020391.9849000002</v>
      </c>
      <c r="I1912" s="22">
        <f>F1912*(1+Assumptions!$B$7+IF(D1912="Yes",Assumptions!$C$7,0))</f>
        <v>1040205.4215000002</v>
      </c>
      <c r="J1912" s="22">
        <f>F1912*(1+Assumptions!$B$8+IF(D1912="Yes",Assumptions!$C$8,0))</f>
        <v>1000578.5483000001</v>
      </c>
    </row>
    <row r="1913" spans="1:10" ht="15">
      <c r="A1913" s="21">
        <v>41089</v>
      </c>
      <c r="B1913" s="21">
        <v>41061</v>
      </c>
      <c r="C1913" s="17">
        <v>24</v>
      </c>
      <c r="D1913" s="17" t="s">
        <v>91</v>
      </c>
      <c r="E1913" s="14">
        <v>185665.19</v>
      </c>
      <c r="F1913" s="14">
        <v>196059.33000000002</v>
      </c>
      <c r="G1913" s="14">
        <v>196059.33000000002</v>
      </c>
      <c r="H1913" s="22">
        <f>F1913*(1+Assumptions!$B$6+IF(D1913="Yes",Assumptions!$C$6,0))</f>
        <v>201941.10990000001</v>
      </c>
      <c r="I1913" s="22">
        <f>F1913*(1+Assumptions!$B$7+IF(D1913="Yes",Assumptions!$C$7,0))</f>
        <v>205862.29650000003</v>
      </c>
      <c r="J1913" s="22">
        <f>F1913*(1+Assumptions!$B$8+IF(D1913="Yes",Assumptions!$C$8,0))</f>
        <v>198019.92330000002</v>
      </c>
    </row>
    <row r="1914" spans="1:10" ht="15">
      <c r="A1914" s="21">
        <v>41089</v>
      </c>
      <c r="B1914" s="21">
        <v>41061</v>
      </c>
      <c r="C1914" s="17">
        <v>25</v>
      </c>
      <c r="D1914" s="17" t="s">
        <v>91</v>
      </c>
      <c r="E1914" s="14">
        <v>403947.21</v>
      </c>
      <c r="F1914" s="14">
        <v>413809.89</v>
      </c>
      <c r="G1914" s="14">
        <v>413809.89</v>
      </c>
      <c r="H1914" s="22">
        <f>F1914*(1+Assumptions!$B$6+IF(D1914="Yes",Assumptions!$C$6,0))</f>
        <v>426224.18670000002</v>
      </c>
      <c r="I1914" s="22">
        <f>F1914*(1+Assumptions!$B$7+IF(D1914="Yes",Assumptions!$C$7,0))</f>
        <v>434500.38450000004</v>
      </c>
      <c r="J1914" s="22">
        <f>F1914*(1+Assumptions!$B$8+IF(D1914="Yes",Assumptions!$C$8,0))</f>
        <v>417947.9889</v>
      </c>
    </row>
    <row r="1915" spans="1:10" ht="15">
      <c r="A1915" s="21">
        <v>41089</v>
      </c>
      <c r="B1915" s="21">
        <v>41061</v>
      </c>
      <c r="C1915" s="17">
        <v>26</v>
      </c>
      <c r="D1915" s="17" t="s">
        <v>91</v>
      </c>
      <c r="E1915" s="14">
        <v>241412.51</v>
      </c>
      <c r="F1915" s="14">
        <v>258961.48</v>
      </c>
      <c r="G1915" s="14">
        <v>258961.48</v>
      </c>
      <c r="H1915" s="22">
        <f>F1915*(1+Assumptions!$B$6+IF(D1915="Yes",Assumptions!$C$6,0))</f>
        <v>266730.32440000004</v>
      </c>
      <c r="I1915" s="22">
        <f>F1915*(1+Assumptions!$B$7+IF(D1915="Yes",Assumptions!$C$7,0))</f>
        <v>271909.554</v>
      </c>
      <c r="J1915" s="22">
        <f>F1915*(1+Assumptions!$B$8+IF(D1915="Yes",Assumptions!$C$8,0))</f>
        <v>261551.09480000002</v>
      </c>
    </row>
    <row r="1916" spans="1:10" ht="15">
      <c r="A1916" s="21">
        <v>41089</v>
      </c>
      <c r="B1916" s="21">
        <v>41061</v>
      </c>
      <c r="C1916" s="17">
        <v>27</v>
      </c>
      <c r="D1916" s="17" t="s">
        <v>91</v>
      </c>
      <c r="E1916" s="14">
        <v>44315.51</v>
      </c>
      <c r="F1916" s="14">
        <v>42248.54</v>
      </c>
      <c r="G1916" s="14">
        <v>42248.54</v>
      </c>
      <c r="H1916" s="22">
        <f>F1916*(1+Assumptions!$B$6+IF(D1916="Yes",Assumptions!$C$6,0))</f>
        <v>43515.996200000001</v>
      </c>
      <c r="I1916" s="22">
        <f>F1916*(1+Assumptions!$B$7+IF(D1916="Yes",Assumptions!$C$7,0))</f>
        <v>44360.967000000004</v>
      </c>
      <c r="J1916" s="22">
        <f>F1916*(1+Assumptions!$B$8+IF(D1916="Yes",Assumptions!$C$8,0))</f>
        <v>42671.025399999999</v>
      </c>
    </row>
    <row r="1917" spans="1:10" ht="15">
      <c r="A1917" s="21">
        <v>41089</v>
      </c>
      <c r="B1917" s="21">
        <v>41061</v>
      </c>
      <c r="C1917" s="17">
        <v>28</v>
      </c>
      <c r="D1917" s="17" t="s">
        <v>91</v>
      </c>
      <c r="E1917" s="14">
        <v>15114.77</v>
      </c>
      <c r="F1917" s="14">
        <v>16109.66</v>
      </c>
      <c r="G1917" s="14">
        <v>16109.66</v>
      </c>
      <c r="H1917" s="22">
        <f>F1917*(1+Assumptions!$B$6+IF(D1917="Yes",Assumptions!$C$6,0))</f>
        <v>16592.949799999999</v>
      </c>
      <c r="I1917" s="22">
        <f>F1917*(1+Assumptions!$B$7+IF(D1917="Yes",Assumptions!$C$7,0))</f>
        <v>16915.143</v>
      </c>
      <c r="J1917" s="22">
        <f>F1917*(1+Assumptions!$B$8+IF(D1917="Yes",Assumptions!$C$8,0))</f>
        <v>16270.756600000001</v>
      </c>
    </row>
    <row r="1918" spans="1:10" ht="15">
      <c r="A1918" s="21">
        <v>41089</v>
      </c>
      <c r="B1918" s="21">
        <v>41061</v>
      </c>
      <c r="C1918" s="17">
        <v>29</v>
      </c>
      <c r="D1918" s="17" t="s">
        <v>91</v>
      </c>
      <c r="E1918" s="14">
        <v>203079.58000000002</v>
      </c>
      <c r="F1918" s="14">
        <v>193906.05</v>
      </c>
      <c r="G1918" s="14">
        <v>193906.05</v>
      </c>
      <c r="H1918" s="22">
        <f>F1918*(1+Assumptions!$B$6+IF(D1918="Yes",Assumptions!$C$6,0))</f>
        <v>199723.23149999999</v>
      </c>
      <c r="I1918" s="22">
        <f>F1918*(1+Assumptions!$B$7+IF(D1918="Yes",Assumptions!$C$7,0))</f>
        <v>203601.35250000001</v>
      </c>
      <c r="J1918" s="22">
        <f>F1918*(1+Assumptions!$B$8+IF(D1918="Yes",Assumptions!$C$8,0))</f>
        <v>195845.11049999998</v>
      </c>
    </row>
    <row r="1919" spans="1:10" ht="15">
      <c r="A1919" s="21">
        <v>41089</v>
      </c>
      <c r="B1919" s="21">
        <v>41061</v>
      </c>
      <c r="C1919" s="17">
        <v>30</v>
      </c>
      <c r="D1919" s="17" t="s">
        <v>91</v>
      </c>
      <c r="E1919" s="14">
        <v>162178.54</v>
      </c>
      <c r="F1919" s="14">
        <v>170886.92</v>
      </c>
      <c r="G1919" s="14">
        <v>170886.92</v>
      </c>
      <c r="H1919" s="22">
        <f>F1919*(1+Assumptions!$B$6+IF(D1919="Yes",Assumptions!$C$6,0))</f>
        <v>176013.52760000003</v>
      </c>
      <c r="I1919" s="22">
        <f>F1919*(1+Assumptions!$B$7+IF(D1919="Yes",Assumptions!$C$7,0))</f>
        <v>179431.26600000003</v>
      </c>
      <c r="J1919" s="22">
        <f>F1919*(1+Assumptions!$B$8+IF(D1919="Yes",Assumptions!$C$8,0))</f>
        <v>172595.78920000003</v>
      </c>
    </row>
    <row r="1920" spans="1:10" ht="15">
      <c r="A1920" s="21">
        <v>41089</v>
      </c>
      <c r="B1920" s="21">
        <v>41061</v>
      </c>
      <c r="C1920" s="17">
        <v>31</v>
      </c>
      <c r="D1920" s="17" t="s">
        <v>91</v>
      </c>
      <c r="E1920" s="14">
        <v>72335.509999999995</v>
      </c>
      <c r="F1920" s="14">
        <v>82204.81</v>
      </c>
      <c r="G1920" s="14">
        <v>82204.81</v>
      </c>
      <c r="H1920" s="22">
        <f>F1920*(1+Assumptions!$B$6+IF(D1920="Yes",Assumptions!$C$6,0))</f>
        <v>84670.954299999998</v>
      </c>
      <c r="I1920" s="22">
        <f>F1920*(1+Assumptions!$B$7+IF(D1920="Yes",Assumptions!$C$7,0))</f>
        <v>86315.050499999998</v>
      </c>
      <c r="J1920" s="22">
        <f>F1920*(1+Assumptions!$B$8+IF(D1920="Yes",Assumptions!$C$8,0))</f>
        <v>83026.858099999998</v>
      </c>
    </row>
    <row r="1921" spans="1:10" ht="15">
      <c r="A1921" s="21">
        <v>41089</v>
      </c>
      <c r="B1921" s="21">
        <v>41061</v>
      </c>
      <c r="C1921" s="17">
        <v>32</v>
      </c>
      <c r="D1921" s="17" t="s">
        <v>91</v>
      </c>
      <c r="E1921" s="14">
        <v>264772.41000000003</v>
      </c>
      <c r="F1921" s="14">
        <v>259658.94</v>
      </c>
      <c r="G1921" s="14">
        <v>259658.94</v>
      </c>
      <c r="H1921" s="22">
        <f>F1921*(1+Assumptions!$B$6+IF(D1921="Yes",Assumptions!$C$6,0))</f>
        <v>267448.70819999999</v>
      </c>
      <c r="I1921" s="22">
        <f>F1921*(1+Assumptions!$B$7+IF(D1921="Yes",Assumptions!$C$7,0))</f>
        <v>272641.88699999999</v>
      </c>
      <c r="J1921" s="22">
        <f>F1921*(1+Assumptions!$B$8+IF(D1921="Yes",Assumptions!$C$8,0))</f>
        <v>262255.5294</v>
      </c>
    </row>
    <row r="1922" spans="1:10" ht="15">
      <c r="A1922" s="21">
        <v>41089</v>
      </c>
      <c r="B1922" s="21">
        <v>41061</v>
      </c>
      <c r="C1922" s="17">
        <v>33</v>
      </c>
      <c r="D1922" s="17" t="s">
        <v>91</v>
      </c>
      <c r="E1922" s="14">
        <v>201892.52000000002</v>
      </c>
      <c r="F1922" s="14">
        <v>217592.52</v>
      </c>
      <c r="G1922" s="14">
        <v>217592.52</v>
      </c>
      <c r="H1922" s="22">
        <f>F1922*(1+Assumptions!$B$6+IF(D1922="Yes",Assumptions!$C$6,0))</f>
        <v>224120.29559999998</v>
      </c>
      <c r="I1922" s="22">
        <f>F1922*(1+Assumptions!$B$7+IF(D1922="Yes",Assumptions!$C$7,0))</f>
        <v>228472.14600000001</v>
      </c>
      <c r="J1922" s="22">
        <f>F1922*(1+Assumptions!$B$8+IF(D1922="Yes",Assumptions!$C$8,0))</f>
        <v>219768.44519999999</v>
      </c>
    </row>
    <row r="1923" spans="1:10" ht="15">
      <c r="A1923" s="21">
        <v>41089</v>
      </c>
      <c r="B1923" s="21">
        <v>41061</v>
      </c>
      <c r="C1923" s="17">
        <v>34</v>
      </c>
      <c r="D1923" s="17" t="s">
        <v>91</v>
      </c>
      <c r="E1923" s="14">
        <v>653654.39</v>
      </c>
      <c r="F1923" s="14">
        <v>655134.57999999996</v>
      </c>
      <c r="G1923" s="14">
        <v>655134.57999999996</v>
      </c>
      <c r="H1923" s="22">
        <f>F1923*(1+Assumptions!$B$6+IF(D1923="Yes",Assumptions!$C$6,0))</f>
        <v>674788.61739999999</v>
      </c>
      <c r="I1923" s="22">
        <f>F1923*(1+Assumptions!$B$7+IF(D1923="Yes",Assumptions!$C$7,0))</f>
        <v>687891.30900000001</v>
      </c>
      <c r="J1923" s="22">
        <f>F1923*(1+Assumptions!$B$8+IF(D1923="Yes",Assumptions!$C$8,0))</f>
        <v>661685.92579999997</v>
      </c>
    </row>
    <row r="1924" spans="1:10" ht="15">
      <c r="A1924" s="21">
        <v>41089</v>
      </c>
      <c r="B1924" s="21">
        <v>41061</v>
      </c>
      <c r="C1924" s="17">
        <v>35</v>
      </c>
      <c r="D1924" s="17" t="s">
        <v>91</v>
      </c>
      <c r="E1924" s="14">
        <v>124065.67</v>
      </c>
      <c r="F1924" s="14">
        <v>119174.89</v>
      </c>
      <c r="G1924" s="14">
        <v>119174.89</v>
      </c>
      <c r="H1924" s="22">
        <f>F1924*(1+Assumptions!$B$6+IF(D1924="Yes",Assumptions!$C$6,0))</f>
        <v>122750.1367</v>
      </c>
      <c r="I1924" s="22">
        <f>F1924*(1+Assumptions!$B$7+IF(D1924="Yes",Assumptions!$C$7,0))</f>
        <v>125133.6345</v>
      </c>
      <c r="J1924" s="22">
        <f>F1924*(1+Assumptions!$B$8+IF(D1924="Yes",Assumptions!$C$8,0))</f>
        <v>120366.63890000001</v>
      </c>
    </row>
    <row r="1925" spans="1:10" ht="15">
      <c r="A1925" s="21">
        <v>41089</v>
      </c>
      <c r="B1925" s="21">
        <v>41061</v>
      </c>
      <c r="C1925" s="17">
        <v>36</v>
      </c>
      <c r="D1925" s="17" t="s">
        <v>91</v>
      </c>
      <c r="E1925" s="14">
        <v>144443.85</v>
      </c>
      <c r="F1925" s="14">
        <v>185701.49</v>
      </c>
      <c r="G1925" s="14">
        <v>185701.49</v>
      </c>
      <c r="H1925" s="22">
        <f>F1925*(1+Assumptions!$B$6+IF(D1925="Yes",Assumptions!$C$6,0))</f>
        <v>191272.53469999999</v>
      </c>
      <c r="I1925" s="22">
        <f>F1925*(1+Assumptions!$B$7+IF(D1925="Yes",Assumptions!$C$7,0))</f>
        <v>194986.56450000001</v>
      </c>
      <c r="J1925" s="22">
        <f>F1925*(1+Assumptions!$B$8+IF(D1925="Yes",Assumptions!$C$8,0))</f>
        <v>187558.5049</v>
      </c>
    </row>
    <row r="1926" spans="1:10" ht="15">
      <c r="A1926" s="21">
        <v>41089</v>
      </c>
      <c r="B1926" s="21">
        <v>41061</v>
      </c>
      <c r="C1926" s="17">
        <v>37</v>
      </c>
      <c r="D1926" s="17" t="s">
        <v>91</v>
      </c>
      <c r="E1926" s="14">
        <v>57183.05</v>
      </c>
      <c r="F1926" s="14">
        <v>55621.11</v>
      </c>
      <c r="G1926" s="14">
        <v>55621.11</v>
      </c>
      <c r="H1926" s="22">
        <f>F1926*(1+Assumptions!$B$6+IF(D1926="Yes",Assumptions!$C$6,0))</f>
        <v>57289.743300000002</v>
      </c>
      <c r="I1926" s="22">
        <f>F1926*(1+Assumptions!$B$7+IF(D1926="Yes",Assumptions!$C$7,0))</f>
        <v>58402.165500000003</v>
      </c>
      <c r="J1926" s="22">
        <f>F1926*(1+Assumptions!$B$8+IF(D1926="Yes",Assumptions!$C$8,0))</f>
        <v>56177.321100000001</v>
      </c>
    </row>
    <row r="1927" spans="1:10" ht="15">
      <c r="A1927" s="21">
        <v>41089</v>
      </c>
      <c r="B1927" s="21">
        <v>41061</v>
      </c>
      <c r="C1927" s="17">
        <v>38</v>
      </c>
      <c r="D1927" s="17" t="s">
        <v>91</v>
      </c>
      <c r="E1927" s="14">
        <v>2688622.24</v>
      </c>
      <c r="F1927" s="14">
        <v>2799811.21</v>
      </c>
      <c r="G1927" s="14">
        <v>2799811.21</v>
      </c>
      <c r="H1927" s="22">
        <f>F1927*(1+Assumptions!$B$6+IF(D1927="Yes",Assumptions!$C$6,0))</f>
        <v>2883805.5463</v>
      </c>
      <c r="I1927" s="22">
        <f>F1927*(1+Assumptions!$B$7+IF(D1927="Yes",Assumptions!$C$7,0))</f>
        <v>2939801.7705000001</v>
      </c>
      <c r="J1927" s="22">
        <f>F1927*(1+Assumptions!$B$8+IF(D1927="Yes",Assumptions!$C$8,0))</f>
        <v>2827809.3221</v>
      </c>
    </row>
    <row r="1928" spans="1:10" ht="15">
      <c r="A1928" s="21">
        <v>41089</v>
      </c>
      <c r="B1928" s="21">
        <v>41061</v>
      </c>
      <c r="C1928" s="17">
        <v>40</v>
      </c>
      <c r="D1928" s="17" t="s">
        <v>91</v>
      </c>
      <c r="E1928" s="14">
        <v>2003223</v>
      </c>
      <c r="F1928" s="14">
        <v>1968493.89</v>
      </c>
      <c r="G1928" s="14">
        <v>1968493.89</v>
      </c>
      <c r="H1928" s="22">
        <f>F1928*(1+Assumptions!$B$6+IF(D1928="Yes",Assumptions!$C$6,0))</f>
        <v>2027548.7067</v>
      </c>
      <c r="I1928" s="22">
        <f>F1928*(1+Assumptions!$B$7+IF(D1928="Yes",Assumptions!$C$7,0))</f>
        <v>2066918.5844999999</v>
      </c>
      <c r="J1928" s="22">
        <f>F1928*(1+Assumptions!$B$8+IF(D1928="Yes",Assumptions!$C$8,0))</f>
        <v>1988178.8288999998</v>
      </c>
    </row>
    <row r="1929" spans="1:10" ht="15">
      <c r="A1929" s="21">
        <v>41089</v>
      </c>
      <c r="B1929" s="21">
        <v>41061</v>
      </c>
      <c r="C1929" s="17">
        <v>41</v>
      </c>
      <c r="D1929" s="17" t="s">
        <v>91</v>
      </c>
      <c r="E1929" s="14">
        <v>48861.27</v>
      </c>
      <c r="F1929" s="14">
        <v>51215</v>
      </c>
      <c r="G1929" s="14">
        <v>51215</v>
      </c>
      <c r="H1929" s="22">
        <f>F1929*(1+Assumptions!$B$6+IF(D1929="Yes",Assumptions!$C$6,0))</f>
        <v>52751.450000000004</v>
      </c>
      <c r="I1929" s="22">
        <f>F1929*(1+Assumptions!$B$7+IF(D1929="Yes",Assumptions!$C$7,0))</f>
        <v>53775.75</v>
      </c>
      <c r="J1929" s="22">
        <f>F1929*(1+Assumptions!$B$8+IF(D1929="Yes",Assumptions!$C$8,0))</f>
        <v>51727.15</v>
      </c>
    </row>
    <row r="1930" spans="1:10" ht="15">
      <c r="A1930" s="21">
        <v>41089</v>
      </c>
      <c r="B1930" s="21">
        <v>41061</v>
      </c>
      <c r="C1930" s="17">
        <v>42</v>
      </c>
      <c r="D1930" s="17" t="s">
        <v>91</v>
      </c>
      <c r="E1930" s="14">
        <v>252780.65</v>
      </c>
      <c r="F1930" s="14">
        <v>247687.6</v>
      </c>
      <c r="G1930" s="14">
        <v>247687.6</v>
      </c>
      <c r="H1930" s="22">
        <f>F1930*(1+Assumptions!$B$6+IF(D1930="Yes",Assumptions!$C$6,0))</f>
        <v>255118.228</v>
      </c>
      <c r="I1930" s="22">
        <f>F1930*(1+Assumptions!$B$7+IF(D1930="Yes",Assumptions!$C$7,0))</f>
        <v>260071.98</v>
      </c>
      <c r="J1930" s="22">
        <f>F1930*(1+Assumptions!$B$8+IF(D1930="Yes",Assumptions!$C$8,0))</f>
        <v>250164.476</v>
      </c>
    </row>
    <row r="1931" spans="1:10" ht="15">
      <c r="A1931" s="21">
        <v>41089</v>
      </c>
      <c r="B1931" s="21">
        <v>41061</v>
      </c>
      <c r="C1931" s="17">
        <v>44</v>
      </c>
      <c r="D1931" s="17" t="s">
        <v>91</v>
      </c>
      <c r="E1931" s="14">
        <v>161556.17000000001</v>
      </c>
      <c r="F1931" s="14">
        <v>157509.9</v>
      </c>
      <c r="G1931" s="14">
        <v>157509.9</v>
      </c>
      <c r="H1931" s="22">
        <f>F1931*(1+Assumptions!$B$6+IF(D1931="Yes",Assumptions!$C$6,0))</f>
        <v>162235.19699999999</v>
      </c>
      <c r="I1931" s="22">
        <f>F1931*(1+Assumptions!$B$7+IF(D1931="Yes",Assumptions!$C$7,0))</f>
        <v>165385.39499999999</v>
      </c>
      <c r="J1931" s="22">
        <f>F1931*(1+Assumptions!$B$8+IF(D1931="Yes",Assumptions!$C$8,0))</f>
        <v>159084.99899999998</v>
      </c>
    </row>
    <row r="1932" spans="1:10" ht="15">
      <c r="A1932" s="21">
        <v>41089</v>
      </c>
      <c r="B1932" s="21">
        <v>41061</v>
      </c>
      <c r="C1932" s="17">
        <v>45</v>
      </c>
      <c r="D1932" s="17" t="s">
        <v>91</v>
      </c>
      <c r="E1932" s="14">
        <v>239.22</v>
      </c>
      <c r="F1932" s="14">
        <v>90.67</v>
      </c>
      <c r="G1932" s="14">
        <v>90.67</v>
      </c>
      <c r="H1932" s="22">
        <f>F1932*(1+Assumptions!$B$6+IF(D1932="Yes",Assumptions!$C$6,0))</f>
        <v>93.390100000000004</v>
      </c>
      <c r="I1932" s="22">
        <f>F1932*(1+Assumptions!$B$7+IF(D1932="Yes",Assumptions!$C$7,0))</f>
        <v>95.203500000000005</v>
      </c>
      <c r="J1932" s="22">
        <f>F1932*(1+Assumptions!$B$8+IF(D1932="Yes",Assumptions!$C$8,0))</f>
        <v>91.576700000000002</v>
      </c>
    </row>
    <row r="1933" spans="1:10" ht="15">
      <c r="A1933" s="21">
        <v>41089</v>
      </c>
      <c r="B1933" s="21">
        <v>41061</v>
      </c>
      <c r="C1933" s="17">
        <v>46</v>
      </c>
      <c r="D1933" s="17" t="s">
        <v>91</v>
      </c>
      <c r="E1933" s="14">
        <v>1027480.22</v>
      </c>
      <c r="F1933" s="14">
        <v>999132.51</v>
      </c>
      <c r="G1933" s="14">
        <v>999132.51</v>
      </c>
      <c r="H1933" s="22">
        <f>F1933*(1+Assumptions!$B$6+IF(D1933="Yes",Assumptions!$C$6,0))</f>
        <v>1029106.4853000001</v>
      </c>
      <c r="I1933" s="22">
        <f>F1933*(1+Assumptions!$B$7+IF(D1933="Yes",Assumptions!$C$7,0))</f>
        <v>1049089.1355000001</v>
      </c>
      <c r="J1933" s="22">
        <f>F1933*(1+Assumptions!$B$8+IF(D1933="Yes",Assumptions!$C$8,0))</f>
        <v>1009123.8351</v>
      </c>
    </row>
    <row r="1934" spans="1:10" ht="15">
      <c r="A1934" s="21">
        <v>41089</v>
      </c>
      <c r="B1934" s="21">
        <v>41061</v>
      </c>
      <c r="C1934" s="17">
        <v>48</v>
      </c>
      <c r="D1934" s="17" t="s">
        <v>91</v>
      </c>
      <c r="E1934" s="14">
        <v>14429</v>
      </c>
      <c r="F1934" s="14">
        <v>4396</v>
      </c>
      <c r="G1934" s="14">
        <v>4396</v>
      </c>
      <c r="H1934" s="22">
        <f>F1934*(1+Assumptions!$B$6+IF(D1934="Yes",Assumptions!$C$6,0))</f>
        <v>4527.88</v>
      </c>
      <c r="I1934" s="22">
        <f>F1934*(1+Assumptions!$B$7+IF(D1934="Yes",Assumptions!$C$7,0))</f>
        <v>4615.8</v>
      </c>
      <c r="J1934" s="22">
        <f>F1934*(1+Assumptions!$B$8+IF(D1934="Yes",Assumptions!$C$8,0))</f>
        <v>4439.96</v>
      </c>
    </row>
    <row r="1935" spans="1:10" ht="15">
      <c r="A1935" s="21">
        <v>41089</v>
      </c>
      <c r="B1935" s="21">
        <v>41061</v>
      </c>
      <c r="C1935" s="17">
        <v>49</v>
      </c>
      <c r="D1935" s="17" t="s">
        <v>91</v>
      </c>
      <c r="E1935" s="14">
        <v>247784.76</v>
      </c>
      <c r="F1935" s="14">
        <v>258130.86</v>
      </c>
      <c r="G1935" s="14">
        <v>258130.86</v>
      </c>
      <c r="H1935" s="22">
        <f>F1935*(1+Assumptions!$B$6+IF(D1935="Yes",Assumptions!$C$6,0))</f>
        <v>265874.78580000001</v>
      </c>
      <c r="I1935" s="22">
        <f>F1935*(1+Assumptions!$B$7+IF(D1935="Yes",Assumptions!$C$7,0))</f>
        <v>271037.40299999999</v>
      </c>
      <c r="J1935" s="22">
        <f>F1935*(1+Assumptions!$B$8+IF(D1935="Yes",Assumptions!$C$8,0))</f>
        <v>260712.16859999998</v>
      </c>
    </row>
    <row r="1936" spans="1:10" ht="15">
      <c r="A1936" s="21">
        <v>41089</v>
      </c>
      <c r="B1936" s="21">
        <v>41061</v>
      </c>
      <c r="C1936" s="17">
        <v>50</v>
      </c>
      <c r="D1936" s="17" t="s">
        <v>91</v>
      </c>
      <c r="E1936" s="14">
        <v>29542</v>
      </c>
      <c r="F1936" s="14">
        <v>27594.5</v>
      </c>
      <c r="G1936" s="14">
        <v>27594.5</v>
      </c>
      <c r="H1936" s="22">
        <f>F1936*(1+Assumptions!$B$6+IF(D1936="Yes",Assumptions!$C$6,0))</f>
        <v>28422.334999999999</v>
      </c>
      <c r="I1936" s="22">
        <f>F1936*(1+Assumptions!$B$7+IF(D1936="Yes",Assumptions!$C$7,0))</f>
        <v>28974.225000000002</v>
      </c>
      <c r="J1936" s="22">
        <f>F1936*(1+Assumptions!$B$8+IF(D1936="Yes",Assumptions!$C$8,0))</f>
        <v>27870.445</v>
      </c>
    </row>
    <row r="1937" spans="1:10" ht="15">
      <c r="A1937" s="21">
        <v>41089</v>
      </c>
      <c r="B1937" s="21">
        <v>41061</v>
      </c>
      <c r="C1937" s="17">
        <v>51</v>
      </c>
      <c r="D1937" s="17" t="s">
        <v>91</v>
      </c>
      <c r="E1937" s="14">
        <v>19.54</v>
      </c>
      <c r="F1937" s="14">
        <v>51.27</v>
      </c>
      <c r="G1937" s="14">
        <v>51.27</v>
      </c>
      <c r="H1937" s="22">
        <f>F1937*(1+Assumptions!$B$6+IF(D1937="Yes",Assumptions!$C$6,0))</f>
        <v>52.808100000000003</v>
      </c>
      <c r="I1937" s="22">
        <f>F1937*(1+Assumptions!$B$7+IF(D1937="Yes",Assumptions!$C$7,0))</f>
        <v>53.833500000000008</v>
      </c>
      <c r="J1937" s="22">
        <f>F1937*(1+Assumptions!$B$8+IF(D1937="Yes",Assumptions!$C$8,0))</f>
        <v>51.782700000000006</v>
      </c>
    </row>
    <row r="1938" spans="1:10" ht="15">
      <c r="A1938" s="21">
        <v>41089</v>
      </c>
      <c r="B1938" s="21">
        <v>41061</v>
      </c>
      <c r="C1938" s="17">
        <v>52</v>
      </c>
      <c r="D1938" s="17" t="s">
        <v>91</v>
      </c>
      <c r="E1938" s="14">
        <v>71568.160000000003</v>
      </c>
      <c r="F1938" s="14">
        <v>70969.36</v>
      </c>
      <c r="G1938" s="14">
        <v>70969.36</v>
      </c>
      <c r="H1938" s="22">
        <f>F1938*(1+Assumptions!$B$6+IF(D1938="Yes",Assumptions!$C$6,0))</f>
        <v>73098.440799999997</v>
      </c>
      <c r="I1938" s="22">
        <f>F1938*(1+Assumptions!$B$7+IF(D1938="Yes",Assumptions!$C$7,0))</f>
        <v>74517.828000000009</v>
      </c>
      <c r="J1938" s="22">
        <f>F1938*(1+Assumptions!$B$8+IF(D1938="Yes",Assumptions!$C$8,0))</f>
        <v>71679.053599999999</v>
      </c>
    </row>
    <row r="1939" spans="1:10" ht="15">
      <c r="A1939" s="21">
        <v>41089</v>
      </c>
      <c r="B1939" s="21">
        <v>41061</v>
      </c>
      <c r="C1939" s="17">
        <v>54</v>
      </c>
      <c r="D1939" s="17" t="s">
        <v>91</v>
      </c>
      <c r="E1939" s="14">
        <v>1075.76</v>
      </c>
      <c r="F1939" s="14">
        <v>1354.2</v>
      </c>
      <c r="G1939" s="14">
        <v>1354.2</v>
      </c>
      <c r="H1939" s="22">
        <f>F1939*(1+Assumptions!$B$6+IF(D1939="Yes",Assumptions!$C$6,0))</f>
        <v>1394.826</v>
      </c>
      <c r="I1939" s="22">
        <f>F1939*(1+Assumptions!$B$7+IF(D1939="Yes",Assumptions!$C$7,0))</f>
        <v>1421.91</v>
      </c>
      <c r="J1939" s="22">
        <f>F1939*(1+Assumptions!$B$8+IF(D1939="Yes",Assumptions!$C$8,0))</f>
        <v>1367.742</v>
      </c>
    </row>
    <row r="1940" spans="1:10" ht="15">
      <c r="A1940" s="21">
        <v>41089</v>
      </c>
      <c r="B1940" s="21">
        <v>41061</v>
      </c>
      <c r="C1940" s="17">
        <v>55</v>
      </c>
      <c r="D1940" s="17" t="s">
        <v>91</v>
      </c>
      <c r="E1940" s="14">
        <v>276895.01</v>
      </c>
      <c r="F1940" s="14">
        <v>311941.90999999997</v>
      </c>
      <c r="G1940" s="14">
        <v>311941.90999999997</v>
      </c>
      <c r="H1940" s="22">
        <f>F1940*(1+Assumptions!$B$6+IF(D1940="Yes",Assumptions!$C$6,0))</f>
        <v>321300.16729999997</v>
      </c>
      <c r="I1940" s="22">
        <f>F1940*(1+Assumptions!$B$7+IF(D1940="Yes",Assumptions!$C$7,0))</f>
        <v>327539.00549999997</v>
      </c>
      <c r="J1940" s="22">
        <f>F1940*(1+Assumptions!$B$8+IF(D1940="Yes",Assumptions!$C$8,0))</f>
        <v>315061.32909999997</v>
      </c>
    </row>
    <row r="1941" spans="1:10" ht="15">
      <c r="A1941" s="21">
        <v>41089</v>
      </c>
      <c r="B1941" s="21">
        <v>41061</v>
      </c>
      <c r="C1941" s="17">
        <v>56</v>
      </c>
      <c r="D1941" s="17" t="s">
        <v>91</v>
      </c>
      <c r="E1941" s="14">
        <v>164066.62</v>
      </c>
      <c r="F1941" s="14">
        <v>186699.02</v>
      </c>
      <c r="G1941" s="14">
        <v>186699.02</v>
      </c>
      <c r="H1941" s="22">
        <f>F1941*(1+Assumptions!$B$6+IF(D1941="Yes",Assumptions!$C$6,0))</f>
        <v>192299.99059999999</v>
      </c>
      <c r="I1941" s="22">
        <f>F1941*(1+Assumptions!$B$7+IF(D1941="Yes",Assumptions!$C$7,0))</f>
        <v>196033.97099999999</v>
      </c>
      <c r="J1941" s="22">
        <f>F1941*(1+Assumptions!$B$8+IF(D1941="Yes",Assumptions!$C$8,0))</f>
        <v>188566.01019999999</v>
      </c>
    </row>
    <row r="1942" spans="1:10" ht="15">
      <c r="A1942" s="21">
        <v>41089</v>
      </c>
      <c r="B1942" s="21">
        <v>41061</v>
      </c>
      <c r="C1942" s="17">
        <v>58</v>
      </c>
      <c r="D1942" s="17" t="s">
        <v>91</v>
      </c>
      <c r="E1942" s="14">
        <v>97750</v>
      </c>
      <c r="F1942" s="14">
        <v>115989.94</v>
      </c>
      <c r="G1942" s="14">
        <v>115989.94</v>
      </c>
      <c r="H1942" s="22">
        <f>F1942*(1+Assumptions!$B$6+IF(D1942="Yes",Assumptions!$C$6,0))</f>
        <v>119469.6382</v>
      </c>
      <c r="I1942" s="22">
        <f>F1942*(1+Assumptions!$B$7+IF(D1942="Yes",Assumptions!$C$7,0))</f>
        <v>121789.43700000001</v>
      </c>
      <c r="J1942" s="22">
        <f>F1942*(1+Assumptions!$B$8+IF(D1942="Yes",Assumptions!$C$8,0))</f>
        <v>117149.8394</v>
      </c>
    </row>
    <row r="1943" spans="1:10" ht="15">
      <c r="A1943" s="21">
        <v>41089</v>
      </c>
      <c r="B1943" s="21">
        <v>41061</v>
      </c>
      <c r="C1943" s="17">
        <v>59</v>
      </c>
      <c r="D1943" s="17" t="s">
        <v>91</v>
      </c>
      <c r="E1943" s="14">
        <v>8037.66</v>
      </c>
      <c r="F1943" s="14">
        <v>10272.31</v>
      </c>
      <c r="G1943" s="14">
        <v>10272.31</v>
      </c>
      <c r="H1943" s="22">
        <f>F1943*(1+Assumptions!$B$6+IF(D1943="Yes",Assumptions!$C$6,0))</f>
        <v>10580.479299999999</v>
      </c>
      <c r="I1943" s="22">
        <f>F1943*(1+Assumptions!$B$7+IF(D1943="Yes",Assumptions!$C$7,0))</f>
        <v>10785.925499999999</v>
      </c>
      <c r="J1943" s="22">
        <f>F1943*(1+Assumptions!$B$8+IF(D1943="Yes",Assumptions!$C$8,0))</f>
        <v>10375.033099999999</v>
      </c>
    </row>
    <row r="1944" spans="1:10" ht="15">
      <c r="A1944" s="21">
        <v>41089</v>
      </c>
      <c r="B1944" s="21">
        <v>41061</v>
      </c>
      <c r="C1944" s="17">
        <v>60</v>
      </c>
      <c r="D1944" s="17" t="s">
        <v>91</v>
      </c>
      <c r="E1944" s="14">
        <v>13482</v>
      </c>
      <c r="F1944" s="14">
        <v>15074.4</v>
      </c>
      <c r="G1944" s="14">
        <v>15074.4</v>
      </c>
      <c r="H1944" s="22">
        <f>F1944*(1+Assumptions!$B$6+IF(D1944="Yes",Assumptions!$C$6,0))</f>
        <v>15526.632</v>
      </c>
      <c r="I1944" s="22">
        <f>F1944*(1+Assumptions!$B$7+IF(D1944="Yes",Assumptions!$C$7,0))</f>
        <v>15828.12</v>
      </c>
      <c r="J1944" s="22">
        <f>F1944*(1+Assumptions!$B$8+IF(D1944="Yes",Assumptions!$C$8,0))</f>
        <v>15225.144</v>
      </c>
    </row>
    <row r="1945" spans="1:10" ht="15">
      <c r="A1945" s="21">
        <v>41089</v>
      </c>
      <c r="B1945" s="21">
        <v>41061</v>
      </c>
      <c r="C1945" s="17">
        <v>65</v>
      </c>
      <c r="D1945" s="17" t="s">
        <v>91</v>
      </c>
      <c r="E1945" s="14">
        <v>38908.46</v>
      </c>
      <c r="F1945" s="14">
        <v>37027.160000000003</v>
      </c>
      <c r="G1945" s="14">
        <v>37027.160000000003</v>
      </c>
      <c r="H1945" s="22">
        <f>F1945*(1+Assumptions!$B$6+IF(D1945="Yes",Assumptions!$C$6,0))</f>
        <v>38137.974800000004</v>
      </c>
      <c r="I1945" s="22">
        <f>F1945*(1+Assumptions!$B$7+IF(D1945="Yes",Assumptions!$C$7,0))</f>
        <v>38878.518000000004</v>
      </c>
      <c r="J1945" s="22">
        <f>F1945*(1+Assumptions!$B$8+IF(D1945="Yes",Assumptions!$C$8,0))</f>
        <v>37397.431600000004</v>
      </c>
    </row>
    <row r="1946" spans="1:10" ht="15">
      <c r="A1946" s="21">
        <v>41089</v>
      </c>
      <c r="B1946" s="21">
        <v>41061</v>
      </c>
      <c r="C1946" s="17">
        <v>67</v>
      </c>
      <c r="D1946" s="17" t="s">
        <v>91</v>
      </c>
      <c r="E1946" s="14">
        <v>281276.76</v>
      </c>
      <c r="F1946" s="14">
        <v>274244.37</v>
      </c>
      <c r="G1946" s="14">
        <v>274244.37</v>
      </c>
      <c r="H1946" s="22">
        <f>F1946*(1+Assumptions!$B$6+IF(D1946="Yes",Assumptions!$C$6,0))</f>
        <v>282471.70110000001</v>
      </c>
      <c r="I1946" s="22">
        <f>F1946*(1+Assumptions!$B$7+IF(D1946="Yes",Assumptions!$C$7,0))</f>
        <v>287956.58850000001</v>
      </c>
      <c r="J1946" s="22">
        <f>F1946*(1+Assumptions!$B$8+IF(D1946="Yes",Assumptions!$C$8,0))</f>
        <v>276986.8137</v>
      </c>
    </row>
    <row r="1947" spans="1:10" ht="15">
      <c r="A1947" s="21">
        <v>41089</v>
      </c>
      <c r="B1947" s="21">
        <v>41061</v>
      </c>
      <c r="C1947" s="17">
        <v>71</v>
      </c>
      <c r="D1947" s="17" t="s">
        <v>91</v>
      </c>
      <c r="E1947" s="14">
        <v>189640.05</v>
      </c>
      <c r="F1947" s="14">
        <v>191644.26</v>
      </c>
      <c r="G1947" s="14">
        <v>191644.26</v>
      </c>
      <c r="H1947" s="22">
        <f>F1947*(1+Assumptions!$B$6+IF(D1947="Yes",Assumptions!$C$6,0))</f>
        <v>197393.58780000001</v>
      </c>
      <c r="I1947" s="22">
        <f>F1947*(1+Assumptions!$B$7+IF(D1947="Yes",Assumptions!$C$7,0))</f>
        <v>201226.47300000003</v>
      </c>
      <c r="J1947" s="22">
        <f>F1947*(1+Assumptions!$B$8+IF(D1947="Yes",Assumptions!$C$8,0))</f>
        <v>193560.70260000002</v>
      </c>
    </row>
    <row r="1948" spans="1:10" ht="15">
      <c r="A1948" s="21">
        <v>41089</v>
      </c>
      <c r="B1948" s="21">
        <v>41061</v>
      </c>
      <c r="C1948" s="17">
        <v>72</v>
      </c>
      <c r="D1948" s="17" t="s">
        <v>91</v>
      </c>
      <c r="E1948" s="14">
        <v>1582537.3800000001</v>
      </c>
      <c r="F1948" s="14">
        <v>1651031.26</v>
      </c>
      <c r="G1948" s="14">
        <v>1651031.26</v>
      </c>
      <c r="H1948" s="22">
        <f>F1948*(1+Assumptions!$B$6+IF(D1948="Yes",Assumptions!$C$6,0))</f>
        <v>1700562.1978</v>
      </c>
      <c r="I1948" s="22">
        <f>F1948*(1+Assumptions!$B$7+IF(D1948="Yes",Assumptions!$C$7,0))</f>
        <v>1733582.8230000001</v>
      </c>
      <c r="J1948" s="22">
        <f>F1948*(1+Assumptions!$B$8+IF(D1948="Yes",Assumptions!$C$8,0))</f>
        <v>1667541.5726000001</v>
      </c>
    </row>
    <row r="1949" spans="1:10" ht="15">
      <c r="A1949" s="21">
        <v>41089</v>
      </c>
      <c r="B1949" s="21">
        <v>41061</v>
      </c>
      <c r="C1949" s="17">
        <v>74</v>
      </c>
      <c r="D1949" s="17" t="s">
        <v>91</v>
      </c>
      <c r="E1949" s="14">
        <v>600477.18000000005</v>
      </c>
      <c r="F1949" s="14">
        <v>599097.93000000005</v>
      </c>
      <c r="G1949" s="14">
        <v>599097.93000000005</v>
      </c>
      <c r="H1949" s="22">
        <f>F1949*(1+Assumptions!$B$6+IF(D1949="Yes",Assumptions!$C$6,0))</f>
        <v>617070.86790000007</v>
      </c>
      <c r="I1949" s="22">
        <f>F1949*(1+Assumptions!$B$7+IF(D1949="Yes",Assumptions!$C$7,0))</f>
        <v>629052.82650000008</v>
      </c>
      <c r="J1949" s="22">
        <f>F1949*(1+Assumptions!$B$8+IF(D1949="Yes",Assumptions!$C$8,0))</f>
        <v>605088.90930000006</v>
      </c>
    </row>
    <row r="1950" spans="1:10" ht="15">
      <c r="A1950" s="21">
        <v>41089</v>
      </c>
      <c r="B1950" s="21">
        <v>41061</v>
      </c>
      <c r="C1950" s="17">
        <v>79</v>
      </c>
      <c r="D1950" s="17" t="s">
        <v>91</v>
      </c>
      <c r="E1950" s="14">
        <v>962034.39</v>
      </c>
      <c r="F1950" s="14">
        <v>1017995.22</v>
      </c>
      <c r="G1950" s="14">
        <v>1017995.22</v>
      </c>
      <c r="H1950" s="22">
        <f>F1950*(1+Assumptions!$B$6+IF(D1950="Yes",Assumptions!$C$6,0))</f>
        <v>1048535.0766</v>
      </c>
      <c r="I1950" s="22">
        <f>F1950*(1+Assumptions!$B$7+IF(D1950="Yes",Assumptions!$C$7,0))</f>
        <v>1068894.9809999999</v>
      </c>
      <c r="J1950" s="22">
        <f>F1950*(1+Assumptions!$B$8+IF(D1950="Yes",Assumptions!$C$8,0))</f>
        <v>1028175.1722</v>
      </c>
    </row>
    <row r="1951" spans="1:10" ht="15">
      <c r="A1951" s="21">
        <v>41089</v>
      </c>
      <c r="B1951" s="21">
        <v>41061</v>
      </c>
      <c r="C1951" s="17">
        <v>80</v>
      </c>
      <c r="D1951" s="17" t="s">
        <v>91</v>
      </c>
      <c r="E1951" s="14">
        <v>499098.76</v>
      </c>
      <c r="F1951" s="14">
        <v>531658</v>
      </c>
      <c r="G1951" s="14">
        <v>531658</v>
      </c>
      <c r="H1951" s="22">
        <f>F1951*(1+Assumptions!$B$6+IF(D1951="Yes",Assumptions!$C$6,0))</f>
        <v>547607.74</v>
      </c>
      <c r="I1951" s="22">
        <f>F1951*(1+Assumptions!$B$7+IF(D1951="Yes",Assumptions!$C$7,0))</f>
        <v>558240.9</v>
      </c>
      <c r="J1951" s="22">
        <f>F1951*(1+Assumptions!$B$8+IF(D1951="Yes",Assumptions!$C$8,0))</f>
        <v>536974.57999999996</v>
      </c>
    </row>
    <row r="1952" spans="1:10" ht="15">
      <c r="A1952" s="21">
        <v>41089</v>
      </c>
      <c r="B1952" s="21">
        <v>41061</v>
      </c>
      <c r="C1952" s="17">
        <v>81</v>
      </c>
      <c r="D1952" s="17" t="s">
        <v>91</v>
      </c>
      <c r="E1952" s="14">
        <v>701849.2</v>
      </c>
      <c r="F1952" s="14">
        <v>736298.67999999993</v>
      </c>
      <c r="G1952" s="14">
        <v>736298.67999999993</v>
      </c>
      <c r="H1952" s="22">
        <f>F1952*(1+Assumptions!$B$6+IF(D1952="Yes",Assumptions!$C$6,0))</f>
        <v>758387.64039999992</v>
      </c>
      <c r="I1952" s="22">
        <f>F1952*(1+Assumptions!$B$7+IF(D1952="Yes",Assumptions!$C$7,0))</f>
        <v>773113.61399999994</v>
      </c>
      <c r="J1952" s="22">
        <f>F1952*(1+Assumptions!$B$8+IF(D1952="Yes",Assumptions!$C$8,0))</f>
        <v>743661.66679999989</v>
      </c>
    </row>
    <row r="1953" spans="1:10" ht="15">
      <c r="A1953" s="21">
        <v>41089</v>
      </c>
      <c r="B1953" s="21">
        <v>41061</v>
      </c>
      <c r="C1953" s="17">
        <v>82</v>
      </c>
      <c r="D1953" s="17" t="s">
        <v>91</v>
      </c>
      <c r="E1953" s="14">
        <v>706547.69</v>
      </c>
      <c r="F1953" s="14">
        <v>711621.37</v>
      </c>
      <c r="G1953" s="14">
        <v>711621.37</v>
      </c>
      <c r="H1953" s="22">
        <f>F1953*(1+Assumptions!$B$6+IF(D1953="Yes",Assumptions!$C$6,0))</f>
        <v>732970.0111</v>
      </c>
      <c r="I1953" s="22">
        <f>F1953*(1+Assumptions!$B$7+IF(D1953="Yes",Assumptions!$C$7,0))</f>
        <v>747202.43850000005</v>
      </c>
      <c r="J1953" s="22">
        <f>F1953*(1+Assumptions!$B$8+IF(D1953="Yes",Assumptions!$C$8,0))</f>
        <v>718737.58369999996</v>
      </c>
    </row>
    <row r="1954" spans="1:10" ht="15">
      <c r="A1954" s="21">
        <v>41089</v>
      </c>
      <c r="B1954" s="21">
        <v>41061</v>
      </c>
      <c r="C1954" s="17">
        <v>83</v>
      </c>
      <c r="D1954" s="17" t="s">
        <v>91</v>
      </c>
      <c r="E1954" s="14">
        <v>119667.75</v>
      </c>
      <c r="F1954" s="14">
        <v>124921.18000000001</v>
      </c>
      <c r="G1954" s="14">
        <v>124921.18000000001</v>
      </c>
      <c r="H1954" s="22">
        <f>F1954*(1+Assumptions!$B$6+IF(D1954="Yes",Assumptions!$C$6,0))</f>
        <v>128668.81540000001</v>
      </c>
      <c r="I1954" s="22">
        <f>F1954*(1+Assumptions!$B$7+IF(D1954="Yes",Assumptions!$C$7,0))</f>
        <v>131167.239</v>
      </c>
      <c r="J1954" s="22">
        <f>F1954*(1+Assumptions!$B$8+IF(D1954="Yes",Assumptions!$C$8,0))</f>
        <v>126170.39180000001</v>
      </c>
    </row>
    <row r="1955" spans="1:10" ht="15">
      <c r="A1955" s="21">
        <v>41089</v>
      </c>
      <c r="B1955" s="21">
        <v>41061</v>
      </c>
      <c r="C1955" s="17">
        <v>85</v>
      </c>
      <c r="D1955" s="17" t="s">
        <v>91</v>
      </c>
      <c r="E1955" s="14">
        <v>87576.56</v>
      </c>
      <c r="F1955" s="14">
        <v>91197.45</v>
      </c>
      <c r="G1955" s="14">
        <v>91197.45</v>
      </c>
      <c r="H1955" s="22">
        <f>F1955*(1+Assumptions!$B$6+IF(D1955="Yes",Assumptions!$C$6,0))</f>
        <v>93933.373500000002</v>
      </c>
      <c r="I1955" s="22">
        <f>F1955*(1+Assumptions!$B$7+IF(D1955="Yes",Assumptions!$C$7,0))</f>
        <v>95757.322499999995</v>
      </c>
      <c r="J1955" s="22">
        <f>F1955*(1+Assumptions!$B$8+IF(D1955="Yes",Assumptions!$C$8,0))</f>
        <v>92109.424499999994</v>
      </c>
    </row>
    <row r="1956" spans="1:10" ht="15">
      <c r="A1956" s="21">
        <v>41089</v>
      </c>
      <c r="B1956" s="21">
        <v>41061</v>
      </c>
      <c r="C1956" s="17">
        <v>87</v>
      </c>
      <c r="D1956" s="17" t="s">
        <v>91</v>
      </c>
      <c r="E1956" s="14">
        <v>699801.78</v>
      </c>
      <c r="F1956" s="14">
        <v>635709.13</v>
      </c>
      <c r="G1956" s="14">
        <v>635709.13</v>
      </c>
      <c r="H1956" s="22">
        <f>F1956*(1+Assumptions!$B$6+IF(D1956="Yes",Assumptions!$C$6,0))</f>
        <v>654780.40390000003</v>
      </c>
      <c r="I1956" s="22">
        <f>F1956*(1+Assumptions!$B$7+IF(D1956="Yes",Assumptions!$C$7,0))</f>
        <v>667494.58649999998</v>
      </c>
      <c r="J1956" s="22">
        <f>F1956*(1+Assumptions!$B$8+IF(D1956="Yes",Assumptions!$C$8,0))</f>
        <v>642066.22129999998</v>
      </c>
    </row>
    <row r="1957" spans="1:10" ht="15">
      <c r="A1957" s="21">
        <v>41089</v>
      </c>
      <c r="B1957" s="21">
        <v>41061</v>
      </c>
      <c r="C1957" s="17">
        <v>90</v>
      </c>
      <c r="D1957" s="17" t="s">
        <v>91</v>
      </c>
      <c r="E1957" s="14">
        <v>1937763.79</v>
      </c>
      <c r="F1957" s="14">
        <v>2009145.72</v>
      </c>
      <c r="G1957" s="14">
        <v>2009145.72</v>
      </c>
      <c r="H1957" s="22">
        <f>F1957*(1+Assumptions!$B$6+IF(D1957="Yes",Assumptions!$C$6,0))</f>
        <v>2069420.0915999999</v>
      </c>
      <c r="I1957" s="22">
        <f>F1957*(1+Assumptions!$B$7+IF(D1957="Yes",Assumptions!$C$7,0))</f>
        <v>2109603.0060000001</v>
      </c>
      <c r="J1957" s="22">
        <f>F1957*(1+Assumptions!$B$8+IF(D1957="Yes",Assumptions!$C$8,0))</f>
        <v>2029237.1772</v>
      </c>
    </row>
    <row r="1958" spans="1:10" ht="15">
      <c r="A1958" s="21">
        <v>41089</v>
      </c>
      <c r="B1958" s="21">
        <v>41061</v>
      </c>
      <c r="C1958" s="17">
        <v>91</v>
      </c>
      <c r="D1958" s="17" t="s">
        <v>91</v>
      </c>
      <c r="E1958" s="14">
        <v>1424157.89</v>
      </c>
      <c r="F1958" s="14">
        <v>1457801.82</v>
      </c>
      <c r="G1958" s="14">
        <v>1457801.82</v>
      </c>
      <c r="H1958" s="22">
        <f>F1958*(1+Assumptions!$B$6+IF(D1958="Yes",Assumptions!$C$6,0))</f>
        <v>1501535.8746000002</v>
      </c>
      <c r="I1958" s="22">
        <f>F1958*(1+Assumptions!$B$7+IF(D1958="Yes",Assumptions!$C$7,0))</f>
        <v>1530691.9110000001</v>
      </c>
      <c r="J1958" s="22">
        <f>F1958*(1+Assumptions!$B$8+IF(D1958="Yes",Assumptions!$C$8,0))</f>
        <v>1472379.8382000001</v>
      </c>
    </row>
    <row r="1959" spans="1:10" ht="15">
      <c r="A1959" s="21">
        <v>41089</v>
      </c>
      <c r="B1959" s="21">
        <v>41061</v>
      </c>
      <c r="C1959" s="17">
        <v>92</v>
      </c>
      <c r="D1959" s="17" t="s">
        <v>91</v>
      </c>
      <c r="E1959" s="14">
        <v>3209825.96</v>
      </c>
      <c r="F1959" s="14">
        <v>3169679.34</v>
      </c>
      <c r="G1959" s="14">
        <v>3169679.34</v>
      </c>
      <c r="H1959" s="22">
        <f>F1959*(1+Assumptions!$B$6+IF(D1959="Yes",Assumptions!$C$6,0))</f>
        <v>3264769.7201999999</v>
      </c>
      <c r="I1959" s="22">
        <f>F1959*(1+Assumptions!$B$7+IF(D1959="Yes",Assumptions!$C$7,0))</f>
        <v>3328163.307</v>
      </c>
      <c r="J1959" s="22">
        <f>F1959*(1+Assumptions!$B$8+IF(D1959="Yes",Assumptions!$C$8,0))</f>
        <v>3201376.1333999997</v>
      </c>
    </row>
    <row r="1960" spans="1:10" ht="15">
      <c r="A1960" s="21">
        <v>41089</v>
      </c>
      <c r="B1960" s="21">
        <v>41061</v>
      </c>
      <c r="C1960" s="17">
        <v>93</v>
      </c>
      <c r="D1960" s="17" t="s">
        <v>91</v>
      </c>
      <c r="E1960" s="14">
        <v>1085022.48</v>
      </c>
      <c r="F1960" s="14">
        <v>1139584.32</v>
      </c>
      <c r="G1960" s="14">
        <v>1139584.32</v>
      </c>
      <c r="H1960" s="22">
        <f>F1960*(1+Assumptions!$B$6+IF(D1960="Yes",Assumptions!$C$6,0))</f>
        <v>1173771.8496000001</v>
      </c>
      <c r="I1960" s="22">
        <f>F1960*(1+Assumptions!$B$7+IF(D1960="Yes",Assumptions!$C$7,0))</f>
        <v>1196563.5360000001</v>
      </c>
      <c r="J1960" s="22">
        <f>F1960*(1+Assumptions!$B$8+IF(D1960="Yes",Assumptions!$C$8,0))</f>
        <v>1150980.1632000001</v>
      </c>
    </row>
    <row r="1961" spans="1:10" ht="15">
      <c r="A1961" s="21">
        <v>41089</v>
      </c>
      <c r="B1961" s="21">
        <v>41061</v>
      </c>
      <c r="C1961" s="17">
        <v>94</v>
      </c>
      <c r="D1961" s="17" t="s">
        <v>91</v>
      </c>
      <c r="E1961" s="14">
        <v>1410406.3</v>
      </c>
      <c r="F1961" s="14">
        <v>1421214.94</v>
      </c>
      <c r="G1961" s="14">
        <v>1421214.94</v>
      </c>
      <c r="H1961" s="22">
        <f>F1961*(1+Assumptions!$B$6+IF(D1961="Yes",Assumptions!$C$6,0))</f>
        <v>1463851.3881999999</v>
      </c>
      <c r="I1961" s="22">
        <f>F1961*(1+Assumptions!$B$7+IF(D1961="Yes",Assumptions!$C$7,0))</f>
        <v>1492275.6869999999</v>
      </c>
      <c r="J1961" s="22">
        <f>F1961*(1+Assumptions!$B$8+IF(D1961="Yes",Assumptions!$C$8,0))</f>
        <v>1435427.0893999999</v>
      </c>
    </row>
    <row r="1962" spans="1:10" ht="15">
      <c r="A1962" s="21">
        <v>41089</v>
      </c>
      <c r="B1962" s="21">
        <v>41061</v>
      </c>
      <c r="C1962" s="17">
        <v>95</v>
      </c>
      <c r="D1962" s="17" t="s">
        <v>91</v>
      </c>
      <c r="E1962" s="14">
        <v>3430442.53</v>
      </c>
      <c r="F1962" s="14">
        <v>3490542.57</v>
      </c>
      <c r="G1962" s="14">
        <v>3490542.57</v>
      </c>
      <c r="H1962" s="22">
        <f>F1962*(1+Assumptions!$B$6+IF(D1962="Yes",Assumptions!$C$6,0))</f>
        <v>3595258.8470999999</v>
      </c>
      <c r="I1962" s="22">
        <f>F1962*(1+Assumptions!$B$7+IF(D1962="Yes",Assumptions!$C$7,0))</f>
        <v>3665069.6984999999</v>
      </c>
      <c r="J1962" s="22">
        <f>F1962*(1+Assumptions!$B$8+IF(D1962="Yes",Assumptions!$C$8,0))</f>
        <v>3525447.9956999999</v>
      </c>
    </row>
    <row r="1963" spans="1:10" ht="15">
      <c r="A1963" s="21">
        <v>41089</v>
      </c>
      <c r="B1963" s="21">
        <v>41061</v>
      </c>
      <c r="C1963" s="17">
        <v>96</v>
      </c>
      <c r="D1963" s="17" t="s">
        <v>91</v>
      </c>
      <c r="E1963" s="14">
        <v>627929.05000000005</v>
      </c>
      <c r="F1963" s="14">
        <v>642424.51</v>
      </c>
      <c r="G1963" s="14">
        <v>642424.51</v>
      </c>
      <c r="H1963" s="22">
        <f>F1963*(1+Assumptions!$B$6+IF(D1963="Yes",Assumptions!$C$6,0))</f>
        <v>661697.24530000007</v>
      </c>
      <c r="I1963" s="22">
        <f>F1963*(1+Assumptions!$B$7+IF(D1963="Yes",Assumptions!$C$7,0))</f>
        <v>674545.73550000007</v>
      </c>
      <c r="J1963" s="22">
        <f>F1963*(1+Assumptions!$B$8+IF(D1963="Yes",Assumptions!$C$8,0))</f>
        <v>648848.75510000007</v>
      </c>
    </row>
    <row r="1964" spans="1:10" ht="15">
      <c r="A1964" s="21">
        <v>41089</v>
      </c>
      <c r="B1964" s="21">
        <v>41061</v>
      </c>
      <c r="C1964" s="17">
        <v>97</v>
      </c>
      <c r="D1964" s="17" t="s">
        <v>91</v>
      </c>
      <c r="E1964" s="14">
        <v>616911.39</v>
      </c>
      <c r="F1964" s="14">
        <v>689775.4</v>
      </c>
      <c r="G1964" s="14">
        <v>689775.4</v>
      </c>
      <c r="H1964" s="22">
        <f>F1964*(1+Assumptions!$B$6+IF(D1964="Yes",Assumptions!$C$6,0))</f>
        <v>710468.66200000001</v>
      </c>
      <c r="I1964" s="22">
        <f>F1964*(1+Assumptions!$B$7+IF(D1964="Yes",Assumptions!$C$7,0))</f>
        <v>724264.17</v>
      </c>
      <c r="J1964" s="22">
        <f>F1964*(1+Assumptions!$B$8+IF(D1964="Yes",Assumptions!$C$8,0))</f>
        <v>696673.15399999998</v>
      </c>
    </row>
    <row r="1965" spans="1:10" ht="15">
      <c r="A1965" s="21">
        <v>41089</v>
      </c>
      <c r="B1965" s="21">
        <v>41061</v>
      </c>
      <c r="C1965" s="17">
        <v>98</v>
      </c>
      <c r="D1965" s="17" t="s">
        <v>91</v>
      </c>
      <c r="E1965" s="14">
        <v>243778.07</v>
      </c>
      <c r="F1965" s="14">
        <v>266079.78000000003</v>
      </c>
      <c r="G1965" s="14">
        <v>266079.78000000003</v>
      </c>
      <c r="H1965" s="22">
        <f>F1965*(1+Assumptions!$B$6+IF(D1965="Yes",Assumptions!$C$6,0))</f>
        <v>274062.17340000003</v>
      </c>
      <c r="I1965" s="22">
        <f>F1965*(1+Assumptions!$B$7+IF(D1965="Yes",Assumptions!$C$7,0))</f>
        <v>279383.76900000003</v>
      </c>
      <c r="J1965" s="22">
        <f>F1965*(1+Assumptions!$B$8+IF(D1965="Yes",Assumptions!$C$8,0))</f>
        <v>268740.57780000003</v>
      </c>
    </row>
    <row r="1966" spans="1:10" ht="15">
      <c r="A1966" s="21">
        <v>41096</v>
      </c>
      <c r="B1966" s="21">
        <v>41091</v>
      </c>
      <c r="C1966" s="17">
        <v>1</v>
      </c>
      <c r="D1966" s="17" t="s">
        <v>91</v>
      </c>
      <c r="E1966" s="14">
        <v>681918.86</v>
      </c>
      <c r="F1966" s="14">
        <v>635646.30000000005</v>
      </c>
      <c r="G1966" s="14">
        <v>635646.30000000005</v>
      </c>
      <c r="H1966" s="22">
        <f>F1966*(1+Assumptions!$B$6+IF(D1966="Yes",Assumptions!$C$6,0))</f>
        <v>654715.68900000001</v>
      </c>
      <c r="I1966" s="22">
        <f>F1966*(1+Assumptions!$B$7+IF(D1966="Yes",Assumptions!$C$7,0))</f>
        <v>667428.61500000011</v>
      </c>
      <c r="J1966" s="22">
        <f>F1966*(1+Assumptions!$B$8+IF(D1966="Yes",Assumptions!$C$8,0))</f>
        <v>642002.76300000004</v>
      </c>
    </row>
    <row r="1967" spans="1:10" ht="15">
      <c r="A1967" s="21">
        <v>41096</v>
      </c>
      <c r="B1967" s="21">
        <v>41091</v>
      </c>
      <c r="C1967" s="17">
        <v>2</v>
      </c>
      <c r="D1967" s="17" t="s">
        <v>91</v>
      </c>
      <c r="E1967" s="14">
        <v>2116216.63</v>
      </c>
      <c r="F1967" s="14">
        <v>2011695.44</v>
      </c>
      <c r="G1967" s="14">
        <v>2011695.44</v>
      </c>
      <c r="H1967" s="22">
        <f>F1967*(1+Assumptions!$B$6+IF(D1967="Yes",Assumptions!$C$6,0))</f>
        <v>2072046.3032</v>
      </c>
      <c r="I1967" s="22">
        <f>F1967*(1+Assumptions!$B$7+IF(D1967="Yes",Assumptions!$C$7,0))</f>
        <v>2112280.2119999998</v>
      </c>
      <c r="J1967" s="22">
        <f>F1967*(1+Assumptions!$B$8+IF(D1967="Yes",Assumptions!$C$8,0))</f>
        <v>2031812.3943999999</v>
      </c>
    </row>
    <row r="1968" spans="1:10" ht="15">
      <c r="A1968" s="21">
        <v>41096</v>
      </c>
      <c r="B1968" s="21">
        <v>41091</v>
      </c>
      <c r="C1968" s="17">
        <v>3</v>
      </c>
      <c r="D1968" s="17" t="s">
        <v>91</v>
      </c>
      <c r="E1968" s="14">
        <v>358718.12</v>
      </c>
      <c r="F1968" s="14">
        <v>362846.25</v>
      </c>
      <c r="G1968" s="14">
        <v>362846.25</v>
      </c>
      <c r="H1968" s="22">
        <f>F1968*(1+Assumptions!$B$6+IF(D1968="Yes",Assumptions!$C$6,0))</f>
        <v>373731.63750000001</v>
      </c>
      <c r="I1968" s="22">
        <f>F1968*(1+Assumptions!$B$7+IF(D1968="Yes",Assumptions!$C$7,0))</f>
        <v>380988.5625</v>
      </c>
      <c r="J1968" s="22">
        <f>F1968*(1+Assumptions!$B$8+IF(D1968="Yes",Assumptions!$C$8,0))</f>
        <v>366474.71250000002</v>
      </c>
    </row>
    <row r="1969" spans="1:10" ht="15">
      <c r="A1969" s="21">
        <v>41096</v>
      </c>
      <c r="B1969" s="21">
        <v>41091</v>
      </c>
      <c r="C1969" s="17">
        <v>4</v>
      </c>
      <c r="D1969" s="17" t="s">
        <v>91</v>
      </c>
      <c r="E1969" s="14">
        <v>1347422.82</v>
      </c>
      <c r="F1969" s="14">
        <v>1237659.46</v>
      </c>
      <c r="G1969" s="14">
        <v>1237659.46</v>
      </c>
      <c r="H1969" s="22">
        <f>F1969*(1+Assumptions!$B$6+IF(D1969="Yes",Assumptions!$C$6,0))</f>
        <v>1274789.2438000001</v>
      </c>
      <c r="I1969" s="22">
        <f>F1969*(1+Assumptions!$B$7+IF(D1969="Yes",Assumptions!$C$7,0))</f>
        <v>1299542.433</v>
      </c>
      <c r="J1969" s="22">
        <f>F1969*(1+Assumptions!$B$8+IF(D1969="Yes",Assumptions!$C$8,0))</f>
        <v>1250036.0545999999</v>
      </c>
    </row>
    <row r="1970" spans="1:10" ht="15">
      <c r="A1970" s="21">
        <v>41096</v>
      </c>
      <c r="B1970" s="21">
        <v>41091</v>
      </c>
      <c r="C1970" s="17">
        <v>5</v>
      </c>
      <c r="D1970" s="17" t="s">
        <v>91</v>
      </c>
      <c r="E1970" s="14">
        <v>663501.84</v>
      </c>
      <c r="F1970" s="14">
        <v>659203.80000000005</v>
      </c>
      <c r="G1970" s="14">
        <v>659203.80000000005</v>
      </c>
      <c r="H1970" s="22">
        <f>F1970*(1+Assumptions!$B$6+IF(D1970="Yes",Assumptions!$C$6,0))</f>
        <v>678979.91400000011</v>
      </c>
      <c r="I1970" s="22">
        <f>F1970*(1+Assumptions!$B$7+IF(D1970="Yes",Assumptions!$C$7,0))</f>
        <v>692163.99000000011</v>
      </c>
      <c r="J1970" s="22">
        <f>F1970*(1+Assumptions!$B$8+IF(D1970="Yes",Assumptions!$C$8,0))</f>
        <v>665795.83800000011</v>
      </c>
    </row>
    <row r="1971" spans="1:10" ht="15">
      <c r="A1971" s="21">
        <v>41096</v>
      </c>
      <c r="B1971" s="21">
        <v>41091</v>
      </c>
      <c r="C1971" s="17">
        <v>6</v>
      </c>
      <c r="D1971" s="17" t="s">
        <v>91</v>
      </c>
      <c r="E1971" s="14">
        <v>172052.81</v>
      </c>
      <c r="F1971" s="14">
        <v>193883.79</v>
      </c>
      <c r="G1971" s="14">
        <v>193883.79</v>
      </c>
      <c r="H1971" s="22">
        <f>F1971*(1+Assumptions!$B$6+IF(D1971="Yes",Assumptions!$C$6,0))</f>
        <v>199700.30370000002</v>
      </c>
      <c r="I1971" s="22">
        <f>F1971*(1+Assumptions!$B$7+IF(D1971="Yes",Assumptions!$C$7,0))</f>
        <v>203577.97950000002</v>
      </c>
      <c r="J1971" s="22">
        <f>F1971*(1+Assumptions!$B$8+IF(D1971="Yes",Assumptions!$C$8,0))</f>
        <v>195822.62790000002</v>
      </c>
    </row>
    <row r="1972" spans="1:10" ht="15">
      <c r="A1972" s="21">
        <v>41096</v>
      </c>
      <c r="B1972" s="21">
        <v>41091</v>
      </c>
      <c r="C1972" s="17">
        <v>7</v>
      </c>
      <c r="D1972" s="17" t="s">
        <v>91</v>
      </c>
      <c r="E1972" s="14">
        <v>1271680.51</v>
      </c>
      <c r="F1972" s="14">
        <v>1222127.4099999999</v>
      </c>
      <c r="G1972" s="14">
        <v>1222127.4099999999</v>
      </c>
      <c r="H1972" s="22">
        <f>F1972*(1+Assumptions!$B$6+IF(D1972="Yes",Assumptions!$C$6,0))</f>
        <v>1258791.2323</v>
      </c>
      <c r="I1972" s="22">
        <f>F1972*(1+Assumptions!$B$7+IF(D1972="Yes",Assumptions!$C$7,0))</f>
        <v>1283233.7804999999</v>
      </c>
      <c r="J1972" s="22">
        <f>F1972*(1+Assumptions!$B$8+IF(D1972="Yes",Assumptions!$C$8,0))</f>
        <v>1234348.6841</v>
      </c>
    </row>
    <row r="1973" spans="1:10" ht="15">
      <c r="A1973" s="21">
        <v>41096</v>
      </c>
      <c r="B1973" s="21">
        <v>41091</v>
      </c>
      <c r="C1973" s="17">
        <v>8</v>
      </c>
      <c r="D1973" s="17" t="s">
        <v>91</v>
      </c>
      <c r="E1973" s="14">
        <v>1417069.71</v>
      </c>
      <c r="F1973" s="14">
        <v>1323570.02</v>
      </c>
      <c r="G1973" s="14">
        <v>1323570.02</v>
      </c>
      <c r="H1973" s="22">
        <f>F1973*(1+Assumptions!$B$6+IF(D1973="Yes",Assumptions!$C$6,0))</f>
        <v>1363277.1206</v>
      </c>
      <c r="I1973" s="22">
        <f>F1973*(1+Assumptions!$B$7+IF(D1973="Yes",Assumptions!$C$7,0))</f>
        <v>1389748.5210000002</v>
      </c>
      <c r="J1973" s="22">
        <f>F1973*(1+Assumptions!$B$8+IF(D1973="Yes",Assumptions!$C$8,0))</f>
        <v>1336805.7202000001</v>
      </c>
    </row>
    <row r="1974" spans="1:10" ht="15">
      <c r="A1974" s="21">
        <v>41096</v>
      </c>
      <c r="B1974" s="21">
        <v>41091</v>
      </c>
      <c r="C1974" s="17">
        <v>9</v>
      </c>
      <c r="D1974" s="17" t="s">
        <v>91</v>
      </c>
      <c r="E1974" s="14">
        <v>1400764.2</v>
      </c>
      <c r="F1974" s="14">
        <v>1344524.94</v>
      </c>
      <c r="G1974" s="14">
        <v>1344524.94</v>
      </c>
      <c r="H1974" s="22">
        <f>F1974*(1+Assumptions!$B$6+IF(D1974="Yes",Assumptions!$C$6,0))</f>
        <v>1384860.6882</v>
      </c>
      <c r="I1974" s="22">
        <f>F1974*(1+Assumptions!$B$7+IF(D1974="Yes",Assumptions!$C$7,0))</f>
        <v>1411751.1869999999</v>
      </c>
      <c r="J1974" s="22">
        <f>F1974*(1+Assumptions!$B$8+IF(D1974="Yes",Assumptions!$C$8,0))</f>
        <v>1357970.1894</v>
      </c>
    </row>
    <row r="1975" spans="1:10" ht="15">
      <c r="A1975" s="21">
        <v>41096</v>
      </c>
      <c r="B1975" s="21">
        <v>41091</v>
      </c>
      <c r="C1975" s="17">
        <v>10</v>
      </c>
      <c r="D1975" s="17" t="s">
        <v>91</v>
      </c>
      <c r="E1975" s="14">
        <v>995884.02</v>
      </c>
      <c r="F1975" s="14">
        <v>912577.15</v>
      </c>
      <c r="G1975" s="14">
        <v>912577.15</v>
      </c>
      <c r="H1975" s="22">
        <f>F1975*(1+Assumptions!$B$6+IF(D1975="Yes",Assumptions!$C$6,0))</f>
        <v>939954.4645</v>
      </c>
      <c r="I1975" s="22">
        <f>F1975*(1+Assumptions!$B$7+IF(D1975="Yes",Assumptions!$C$7,0))</f>
        <v>958206.00750000007</v>
      </c>
      <c r="J1975" s="22">
        <f>F1975*(1+Assumptions!$B$8+IF(D1975="Yes",Assumptions!$C$8,0))</f>
        <v>921702.92150000005</v>
      </c>
    </row>
    <row r="1976" spans="1:10" ht="15">
      <c r="A1976" s="21">
        <v>41096</v>
      </c>
      <c r="B1976" s="21">
        <v>41091</v>
      </c>
      <c r="C1976" s="17">
        <v>11</v>
      </c>
      <c r="D1976" s="17" t="s">
        <v>91</v>
      </c>
      <c r="E1976" s="14">
        <v>1070480.68</v>
      </c>
      <c r="F1976" s="14">
        <v>855614.43</v>
      </c>
      <c r="G1976" s="14">
        <v>855614.43</v>
      </c>
      <c r="H1976" s="22">
        <f>F1976*(1+Assumptions!$B$6+IF(D1976="Yes",Assumptions!$C$6,0))</f>
        <v>881282.86290000007</v>
      </c>
      <c r="I1976" s="22">
        <f>F1976*(1+Assumptions!$B$7+IF(D1976="Yes",Assumptions!$C$7,0))</f>
        <v>898395.15150000004</v>
      </c>
      <c r="J1976" s="22">
        <f>F1976*(1+Assumptions!$B$8+IF(D1976="Yes",Assumptions!$C$8,0))</f>
        <v>864170.57430000009</v>
      </c>
    </row>
    <row r="1977" spans="1:10" ht="15">
      <c r="A1977" s="21">
        <v>41096</v>
      </c>
      <c r="B1977" s="21">
        <v>41091</v>
      </c>
      <c r="C1977" s="17">
        <v>12</v>
      </c>
      <c r="D1977" s="17" t="s">
        <v>91</v>
      </c>
      <c r="E1977" s="14">
        <v>224329.58000000002</v>
      </c>
      <c r="F1977" s="14">
        <v>219698.76</v>
      </c>
      <c r="G1977" s="14">
        <v>219698.76</v>
      </c>
      <c r="H1977" s="22">
        <f>F1977*(1+Assumptions!$B$6+IF(D1977="Yes",Assumptions!$C$6,0))</f>
        <v>226289.72280000002</v>
      </c>
      <c r="I1977" s="22">
        <f>F1977*(1+Assumptions!$B$7+IF(D1977="Yes",Assumptions!$C$7,0))</f>
        <v>230683.69800000003</v>
      </c>
      <c r="J1977" s="22">
        <f>F1977*(1+Assumptions!$B$8+IF(D1977="Yes",Assumptions!$C$8,0))</f>
        <v>221895.7476</v>
      </c>
    </row>
    <row r="1978" spans="1:10" ht="15">
      <c r="A1978" s="21">
        <v>41096</v>
      </c>
      <c r="B1978" s="21">
        <v>41091</v>
      </c>
      <c r="C1978" s="17">
        <v>13</v>
      </c>
      <c r="D1978" s="17" t="s">
        <v>91</v>
      </c>
      <c r="E1978" s="14">
        <v>1453193.2</v>
      </c>
      <c r="F1978" s="14">
        <v>1370737.99</v>
      </c>
      <c r="G1978" s="14">
        <v>1370737.99</v>
      </c>
      <c r="H1978" s="22">
        <f>F1978*(1+Assumptions!$B$6+IF(D1978="Yes",Assumptions!$C$6,0))</f>
        <v>1411860.1296999999</v>
      </c>
      <c r="I1978" s="22">
        <f>F1978*(1+Assumptions!$B$7+IF(D1978="Yes",Assumptions!$C$7,0))</f>
        <v>1439274.8895</v>
      </c>
      <c r="J1978" s="22">
        <f>F1978*(1+Assumptions!$B$8+IF(D1978="Yes",Assumptions!$C$8,0))</f>
        <v>1384445.3699</v>
      </c>
    </row>
    <row r="1979" spans="1:10" ht="15">
      <c r="A1979" s="21">
        <v>41096</v>
      </c>
      <c r="B1979" s="21">
        <v>41091</v>
      </c>
      <c r="C1979" s="17">
        <v>14</v>
      </c>
      <c r="D1979" s="17" t="s">
        <v>91</v>
      </c>
      <c r="E1979" s="14">
        <v>672624.61</v>
      </c>
      <c r="F1979" s="14">
        <v>590211.34</v>
      </c>
      <c r="G1979" s="14">
        <v>590211.34</v>
      </c>
      <c r="H1979" s="22">
        <f>F1979*(1+Assumptions!$B$6+IF(D1979="Yes",Assumptions!$C$6,0))</f>
        <v>607917.68019999994</v>
      </c>
      <c r="I1979" s="22">
        <f>F1979*(1+Assumptions!$B$7+IF(D1979="Yes",Assumptions!$C$7,0))</f>
        <v>619721.90700000001</v>
      </c>
      <c r="J1979" s="22">
        <f>F1979*(1+Assumptions!$B$8+IF(D1979="Yes",Assumptions!$C$8,0))</f>
        <v>596113.4534</v>
      </c>
    </row>
    <row r="1980" spans="1:10" ht="15">
      <c r="A1980" s="21">
        <v>41096</v>
      </c>
      <c r="B1980" s="21">
        <v>41091</v>
      </c>
      <c r="C1980" s="17">
        <v>16</v>
      </c>
      <c r="D1980" s="17" t="s">
        <v>91</v>
      </c>
      <c r="E1980" s="14">
        <v>1314876.72</v>
      </c>
      <c r="F1980" s="14">
        <v>1269820.71</v>
      </c>
      <c r="G1980" s="14">
        <v>1269820.71</v>
      </c>
      <c r="H1980" s="22">
        <f>F1980*(1+Assumptions!$B$6+IF(D1980="Yes",Assumptions!$C$6,0))</f>
        <v>1307915.3313</v>
      </c>
      <c r="I1980" s="22">
        <f>F1980*(1+Assumptions!$B$7+IF(D1980="Yes",Assumptions!$C$7,0))</f>
        <v>1333311.7455</v>
      </c>
      <c r="J1980" s="22">
        <f>F1980*(1+Assumptions!$B$8+IF(D1980="Yes",Assumptions!$C$8,0))</f>
        <v>1282518.9171</v>
      </c>
    </row>
    <row r="1981" spans="1:10" ht="15">
      <c r="A1981" s="21">
        <v>41096</v>
      </c>
      <c r="B1981" s="21">
        <v>41091</v>
      </c>
      <c r="C1981" s="17">
        <v>17</v>
      </c>
      <c r="D1981" s="17" t="s">
        <v>91</v>
      </c>
      <c r="E1981" s="14">
        <v>402147.17</v>
      </c>
      <c r="F1981" s="14">
        <v>396034.11</v>
      </c>
      <c r="G1981" s="14">
        <v>396034.11</v>
      </c>
      <c r="H1981" s="22">
        <f>F1981*(1+Assumptions!$B$6+IF(D1981="Yes",Assumptions!$C$6,0))</f>
        <v>407915.13329999999</v>
      </c>
      <c r="I1981" s="22">
        <f>F1981*(1+Assumptions!$B$7+IF(D1981="Yes",Assumptions!$C$7,0))</f>
        <v>415835.81550000003</v>
      </c>
      <c r="J1981" s="22">
        <f>F1981*(1+Assumptions!$B$8+IF(D1981="Yes",Assumptions!$C$8,0))</f>
        <v>399994.45110000001</v>
      </c>
    </row>
    <row r="1982" spans="1:10" ht="15">
      <c r="A1982" s="21">
        <v>41096</v>
      </c>
      <c r="B1982" s="21">
        <v>41091</v>
      </c>
      <c r="C1982" s="17">
        <v>18</v>
      </c>
      <c r="D1982" s="17" t="s">
        <v>91</v>
      </c>
      <c r="E1982" s="14">
        <v>3.48</v>
      </c>
      <c r="F1982" s="14">
        <v>1.5</v>
      </c>
      <c r="G1982" s="14">
        <v>1.5</v>
      </c>
      <c r="H1982" s="22">
        <f>F1982*(1+Assumptions!$B$6+IF(D1982="Yes",Assumptions!$C$6,0))</f>
        <v>1.5449999999999999</v>
      </c>
      <c r="I1982" s="22">
        <f>F1982*(1+Assumptions!$B$7+IF(D1982="Yes",Assumptions!$C$7,0))</f>
        <v>1.5750000000000002</v>
      </c>
      <c r="J1982" s="22">
        <f>F1982*(1+Assumptions!$B$8+IF(D1982="Yes",Assumptions!$C$8,0))</f>
        <v>1.5150000000000001</v>
      </c>
    </row>
    <row r="1983" spans="1:10" ht="15">
      <c r="A1983" s="21">
        <v>41096</v>
      </c>
      <c r="B1983" s="21">
        <v>41091</v>
      </c>
      <c r="C1983" s="17">
        <v>19</v>
      </c>
      <c r="D1983" s="17" t="s">
        <v>91</v>
      </c>
      <c r="E1983" s="14">
        <v>38814.47</v>
      </c>
      <c r="F1983" s="14">
        <v>36672.800000000003</v>
      </c>
      <c r="G1983" s="14">
        <v>36672.800000000003</v>
      </c>
      <c r="H1983" s="22">
        <f>F1983*(1+Assumptions!$B$6+IF(D1983="Yes",Assumptions!$C$6,0))</f>
        <v>37772.984000000004</v>
      </c>
      <c r="I1983" s="22">
        <f>F1983*(1+Assumptions!$B$7+IF(D1983="Yes",Assumptions!$C$7,0))</f>
        <v>38506.44</v>
      </c>
      <c r="J1983" s="22">
        <f>F1983*(1+Assumptions!$B$8+IF(D1983="Yes",Assumptions!$C$8,0))</f>
        <v>37039.528000000006</v>
      </c>
    </row>
    <row r="1984" spans="1:10" ht="15">
      <c r="A1984" s="21">
        <v>41096</v>
      </c>
      <c r="B1984" s="21">
        <v>41091</v>
      </c>
      <c r="C1984" s="17">
        <v>20</v>
      </c>
      <c r="D1984" s="17" t="s">
        <v>91</v>
      </c>
      <c r="E1984" s="14">
        <v>303025.25</v>
      </c>
      <c r="F1984" s="14">
        <v>274050.40000000002</v>
      </c>
      <c r="G1984" s="14">
        <v>274050.40000000002</v>
      </c>
      <c r="H1984" s="22">
        <f>F1984*(1+Assumptions!$B$6+IF(D1984="Yes",Assumptions!$C$6,0))</f>
        <v>282271.91200000001</v>
      </c>
      <c r="I1984" s="22">
        <f>F1984*(1+Assumptions!$B$7+IF(D1984="Yes",Assumptions!$C$7,0))</f>
        <v>287752.92000000004</v>
      </c>
      <c r="J1984" s="22">
        <f>F1984*(1+Assumptions!$B$8+IF(D1984="Yes",Assumptions!$C$8,0))</f>
        <v>276790.90400000004</v>
      </c>
    </row>
    <row r="1985" spans="1:10" ht="15">
      <c r="A1985" s="21">
        <v>41096</v>
      </c>
      <c r="B1985" s="21">
        <v>41091</v>
      </c>
      <c r="C1985" s="17">
        <v>21</v>
      </c>
      <c r="D1985" s="17" t="s">
        <v>91</v>
      </c>
      <c r="E1985" s="14">
        <v>219095.52</v>
      </c>
      <c r="F1985" s="14">
        <v>212321.08000000002</v>
      </c>
      <c r="G1985" s="14">
        <v>212321.08000000002</v>
      </c>
      <c r="H1985" s="22">
        <f>F1985*(1+Assumptions!$B$6+IF(D1985="Yes",Assumptions!$C$6,0))</f>
        <v>218690.71240000002</v>
      </c>
      <c r="I1985" s="22">
        <f>F1985*(1+Assumptions!$B$7+IF(D1985="Yes",Assumptions!$C$7,0))</f>
        <v>222937.13400000002</v>
      </c>
      <c r="J1985" s="22">
        <f>F1985*(1+Assumptions!$B$8+IF(D1985="Yes",Assumptions!$C$8,0))</f>
        <v>214444.29080000002</v>
      </c>
    </row>
    <row r="1986" spans="1:10" ht="15">
      <c r="A1986" s="21">
        <v>41096</v>
      </c>
      <c r="B1986" s="21">
        <v>41091</v>
      </c>
      <c r="C1986" s="17">
        <v>22</v>
      </c>
      <c r="D1986" s="17" t="s">
        <v>91</v>
      </c>
      <c r="E1986" s="14">
        <v>420195.24</v>
      </c>
      <c r="F1986" s="14">
        <v>370633.02</v>
      </c>
      <c r="G1986" s="14">
        <v>370633.02</v>
      </c>
      <c r="H1986" s="22">
        <f>F1986*(1+Assumptions!$B$6+IF(D1986="Yes",Assumptions!$C$6,0))</f>
        <v>381752.01060000004</v>
      </c>
      <c r="I1986" s="22">
        <f>F1986*(1+Assumptions!$B$7+IF(D1986="Yes",Assumptions!$C$7,0))</f>
        <v>389164.67100000003</v>
      </c>
      <c r="J1986" s="22">
        <f>F1986*(1+Assumptions!$B$8+IF(D1986="Yes",Assumptions!$C$8,0))</f>
        <v>374339.35020000004</v>
      </c>
    </row>
    <row r="1987" spans="1:10" ht="15">
      <c r="A1987" s="21">
        <v>41096</v>
      </c>
      <c r="B1987" s="21">
        <v>41091</v>
      </c>
      <c r="C1987" s="17">
        <v>23</v>
      </c>
      <c r="D1987" s="17" t="s">
        <v>91</v>
      </c>
      <c r="E1987" s="14">
        <v>1105376.22</v>
      </c>
      <c r="F1987" s="14">
        <v>988598.21000000008</v>
      </c>
      <c r="G1987" s="14">
        <v>988598.21000000008</v>
      </c>
      <c r="H1987" s="22">
        <f>F1987*(1+Assumptions!$B$6+IF(D1987="Yes",Assumptions!$C$6,0))</f>
        <v>1018256.1563000001</v>
      </c>
      <c r="I1987" s="22">
        <f>F1987*(1+Assumptions!$B$7+IF(D1987="Yes",Assumptions!$C$7,0))</f>
        <v>1038028.1205000001</v>
      </c>
      <c r="J1987" s="22">
        <f>F1987*(1+Assumptions!$B$8+IF(D1987="Yes",Assumptions!$C$8,0))</f>
        <v>998484.1921000001</v>
      </c>
    </row>
    <row r="1988" spans="1:10" ht="15">
      <c r="A1988" s="21">
        <v>41096</v>
      </c>
      <c r="B1988" s="21">
        <v>41091</v>
      </c>
      <c r="C1988" s="17">
        <v>24</v>
      </c>
      <c r="D1988" s="17" t="s">
        <v>91</v>
      </c>
      <c r="E1988" s="14">
        <v>215358.07999999999</v>
      </c>
      <c r="F1988" s="14">
        <v>192286.24</v>
      </c>
      <c r="G1988" s="14">
        <v>192286.24</v>
      </c>
      <c r="H1988" s="22">
        <f>F1988*(1+Assumptions!$B$6+IF(D1988="Yes",Assumptions!$C$6,0))</f>
        <v>198054.8272</v>
      </c>
      <c r="I1988" s="22">
        <f>F1988*(1+Assumptions!$B$7+IF(D1988="Yes",Assumptions!$C$7,0))</f>
        <v>201900.552</v>
      </c>
      <c r="J1988" s="22">
        <f>F1988*(1+Assumptions!$B$8+IF(D1988="Yes",Assumptions!$C$8,0))</f>
        <v>194209.1024</v>
      </c>
    </row>
    <row r="1989" spans="1:10" ht="15">
      <c r="A1989" s="21">
        <v>41096</v>
      </c>
      <c r="B1989" s="21">
        <v>41091</v>
      </c>
      <c r="C1989" s="17">
        <v>25</v>
      </c>
      <c r="D1989" s="17" t="s">
        <v>91</v>
      </c>
      <c r="E1989" s="14">
        <v>415064.57</v>
      </c>
      <c r="F1989" s="14">
        <v>410834.3</v>
      </c>
      <c r="G1989" s="14">
        <v>410834.3</v>
      </c>
      <c r="H1989" s="22">
        <f>F1989*(1+Assumptions!$B$6+IF(D1989="Yes",Assumptions!$C$6,0))</f>
        <v>423159.32900000003</v>
      </c>
      <c r="I1989" s="22">
        <f>F1989*(1+Assumptions!$B$7+IF(D1989="Yes",Assumptions!$C$7,0))</f>
        <v>431376.01500000001</v>
      </c>
      <c r="J1989" s="22">
        <f>F1989*(1+Assumptions!$B$8+IF(D1989="Yes",Assumptions!$C$8,0))</f>
        <v>414942.64299999998</v>
      </c>
    </row>
    <row r="1990" spans="1:10" ht="15">
      <c r="A1990" s="21">
        <v>41096</v>
      </c>
      <c r="B1990" s="21">
        <v>41091</v>
      </c>
      <c r="C1990" s="17">
        <v>26</v>
      </c>
      <c r="D1990" s="17" t="s">
        <v>91</v>
      </c>
      <c r="E1990" s="14">
        <v>242360.42</v>
      </c>
      <c r="F1990" s="14">
        <v>243778.19</v>
      </c>
      <c r="G1990" s="14">
        <v>243778.19</v>
      </c>
      <c r="H1990" s="22">
        <f>F1990*(1+Assumptions!$B$6+IF(D1990="Yes",Assumptions!$C$6,0))</f>
        <v>251091.53570000001</v>
      </c>
      <c r="I1990" s="22">
        <f>F1990*(1+Assumptions!$B$7+IF(D1990="Yes",Assumptions!$C$7,0))</f>
        <v>255967.09950000001</v>
      </c>
      <c r="J1990" s="22">
        <f>F1990*(1+Assumptions!$B$8+IF(D1990="Yes",Assumptions!$C$8,0))</f>
        <v>246215.9719</v>
      </c>
    </row>
    <row r="1991" spans="1:10" ht="15">
      <c r="A1991" s="21">
        <v>41096</v>
      </c>
      <c r="B1991" s="21">
        <v>41091</v>
      </c>
      <c r="C1991" s="17">
        <v>27</v>
      </c>
      <c r="D1991" s="17" t="s">
        <v>91</v>
      </c>
      <c r="E1991" s="14">
        <v>44705.31</v>
      </c>
      <c r="F1991" s="14">
        <v>42658.98</v>
      </c>
      <c r="G1991" s="14">
        <v>42658.98</v>
      </c>
      <c r="H1991" s="22">
        <f>F1991*(1+Assumptions!$B$6+IF(D1991="Yes",Assumptions!$C$6,0))</f>
        <v>43938.749400000008</v>
      </c>
      <c r="I1991" s="22">
        <f>F1991*(1+Assumptions!$B$7+IF(D1991="Yes",Assumptions!$C$7,0))</f>
        <v>44791.929000000004</v>
      </c>
      <c r="J1991" s="22">
        <f>F1991*(1+Assumptions!$B$8+IF(D1991="Yes",Assumptions!$C$8,0))</f>
        <v>43085.569800000005</v>
      </c>
    </row>
    <row r="1992" spans="1:10" ht="15">
      <c r="A1992" s="21">
        <v>41096</v>
      </c>
      <c r="B1992" s="21">
        <v>41091</v>
      </c>
      <c r="C1992" s="17">
        <v>28</v>
      </c>
      <c r="D1992" s="17" t="s">
        <v>91</v>
      </c>
      <c r="E1992" s="14">
        <v>13278.47</v>
      </c>
      <c r="F1992" s="14">
        <v>14648.75</v>
      </c>
      <c r="G1992" s="14">
        <v>14648.75</v>
      </c>
      <c r="H1992" s="22">
        <f>F1992*(1+Assumptions!$B$6+IF(D1992="Yes",Assumptions!$C$6,0))</f>
        <v>15088.2125</v>
      </c>
      <c r="I1992" s="22">
        <f>F1992*(1+Assumptions!$B$7+IF(D1992="Yes",Assumptions!$C$7,0))</f>
        <v>15381.1875</v>
      </c>
      <c r="J1992" s="22">
        <f>F1992*(1+Assumptions!$B$8+IF(D1992="Yes",Assumptions!$C$8,0))</f>
        <v>14795.237499999999</v>
      </c>
    </row>
    <row r="1993" spans="1:10" ht="15">
      <c r="A1993" s="21">
        <v>41096</v>
      </c>
      <c r="B1993" s="21">
        <v>41091</v>
      </c>
      <c r="C1993" s="17">
        <v>29</v>
      </c>
      <c r="D1993" s="17" t="s">
        <v>91</v>
      </c>
      <c r="E1993" s="14">
        <v>213784.63</v>
      </c>
      <c r="F1993" s="14">
        <v>194748.64</v>
      </c>
      <c r="G1993" s="14">
        <v>194748.64</v>
      </c>
      <c r="H1993" s="22">
        <f>F1993*(1+Assumptions!$B$6+IF(D1993="Yes",Assumptions!$C$6,0))</f>
        <v>200591.09920000003</v>
      </c>
      <c r="I1993" s="22">
        <f>F1993*(1+Assumptions!$B$7+IF(D1993="Yes",Assumptions!$C$7,0))</f>
        <v>204486.07200000001</v>
      </c>
      <c r="J1993" s="22">
        <f>F1993*(1+Assumptions!$B$8+IF(D1993="Yes",Assumptions!$C$8,0))</f>
        <v>196696.12640000001</v>
      </c>
    </row>
    <row r="1994" spans="1:10" ht="15">
      <c r="A1994" s="21">
        <v>41096</v>
      </c>
      <c r="B1994" s="21">
        <v>41091</v>
      </c>
      <c r="C1994" s="17">
        <v>30</v>
      </c>
      <c r="D1994" s="17" t="s">
        <v>91</v>
      </c>
      <c r="E1994" s="14">
        <v>167468.39000000001</v>
      </c>
      <c r="F1994" s="14">
        <v>172201.31</v>
      </c>
      <c r="G1994" s="14">
        <v>172201.31</v>
      </c>
      <c r="H1994" s="22">
        <f>F1994*(1+Assumptions!$B$6+IF(D1994="Yes",Assumptions!$C$6,0))</f>
        <v>177367.3493</v>
      </c>
      <c r="I1994" s="22">
        <f>F1994*(1+Assumptions!$B$7+IF(D1994="Yes",Assumptions!$C$7,0))</f>
        <v>180811.37549999999</v>
      </c>
      <c r="J1994" s="22">
        <f>F1994*(1+Assumptions!$B$8+IF(D1994="Yes",Assumptions!$C$8,0))</f>
        <v>173923.32310000001</v>
      </c>
    </row>
    <row r="1995" spans="1:10" ht="15">
      <c r="A1995" s="21">
        <v>41096</v>
      </c>
      <c r="B1995" s="21">
        <v>41091</v>
      </c>
      <c r="C1995" s="17">
        <v>31</v>
      </c>
      <c r="D1995" s="17" t="s">
        <v>91</v>
      </c>
      <c r="E1995" s="14">
        <v>78358.240000000005</v>
      </c>
      <c r="F1995" s="14">
        <v>89468.04</v>
      </c>
      <c r="G1995" s="14">
        <v>89468.04</v>
      </c>
      <c r="H1995" s="22">
        <f>F1995*(1+Assumptions!$B$6+IF(D1995="Yes",Assumptions!$C$6,0))</f>
        <v>92152.081200000001</v>
      </c>
      <c r="I1995" s="22">
        <f>F1995*(1+Assumptions!$B$7+IF(D1995="Yes",Assumptions!$C$7,0))</f>
        <v>93941.441999999995</v>
      </c>
      <c r="J1995" s="22">
        <f>F1995*(1+Assumptions!$B$8+IF(D1995="Yes",Assumptions!$C$8,0))</f>
        <v>90362.720399999991</v>
      </c>
    </row>
    <row r="1996" spans="1:10" ht="15">
      <c r="A1996" s="21">
        <v>41096</v>
      </c>
      <c r="B1996" s="21">
        <v>41091</v>
      </c>
      <c r="C1996" s="17">
        <v>32</v>
      </c>
      <c r="D1996" s="17" t="s">
        <v>91</v>
      </c>
      <c r="E1996" s="14">
        <v>293325.2</v>
      </c>
      <c r="F1996" s="14">
        <v>274830.62</v>
      </c>
      <c r="G1996" s="14">
        <v>274830.62</v>
      </c>
      <c r="H1996" s="22">
        <f>F1996*(1+Assumptions!$B$6+IF(D1996="Yes",Assumptions!$C$6,0))</f>
        <v>283075.53860000003</v>
      </c>
      <c r="I1996" s="22">
        <f>F1996*(1+Assumptions!$B$7+IF(D1996="Yes",Assumptions!$C$7,0))</f>
        <v>288572.15100000001</v>
      </c>
      <c r="J1996" s="22">
        <f>F1996*(1+Assumptions!$B$8+IF(D1996="Yes",Assumptions!$C$8,0))</f>
        <v>277578.92619999999</v>
      </c>
    </row>
    <row r="1997" spans="1:10" ht="15">
      <c r="A1997" s="21">
        <v>41096</v>
      </c>
      <c r="B1997" s="21">
        <v>41091</v>
      </c>
      <c r="C1997" s="17">
        <v>33</v>
      </c>
      <c r="D1997" s="17" t="s">
        <v>91</v>
      </c>
      <c r="E1997" s="14">
        <v>220522.8</v>
      </c>
      <c r="F1997" s="14">
        <v>212969.52000000002</v>
      </c>
      <c r="G1997" s="14">
        <v>212969.52000000002</v>
      </c>
      <c r="H1997" s="22">
        <f>F1997*(1+Assumptions!$B$6+IF(D1997="Yes",Assumptions!$C$6,0))</f>
        <v>219358.60560000004</v>
      </c>
      <c r="I1997" s="22">
        <f>F1997*(1+Assumptions!$B$7+IF(D1997="Yes",Assumptions!$C$7,0))</f>
        <v>223617.99600000004</v>
      </c>
      <c r="J1997" s="22">
        <f>F1997*(1+Assumptions!$B$8+IF(D1997="Yes",Assumptions!$C$8,0))</f>
        <v>215099.21520000004</v>
      </c>
    </row>
    <row r="1998" spans="1:10" ht="15">
      <c r="A1998" s="21">
        <v>41096</v>
      </c>
      <c r="B1998" s="21">
        <v>41091</v>
      </c>
      <c r="C1998" s="17">
        <v>34</v>
      </c>
      <c r="D1998" s="17" t="s">
        <v>91</v>
      </c>
      <c r="E1998" s="14">
        <v>739081.98</v>
      </c>
      <c r="F1998" s="14">
        <v>669314.46</v>
      </c>
      <c r="G1998" s="14">
        <v>669314.46</v>
      </c>
      <c r="H1998" s="22">
        <f>F1998*(1+Assumptions!$B$6+IF(D1998="Yes",Assumptions!$C$6,0))</f>
        <v>689393.89379999996</v>
      </c>
      <c r="I1998" s="22">
        <f>F1998*(1+Assumptions!$B$7+IF(D1998="Yes",Assumptions!$C$7,0))</f>
        <v>702780.18299999996</v>
      </c>
      <c r="J1998" s="22">
        <f>F1998*(1+Assumptions!$B$8+IF(D1998="Yes",Assumptions!$C$8,0))</f>
        <v>676007.60459999996</v>
      </c>
    </row>
    <row r="1999" spans="1:10" ht="15">
      <c r="A1999" s="21">
        <v>41096</v>
      </c>
      <c r="B1999" s="21">
        <v>41091</v>
      </c>
      <c r="C1999" s="17">
        <v>35</v>
      </c>
      <c r="D1999" s="17" t="s">
        <v>91</v>
      </c>
      <c r="E1999" s="14">
        <v>127753.74</v>
      </c>
      <c r="F1999" s="14">
        <v>117247.68000000001</v>
      </c>
      <c r="G1999" s="14">
        <v>117247.68000000001</v>
      </c>
      <c r="H1999" s="22">
        <f>F1999*(1+Assumptions!$B$6+IF(D1999="Yes",Assumptions!$C$6,0))</f>
        <v>120765.11040000001</v>
      </c>
      <c r="I1999" s="22">
        <f>F1999*(1+Assumptions!$B$7+IF(D1999="Yes",Assumptions!$C$7,0))</f>
        <v>123110.06400000001</v>
      </c>
      <c r="J1999" s="22">
        <f>F1999*(1+Assumptions!$B$8+IF(D1999="Yes",Assumptions!$C$8,0))</f>
        <v>118420.15680000001</v>
      </c>
    </row>
    <row r="2000" spans="1:10" ht="15">
      <c r="A2000" s="21">
        <v>41096</v>
      </c>
      <c r="B2000" s="21">
        <v>41091</v>
      </c>
      <c r="C2000" s="17">
        <v>36</v>
      </c>
      <c r="D2000" s="17" t="s">
        <v>91</v>
      </c>
      <c r="E2000" s="14">
        <v>148821.59</v>
      </c>
      <c r="F2000" s="14">
        <v>165383.13</v>
      </c>
      <c r="G2000" s="14">
        <v>165383.13</v>
      </c>
      <c r="H2000" s="22">
        <f>F2000*(1+Assumptions!$B$6+IF(D2000="Yes",Assumptions!$C$6,0))</f>
        <v>170344.62390000001</v>
      </c>
      <c r="I2000" s="22">
        <f>F2000*(1+Assumptions!$B$7+IF(D2000="Yes",Assumptions!$C$7,0))</f>
        <v>173652.28650000002</v>
      </c>
      <c r="J2000" s="22">
        <f>F2000*(1+Assumptions!$B$8+IF(D2000="Yes",Assumptions!$C$8,0))</f>
        <v>167036.9613</v>
      </c>
    </row>
    <row r="2001" spans="1:10" ht="15">
      <c r="A2001" s="21">
        <v>41096</v>
      </c>
      <c r="B2001" s="21">
        <v>41091</v>
      </c>
      <c r="C2001" s="17">
        <v>37</v>
      </c>
      <c r="D2001" s="17" t="s">
        <v>91</v>
      </c>
      <c r="E2001" s="14">
        <v>57277.5</v>
      </c>
      <c r="F2001" s="14">
        <v>52203.69</v>
      </c>
      <c r="G2001" s="14">
        <v>52203.69</v>
      </c>
      <c r="H2001" s="22">
        <f>F2001*(1+Assumptions!$B$6+IF(D2001="Yes",Assumptions!$C$6,0))</f>
        <v>53769.800700000007</v>
      </c>
      <c r="I2001" s="22">
        <f>F2001*(1+Assumptions!$B$7+IF(D2001="Yes",Assumptions!$C$7,0))</f>
        <v>54813.874500000005</v>
      </c>
      <c r="J2001" s="22">
        <f>F2001*(1+Assumptions!$B$8+IF(D2001="Yes",Assumptions!$C$8,0))</f>
        <v>52725.726900000001</v>
      </c>
    </row>
    <row r="2002" spans="1:10" ht="15">
      <c r="A2002" s="21">
        <v>41096</v>
      </c>
      <c r="B2002" s="21">
        <v>41091</v>
      </c>
      <c r="C2002" s="17">
        <v>38</v>
      </c>
      <c r="D2002" s="17" t="s">
        <v>91</v>
      </c>
      <c r="E2002" s="14">
        <v>2738080.38</v>
      </c>
      <c r="F2002" s="14">
        <v>2553154.4700000002</v>
      </c>
      <c r="G2002" s="14">
        <v>2553154.4700000002</v>
      </c>
      <c r="H2002" s="22">
        <f>F2002*(1+Assumptions!$B$6+IF(D2002="Yes",Assumptions!$C$6,0))</f>
        <v>2629749.1041000001</v>
      </c>
      <c r="I2002" s="22">
        <f>F2002*(1+Assumptions!$B$7+IF(D2002="Yes",Assumptions!$C$7,0))</f>
        <v>2680812.1935000005</v>
      </c>
      <c r="J2002" s="22">
        <f>F2002*(1+Assumptions!$B$8+IF(D2002="Yes",Assumptions!$C$8,0))</f>
        <v>2578686.0147000002</v>
      </c>
    </row>
    <row r="2003" spans="1:10" ht="15">
      <c r="A2003" s="21">
        <v>41096</v>
      </c>
      <c r="B2003" s="21">
        <v>41091</v>
      </c>
      <c r="C2003" s="17">
        <v>40</v>
      </c>
      <c r="D2003" s="17" t="s">
        <v>91</v>
      </c>
      <c r="E2003" s="14">
        <v>2048923.57</v>
      </c>
      <c r="F2003" s="14">
        <v>1902643.06</v>
      </c>
      <c r="G2003" s="14">
        <v>1902643.06</v>
      </c>
      <c r="H2003" s="22">
        <f>F2003*(1+Assumptions!$B$6+IF(D2003="Yes",Assumptions!$C$6,0))</f>
        <v>1959722.3518000001</v>
      </c>
      <c r="I2003" s="22">
        <f>F2003*(1+Assumptions!$B$7+IF(D2003="Yes",Assumptions!$C$7,0))</f>
        <v>1997775.2130000002</v>
      </c>
      <c r="J2003" s="22">
        <f>F2003*(1+Assumptions!$B$8+IF(D2003="Yes",Assumptions!$C$8,0))</f>
        <v>1921669.4906000001</v>
      </c>
    </row>
    <row r="2004" spans="1:10" ht="15">
      <c r="A2004" s="21">
        <v>41096</v>
      </c>
      <c r="B2004" s="21">
        <v>41091</v>
      </c>
      <c r="C2004" s="17">
        <v>41</v>
      </c>
      <c r="D2004" s="17" t="s">
        <v>91</v>
      </c>
      <c r="E2004" s="14">
        <v>54363.4</v>
      </c>
      <c r="F2004" s="14">
        <v>56968.7</v>
      </c>
      <c r="G2004" s="14">
        <v>56968.7</v>
      </c>
      <c r="H2004" s="22">
        <f>F2004*(1+Assumptions!$B$6+IF(D2004="Yes",Assumptions!$C$6,0))</f>
        <v>58677.760999999999</v>
      </c>
      <c r="I2004" s="22">
        <f>F2004*(1+Assumptions!$B$7+IF(D2004="Yes",Assumptions!$C$7,0))</f>
        <v>59817.135000000002</v>
      </c>
      <c r="J2004" s="22">
        <f>F2004*(1+Assumptions!$B$8+IF(D2004="Yes",Assumptions!$C$8,0))</f>
        <v>57538.386999999995</v>
      </c>
    </row>
    <row r="2005" spans="1:10" ht="15">
      <c r="A2005" s="21">
        <v>41096</v>
      </c>
      <c r="B2005" s="21">
        <v>41091</v>
      </c>
      <c r="C2005" s="17">
        <v>42</v>
      </c>
      <c r="D2005" s="17" t="s">
        <v>91</v>
      </c>
      <c r="E2005" s="14">
        <v>256791.63</v>
      </c>
      <c r="F2005" s="14">
        <v>240377.47</v>
      </c>
      <c r="G2005" s="14">
        <v>240377.47</v>
      </c>
      <c r="H2005" s="22">
        <f>F2005*(1+Assumptions!$B$6+IF(D2005="Yes",Assumptions!$C$6,0))</f>
        <v>247588.7941</v>
      </c>
      <c r="I2005" s="22">
        <f>F2005*(1+Assumptions!$B$7+IF(D2005="Yes",Assumptions!$C$7,0))</f>
        <v>252396.34350000002</v>
      </c>
      <c r="J2005" s="22">
        <f>F2005*(1+Assumptions!$B$8+IF(D2005="Yes",Assumptions!$C$8,0))</f>
        <v>242781.24470000001</v>
      </c>
    </row>
    <row r="2006" spans="1:10" ht="15">
      <c r="A2006" s="21">
        <v>41096</v>
      </c>
      <c r="B2006" s="21">
        <v>41091</v>
      </c>
      <c r="C2006" s="17">
        <v>44</v>
      </c>
      <c r="D2006" s="17" t="s">
        <v>91</v>
      </c>
      <c r="E2006" s="14">
        <v>161999.20000000001</v>
      </c>
      <c r="F2006" s="14">
        <v>149550.76999999999</v>
      </c>
      <c r="G2006" s="14">
        <v>149550.76999999999</v>
      </c>
      <c r="H2006" s="22">
        <f>F2006*(1+Assumptions!$B$6+IF(D2006="Yes",Assumptions!$C$6,0))</f>
        <v>154037.29309999998</v>
      </c>
      <c r="I2006" s="22">
        <f>F2006*(1+Assumptions!$B$7+IF(D2006="Yes",Assumptions!$C$7,0))</f>
        <v>157028.30849999998</v>
      </c>
      <c r="J2006" s="22">
        <f>F2006*(1+Assumptions!$B$8+IF(D2006="Yes",Assumptions!$C$8,0))</f>
        <v>151046.27769999998</v>
      </c>
    </row>
    <row r="2007" spans="1:10" ht="15">
      <c r="A2007" s="21">
        <v>41096</v>
      </c>
      <c r="B2007" s="21">
        <v>41091</v>
      </c>
      <c r="C2007" s="17">
        <v>45</v>
      </c>
      <c r="D2007" s="17" t="s">
        <v>91</v>
      </c>
      <c r="E2007" s="14">
        <v>19.440000000000001</v>
      </c>
      <c r="F2007" s="14">
        <v>40.85</v>
      </c>
      <c r="G2007" s="14">
        <v>40.85</v>
      </c>
      <c r="H2007" s="22">
        <f>F2007*(1+Assumptions!$B$6+IF(D2007="Yes",Assumptions!$C$6,0))</f>
        <v>42.075500000000005</v>
      </c>
      <c r="I2007" s="22">
        <f>F2007*(1+Assumptions!$B$7+IF(D2007="Yes",Assumptions!$C$7,0))</f>
        <v>42.892500000000005</v>
      </c>
      <c r="J2007" s="22">
        <f>F2007*(1+Assumptions!$B$8+IF(D2007="Yes",Assumptions!$C$8,0))</f>
        <v>41.258500000000005</v>
      </c>
    </row>
    <row r="2008" spans="1:10" ht="15">
      <c r="A2008" s="21">
        <v>41096</v>
      </c>
      <c r="B2008" s="21">
        <v>41091</v>
      </c>
      <c r="C2008" s="17">
        <v>46</v>
      </c>
      <c r="D2008" s="17" t="s">
        <v>91</v>
      </c>
      <c r="E2008" s="14">
        <v>1064581.51</v>
      </c>
      <c r="F2008" s="14">
        <v>979182.96</v>
      </c>
      <c r="G2008" s="14">
        <v>979182.96</v>
      </c>
      <c r="H2008" s="22">
        <f>F2008*(1+Assumptions!$B$6+IF(D2008="Yes",Assumptions!$C$6,0))</f>
        <v>1008558.4488</v>
      </c>
      <c r="I2008" s="22">
        <f>F2008*(1+Assumptions!$B$7+IF(D2008="Yes",Assumptions!$C$7,0))</f>
        <v>1028142.108</v>
      </c>
      <c r="J2008" s="22">
        <f>F2008*(1+Assumptions!$B$8+IF(D2008="Yes",Assumptions!$C$8,0))</f>
        <v>988974.78960000002</v>
      </c>
    </row>
    <row r="2009" spans="1:10" ht="15">
      <c r="A2009" s="21">
        <v>41096</v>
      </c>
      <c r="B2009" s="21">
        <v>41091</v>
      </c>
      <c r="C2009" s="17">
        <v>48</v>
      </c>
      <c r="D2009" s="17" t="s">
        <v>91</v>
      </c>
      <c r="E2009" s="14">
        <v>13442</v>
      </c>
      <c r="F2009" s="14">
        <v>5531</v>
      </c>
      <c r="G2009" s="14">
        <v>5531</v>
      </c>
      <c r="H2009" s="22">
        <f>F2009*(1+Assumptions!$B$6+IF(D2009="Yes",Assumptions!$C$6,0))</f>
        <v>5696.93</v>
      </c>
      <c r="I2009" s="22">
        <f>F2009*(1+Assumptions!$B$7+IF(D2009="Yes",Assumptions!$C$7,0))</f>
        <v>5807.55</v>
      </c>
      <c r="J2009" s="22">
        <f>F2009*(1+Assumptions!$B$8+IF(D2009="Yes",Assumptions!$C$8,0))</f>
        <v>5586.31</v>
      </c>
    </row>
    <row r="2010" spans="1:10" ht="15">
      <c r="A2010" s="21">
        <v>41096</v>
      </c>
      <c r="B2010" s="21">
        <v>41091</v>
      </c>
      <c r="C2010" s="17">
        <v>49</v>
      </c>
      <c r="D2010" s="17" t="s">
        <v>91</v>
      </c>
      <c r="E2010" s="14">
        <v>232348.83</v>
      </c>
      <c r="F2010" s="14">
        <v>225248.75</v>
      </c>
      <c r="G2010" s="14">
        <v>225248.75</v>
      </c>
      <c r="H2010" s="22">
        <f>F2010*(1+Assumptions!$B$6+IF(D2010="Yes",Assumptions!$C$6,0))</f>
        <v>232006.21249999999</v>
      </c>
      <c r="I2010" s="22">
        <f>F2010*(1+Assumptions!$B$7+IF(D2010="Yes",Assumptions!$C$7,0))</f>
        <v>236511.1875</v>
      </c>
      <c r="J2010" s="22">
        <f>F2010*(1+Assumptions!$B$8+IF(D2010="Yes",Assumptions!$C$8,0))</f>
        <v>227501.23749999999</v>
      </c>
    </row>
    <row r="2011" spans="1:10" ht="15">
      <c r="A2011" s="21">
        <v>41096</v>
      </c>
      <c r="B2011" s="21">
        <v>41091</v>
      </c>
      <c r="C2011" s="17">
        <v>50</v>
      </c>
      <c r="D2011" s="17" t="s">
        <v>91</v>
      </c>
      <c r="E2011" s="14">
        <v>23836</v>
      </c>
      <c r="F2011" s="14">
        <v>24281.72</v>
      </c>
      <c r="G2011" s="14">
        <v>24281.72</v>
      </c>
      <c r="H2011" s="22">
        <f>F2011*(1+Assumptions!$B$6+IF(D2011="Yes",Assumptions!$C$6,0))</f>
        <v>25010.171600000001</v>
      </c>
      <c r="I2011" s="22">
        <f>F2011*(1+Assumptions!$B$7+IF(D2011="Yes",Assumptions!$C$7,0))</f>
        <v>25495.806</v>
      </c>
      <c r="J2011" s="22">
        <f>F2011*(1+Assumptions!$B$8+IF(D2011="Yes",Assumptions!$C$8,0))</f>
        <v>24524.537200000002</v>
      </c>
    </row>
    <row r="2012" spans="1:10" ht="15">
      <c r="A2012" s="21">
        <v>41096</v>
      </c>
      <c r="B2012" s="21">
        <v>41091</v>
      </c>
      <c r="C2012" s="17">
        <v>51</v>
      </c>
      <c r="D2012" s="17" t="s">
        <v>91</v>
      </c>
      <c r="E2012" s="14">
        <v>19.96</v>
      </c>
      <c r="F2012" s="14">
        <v>282.95999999999998</v>
      </c>
      <c r="G2012" s="14">
        <v>282.95999999999998</v>
      </c>
      <c r="H2012" s="22">
        <f>F2012*(1+Assumptions!$B$6+IF(D2012="Yes",Assumptions!$C$6,0))</f>
        <v>291.44880000000001</v>
      </c>
      <c r="I2012" s="22">
        <f>F2012*(1+Assumptions!$B$7+IF(D2012="Yes",Assumptions!$C$7,0))</f>
        <v>297.108</v>
      </c>
      <c r="J2012" s="22">
        <f>F2012*(1+Assumptions!$B$8+IF(D2012="Yes",Assumptions!$C$8,0))</f>
        <v>285.78960000000001</v>
      </c>
    </row>
    <row r="2013" spans="1:10" ht="15">
      <c r="A2013" s="21">
        <v>41096</v>
      </c>
      <c r="B2013" s="21">
        <v>41091</v>
      </c>
      <c r="C2013" s="17">
        <v>52</v>
      </c>
      <c r="D2013" s="17" t="s">
        <v>91</v>
      </c>
      <c r="E2013" s="14">
        <v>72506.66</v>
      </c>
      <c r="F2013" s="14">
        <v>66109.83</v>
      </c>
      <c r="G2013" s="14">
        <v>66109.83</v>
      </c>
      <c r="H2013" s="22">
        <f>F2013*(1+Assumptions!$B$6+IF(D2013="Yes",Assumptions!$C$6,0))</f>
        <v>68093.12490000001</v>
      </c>
      <c r="I2013" s="22">
        <f>F2013*(1+Assumptions!$B$7+IF(D2013="Yes",Assumptions!$C$7,0))</f>
        <v>69415.321500000005</v>
      </c>
      <c r="J2013" s="22">
        <f>F2013*(1+Assumptions!$B$8+IF(D2013="Yes",Assumptions!$C$8,0))</f>
        <v>66770.9283</v>
      </c>
    </row>
    <row r="2014" spans="1:10" ht="15">
      <c r="A2014" s="21">
        <v>41096</v>
      </c>
      <c r="B2014" s="21">
        <v>41091</v>
      </c>
      <c r="C2014" s="17">
        <v>54</v>
      </c>
      <c r="D2014" s="17" t="s">
        <v>91</v>
      </c>
      <c r="E2014" s="14">
        <v>913.36</v>
      </c>
      <c r="F2014" s="14">
        <v>1627.98</v>
      </c>
      <c r="G2014" s="14">
        <v>1627.98</v>
      </c>
      <c r="H2014" s="22">
        <f>F2014*(1+Assumptions!$B$6+IF(D2014="Yes",Assumptions!$C$6,0))</f>
        <v>1676.8194000000001</v>
      </c>
      <c r="I2014" s="22">
        <f>F2014*(1+Assumptions!$B$7+IF(D2014="Yes",Assumptions!$C$7,0))</f>
        <v>1709.3790000000001</v>
      </c>
      <c r="J2014" s="22">
        <f>F2014*(1+Assumptions!$B$8+IF(D2014="Yes",Assumptions!$C$8,0))</f>
        <v>1644.2598</v>
      </c>
    </row>
    <row r="2015" spans="1:10" ht="15">
      <c r="A2015" s="21">
        <v>41096</v>
      </c>
      <c r="B2015" s="21">
        <v>41091</v>
      </c>
      <c r="C2015" s="17">
        <v>55</v>
      </c>
      <c r="D2015" s="17" t="s">
        <v>91</v>
      </c>
      <c r="E2015" s="14">
        <v>269337.21999999997</v>
      </c>
      <c r="F2015" s="14">
        <v>296696.28999999998</v>
      </c>
      <c r="G2015" s="14">
        <v>296696.28999999998</v>
      </c>
      <c r="H2015" s="22">
        <f>F2015*(1+Assumptions!$B$6+IF(D2015="Yes",Assumptions!$C$6,0))</f>
        <v>305597.17869999999</v>
      </c>
      <c r="I2015" s="22">
        <f>F2015*(1+Assumptions!$B$7+IF(D2015="Yes",Assumptions!$C$7,0))</f>
        <v>311531.10450000002</v>
      </c>
      <c r="J2015" s="22">
        <f>F2015*(1+Assumptions!$B$8+IF(D2015="Yes",Assumptions!$C$8,0))</f>
        <v>299663.25289999996</v>
      </c>
    </row>
    <row r="2016" spans="1:10" ht="15">
      <c r="A2016" s="21">
        <v>41096</v>
      </c>
      <c r="B2016" s="21">
        <v>41091</v>
      </c>
      <c r="C2016" s="17">
        <v>56</v>
      </c>
      <c r="D2016" s="17" t="s">
        <v>91</v>
      </c>
      <c r="E2016" s="14">
        <v>125179.62999999999</v>
      </c>
      <c r="F2016" s="14">
        <v>133294.79</v>
      </c>
      <c r="G2016" s="14">
        <v>133294.79</v>
      </c>
      <c r="H2016" s="22">
        <f>F2016*(1+Assumptions!$B$6+IF(D2016="Yes",Assumptions!$C$6,0))</f>
        <v>137293.63370000001</v>
      </c>
      <c r="I2016" s="22">
        <f>F2016*(1+Assumptions!$B$7+IF(D2016="Yes",Assumptions!$C$7,0))</f>
        <v>139959.5295</v>
      </c>
      <c r="J2016" s="22">
        <f>F2016*(1+Assumptions!$B$8+IF(D2016="Yes",Assumptions!$C$8,0))</f>
        <v>134627.73790000001</v>
      </c>
    </row>
    <row r="2017" spans="1:10" ht="15">
      <c r="A2017" s="21">
        <v>41096</v>
      </c>
      <c r="B2017" s="21">
        <v>41091</v>
      </c>
      <c r="C2017" s="17">
        <v>58</v>
      </c>
      <c r="D2017" s="17" t="s">
        <v>91</v>
      </c>
      <c r="E2017" s="14">
        <v>109522.97</v>
      </c>
      <c r="F2017" s="14">
        <v>108014.97</v>
      </c>
      <c r="G2017" s="14">
        <v>108014.97</v>
      </c>
      <c r="H2017" s="22">
        <f>F2017*(1+Assumptions!$B$6+IF(D2017="Yes",Assumptions!$C$6,0))</f>
        <v>111255.4191</v>
      </c>
      <c r="I2017" s="22">
        <f>F2017*(1+Assumptions!$B$7+IF(D2017="Yes",Assumptions!$C$7,0))</f>
        <v>113415.7185</v>
      </c>
      <c r="J2017" s="22">
        <f>F2017*(1+Assumptions!$B$8+IF(D2017="Yes",Assumptions!$C$8,0))</f>
        <v>109095.1197</v>
      </c>
    </row>
    <row r="2018" spans="1:10" ht="15">
      <c r="A2018" s="21">
        <v>41096</v>
      </c>
      <c r="B2018" s="21">
        <v>41091</v>
      </c>
      <c r="C2018" s="17">
        <v>59</v>
      </c>
      <c r="D2018" s="17" t="s">
        <v>91</v>
      </c>
      <c r="E2018" s="14">
        <v>7773.51</v>
      </c>
      <c r="F2018" s="14">
        <v>10451.99</v>
      </c>
      <c r="G2018" s="14">
        <v>10451.99</v>
      </c>
      <c r="H2018" s="22">
        <f>F2018*(1+Assumptions!$B$6+IF(D2018="Yes",Assumptions!$C$6,0))</f>
        <v>10765.5497</v>
      </c>
      <c r="I2018" s="22">
        <f>F2018*(1+Assumptions!$B$7+IF(D2018="Yes",Assumptions!$C$7,0))</f>
        <v>10974.5895</v>
      </c>
      <c r="J2018" s="22">
        <f>F2018*(1+Assumptions!$B$8+IF(D2018="Yes",Assumptions!$C$8,0))</f>
        <v>10556.509899999999</v>
      </c>
    </row>
    <row r="2019" spans="1:10" ht="15">
      <c r="A2019" s="21">
        <v>41096</v>
      </c>
      <c r="B2019" s="21">
        <v>41091</v>
      </c>
      <c r="C2019" s="17">
        <v>60</v>
      </c>
      <c r="D2019" s="17" t="s">
        <v>91</v>
      </c>
      <c r="E2019" s="14">
        <v>15993</v>
      </c>
      <c r="F2019" s="14">
        <v>14766.4</v>
      </c>
      <c r="G2019" s="14">
        <v>14766.4</v>
      </c>
      <c r="H2019" s="22">
        <f>F2019*(1+Assumptions!$B$6+IF(D2019="Yes",Assumptions!$C$6,0))</f>
        <v>15209.392</v>
      </c>
      <c r="I2019" s="22">
        <f>F2019*(1+Assumptions!$B$7+IF(D2019="Yes",Assumptions!$C$7,0))</f>
        <v>15504.720000000001</v>
      </c>
      <c r="J2019" s="22">
        <f>F2019*(1+Assumptions!$B$8+IF(D2019="Yes",Assumptions!$C$8,0))</f>
        <v>14914.064</v>
      </c>
    </row>
    <row r="2020" spans="1:10" ht="15">
      <c r="A2020" s="21">
        <v>41096</v>
      </c>
      <c r="B2020" s="21">
        <v>41091</v>
      </c>
      <c r="C2020" s="17">
        <v>65</v>
      </c>
      <c r="D2020" s="17" t="s">
        <v>91</v>
      </c>
      <c r="E2020" s="14">
        <v>39871.17</v>
      </c>
      <c r="F2020" s="14">
        <v>37737.47</v>
      </c>
      <c r="G2020" s="14">
        <v>37737.47</v>
      </c>
      <c r="H2020" s="22">
        <f>F2020*(1+Assumptions!$B$6+IF(D2020="Yes",Assumptions!$C$6,0))</f>
        <v>38869.594100000002</v>
      </c>
      <c r="I2020" s="22">
        <f>F2020*(1+Assumptions!$B$7+IF(D2020="Yes",Assumptions!$C$7,0))</f>
        <v>39624.343500000003</v>
      </c>
      <c r="J2020" s="22">
        <f>F2020*(1+Assumptions!$B$8+IF(D2020="Yes",Assumptions!$C$8,0))</f>
        <v>38114.844700000001</v>
      </c>
    </row>
    <row r="2021" spans="1:10" ht="15">
      <c r="A2021" s="21">
        <v>41096</v>
      </c>
      <c r="B2021" s="21">
        <v>41091</v>
      </c>
      <c r="C2021" s="17">
        <v>67</v>
      </c>
      <c r="D2021" s="17" t="s">
        <v>91</v>
      </c>
      <c r="E2021" s="14">
        <v>292628.58</v>
      </c>
      <c r="F2021" s="14">
        <v>248986.09</v>
      </c>
      <c r="G2021" s="14">
        <v>248986.09</v>
      </c>
      <c r="H2021" s="22">
        <f>F2021*(1+Assumptions!$B$6+IF(D2021="Yes",Assumptions!$C$6,0))</f>
        <v>256455.6727</v>
      </c>
      <c r="I2021" s="22">
        <f>F2021*(1+Assumptions!$B$7+IF(D2021="Yes",Assumptions!$C$7,0))</f>
        <v>261435.39449999999</v>
      </c>
      <c r="J2021" s="22">
        <f>F2021*(1+Assumptions!$B$8+IF(D2021="Yes",Assumptions!$C$8,0))</f>
        <v>251475.9509</v>
      </c>
    </row>
    <row r="2022" spans="1:10" ht="15">
      <c r="A2022" s="21">
        <v>41096</v>
      </c>
      <c r="B2022" s="21">
        <v>41091</v>
      </c>
      <c r="C2022" s="17">
        <v>71</v>
      </c>
      <c r="D2022" s="17" t="s">
        <v>91</v>
      </c>
      <c r="E2022" s="14">
        <v>214849.74</v>
      </c>
      <c r="F2022" s="14">
        <v>198175.16</v>
      </c>
      <c r="G2022" s="14">
        <v>198175.16</v>
      </c>
      <c r="H2022" s="22">
        <f>F2022*(1+Assumptions!$B$6+IF(D2022="Yes",Assumptions!$C$6,0))</f>
        <v>204120.4148</v>
      </c>
      <c r="I2022" s="22">
        <f>F2022*(1+Assumptions!$B$7+IF(D2022="Yes",Assumptions!$C$7,0))</f>
        <v>208083.91800000001</v>
      </c>
      <c r="J2022" s="22">
        <f>F2022*(1+Assumptions!$B$8+IF(D2022="Yes",Assumptions!$C$8,0))</f>
        <v>200156.91159999999</v>
      </c>
    </row>
    <row r="2023" spans="1:10" ht="15">
      <c r="A2023" s="21">
        <v>41096</v>
      </c>
      <c r="B2023" s="21">
        <v>41091</v>
      </c>
      <c r="C2023" s="17">
        <v>72</v>
      </c>
      <c r="D2023" s="17" t="s">
        <v>91</v>
      </c>
      <c r="E2023" s="14">
        <v>1729049.88</v>
      </c>
      <c r="F2023" s="14">
        <v>1652615.89</v>
      </c>
      <c r="G2023" s="14">
        <v>1652615.89</v>
      </c>
      <c r="H2023" s="22">
        <f>F2023*(1+Assumptions!$B$6+IF(D2023="Yes",Assumptions!$C$6,0))</f>
        <v>1702194.3666999999</v>
      </c>
      <c r="I2023" s="22">
        <f>F2023*(1+Assumptions!$B$7+IF(D2023="Yes",Assumptions!$C$7,0))</f>
        <v>1735246.6845</v>
      </c>
      <c r="J2023" s="22">
        <f>F2023*(1+Assumptions!$B$8+IF(D2023="Yes",Assumptions!$C$8,0))</f>
        <v>1669142.0488999998</v>
      </c>
    </row>
    <row r="2024" spans="1:10" ht="15">
      <c r="A2024" s="21">
        <v>41096</v>
      </c>
      <c r="B2024" s="21">
        <v>41091</v>
      </c>
      <c r="C2024" s="17">
        <v>74</v>
      </c>
      <c r="D2024" s="17" t="s">
        <v>91</v>
      </c>
      <c r="E2024" s="14">
        <v>653568.87</v>
      </c>
      <c r="F2024" s="14">
        <v>596853.16</v>
      </c>
      <c r="G2024" s="14">
        <v>596853.16</v>
      </c>
      <c r="H2024" s="22">
        <f>F2024*(1+Assumptions!$B$6+IF(D2024="Yes",Assumptions!$C$6,0))</f>
        <v>614758.7548</v>
      </c>
      <c r="I2024" s="22">
        <f>F2024*(1+Assumptions!$B$7+IF(D2024="Yes",Assumptions!$C$7,0))</f>
        <v>626695.81800000009</v>
      </c>
      <c r="J2024" s="22">
        <f>F2024*(1+Assumptions!$B$8+IF(D2024="Yes",Assumptions!$C$8,0))</f>
        <v>602821.69160000002</v>
      </c>
    </row>
    <row r="2025" spans="1:10" ht="15">
      <c r="A2025" s="21">
        <v>41096</v>
      </c>
      <c r="B2025" s="21">
        <v>41091</v>
      </c>
      <c r="C2025" s="17">
        <v>79</v>
      </c>
      <c r="D2025" s="17" t="s">
        <v>91</v>
      </c>
      <c r="E2025" s="14">
        <v>1113927.97</v>
      </c>
      <c r="F2025" s="14">
        <v>1008986.91</v>
      </c>
      <c r="G2025" s="14">
        <v>1008986.91</v>
      </c>
      <c r="H2025" s="22">
        <f>F2025*(1+Assumptions!$B$6+IF(D2025="Yes",Assumptions!$C$6,0))</f>
        <v>1039256.5173000001</v>
      </c>
      <c r="I2025" s="22">
        <f>F2025*(1+Assumptions!$B$7+IF(D2025="Yes",Assumptions!$C$7,0))</f>
        <v>1059436.2555</v>
      </c>
      <c r="J2025" s="22">
        <f>F2025*(1+Assumptions!$B$8+IF(D2025="Yes",Assumptions!$C$8,0))</f>
        <v>1019076.7791</v>
      </c>
    </row>
    <row r="2026" spans="1:10" ht="15">
      <c r="A2026" s="21">
        <v>41096</v>
      </c>
      <c r="B2026" s="21">
        <v>41091</v>
      </c>
      <c r="C2026" s="17">
        <v>80</v>
      </c>
      <c r="D2026" s="17" t="s">
        <v>91</v>
      </c>
      <c r="E2026" s="14">
        <v>554812.88</v>
      </c>
      <c r="F2026" s="14">
        <v>546586.54</v>
      </c>
      <c r="G2026" s="14">
        <v>546586.54</v>
      </c>
      <c r="H2026" s="22">
        <f>F2026*(1+Assumptions!$B$6+IF(D2026="Yes",Assumptions!$C$6,0))</f>
        <v>562984.13620000007</v>
      </c>
      <c r="I2026" s="22">
        <f>F2026*(1+Assumptions!$B$7+IF(D2026="Yes",Assumptions!$C$7,0))</f>
        <v>573915.86700000009</v>
      </c>
      <c r="J2026" s="22">
        <f>F2026*(1+Assumptions!$B$8+IF(D2026="Yes",Assumptions!$C$8,0))</f>
        <v>552052.40540000005</v>
      </c>
    </row>
    <row r="2027" spans="1:10" ht="15">
      <c r="A2027" s="21">
        <v>41096</v>
      </c>
      <c r="B2027" s="21">
        <v>41091</v>
      </c>
      <c r="C2027" s="17">
        <v>81</v>
      </c>
      <c r="D2027" s="17" t="s">
        <v>91</v>
      </c>
      <c r="E2027" s="14">
        <v>803837.39</v>
      </c>
      <c r="F2027" s="14">
        <v>758258.07</v>
      </c>
      <c r="G2027" s="14">
        <v>758258.07</v>
      </c>
      <c r="H2027" s="22">
        <f>F2027*(1+Assumptions!$B$6+IF(D2027="Yes",Assumptions!$C$6,0))</f>
        <v>781005.81209999998</v>
      </c>
      <c r="I2027" s="22">
        <f>F2027*(1+Assumptions!$B$7+IF(D2027="Yes",Assumptions!$C$7,0))</f>
        <v>796170.97349999996</v>
      </c>
      <c r="J2027" s="22">
        <f>F2027*(1+Assumptions!$B$8+IF(D2027="Yes",Assumptions!$C$8,0))</f>
        <v>765840.6507</v>
      </c>
    </row>
    <row r="2028" spans="1:10" ht="15">
      <c r="A2028" s="21">
        <v>41096</v>
      </c>
      <c r="B2028" s="21">
        <v>41091</v>
      </c>
      <c r="C2028" s="17">
        <v>82</v>
      </c>
      <c r="D2028" s="17" t="s">
        <v>91</v>
      </c>
      <c r="E2028" s="14">
        <v>761297.24</v>
      </c>
      <c r="F2028" s="14">
        <v>703701.15</v>
      </c>
      <c r="G2028" s="14">
        <v>703701.15</v>
      </c>
      <c r="H2028" s="22">
        <f>F2028*(1+Assumptions!$B$6+IF(D2028="Yes",Assumptions!$C$6,0))</f>
        <v>724812.18450000009</v>
      </c>
      <c r="I2028" s="22">
        <f>F2028*(1+Assumptions!$B$7+IF(D2028="Yes",Assumptions!$C$7,0))</f>
        <v>738886.20750000002</v>
      </c>
      <c r="J2028" s="22">
        <f>F2028*(1+Assumptions!$B$8+IF(D2028="Yes",Assumptions!$C$8,0))</f>
        <v>710738.16150000005</v>
      </c>
    </row>
    <row r="2029" spans="1:10" ht="15">
      <c r="A2029" s="21">
        <v>41096</v>
      </c>
      <c r="B2029" s="21">
        <v>41091</v>
      </c>
      <c r="C2029" s="17">
        <v>83</v>
      </c>
      <c r="D2029" s="17" t="s">
        <v>91</v>
      </c>
      <c r="E2029" s="14">
        <v>155889.66</v>
      </c>
      <c r="F2029" s="14">
        <v>138694.59</v>
      </c>
      <c r="G2029" s="14">
        <v>138694.59</v>
      </c>
      <c r="H2029" s="22">
        <f>F2029*(1+Assumptions!$B$6+IF(D2029="Yes",Assumptions!$C$6,0))</f>
        <v>142855.4277</v>
      </c>
      <c r="I2029" s="22">
        <f>F2029*(1+Assumptions!$B$7+IF(D2029="Yes",Assumptions!$C$7,0))</f>
        <v>145629.31950000001</v>
      </c>
      <c r="J2029" s="22">
        <f>F2029*(1+Assumptions!$B$8+IF(D2029="Yes",Assumptions!$C$8,0))</f>
        <v>140081.53589999999</v>
      </c>
    </row>
    <row r="2030" spans="1:10" ht="15">
      <c r="A2030" s="21">
        <v>41096</v>
      </c>
      <c r="B2030" s="21">
        <v>41091</v>
      </c>
      <c r="C2030" s="17">
        <v>85</v>
      </c>
      <c r="D2030" s="17" t="s">
        <v>91</v>
      </c>
      <c r="E2030" s="14">
        <v>80643.570000000007</v>
      </c>
      <c r="F2030" s="14">
        <v>88271.039999999994</v>
      </c>
      <c r="G2030" s="14">
        <v>88271.039999999994</v>
      </c>
      <c r="H2030" s="22">
        <f>F2030*(1+Assumptions!$B$6+IF(D2030="Yes",Assumptions!$C$6,0))</f>
        <v>90919.171199999997</v>
      </c>
      <c r="I2030" s="22">
        <f>F2030*(1+Assumptions!$B$7+IF(D2030="Yes",Assumptions!$C$7,0))</f>
        <v>92684.592000000004</v>
      </c>
      <c r="J2030" s="22">
        <f>F2030*(1+Assumptions!$B$8+IF(D2030="Yes",Assumptions!$C$8,0))</f>
        <v>89153.75039999999</v>
      </c>
    </row>
    <row r="2031" spans="1:10" ht="15">
      <c r="A2031" s="21">
        <v>41096</v>
      </c>
      <c r="B2031" s="21">
        <v>41091</v>
      </c>
      <c r="C2031" s="17">
        <v>87</v>
      </c>
      <c r="D2031" s="17" t="s">
        <v>91</v>
      </c>
      <c r="E2031" s="14">
        <v>782984.87</v>
      </c>
      <c r="F2031" s="14">
        <v>626486.29</v>
      </c>
      <c r="G2031" s="14">
        <v>626486.29</v>
      </c>
      <c r="H2031" s="22">
        <f>F2031*(1+Assumptions!$B$6+IF(D2031="Yes",Assumptions!$C$6,0))</f>
        <v>645280.8787</v>
      </c>
      <c r="I2031" s="22">
        <f>F2031*(1+Assumptions!$B$7+IF(D2031="Yes",Assumptions!$C$7,0))</f>
        <v>657810.60450000002</v>
      </c>
      <c r="J2031" s="22">
        <f>F2031*(1+Assumptions!$B$8+IF(D2031="Yes",Assumptions!$C$8,0))</f>
        <v>632751.15289999999</v>
      </c>
    </row>
    <row r="2032" spans="1:10" ht="15">
      <c r="A2032" s="21">
        <v>41096</v>
      </c>
      <c r="B2032" s="21">
        <v>41091</v>
      </c>
      <c r="C2032" s="17">
        <v>90</v>
      </c>
      <c r="D2032" s="17" t="s">
        <v>91</v>
      </c>
      <c r="E2032" s="14">
        <v>2146743.58</v>
      </c>
      <c r="F2032" s="14">
        <v>2061990.64</v>
      </c>
      <c r="G2032" s="14">
        <v>2061990.64</v>
      </c>
      <c r="H2032" s="22">
        <f>F2032*(1+Assumptions!$B$6+IF(D2032="Yes",Assumptions!$C$6,0))</f>
        <v>2123850.3591999998</v>
      </c>
      <c r="I2032" s="22">
        <f>F2032*(1+Assumptions!$B$7+IF(D2032="Yes",Assumptions!$C$7,0))</f>
        <v>2165090.1719999998</v>
      </c>
      <c r="J2032" s="22">
        <f>F2032*(1+Assumptions!$B$8+IF(D2032="Yes",Assumptions!$C$8,0))</f>
        <v>2082610.5463999999</v>
      </c>
    </row>
    <row r="2033" spans="1:10" ht="15">
      <c r="A2033" s="21">
        <v>41096</v>
      </c>
      <c r="B2033" s="21">
        <v>41091</v>
      </c>
      <c r="C2033" s="17">
        <v>91</v>
      </c>
      <c r="D2033" s="17" t="s">
        <v>91</v>
      </c>
      <c r="E2033" s="14">
        <v>1636697.4</v>
      </c>
      <c r="F2033" s="14">
        <v>1575768.8900000001</v>
      </c>
      <c r="G2033" s="14">
        <v>1575768.8900000001</v>
      </c>
      <c r="H2033" s="22">
        <f>F2033*(1+Assumptions!$B$6+IF(D2033="Yes",Assumptions!$C$6,0))</f>
        <v>1623041.9567000002</v>
      </c>
      <c r="I2033" s="22">
        <f>F2033*(1+Assumptions!$B$7+IF(D2033="Yes",Assumptions!$C$7,0))</f>
        <v>1654557.3345000001</v>
      </c>
      <c r="J2033" s="22">
        <f>F2033*(1+Assumptions!$B$8+IF(D2033="Yes",Assumptions!$C$8,0))</f>
        <v>1591526.5789000001</v>
      </c>
    </row>
    <row r="2034" spans="1:10" ht="15">
      <c r="A2034" s="21">
        <v>41096</v>
      </c>
      <c r="B2034" s="21">
        <v>41091</v>
      </c>
      <c r="C2034" s="17">
        <v>92</v>
      </c>
      <c r="D2034" s="17" t="s">
        <v>91</v>
      </c>
      <c r="E2034" s="14">
        <v>3718174.83</v>
      </c>
      <c r="F2034" s="14">
        <v>3368886.36</v>
      </c>
      <c r="G2034" s="14">
        <v>3368886.36</v>
      </c>
      <c r="H2034" s="22">
        <f>F2034*(1+Assumptions!$B$6+IF(D2034="Yes",Assumptions!$C$6,0))</f>
        <v>3469952.9507999998</v>
      </c>
      <c r="I2034" s="22">
        <f>F2034*(1+Assumptions!$B$7+IF(D2034="Yes",Assumptions!$C$7,0))</f>
        <v>3537330.6779999998</v>
      </c>
      <c r="J2034" s="22">
        <f>F2034*(1+Assumptions!$B$8+IF(D2034="Yes",Assumptions!$C$8,0))</f>
        <v>3402575.2235999997</v>
      </c>
    </row>
    <row r="2035" spans="1:10" ht="15">
      <c r="A2035" s="21">
        <v>41096</v>
      </c>
      <c r="B2035" s="21">
        <v>41091</v>
      </c>
      <c r="C2035" s="17">
        <v>93</v>
      </c>
      <c r="D2035" s="17" t="s">
        <v>91</v>
      </c>
      <c r="E2035" s="14">
        <v>1493433.38</v>
      </c>
      <c r="F2035" s="14">
        <v>1347048</v>
      </c>
      <c r="G2035" s="14">
        <v>1347048</v>
      </c>
      <c r="H2035" s="22">
        <f>F2035*(1+Assumptions!$B$6+IF(D2035="Yes",Assumptions!$C$6,0))</f>
        <v>1387459.44</v>
      </c>
      <c r="I2035" s="22">
        <f>F2035*(1+Assumptions!$B$7+IF(D2035="Yes",Assumptions!$C$7,0))</f>
        <v>1414400.4000000001</v>
      </c>
      <c r="J2035" s="22">
        <f>F2035*(1+Assumptions!$B$8+IF(D2035="Yes",Assumptions!$C$8,0))</f>
        <v>1360518.48</v>
      </c>
    </row>
    <row r="2036" spans="1:10" ht="15">
      <c r="A2036" s="21">
        <v>41096</v>
      </c>
      <c r="B2036" s="21">
        <v>41091</v>
      </c>
      <c r="C2036" s="17">
        <v>94</v>
      </c>
      <c r="D2036" s="17" t="s">
        <v>91</v>
      </c>
      <c r="E2036" s="14">
        <v>1575556.95</v>
      </c>
      <c r="F2036" s="14">
        <v>1477184.84</v>
      </c>
      <c r="G2036" s="14">
        <v>1477184.84</v>
      </c>
      <c r="H2036" s="22">
        <f>F2036*(1+Assumptions!$B$6+IF(D2036="Yes",Assumptions!$C$6,0))</f>
        <v>1521500.3852000001</v>
      </c>
      <c r="I2036" s="22">
        <f>F2036*(1+Assumptions!$B$7+IF(D2036="Yes",Assumptions!$C$7,0))</f>
        <v>1551044.0820000002</v>
      </c>
      <c r="J2036" s="22">
        <f>F2036*(1+Assumptions!$B$8+IF(D2036="Yes",Assumptions!$C$8,0))</f>
        <v>1491956.6884000001</v>
      </c>
    </row>
    <row r="2037" spans="1:10" ht="15">
      <c r="A2037" s="21">
        <v>41096</v>
      </c>
      <c r="B2037" s="21">
        <v>41091</v>
      </c>
      <c r="C2037" s="17">
        <v>95</v>
      </c>
      <c r="D2037" s="17" t="s">
        <v>91</v>
      </c>
      <c r="E2037" s="14">
        <v>3816877.21</v>
      </c>
      <c r="F2037" s="14">
        <v>3580339.89</v>
      </c>
      <c r="G2037" s="14">
        <v>3580339.89</v>
      </c>
      <c r="H2037" s="22">
        <f>F2037*(1+Assumptions!$B$6+IF(D2037="Yes",Assumptions!$C$6,0))</f>
        <v>3687750.0867000003</v>
      </c>
      <c r="I2037" s="22">
        <f>F2037*(1+Assumptions!$B$7+IF(D2037="Yes",Assumptions!$C$7,0))</f>
        <v>3759356.8845000002</v>
      </c>
      <c r="J2037" s="22">
        <f>F2037*(1+Assumptions!$B$8+IF(D2037="Yes",Assumptions!$C$8,0))</f>
        <v>3616143.2889</v>
      </c>
    </row>
    <row r="2038" spans="1:10" ht="15">
      <c r="A2038" s="21">
        <v>41096</v>
      </c>
      <c r="B2038" s="21">
        <v>41091</v>
      </c>
      <c r="C2038" s="17">
        <v>96</v>
      </c>
      <c r="D2038" s="17" t="s">
        <v>91</v>
      </c>
      <c r="E2038" s="14">
        <v>776378.32</v>
      </c>
      <c r="F2038" s="14">
        <v>700765.99</v>
      </c>
      <c r="G2038" s="14">
        <v>700765.99</v>
      </c>
      <c r="H2038" s="22">
        <f>F2038*(1+Assumptions!$B$6+IF(D2038="Yes",Assumptions!$C$6,0))</f>
        <v>721788.96970000002</v>
      </c>
      <c r="I2038" s="22">
        <f>F2038*(1+Assumptions!$B$7+IF(D2038="Yes",Assumptions!$C$7,0))</f>
        <v>735804.28950000007</v>
      </c>
      <c r="J2038" s="22">
        <f>F2038*(1+Assumptions!$B$8+IF(D2038="Yes",Assumptions!$C$8,0))</f>
        <v>707773.64989999996</v>
      </c>
    </row>
    <row r="2039" spans="1:10" ht="15">
      <c r="A2039" s="21">
        <v>41096</v>
      </c>
      <c r="B2039" s="21">
        <v>41091</v>
      </c>
      <c r="C2039" s="17">
        <v>97</v>
      </c>
      <c r="D2039" s="17" t="s">
        <v>91</v>
      </c>
      <c r="E2039" s="14">
        <v>764413.36</v>
      </c>
      <c r="F2039" s="14">
        <v>739728.27</v>
      </c>
      <c r="G2039" s="14">
        <v>739728.27</v>
      </c>
      <c r="H2039" s="22">
        <f>F2039*(1+Assumptions!$B$6+IF(D2039="Yes",Assumptions!$C$6,0))</f>
        <v>761920.11810000008</v>
      </c>
      <c r="I2039" s="22">
        <f>F2039*(1+Assumptions!$B$7+IF(D2039="Yes",Assumptions!$C$7,0))</f>
        <v>776714.68350000004</v>
      </c>
      <c r="J2039" s="22">
        <f>F2039*(1+Assumptions!$B$8+IF(D2039="Yes",Assumptions!$C$8,0))</f>
        <v>747125.5527</v>
      </c>
    </row>
    <row r="2040" spans="1:10" ht="15">
      <c r="A2040" s="21">
        <v>41096</v>
      </c>
      <c r="B2040" s="21">
        <v>41091</v>
      </c>
      <c r="C2040" s="17">
        <v>98</v>
      </c>
      <c r="D2040" s="17" t="s">
        <v>91</v>
      </c>
      <c r="E2040" s="14">
        <v>299648.40999999997</v>
      </c>
      <c r="F2040" s="14">
        <v>290979.3</v>
      </c>
      <c r="G2040" s="14">
        <v>290979.3</v>
      </c>
      <c r="H2040" s="22">
        <f>F2040*(1+Assumptions!$B$6+IF(D2040="Yes",Assumptions!$C$6,0))</f>
        <v>299708.679</v>
      </c>
      <c r="I2040" s="22">
        <f>F2040*(1+Assumptions!$B$7+IF(D2040="Yes",Assumptions!$C$7,0))</f>
        <v>305528.26500000001</v>
      </c>
      <c r="J2040" s="22">
        <f>F2040*(1+Assumptions!$B$8+IF(D2040="Yes",Assumptions!$C$8,0))</f>
        <v>293889.09299999999</v>
      </c>
    </row>
    <row r="2041" spans="1:10" ht="15">
      <c r="A2041" s="21">
        <v>41103</v>
      </c>
      <c r="B2041" s="21">
        <v>41091</v>
      </c>
      <c r="C2041" s="17">
        <v>1</v>
      </c>
      <c r="D2041" s="17" t="s">
        <v>91</v>
      </c>
      <c r="E2041" s="14">
        <v>649298.94999999995</v>
      </c>
      <c r="F2041" s="14">
        <v>642237.78</v>
      </c>
      <c r="G2041" s="14">
        <v>642237.78</v>
      </c>
      <c r="H2041" s="22">
        <f>F2041*(1+Assumptions!$B$6+IF(D2041="Yes",Assumptions!$C$6,0))</f>
        <v>661504.91340000008</v>
      </c>
      <c r="I2041" s="22">
        <f>F2041*(1+Assumptions!$B$7+IF(D2041="Yes",Assumptions!$C$7,0))</f>
        <v>674349.66900000011</v>
      </c>
      <c r="J2041" s="22">
        <f>F2041*(1+Assumptions!$B$8+IF(D2041="Yes",Assumptions!$C$8,0))</f>
        <v>648660.15780000004</v>
      </c>
    </row>
    <row r="2042" spans="1:10" ht="15">
      <c r="A2042" s="21">
        <v>41103</v>
      </c>
      <c r="B2042" s="21">
        <v>41091</v>
      </c>
      <c r="C2042" s="17">
        <v>2</v>
      </c>
      <c r="D2042" s="17" t="s">
        <v>91</v>
      </c>
      <c r="E2042" s="14">
        <v>2002513.3399999999</v>
      </c>
      <c r="F2042" s="14">
        <v>2012252.31</v>
      </c>
      <c r="G2042" s="14">
        <v>2012252.31</v>
      </c>
      <c r="H2042" s="22">
        <f>F2042*(1+Assumptions!$B$6+IF(D2042="Yes",Assumptions!$C$6,0))</f>
        <v>2072619.8793000001</v>
      </c>
      <c r="I2042" s="22">
        <f>F2042*(1+Assumptions!$B$7+IF(D2042="Yes",Assumptions!$C$7,0))</f>
        <v>2112864.9255000004</v>
      </c>
      <c r="J2042" s="22">
        <f>F2042*(1+Assumptions!$B$8+IF(D2042="Yes",Assumptions!$C$8,0))</f>
        <v>2032374.8331000002</v>
      </c>
    </row>
    <row r="2043" spans="1:10" ht="15">
      <c r="A2043" s="21">
        <v>41103</v>
      </c>
      <c r="B2043" s="21">
        <v>41091</v>
      </c>
      <c r="C2043" s="17">
        <v>3</v>
      </c>
      <c r="D2043" s="17" t="s">
        <v>91</v>
      </c>
      <c r="E2043" s="14">
        <v>589837.49</v>
      </c>
      <c r="F2043" s="14">
        <v>544806.51</v>
      </c>
      <c r="G2043" s="14">
        <v>544806.51</v>
      </c>
      <c r="H2043" s="22">
        <f>F2043*(1+Assumptions!$B$6+IF(D2043="Yes",Assumptions!$C$6,0))</f>
        <v>561150.70530000003</v>
      </c>
      <c r="I2043" s="22">
        <f>F2043*(1+Assumptions!$B$7+IF(D2043="Yes",Assumptions!$C$7,0))</f>
        <v>572046.83550000004</v>
      </c>
      <c r="J2043" s="22">
        <f>F2043*(1+Assumptions!$B$8+IF(D2043="Yes",Assumptions!$C$8,0))</f>
        <v>550254.57510000002</v>
      </c>
    </row>
    <row r="2044" spans="1:10" ht="15">
      <c r="A2044" s="21">
        <v>41103</v>
      </c>
      <c r="B2044" s="21">
        <v>41091</v>
      </c>
      <c r="C2044" s="17">
        <v>4</v>
      </c>
      <c r="D2044" s="17" t="s">
        <v>91</v>
      </c>
      <c r="E2044" s="14">
        <v>1201826.6000000001</v>
      </c>
      <c r="F2044" s="14">
        <v>1159041.95</v>
      </c>
      <c r="G2044" s="14">
        <v>1159041.95</v>
      </c>
      <c r="H2044" s="22">
        <f>F2044*(1+Assumptions!$B$6+IF(D2044="Yes",Assumptions!$C$6,0))</f>
        <v>1193813.2084999999</v>
      </c>
      <c r="I2044" s="22">
        <f>F2044*(1+Assumptions!$B$7+IF(D2044="Yes",Assumptions!$C$7,0))</f>
        <v>1216994.0475000001</v>
      </c>
      <c r="J2044" s="22">
        <f>F2044*(1+Assumptions!$B$8+IF(D2044="Yes",Assumptions!$C$8,0))</f>
        <v>1170632.3695</v>
      </c>
    </row>
    <row r="2045" spans="1:10" ht="15">
      <c r="A2045" s="21">
        <v>41103</v>
      </c>
      <c r="B2045" s="21">
        <v>41091</v>
      </c>
      <c r="C2045" s="17">
        <v>5</v>
      </c>
      <c r="D2045" s="17" t="s">
        <v>91</v>
      </c>
      <c r="E2045" s="14">
        <v>596908.14</v>
      </c>
      <c r="F2045" s="14">
        <v>665561.96</v>
      </c>
      <c r="G2045" s="14">
        <v>665561.96</v>
      </c>
      <c r="H2045" s="22">
        <f>F2045*(1+Assumptions!$B$6+IF(D2045="Yes",Assumptions!$C$6,0))</f>
        <v>685528.81880000001</v>
      </c>
      <c r="I2045" s="22">
        <f>F2045*(1+Assumptions!$B$7+IF(D2045="Yes",Assumptions!$C$7,0))</f>
        <v>698840.05799999996</v>
      </c>
      <c r="J2045" s="22">
        <f>F2045*(1+Assumptions!$B$8+IF(D2045="Yes",Assumptions!$C$8,0))</f>
        <v>672217.57959999994</v>
      </c>
    </row>
    <row r="2046" spans="1:10" ht="15">
      <c r="A2046" s="21">
        <v>41103</v>
      </c>
      <c r="B2046" s="21">
        <v>41091</v>
      </c>
      <c r="C2046" s="17">
        <v>6</v>
      </c>
      <c r="D2046" s="17" t="s">
        <v>91</v>
      </c>
      <c r="E2046" s="14">
        <v>138822.68</v>
      </c>
      <c r="F2046" s="14">
        <v>182021.1</v>
      </c>
      <c r="G2046" s="14">
        <v>182021.1</v>
      </c>
      <c r="H2046" s="22">
        <f>F2046*(1+Assumptions!$B$6+IF(D2046="Yes",Assumptions!$C$6,0))</f>
        <v>187481.73300000001</v>
      </c>
      <c r="I2046" s="22">
        <f>F2046*(1+Assumptions!$B$7+IF(D2046="Yes",Assumptions!$C$7,0))</f>
        <v>191122.15500000003</v>
      </c>
      <c r="J2046" s="22">
        <f>F2046*(1+Assumptions!$B$8+IF(D2046="Yes",Assumptions!$C$8,0))</f>
        <v>183841.31100000002</v>
      </c>
    </row>
    <row r="2047" spans="1:10" ht="15">
      <c r="A2047" s="21">
        <v>41103</v>
      </c>
      <c r="B2047" s="21">
        <v>41091</v>
      </c>
      <c r="C2047" s="17">
        <v>7</v>
      </c>
      <c r="D2047" s="17" t="s">
        <v>91</v>
      </c>
      <c r="E2047" s="14">
        <v>931672.88</v>
      </c>
      <c r="F2047" s="14">
        <v>961432.61</v>
      </c>
      <c r="G2047" s="14">
        <v>961432.61</v>
      </c>
      <c r="H2047" s="22">
        <f>F2047*(1+Assumptions!$B$6+IF(D2047="Yes",Assumptions!$C$6,0))</f>
        <v>990275.58830000006</v>
      </c>
      <c r="I2047" s="22">
        <f>F2047*(1+Assumptions!$B$7+IF(D2047="Yes",Assumptions!$C$7,0))</f>
        <v>1009504.2405000001</v>
      </c>
      <c r="J2047" s="22">
        <f>F2047*(1+Assumptions!$B$8+IF(D2047="Yes",Assumptions!$C$8,0))</f>
        <v>971046.93610000005</v>
      </c>
    </row>
    <row r="2048" spans="1:10" ht="15">
      <c r="A2048" s="21">
        <v>41103</v>
      </c>
      <c r="B2048" s="21">
        <v>41091</v>
      </c>
      <c r="C2048" s="17">
        <v>8</v>
      </c>
      <c r="D2048" s="17" t="s">
        <v>91</v>
      </c>
      <c r="E2048" s="14">
        <v>1339914.44</v>
      </c>
      <c r="F2048" s="14">
        <v>1308394.53</v>
      </c>
      <c r="G2048" s="14">
        <v>1308394.53</v>
      </c>
      <c r="H2048" s="22">
        <f>F2048*(1+Assumptions!$B$6+IF(D2048="Yes",Assumptions!$C$6,0))</f>
        <v>1347646.3659000001</v>
      </c>
      <c r="I2048" s="22">
        <f>F2048*(1+Assumptions!$B$7+IF(D2048="Yes",Assumptions!$C$7,0))</f>
        <v>1373814.2565000001</v>
      </c>
      <c r="J2048" s="22">
        <f>F2048*(1+Assumptions!$B$8+IF(D2048="Yes",Assumptions!$C$8,0))</f>
        <v>1321478.4753</v>
      </c>
    </row>
    <row r="2049" spans="1:10" ht="15">
      <c r="A2049" s="21">
        <v>41103</v>
      </c>
      <c r="B2049" s="21">
        <v>41091</v>
      </c>
      <c r="C2049" s="17">
        <v>9</v>
      </c>
      <c r="D2049" s="17" t="s">
        <v>91</v>
      </c>
      <c r="E2049" s="14">
        <v>1062447.3999999999</v>
      </c>
      <c r="F2049" s="14">
        <v>1073600.94</v>
      </c>
      <c r="G2049" s="14">
        <v>1073600.94</v>
      </c>
      <c r="H2049" s="22">
        <f>F2049*(1+Assumptions!$B$6+IF(D2049="Yes",Assumptions!$C$6,0))</f>
        <v>1105808.9682</v>
      </c>
      <c r="I2049" s="22">
        <f>F2049*(1+Assumptions!$B$7+IF(D2049="Yes",Assumptions!$C$7,0))</f>
        <v>1127280.987</v>
      </c>
      <c r="J2049" s="22">
        <f>F2049*(1+Assumptions!$B$8+IF(D2049="Yes",Assumptions!$C$8,0))</f>
        <v>1084336.9494</v>
      </c>
    </row>
    <row r="2050" spans="1:10" ht="15">
      <c r="A2050" s="21">
        <v>41103</v>
      </c>
      <c r="B2050" s="21">
        <v>41091</v>
      </c>
      <c r="C2050" s="17">
        <v>10</v>
      </c>
      <c r="D2050" s="17" t="s">
        <v>91</v>
      </c>
      <c r="E2050" s="14">
        <v>886873.95000000007</v>
      </c>
      <c r="F2050" s="14">
        <v>874537.06</v>
      </c>
      <c r="G2050" s="14">
        <v>874537.06</v>
      </c>
      <c r="H2050" s="22">
        <f>F2050*(1+Assumptions!$B$6+IF(D2050="Yes",Assumptions!$C$6,0))</f>
        <v>900773.17180000013</v>
      </c>
      <c r="I2050" s="22">
        <f>F2050*(1+Assumptions!$B$7+IF(D2050="Yes",Assumptions!$C$7,0))</f>
        <v>918263.91300000006</v>
      </c>
      <c r="J2050" s="22">
        <f>F2050*(1+Assumptions!$B$8+IF(D2050="Yes",Assumptions!$C$8,0))</f>
        <v>883282.43060000008</v>
      </c>
    </row>
    <row r="2051" spans="1:10" ht="15">
      <c r="A2051" s="21">
        <v>41103</v>
      </c>
      <c r="B2051" s="21">
        <v>41091</v>
      </c>
      <c r="C2051" s="17">
        <v>11</v>
      </c>
      <c r="D2051" s="17" t="s">
        <v>91</v>
      </c>
      <c r="E2051" s="14">
        <v>760676.4</v>
      </c>
      <c r="F2051" s="14">
        <v>785549.71</v>
      </c>
      <c r="G2051" s="14">
        <v>785549.71</v>
      </c>
      <c r="H2051" s="22">
        <f>F2051*(1+Assumptions!$B$6+IF(D2051="Yes",Assumptions!$C$6,0))</f>
        <v>809116.20129999996</v>
      </c>
      <c r="I2051" s="22">
        <f>F2051*(1+Assumptions!$B$7+IF(D2051="Yes",Assumptions!$C$7,0))</f>
        <v>824827.19550000003</v>
      </c>
      <c r="J2051" s="22">
        <f>F2051*(1+Assumptions!$B$8+IF(D2051="Yes",Assumptions!$C$8,0))</f>
        <v>793405.2071</v>
      </c>
    </row>
    <row r="2052" spans="1:10" ht="15">
      <c r="A2052" s="21">
        <v>41103</v>
      </c>
      <c r="B2052" s="21">
        <v>41091</v>
      </c>
      <c r="C2052" s="17">
        <v>12</v>
      </c>
      <c r="D2052" s="17" t="s">
        <v>91</v>
      </c>
      <c r="E2052" s="14">
        <v>215321.53</v>
      </c>
      <c r="F2052" s="14">
        <v>215628.37</v>
      </c>
      <c r="G2052" s="14">
        <v>215628.37</v>
      </c>
      <c r="H2052" s="22">
        <f>F2052*(1+Assumptions!$B$6+IF(D2052="Yes",Assumptions!$C$6,0))</f>
        <v>222097.2211</v>
      </c>
      <c r="I2052" s="22">
        <f>F2052*(1+Assumptions!$B$7+IF(D2052="Yes",Assumptions!$C$7,0))</f>
        <v>226409.7885</v>
      </c>
      <c r="J2052" s="22">
        <f>F2052*(1+Assumptions!$B$8+IF(D2052="Yes",Assumptions!$C$8,0))</f>
        <v>217784.6537</v>
      </c>
    </row>
    <row r="2053" spans="1:10" ht="15">
      <c r="A2053" s="21">
        <v>41103</v>
      </c>
      <c r="B2053" s="21">
        <v>41091</v>
      </c>
      <c r="C2053" s="17">
        <v>13</v>
      </c>
      <c r="D2053" s="17" t="s">
        <v>91</v>
      </c>
      <c r="E2053" s="14">
        <v>1356708.85</v>
      </c>
      <c r="F2053" s="14">
        <v>1357140.51</v>
      </c>
      <c r="G2053" s="14">
        <v>1357140.51</v>
      </c>
      <c r="H2053" s="22">
        <f>F2053*(1+Assumptions!$B$6+IF(D2053="Yes",Assumptions!$C$6,0))</f>
        <v>1397854.7253</v>
      </c>
      <c r="I2053" s="22">
        <f>F2053*(1+Assumptions!$B$7+IF(D2053="Yes",Assumptions!$C$7,0))</f>
        <v>1424997.5355</v>
      </c>
      <c r="J2053" s="22">
        <f>F2053*(1+Assumptions!$B$8+IF(D2053="Yes",Assumptions!$C$8,0))</f>
        <v>1370711.9151000001</v>
      </c>
    </row>
    <row r="2054" spans="1:10" ht="15">
      <c r="A2054" s="21">
        <v>41103</v>
      </c>
      <c r="B2054" s="21">
        <v>41091</v>
      </c>
      <c r="C2054" s="17">
        <v>14</v>
      </c>
      <c r="D2054" s="17" t="s">
        <v>91</v>
      </c>
      <c r="E2054" s="14">
        <v>580499.54</v>
      </c>
      <c r="F2054" s="14">
        <v>549031.06999999995</v>
      </c>
      <c r="G2054" s="14">
        <v>549031.06999999995</v>
      </c>
      <c r="H2054" s="22">
        <f>F2054*(1+Assumptions!$B$6+IF(D2054="Yes",Assumptions!$C$6,0))</f>
        <v>565502.00209999993</v>
      </c>
      <c r="I2054" s="22">
        <f>F2054*(1+Assumptions!$B$7+IF(D2054="Yes",Assumptions!$C$7,0))</f>
        <v>576482.62349999999</v>
      </c>
      <c r="J2054" s="22">
        <f>F2054*(1+Assumptions!$B$8+IF(D2054="Yes",Assumptions!$C$8,0))</f>
        <v>554521.38069999998</v>
      </c>
    </row>
    <row r="2055" spans="1:10" ht="15">
      <c r="A2055" s="21">
        <v>41103</v>
      </c>
      <c r="B2055" s="21">
        <v>41091</v>
      </c>
      <c r="C2055" s="17">
        <v>16</v>
      </c>
      <c r="D2055" s="17" t="s">
        <v>91</v>
      </c>
      <c r="E2055" s="14">
        <v>837879.25</v>
      </c>
      <c r="F2055" s="14">
        <v>939708.87</v>
      </c>
      <c r="G2055" s="14">
        <v>939708.87</v>
      </c>
      <c r="H2055" s="22">
        <f>F2055*(1+Assumptions!$B$6+IF(D2055="Yes",Assumptions!$C$6,0))</f>
        <v>967900.1361</v>
      </c>
      <c r="I2055" s="22">
        <f>F2055*(1+Assumptions!$B$7+IF(D2055="Yes",Assumptions!$C$7,0))</f>
        <v>986694.31350000005</v>
      </c>
      <c r="J2055" s="22">
        <f>F2055*(1+Assumptions!$B$8+IF(D2055="Yes",Assumptions!$C$8,0))</f>
        <v>949105.95869999996</v>
      </c>
    </row>
    <row r="2056" spans="1:10" ht="15">
      <c r="A2056" s="21">
        <v>41103</v>
      </c>
      <c r="B2056" s="21">
        <v>41091</v>
      </c>
      <c r="C2056" s="17">
        <v>17</v>
      </c>
      <c r="D2056" s="17" t="s">
        <v>91</v>
      </c>
      <c r="E2056" s="14">
        <v>384733.58</v>
      </c>
      <c r="F2056" s="14">
        <v>383472.06</v>
      </c>
      <c r="G2056" s="14">
        <v>383472.06</v>
      </c>
      <c r="H2056" s="22">
        <f>F2056*(1+Assumptions!$B$6+IF(D2056="Yes",Assumptions!$C$6,0))</f>
        <v>394976.2218</v>
      </c>
      <c r="I2056" s="22">
        <f>F2056*(1+Assumptions!$B$7+IF(D2056="Yes",Assumptions!$C$7,0))</f>
        <v>402645.663</v>
      </c>
      <c r="J2056" s="22">
        <f>F2056*(1+Assumptions!$B$8+IF(D2056="Yes",Assumptions!$C$8,0))</f>
        <v>387306.7806</v>
      </c>
    </row>
    <row r="2057" spans="1:10" ht="15">
      <c r="A2057" s="21">
        <v>41103</v>
      </c>
      <c r="B2057" s="21">
        <v>41091</v>
      </c>
      <c r="C2057" s="17">
        <v>18</v>
      </c>
      <c r="D2057" s="17" t="s">
        <v>91</v>
      </c>
      <c r="E2057" s="14">
        <v>11.639999999999999</v>
      </c>
      <c r="F2057" s="14">
        <v>0.87000000000000011</v>
      </c>
      <c r="G2057" s="14">
        <v>0.87000000000000011</v>
      </c>
      <c r="H2057" s="22">
        <f>F2057*(1+Assumptions!$B$6+IF(D2057="Yes",Assumptions!$C$6,0))</f>
        <v>0.89610000000000012</v>
      </c>
      <c r="I2057" s="22">
        <f>F2057*(1+Assumptions!$B$7+IF(D2057="Yes",Assumptions!$C$7,0))</f>
        <v>0.9135000000000002</v>
      </c>
      <c r="J2057" s="22">
        <f>F2057*(1+Assumptions!$B$8+IF(D2057="Yes",Assumptions!$C$8,0))</f>
        <v>0.87870000000000015</v>
      </c>
    </row>
    <row r="2058" spans="1:10" ht="15">
      <c r="A2058" s="21">
        <v>41103</v>
      </c>
      <c r="B2058" s="21">
        <v>41091</v>
      </c>
      <c r="C2058" s="17">
        <v>19</v>
      </c>
      <c r="D2058" s="17" t="s">
        <v>91</v>
      </c>
      <c r="E2058" s="14">
        <v>44020.88</v>
      </c>
      <c r="F2058" s="14">
        <v>42233.94</v>
      </c>
      <c r="G2058" s="14">
        <v>42233.94</v>
      </c>
      <c r="H2058" s="22">
        <f>F2058*(1+Assumptions!$B$6+IF(D2058="Yes",Assumptions!$C$6,0))</f>
        <v>43500.958200000001</v>
      </c>
      <c r="I2058" s="22">
        <f>F2058*(1+Assumptions!$B$7+IF(D2058="Yes",Assumptions!$C$7,0))</f>
        <v>44345.637000000002</v>
      </c>
      <c r="J2058" s="22">
        <f>F2058*(1+Assumptions!$B$8+IF(D2058="Yes",Assumptions!$C$8,0))</f>
        <v>42656.279399999999</v>
      </c>
    </row>
    <row r="2059" spans="1:10" ht="15">
      <c r="A2059" s="21">
        <v>41103</v>
      </c>
      <c r="B2059" s="21">
        <v>41091</v>
      </c>
      <c r="C2059" s="17">
        <v>20</v>
      </c>
      <c r="D2059" s="17" t="s">
        <v>91</v>
      </c>
      <c r="E2059" s="14">
        <v>249127.21</v>
      </c>
      <c r="F2059" s="14">
        <v>239655.91</v>
      </c>
      <c r="G2059" s="14">
        <v>239655.91</v>
      </c>
      <c r="H2059" s="22">
        <f>F2059*(1+Assumptions!$B$6+IF(D2059="Yes",Assumptions!$C$6,0))</f>
        <v>246845.58730000001</v>
      </c>
      <c r="I2059" s="22">
        <f>F2059*(1+Assumptions!$B$7+IF(D2059="Yes",Assumptions!$C$7,0))</f>
        <v>251638.70550000001</v>
      </c>
      <c r="J2059" s="22">
        <f>F2059*(1+Assumptions!$B$8+IF(D2059="Yes",Assumptions!$C$8,0))</f>
        <v>242052.46910000002</v>
      </c>
    </row>
    <row r="2060" spans="1:10" ht="15">
      <c r="A2060" s="21">
        <v>41103</v>
      </c>
      <c r="B2060" s="21">
        <v>41091</v>
      </c>
      <c r="C2060" s="17">
        <v>21</v>
      </c>
      <c r="D2060" s="17" t="s">
        <v>91</v>
      </c>
      <c r="E2060" s="14">
        <v>207582.6</v>
      </c>
      <c r="F2060" s="14">
        <v>208001.68</v>
      </c>
      <c r="G2060" s="14">
        <v>208001.68</v>
      </c>
      <c r="H2060" s="22">
        <f>F2060*(1+Assumptions!$B$6+IF(D2060="Yes",Assumptions!$C$6,0))</f>
        <v>214241.7304</v>
      </c>
      <c r="I2060" s="22">
        <f>F2060*(1+Assumptions!$B$7+IF(D2060="Yes",Assumptions!$C$7,0))</f>
        <v>218401.764</v>
      </c>
      <c r="J2060" s="22">
        <f>F2060*(1+Assumptions!$B$8+IF(D2060="Yes",Assumptions!$C$8,0))</f>
        <v>210081.69680000001</v>
      </c>
    </row>
    <row r="2061" spans="1:10" ht="15">
      <c r="A2061" s="21">
        <v>41103</v>
      </c>
      <c r="B2061" s="21">
        <v>41091</v>
      </c>
      <c r="C2061" s="17">
        <v>22</v>
      </c>
      <c r="D2061" s="17" t="s">
        <v>91</v>
      </c>
      <c r="E2061" s="14">
        <v>389686.27</v>
      </c>
      <c r="F2061" s="14">
        <v>378721.97</v>
      </c>
      <c r="G2061" s="14">
        <v>378721.97</v>
      </c>
      <c r="H2061" s="22">
        <f>F2061*(1+Assumptions!$B$6+IF(D2061="Yes",Assumptions!$C$6,0))</f>
        <v>390083.62909999996</v>
      </c>
      <c r="I2061" s="22">
        <f>F2061*(1+Assumptions!$B$7+IF(D2061="Yes",Assumptions!$C$7,0))</f>
        <v>397658.06849999999</v>
      </c>
      <c r="J2061" s="22">
        <f>F2061*(1+Assumptions!$B$8+IF(D2061="Yes",Assumptions!$C$8,0))</f>
        <v>382509.18969999999</v>
      </c>
    </row>
    <row r="2062" spans="1:10" ht="15">
      <c r="A2062" s="21">
        <v>41103</v>
      </c>
      <c r="B2062" s="21">
        <v>41091</v>
      </c>
      <c r="C2062" s="17">
        <v>23</v>
      </c>
      <c r="D2062" s="17" t="s">
        <v>91</v>
      </c>
      <c r="E2062" s="14">
        <v>950704.29</v>
      </c>
      <c r="F2062" s="14">
        <v>910929.11</v>
      </c>
      <c r="G2062" s="14">
        <v>910929.11</v>
      </c>
      <c r="H2062" s="22">
        <f>F2062*(1+Assumptions!$B$6+IF(D2062="Yes",Assumptions!$C$6,0))</f>
        <v>938256.98329999996</v>
      </c>
      <c r="I2062" s="22">
        <f>F2062*(1+Assumptions!$B$7+IF(D2062="Yes",Assumptions!$C$7,0))</f>
        <v>956475.56550000003</v>
      </c>
      <c r="J2062" s="22">
        <f>F2062*(1+Assumptions!$B$8+IF(D2062="Yes",Assumptions!$C$8,0))</f>
        <v>920038.40110000002</v>
      </c>
    </row>
    <row r="2063" spans="1:10" ht="15">
      <c r="A2063" s="21">
        <v>41103</v>
      </c>
      <c r="B2063" s="21">
        <v>41091</v>
      </c>
      <c r="C2063" s="17">
        <v>24</v>
      </c>
      <c r="D2063" s="17" t="s">
        <v>91</v>
      </c>
      <c r="E2063" s="14">
        <v>194364.1</v>
      </c>
      <c r="F2063" s="14">
        <v>191120.54</v>
      </c>
      <c r="G2063" s="14">
        <v>191120.54</v>
      </c>
      <c r="H2063" s="22">
        <f>F2063*(1+Assumptions!$B$6+IF(D2063="Yes",Assumptions!$C$6,0))</f>
        <v>196854.15620000003</v>
      </c>
      <c r="I2063" s="22">
        <f>F2063*(1+Assumptions!$B$7+IF(D2063="Yes",Assumptions!$C$7,0))</f>
        <v>200676.56700000001</v>
      </c>
      <c r="J2063" s="22">
        <f>F2063*(1+Assumptions!$B$8+IF(D2063="Yes",Assumptions!$C$8,0))</f>
        <v>193031.74540000001</v>
      </c>
    </row>
    <row r="2064" spans="1:10" ht="15">
      <c r="A2064" s="21">
        <v>41103</v>
      </c>
      <c r="B2064" s="21">
        <v>41091</v>
      </c>
      <c r="C2064" s="17">
        <v>25</v>
      </c>
      <c r="D2064" s="17" t="s">
        <v>91</v>
      </c>
      <c r="E2064" s="14">
        <v>348849.61</v>
      </c>
      <c r="F2064" s="14">
        <v>364438.8</v>
      </c>
      <c r="G2064" s="14">
        <v>364438.8</v>
      </c>
      <c r="H2064" s="22">
        <f>F2064*(1+Assumptions!$B$6+IF(D2064="Yes",Assumptions!$C$6,0))</f>
        <v>375371.96399999998</v>
      </c>
      <c r="I2064" s="22">
        <f>F2064*(1+Assumptions!$B$7+IF(D2064="Yes",Assumptions!$C$7,0))</f>
        <v>382660.74</v>
      </c>
      <c r="J2064" s="22">
        <f>F2064*(1+Assumptions!$B$8+IF(D2064="Yes",Assumptions!$C$8,0))</f>
        <v>368083.18799999997</v>
      </c>
    </row>
    <row r="2065" spans="1:10" ht="15">
      <c r="A2065" s="21">
        <v>41103</v>
      </c>
      <c r="B2065" s="21">
        <v>41091</v>
      </c>
      <c r="C2065" s="17">
        <v>26</v>
      </c>
      <c r="D2065" s="17" t="s">
        <v>91</v>
      </c>
      <c r="E2065" s="14">
        <v>220542.86000000002</v>
      </c>
      <c r="F2065" s="14">
        <v>225914.01</v>
      </c>
      <c r="G2065" s="14">
        <v>225914.01</v>
      </c>
      <c r="H2065" s="22">
        <f>F2065*(1+Assumptions!$B$6+IF(D2065="Yes",Assumptions!$C$6,0))</f>
        <v>232691.43030000001</v>
      </c>
      <c r="I2065" s="22">
        <f>F2065*(1+Assumptions!$B$7+IF(D2065="Yes",Assumptions!$C$7,0))</f>
        <v>237209.71050000002</v>
      </c>
      <c r="J2065" s="22">
        <f>F2065*(1+Assumptions!$B$8+IF(D2065="Yes",Assumptions!$C$8,0))</f>
        <v>228173.1501</v>
      </c>
    </row>
    <row r="2066" spans="1:10" ht="15">
      <c r="A2066" s="21">
        <v>41103</v>
      </c>
      <c r="B2066" s="21">
        <v>41091</v>
      </c>
      <c r="C2066" s="17">
        <v>27</v>
      </c>
      <c r="D2066" s="17" t="s">
        <v>91</v>
      </c>
      <c r="E2066" s="14">
        <v>43847.19</v>
      </c>
      <c r="F2066" s="14">
        <v>42519.56</v>
      </c>
      <c r="G2066" s="14">
        <v>42519.56</v>
      </c>
      <c r="H2066" s="22">
        <f>F2066*(1+Assumptions!$B$6+IF(D2066="Yes",Assumptions!$C$6,0))</f>
        <v>43795.146800000002</v>
      </c>
      <c r="I2066" s="22">
        <f>F2066*(1+Assumptions!$B$7+IF(D2066="Yes",Assumptions!$C$7,0))</f>
        <v>44645.538</v>
      </c>
      <c r="J2066" s="22">
        <f>F2066*(1+Assumptions!$B$8+IF(D2066="Yes",Assumptions!$C$8,0))</f>
        <v>42944.755599999997</v>
      </c>
    </row>
    <row r="2067" spans="1:10" ht="15">
      <c r="A2067" s="21">
        <v>41103</v>
      </c>
      <c r="B2067" s="21">
        <v>41091</v>
      </c>
      <c r="C2067" s="17">
        <v>28</v>
      </c>
      <c r="D2067" s="17" t="s">
        <v>91</v>
      </c>
      <c r="E2067" s="14">
        <v>14376.88</v>
      </c>
      <c r="F2067" s="14">
        <v>14901.63</v>
      </c>
      <c r="G2067" s="14">
        <v>14901.63</v>
      </c>
      <c r="H2067" s="22">
        <f>F2067*(1+Assumptions!$B$6+IF(D2067="Yes",Assumptions!$C$6,0))</f>
        <v>15348.678899999999</v>
      </c>
      <c r="I2067" s="22">
        <f>F2067*(1+Assumptions!$B$7+IF(D2067="Yes",Assumptions!$C$7,0))</f>
        <v>15646.711499999999</v>
      </c>
      <c r="J2067" s="22">
        <f>F2067*(1+Assumptions!$B$8+IF(D2067="Yes",Assumptions!$C$8,0))</f>
        <v>15050.646299999999</v>
      </c>
    </row>
    <row r="2068" spans="1:10" ht="15">
      <c r="A2068" s="21">
        <v>41103</v>
      </c>
      <c r="B2068" s="21">
        <v>41091</v>
      </c>
      <c r="C2068" s="17">
        <v>29</v>
      </c>
      <c r="D2068" s="17" t="s">
        <v>91</v>
      </c>
      <c r="E2068" s="14">
        <v>207740.14</v>
      </c>
      <c r="F2068" s="14">
        <v>197428.17</v>
      </c>
      <c r="G2068" s="14">
        <v>197428.17</v>
      </c>
      <c r="H2068" s="22">
        <f>F2068*(1+Assumptions!$B$6+IF(D2068="Yes",Assumptions!$C$6,0))</f>
        <v>203351.01510000002</v>
      </c>
      <c r="I2068" s="22">
        <f>F2068*(1+Assumptions!$B$7+IF(D2068="Yes",Assumptions!$C$7,0))</f>
        <v>207299.57850000003</v>
      </c>
      <c r="J2068" s="22">
        <f>F2068*(1+Assumptions!$B$8+IF(D2068="Yes",Assumptions!$C$8,0))</f>
        <v>199402.45170000001</v>
      </c>
    </row>
    <row r="2069" spans="1:10" ht="15">
      <c r="A2069" s="21">
        <v>41103</v>
      </c>
      <c r="B2069" s="21">
        <v>41091</v>
      </c>
      <c r="C2069" s="17">
        <v>30</v>
      </c>
      <c r="D2069" s="17" t="s">
        <v>91</v>
      </c>
      <c r="E2069" s="14">
        <v>157183.21</v>
      </c>
      <c r="F2069" s="14">
        <v>164663.48000000001</v>
      </c>
      <c r="G2069" s="14">
        <v>164663.48000000001</v>
      </c>
      <c r="H2069" s="22">
        <f>F2069*(1+Assumptions!$B$6+IF(D2069="Yes",Assumptions!$C$6,0))</f>
        <v>169603.38440000001</v>
      </c>
      <c r="I2069" s="22">
        <f>F2069*(1+Assumptions!$B$7+IF(D2069="Yes",Assumptions!$C$7,0))</f>
        <v>172896.65400000001</v>
      </c>
      <c r="J2069" s="22">
        <f>F2069*(1+Assumptions!$B$8+IF(D2069="Yes",Assumptions!$C$8,0))</f>
        <v>166310.11480000001</v>
      </c>
    </row>
    <row r="2070" spans="1:10" ht="15">
      <c r="A2070" s="21">
        <v>41103</v>
      </c>
      <c r="B2070" s="21">
        <v>41091</v>
      </c>
      <c r="C2070" s="17">
        <v>31</v>
      </c>
      <c r="D2070" s="17" t="s">
        <v>91</v>
      </c>
      <c r="E2070" s="14">
        <v>95123.46</v>
      </c>
      <c r="F2070" s="14">
        <v>96787.88</v>
      </c>
      <c r="G2070" s="14">
        <v>96787.88</v>
      </c>
      <c r="H2070" s="22">
        <f>F2070*(1+Assumptions!$B$6+IF(D2070="Yes",Assumptions!$C$6,0))</f>
        <v>99691.516400000008</v>
      </c>
      <c r="I2070" s="22">
        <f>F2070*(1+Assumptions!$B$7+IF(D2070="Yes",Assumptions!$C$7,0))</f>
        <v>101627.274</v>
      </c>
      <c r="J2070" s="22">
        <f>F2070*(1+Assumptions!$B$8+IF(D2070="Yes",Assumptions!$C$8,0))</f>
        <v>97755.758800000011</v>
      </c>
    </row>
    <row r="2071" spans="1:10" ht="15">
      <c r="A2071" s="21">
        <v>41103</v>
      </c>
      <c r="B2071" s="21">
        <v>41091</v>
      </c>
      <c r="C2071" s="17">
        <v>32</v>
      </c>
      <c r="D2071" s="17" t="s">
        <v>91</v>
      </c>
      <c r="E2071" s="14">
        <v>252209.86000000002</v>
      </c>
      <c r="F2071" s="14">
        <v>256040.36000000002</v>
      </c>
      <c r="G2071" s="14">
        <v>256040.36000000002</v>
      </c>
      <c r="H2071" s="22">
        <f>F2071*(1+Assumptions!$B$6+IF(D2071="Yes",Assumptions!$C$6,0))</f>
        <v>263721.57080000004</v>
      </c>
      <c r="I2071" s="22">
        <f>F2071*(1+Assumptions!$B$7+IF(D2071="Yes",Assumptions!$C$7,0))</f>
        <v>268842.37800000003</v>
      </c>
      <c r="J2071" s="22">
        <f>F2071*(1+Assumptions!$B$8+IF(D2071="Yes",Assumptions!$C$8,0))</f>
        <v>258600.76360000001</v>
      </c>
    </row>
    <row r="2072" spans="1:10" ht="15">
      <c r="A2072" s="21">
        <v>41103</v>
      </c>
      <c r="B2072" s="21">
        <v>41091</v>
      </c>
      <c r="C2072" s="17">
        <v>33</v>
      </c>
      <c r="D2072" s="17" t="s">
        <v>91</v>
      </c>
      <c r="E2072" s="14">
        <v>209044.01</v>
      </c>
      <c r="F2072" s="14">
        <v>196446.42</v>
      </c>
      <c r="G2072" s="14">
        <v>196446.42</v>
      </c>
      <c r="H2072" s="22">
        <f>F2072*(1+Assumptions!$B$6+IF(D2072="Yes",Assumptions!$C$6,0))</f>
        <v>202339.8126</v>
      </c>
      <c r="I2072" s="22">
        <f>F2072*(1+Assumptions!$B$7+IF(D2072="Yes",Assumptions!$C$7,0))</f>
        <v>206268.74100000001</v>
      </c>
      <c r="J2072" s="22">
        <f>F2072*(1+Assumptions!$B$8+IF(D2072="Yes",Assumptions!$C$8,0))</f>
        <v>198410.8842</v>
      </c>
    </row>
    <row r="2073" spans="1:10" ht="15">
      <c r="A2073" s="21">
        <v>41103</v>
      </c>
      <c r="B2073" s="21">
        <v>41091</v>
      </c>
      <c r="C2073" s="17">
        <v>34</v>
      </c>
      <c r="D2073" s="17" t="s">
        <v>91</v>
      </c>
      <c r="E2073" s="14">
        <v>600830.86</v>
      </c>
      <c r="F2073" s="14">
        <v>601397.55999999994</v>
      </c>
      <c r="G2073" s="14">
        <v>601397.55999999994</v>
      </c>
      <c r="H2073" s="22">
        <f>F2073*(1+Assumptions!$B$6+IF(D2073="Yes",Assumptions!$C$6,0))</f>
        <v>619439.48679999996</v>
      </c>
      <c r="I2073" s="22">
        <f>F2073*(1+Assumptions!$B$7+IF(D2073="Yes",Assumptions!$C$7,0))</f>
        <v>631467.43799999997</v>
      </c>
      <c r="J2073" s="22">
        <f>F2073*(1+Assumptions!$B$8+IF(D2073="Yes",Assumptions!$C$8,0))</f>
        <v>607411.53559999994</v>
      </c>
    </row>
    <row r="2074" spans="1:10" ht="15">
      <c r="A2074" s="21">
        <v>41103</v>
      </c>
      <c r="B2074" s="21">
        <v>41091</v>
      </c>
      <c r="C2074" s="17">
        <v>35</v>
      </c>
      <c r="D2074" s="17" t="s">
        <v>91</v>
      </c>
      <c r="E2074" s="14">
        <v>103711.77</v>
      </c>
      <c r="F2074" s="14">
        <v>108620.83</v>
      </c>
      <c r="G2074" s="14">
        <v>108620.83</v>
      </c>
      <c r="H2074" s="22">
        <f>F2074*(1+Assumptions!$B$6+IF(D2074="Yes",Assumptions!$C$6,0))</f>
        <v>111879.45490000001</v>
      </c>
      <c r="I2074" s="22">
        <f>F2074*(1+Assumptions!$B$7+IF(D2074="Yes",Assumptions!$C$7,0))</f>
        <v>114051.87150000001</v>
      </c>
      <c r="J2074" s="22">
        <f>F2074*(1+Assumptions!$B$8+IF(D2074="Yes",Assumptions!$C$8,0))</f>
        <v>109707.0383</v>
      </c>
    </row>
    <row r="2075" spans="1:10" ht="15">
      <c r="A2075" s="21">
        <v>41103</v>
      </c>
      <c r="B2075" s="21">
        <v>41091</v>
      </c>
      <c r="C2075" s="17">
        <v>36</v>
      </c>
      <c r="D2075" s="17" t="s">
        <v>91</v>
      </c>
      <c r="E2075" s="14">
        <v>86509.759999999995</v>
      </c>
      <c r="F2075" s="14">
        <v>105835.1</v>
      </c>
      <c r="G2075" s="14">
        <v>105835.1</v>
      </c>
      <c r="H2075" s="22">
        <f>F2075*(1+Assumptions!$B$6+IF(D2075="Yes",Assumptions!$C$6,0))</f>
        <v>109010.15300000001</v>
      </c>
      <c r="I2075" s="22">
        <f>F2075*(1+Assumptions!$B$7+IF(D2075="Yes",Assumptions!$C$7,0))</f>
        <v>111126.85500000001</v>
      </c>
      <c r="J2075" s="22">
        <f>F2075*(1+Assumptions!$B$8+IF(D2075="Yes",Assumptions!$C$8,0))</f>
        <v>106893.451</v>
      </c>
    </row>
    <row r="2076" spans="1:10" ht="15">
      <c r="A2076" s="21">
        <v>41103</v>
      </c>
      <c r="B2076" s="21">
        <v>41091</v>
      </c>
      <c r="C2076" s="17">
        <v>37</v>
      </c>
      <c r="D2076" s="17" t="s">
        <v>91</v>
      </c>
      <c r="E2076" s="14">
        <v>53330.92</v>
      </c>
      <c r="F2076" s="14">
        <v>51247.22</v>
      </c>
      <c r="G2076" s="14">
        <v>51247.22</v>
      </c>
      <c r="H2076" s="22">
        <f>F2076*(1+Assumptions!$B$6+IF(D2076="Yes",Assumptions!$C$6,0))</f>
        <v>52784.636600000005</v>
      </c>
      <c r="I2076" s="22">
        <f>F2076*(1+Assumptions!$B$7+IF(D2076="Yes",Assumptions!$C$7,0))</f>
        <v>53809.581000000006</v>
      </c>
      <c r="J2076" s="22">
        <f>F2076*(1+Assumptions!$B$8+IF(D2076="Yes",Assumptions!$C$8,0))</f>
        <v>51759.692200000005</v>
      </c>
    </row>
    <row r="2077" spans="1:10" ht="15">
      <c r="A2077" s="21">
        <v>41103</v>
      </c>
      <c r="B2077" s="21">
        <v>41091</v>
      </c>
      <c r="C2077" s="17">
        <v>38</v>
      </c>
      <c r="D2077" s="17" t="s">
        <v>91</v>
      </c>
      <c r="E2077" s="14">
        <v>2795184.47</v>
      </c>
      <c r="F2077" s="14">
        <v>2734441.78</v>
      </c>
      <c r="G2077" s="14">
        <v>2734441.78</v>
      </c>
      <c r="H2077" s="22">
        <f>F2077*(1+Assumptions!$B$6+IF(D2077="Yes",Assumptions!$C$6,0))</f>
        <v>2816475.0334000001</v>
      </c>
      <c r="I2077" s="22">
        <f>F2077*(1+Assumptions!$B$7+IF(D2077="Yes",Assumptions!$C$7,0))</f>
        <v>2871163.8689999999</v>
      </c>
      <c r="J2077" s="22">
        <f>F2077*(1+Assumptions!$B$8+IF(D2077="Yes",Assumptions!$C$8,0))</f>
        <v>2761786.1977999997</v>
      </c>
    </row>
    <row r="2078" spans="1:10" ht="15">
      <c r="A2078" s="21">
        <v>41103</v>
      </c>
      <c r="B2078" s="21">
        <v>41091</v>
      </c>
      <c r="C2078" s="17">
        <v>40</v>
      </c>
      <c r="D2078" s="17" t="s">
        <v>91</v>
      </c>
      <c r="E2078" s="14">
        <v>1972018.73</v>
      </c>
      <c r="F2078" s="14">
        <v>1894941.85</v>
      </c>
      <c r="G2078" s="14">
        <v>1894941.85</v>
      </c>
      <c r="H2078" s="22">
        <f>F2078*(1+Assumptions!$B$6+IF(D2078="Yes",Assumptions!$C$6,0))</f>
        <v>1951790.1055000001</v>
      </c>
      <c r="I2078" s="22">
        <f>F2078*(1+Assumptions!$B$7+IF(D2078="Yes",Assumptions!$C$7,0))</f>
        <v>1989688.9425000001</v>
      </c>
      <c r="J2078" s="22">
        <f>F2078*(1+Assumptions!$B$8+IF(D2078="Yes",Assumptions!$C$8,0))</f>
        <v>1913891.2685</v>
      </c>
    </row>
    <row r="2079" spans="1:10" ht="15">
      <c r="A2079" s="21">
        <v>41103</v>
      </c>
      <c r="B2079" s="21">
        <v>41091</v>
      </c>
      <c r="C2079" s="17">
        <v>41</v>
      </c>
      <c r="D2079" s="17" t="s">
        <v>91</v>
      </c>
      <c r="E2079" s="14">
        <v>50059.520000000004</v>
      </c>
      <c r="F2079" s="14">
        <v>51696.89</v>
      </c>
      <c r="G2079" s="14">
        <v>51696.89</v>
      </c>
      <c r="H2079" s="22">
        <f>F2079*(1+Assumptions!$B$6+IF(D2079="Yes",Assumptions!$C$6,0))</f>
        <v>53247.796699999999</v>
      </c>
      <c r="I2079" s="22">
        <f>F2079*(1+Assumptions!$B$7+IF(D2079="Yes",Assumptions!$C$7,0))</f>
        <v>54281.734499999999</v>
      </c>
      <c r="J2079" s="22">
        <f>F2079*(1+Assumptions!$B$8+IF(D2079="Yes",Assumptions!$C$8,0))</f>
        <v>52213.858899999999</v>
      </c>
    </row>
    <row r="2080" spans="1:10" ht="15">
      <c r="A2080" s="21">
        <v>41103</v>
      </c>
      <c r="B2080" s="21">
        <v>41091</v>
      </c>
      <c r="C2080" s="17">
        <v>42</v>
      </c>
      <c r="D2080" s="17" t="s">
        <v>91</v>
      </c>
      <c r="E2080" s="14">
        <v>248793.99</v>
      </c>
      <c r="F2080" s="14">
        <v>235090.06</v>
      </c>
      <c r="G2080" s="14">
        <v>235090.06</v>
      </c>
      <c r="H2080" s="22">
        <f>F2080*(1+Assumptions!$B$6+IF(D2080="Yes",Assumptions!$C$6,0))</f>
        <v>242142.76180000001</v>
      </c>
      <c r="I2080" s="22">
        <f>F2080*(1+Assumptions!$B$7+IF(D2080="Yes",Assumptions!$C$7,0))</f>
        <v>246844.56299999999</v>
      </c>
      <c r="J2080" s="22">
        <f>F2080*(1+Assumptions!$B$8+IF(D2080="Yes",Assumptions!$C$8,0))</f>
        <v>237440.96059999999</v>
      </c>
    </row>
    <row r="2081" spans="1:10" ht="15">
      <c r="A2081" s="21">
        <v>41103</v>
      </c>
      <c r="B2081" s="21">
        <v>41091</v>
      </c>
      <c r="C2081" s="17">
        <v>44</v>
      </c>
      <c r="D2081" s="17" t="s">
        <v>91</v>
      </c>
      <c r="E2081" s="14">
        <v>164224.46</v>
      </c>
      <c r="F2081" s="14">
        <v>154767.54</v>
      </c>
      <c r="G2081" s="14">
        <v>154767.54</v>
      </c>
      <c r="H2081" s="22">
        <f>F2081*(1+Assumptions!$B$6+IF(D2081="Yes",Assumptions!$C$6,0))</f>
        <v>159410.5662</v>
      </c>
      <c r="I2081" s="22">
        <f>F2081*(1+Assumptions!$B$7+IF(D2081="Yes",Assumptions!$C$7,0))</f>
        <v>162505.91700000002</v>
      </c>
      <c r="J2081" s="22">
        <f>F2081*(1+Assumptions!$B$8+IF(D2081="Yes",Assumptions!$C$8,0))</f>
        <v>156315.21540000002</v>
      </c>
    </row>
    <row r="2082" spans="1:10" ht="15">
      <c r="A2082" s="21">
        <v>41103</v>
      </c>
      <c r="B2082" s="21">
        <v>41091</v>
      </c>
      <c r="C2082" s="17">
        <v>45</v>
      </c>
      <c r="D2082" s="17" t="s">
        <v>91</v>
      </c>
      <c r="E2082" s="14">
        <v>-82.210000000000008</v>
      </c>
      <c r="F2082" s="14">
        <v>96.699999999999989</v>
      </c>
      <c r="G2082" s="14">
        <v>96.699999999999989</v>
      </c>
      <c r="H2082" s="22">
        <f>F2082*(1+Assumptions!$B$6+IF(D2082="Yes",Assumptions!$C$6,0))</f>
        <v>99.600999999999985</v>
      </c>
      <c r="I2082" s="22">
        <f>F2082*(1+Assumptions!$B$7+IF(D2082="Yes",Assumptions!$C$7,0))</f>
        <v>101.535</v>
      </c>
      <c r="J2082" s="22">
        <f>F2082*(1+Assumptions!$B$8+IF(D2082="Yes",Assumptions!$C$8,0))</f>
        <v>97.666999999999987</v>
      </c>
    </row>
    <row r="2083" spans="1:10" ht="15">
      <c r="A2083" s="21">
        <v>41103</v>
      </c>
      <c r="B2083" s="21">
        <v>41091</v>
      </c>
      <c r="C2083" s="17">
        <v>46</v>
      </c>
      <c r="D2083" s="17" t="s">
        <v>91</v>
      </c>
      <c r="E2083" s="14">
        <v>967522.95</v>
      </c>
      <c r="F2083" s="14">
        <v>941646.92</v>
      </c>
      <c r="G2083" s="14">
        <v>941646.92</v>
      </c>
      <c r="H2083" s="22">
        <f>F2083*(1+Assumptions!$B$6+IF(D2083="Yes",Assumptions!$C$6,0))</f>
        <v>969896.32760000008</v>
      </c>
      <c r="I2083" s="22">
        <f>F2083*(1+Assumptions!$B$7+IF(D2083="Yes",Assumptions!$C$7,0))</f>
        <v>988729.26600000006</v>
      </c>
      <c r="J2083" s="22">
        <f>F2083*(1+Assumptions!$B$8+IF(D2083="Yes",Assumptions!$C$8,0))</f>
        <v>951063.38920000009</v>
      </c>
    </row>
    <row r="2084" spans="1:10" ht="15">
      <c r="A2084" s="21">
        <v>41103</v>
      </c>
      <c r="B2084" s="21">
        <v>41091</v>
      </c>
      <c r="C2084" s="17">
        <v>48</v>
      </c>
      <c r="D2084" s="17" t="s">
        <v>91</v>
      </c>
      <c r="E2084" s="14">
        <v>15252</v>
      </c>
      <c r="F2084" s="14">
        <v>5513</v>
      </c>
      <c r="G2084" s="14">
        <v>5513</v>
      </c>
      <c r="H2084" s="22">
        <f>F2084*(1+Assumptions!$B$6+IF(D2084="Yes",Assumptions!$C$6,0))</f>
        <v>5678.39</v>
      </c>
      <c r="I2084" s="22">
        <f>F2084*(1+Assumptions!$B$7+IF(D2084="Yes",Assumptions!$C$7,0))</f>
        <v>5788.6500000000005</v>
      </c>
      <c r="J2084" s="22">
        <f>F2084*(1+Assumptions!$B$8+IF(D2084="Yes",Assumptions!$C$8,0))</f>
        <v>5568.13</v>
      </c>
    </row>
    <row r="2085" spans="1:10" ht="15">
      <c r="A2085" s="21">
        <v>41103</v>
      </c>
      <c r="B2085" s="21">
        <v>41091</v>
      </c>
      <c r="C2085" s="17">
        <v>49</v>
      </c>
      <c r="D2085" s="17" t="s">
        <v>91</v>
      </c>
      <c r="E2085" s="14">
        <v>262075.30000000002</v>
      </c>
      <c r="F2085" s="14">
        <v>254091.94</v>
      </c>
      <c r="G2085" s="14">
        <v>254091.94</v>
      </c>
      <c r="H2085" s="22">
        <f>F2085*(1+Assumptions!$B$6+IF(D2085="Yes",Assumptions!$C$6,0))</f>
        <v>261714.69820000001</v>
      </c>
      <c r="I2085" s="22">
        <f>F2085*(1+Assumptions!$B$7+IF(D2085="Yes",Assumptions!$C$7,0))</f>
        <v>266796.53700000001</v>
      </c>
      <c r="J2085" s="22">
        <f>F2085*(1+Assumptions!$B$8+IF(D2085="Yes",Assumptions!$C$8,0))</f>
        <v>256632.85940000002</v>
      </c>
    </row>
    <row r="2086" spans="1:10" ht="15">
      <c r="A2086" s="21">
        <v>41103</v>
      </c>
      <c r="B2086" s="21">
        <v>41091</v>
      </c>
      <c r="C2086" s="17">
        <v>50</v>
      </c>
      <c r="D2086" s="17" t="s">
        <v>91</v>
      </c>
      <c r="E2086" s="14">
        <v>28327.94</v>
      </c>
      <c r="F2086" s="14">
        <v>29955.200000000001</v>
      </c>
      <c r="G2086" s="14">
        <v>29955.200000000001</v>
      </c>
      <c r="H2086" s="22">
        <f>F2086*(1+Assumptions!$B$6+IF(D2086="Yes",Assumptions!$C$6,0))</f>
        <v>30853.856</v>
      </c>
      <c r="I2086" s="22">
        <f>F2086*(1+Assumptions!$B$7+IF(D2086="Yes",Assumptions!$C$7,0))</f>
        <v>31452.960000000003</v>
      </c>
      <c r="J2086" s="22">
        <f>F2086*(1+Assumptions!$B$8+IF(D2086="Yes",Assumptions!$C$8,0))</f>
        <v>30254.752</v>
      </c>
    </row>
    <row r="2087" spans="1:10" ht="15">
      <c r="A2087" s="21">
        <v>41103</v>
      </c>
      <c r="B2087" s="21">
        <v>41091</v>
      </c>
      <c r="C2087" s="17">
        <v>51</v>
      </c>
      <c r="D2087" s="17" t="s">
        <v>91</v>
      </c>
      <c r="E2087" s="14">
        <v>3.16</v>
      </c>
      <c r="F2087" s="14">
        <v>24.56</v>
      </c>
      <c r="G2087" s="14">
        <v>24.56</v>
      </c>
      <c r="H2087" s="22">
        <f>F2087*(1+Assumptions!$B$6+IF(D2087="Yes",Assumptions!$C$6,0))</f>
        <v>25.296800000000001</v>
      </c>
      <c r="I2087" s="22">
        <f>F2087*(1+Assumptions!$B$7+IF(D2087="Yes",Assumptions!$C$7,0))</f>
        <v>25.788</v>
      </c>
      <c r="J2087" s="22">
        <f>F2087*(1+Assumptions!$B$8+IF(D2087="Yes",Assumptions!$C$8,0))</f>
        <v>24.805599999999998</v>
      </c>
    </row>
    <row r="2088" spans="1:10" ht="15">
      <c r="A2088" s="21">
        <v>41103</v>
      </c>
      <c r="B2088" s="21">
        <v>41091</v>
      </c>
      <c r="C2088" s="17">
        <v>52</v>
      </c>
      <c r="D2088" s="17" t="s">
        <v>91</v>
      </c>
      <c r="E2088" s="14">
        <v>66343.45</v>
      </c>
      <c r="F2088" s="14">
        <v>68696.17</v>
      </c>
      <c r="G2088" s="14">
        <v>68696.17</v>
      </c>
      <c r="H2088" s="22">
        <f>F2088*(1+Assumptions!$B$6+IF(D2088="Yes",Assumptions!$C$6,0))</f>
        <v>70757.055099999998</v>
      </c>
      <c r="I2088" s="22">
        <f>F2088*(1+Assumptions!$B$7+IF(D2088="Yes",Assumptions!$C$7,0))</f>
        <v>72130.978499999997</v>
      </c>
      <c r="J2088" s="22">
        <f>F2088*(1+Assumptions!$B$8+IF(D2088="Yes",Assumptions!$C$8,0))</f>
        <v>69383.131699999998</v>
      </c>
    </row>
    <row r="2089" spans="1:10" ht="15">
      <c r="A2089" s="21">
        <v>41103</v>
      </c>
      <c r="B2089" s="21">
        <v>41091</v>
      </c>
      <c r="C2089" s="17">
        <v>54</v>
      </c>
      <c r="D2089" s="17" t="s">
        <v>91</v>
      </c>
      <c r="E2089" s="14">
        <v>851.64</v>
      </c>
      <c r="F2089" s="14">
        <v>1257.22</v>
      </c>
      <c r="G2089" s="14">
        <v>1257.22</v>
      </c>
      <c r="H2089" s="22">
        <f>F2089*(1+Assumptions!$B$6+IF(D2089="Yes",Assumptions!$C$6,0))</f>
        <v>1294.9366</v>
      </c>
      <c r="I2089" s="22">
        <f>F2089*(1+Assumptions!$B$7+IF(D2089="Yes",Assumptions!$C$7,0))</f>
        <v>1320.0810000000001</v>
      </c>
      <c r="J2089" s="22">
        <f>F2089*(1+Assumptions!$B$8+IF(D2089="Yes",Assumptions!$C$8,0))</f>
        <v>1269.7922000000001</v>
      </c>
    </row>
    <row r="2090" spans="1:10" ht="15">
      <c r="A2090" s="21">
        <v>41103</v>
      </c>
      <c r="B2090" s="21">
        <v>41091</v>
      </c>
      <c r="C2090" s="17">
        <v>55</v>
      </c>
      <c r="D2090" s="17" t="s">
        <v>91</v>
      </c>
      <c r="E2090" s="14">
        <v>273048.98</v>
      </c>
      <c r="F2090" s="14">
        <v>309736.67</v>
      </c>
      <c r="G2090" s="14">
        <v>309736.67</v>
      </c>
      <c r="H2090" s="22">
        <f>F2090*(1+Assumptions!$B$6+IF(D2090="Yes",Assumptions!$C$6,0))</f>
        <v>319028.77009999997</v>
      </c>
      <c r="I2090" s="22">
        <f>F2090*(1+Assumptions!$B$7+IF(D2090="Yes",Assumptions!$C$7,0))</f>
        <v>325223.50349999999</v>
      </c>
      <c r="J2090" s="22">
        <f>F2090*(1+Assumptions!$B$8+IF(D2090="Yes",Assumptions!$C$8,0))</f>
        <v>312834.0367</v>
      </c>
    </row>
    <row r="2091" spans="1:10" ht="15">
      <c r="A2091" s="21">
        <v>41103</v>
      </c>
      <c r="B2091" s="21">
        <v>41091</v>
      </c>
      <c r="C2091" s="17">
        <v>56</v>
      </c>
      <c r="D2091" s="17" t="s">
        <v>91</v>
      </c>
      <c r="E2091" s="14">
        <v>93640.44</v>
      </c>
      <c r="F2091" s="14">
        <v>91097.01</v>
      </c>
      <c r="G2091" s="14">
        <v>91097.01</v>
      </c>
      <c r="H2091" s="22">
        <f>F2091*(1+Assumptions!$B$6+IF(D2091="Yes",Assumptions!$C$6,0))</f>
        <v>93829.920299999998</v>
      </c>
      <c r="I2091" s="22">
        <f>F2091*(1+Assumptions!$B$7+IF(D2091="Yes",Assumptions!$C$7,0))</f>
        <v>95651.860499999995</v>
      </c>
      <c r="J2091" s="22">
        <f>F2091*(1+Assumptions!$B$8+IF(D2091="Yes",Assumptions!$C$8,0))</f>
        <v>92007.980100000001</v>
      </c>
    </row>
    <row r="2092" spans="1:10" ht="15">
      <c r="A2092" s="21">
        <v>41103</v>
      </c>
      <c r="B2092" s="21">
        <v>41091</v>
      </c>
      <c r="C2092" s="17">
        <v>58</v>
      </c>
      <c r="D2092" s="17" t="s">
        <v>91</v>
      </c>
      <c r="E2092" s="14">
        <v>121474</v>
      </c>
      <c r="F2092" s="14">
        <v>86685</v>
      </c>
      <c r="G2092" s="14">
        <v>86685</v>
      </c>
      <c r="H2092" s="22">
        <f>F2092*(1+Assumptions!$B$6+IF(D2092="Yes",Assumptions!$C$6,0))</f>
        <v>89285.55</v>
      </c>
      <c r="I2092" s="22">
        <f>F2092*(1+Assumptions!$B$7+IF(D2092="Yes",Assumptions!$C$7,0))</f>
        <v>91019.25</v>
      </c>
      <c r="J2092" s="22">
        <f>F2092*(1+Assumptions!$B$8+IF(D2092="Yes",Assumptions!$C$8,0))</f>
        <v>87551.85</v>
      </c>
    </row>
    <row r="2093" spans="1:10" ht="15">
      <c r="A2093" s="21">
        <v>41103</v>
      </c>
      <c r="B2093" s="21">
        <v>41091</v>
      </c>
      <c r="C2093" s="17">
        <v>59</v>
      </c>
      <c r="D2093" s="17" t="s">
        <v>91</v>
      </c>
      <c r="E2093" s="14">
        <v>7696.71</v>
      </c>
      <c r="F2093" s="14">
        <v>10215.75</v>
      </c>
      <c r="G2093" s="14">
        <v>10215.75</v>
      </c>
      <c r="H2093" s="22">
        <f>F2093*(1+Assumptions!$B$6+IF(D2093="Yes",Assumptions!$C$6,0))</f>
        <v>10522.2225</v>
      </c>
      <c r="I2093" s="22">
        <f>F2093*(1+Assumptions!$B$7+IF(D2093="Yes",Assumptions!$C$7,0))</f>
        <v>10726.5375</v>
      </c>
      <c r="J2093" s="22">
        <f>F2093*(1+Assumptions!$B$8+IF(D2093="Yes",Assumptions!$C$8,0))</f>
        <v>10317.907499999999</v>
      </c>
    </row>
    <row r="2094" spans="1:10" ht="15">
      <c r="A2094" s="21">
        <v>41103</v>
      </c>
      <c r="B2094" s="21">
        <v>41091</v>
      </c>
      <c r="C2094" s="17">
        <v>60</v>
      </c>
      <c r="D2094" s="17" t="s">
        <v>91</v>
      </c>
      <c r="E2094" s="14">
        <v>13815</v>
      </c>
      <c r="F2094" s="14">
        <v>13063.199999999999</v>
      </c>
      <c r="G2094" s="14">
        <v>13063.199999999999</v>
      </c>
      <c r="H2094" s="22">
        <f>F2094*(1+Assumptions!$B$6+IF(D2094="Yes",Assumptions!$C$6,0))</f>
        <v>13455.096</v>
      </c>
      <c r="I2094" s="22">
        <f>F2094*(1+Assumptions!$B$7+IF(D2094="Yes",Assumptions!$C$7,0))</f>
        <v>13716.359999999999</v>
      </c>
      <c r="J2094" s="22">
        <f>F2094*(1+Assumptions!$B$8+IF(D2094="Yes",Assumptions!$C$8,0))</f>
        <v>13193.831999999999</v>
      </c>
    </row>
    <row r="2095" spans="1:10" ht="15">
      <c r="A2095" s="21">
        <v>41103</v>
      </c>
      <c r="B2095" s="21">
        <v>41091</v>
      </c>
      <c r="C2095" s="17">
        <v>65</v>
      </c>
      <c r="D2095" s="17" t="s">
        <v>91</v>
      </c>
      <c r="E2095" s="14">
        <v>45035.1</v>
      </c>
      <c r="F2095" s="14">
        <v>42212.4</v>
      </c>
      <c r="G2095" s="14">
        <v>42212.4</v>
      </c>
      <c r="H2095" s="22">
        <f>F2095*(1+Assumptions!$B$6+IF(D2095="Yes",Assumptions!$C$6,0))</f>
        <v>43478.772000000004</v>
      </c>
      <c r="I2095" s="22">
        <f>F2095*(1+Assumptions!$B$7+IF(D2095="Yes",Assumptions!$C$7,0))</f>
        <v>44323.020000000004</v>
      </c>
      <c r="J2095" s="22">
        <f>F2095*(1+Assumptions!$B$8+IF(D2095="Yes",Assumptions!$C$8,0))</f>
        <v>42634.524000000005</v>
      </c>
    </row>
    <row r="2096" spans="1:10" ht="15">
      <c r="A2096" s="21">
        <v>41103</v>
      </c>
      <c r="B2096" s="21">
        <v>41091</v>
      </c>
      <c r="C2096" s="17">
        <v>67</v>
      </c>
      <c r="D2096" s="17" t="s">
        <v>91</v>
      </c>
      <c r="E2096" s="14">
        <v>265929.25</v>
      </c>
      <c r="F2096" s="14">
        <v>244817.65</v>
      </c>
      <c r="G2096" s="14">
        <v>244817.65</v>
      </c>
      <c r="H2096" s="22">
        <f>F2096*(1+Assumptions!$B$6+IF(D2096="Yes",Assumptions!$C$6,0))</f>
        <v>252162.1795</v>
      </c>
      <c r="I2096" s="22">
        <f>F2096*(1+Assumptions!$B$7+IF(D2096="Yes",Assumptions!$C$7,0))</f>
        <v>257058.5325</v>
      </c>
      <c r="J2096" s="22">
        <f>F2096*(1+Assumptions!$B$8+IF(D2096="Yes",Assumptions!$C$8,0))</f>
        <v>247265.8265</v>
      </c>
    </row>
    <row r="2097" spans="1:10" ht="15">
      <c r="A2097" s="21">
        <v>41103</v>
      </c>
      <c r="B2097" s="21">
        <v>41091</v>
      </c>
      <c r="C2097" s="17">
        <v>71</v>
      </c>
      <c r="D2097" s="17" t="s">
        <v>91</v>
      </c>
      <c r="E2097" s="14">
        <v>193068.58</v>
      </c>
      <c r="F2097" s="14">
        <v>186668.92</v>
      </c>
      <c r="G2097" s="14">
        <v>186668.92</v>
      </c>
      <c r="H2097" s="22">
        <f>F2097*(1+Assumptions!$B$6+IF(D2097="Yes",Assumptions!$C$6,0))</f>
        <v>192268.98760000002</v>
      </c>
      <c r="I2097" s="22">
        <f>F2097*(1+Assumptions!$B$7+IF(D2097="Yes",Assumptions!$C$7,0))</f>
        <v>196002.36600000001</v>
      </c>
      <c r="J2097" s="22">
        <f>F2097*(1+Assumptions!$B$8+IF(D2097="Yes",Assumptions!$C$8,0))</f>
        <v>188535.60920000001</v>
      </c>
    </row>
    <row r="2098" spans="1:10" ht="15">
      <c r="A2098" s="21">
        <v>41103</v>
      </c>
      <c r="B2098" s="21">
        <v>41091</v>
      </c>
      <c r="C2098" s="17">
        <v>72</v>
      </c>
      <c r="D2098" s="17" t="s">
        <v>91</v>
      </c>
      <c r="E2098" s="14">
        <v>1585119.26</v>
      </c>
      <c r="F2098" s="14">
        <v>1576981.42</v>
      </c>
      <c r="G2098" s="14">
        <v>1576981.42</v>
      </c>
      <c r="H2098" s="22">
        <f>F2098*(1+Assumptions!$B$6+IF(D2098="Yes",Assumptions!$C$6,0))</f>
        <v>1624290.8625999999</v>
      </c>
      <c r="I2098" s="22">
        <f>F2098*(1+Assumptions!$B$7+IF(D2098="Yes",Assumptions!$C$7,0))</f>
        <v>1655830.4909999999</v>
      </c>
      <c r="J2098" s="22">
        <f>F2098*(1+Assumptions!$B$8+IF(D2098="Yes",Assumptions!$C$8,0))</f>
        <v>1592751.2341999998</v>
      </c>
    </row>
    <row r="2099" spans="1:10" ht="15">
      <c r="A2099" s="21">
        <v>41103</v>
      </c>
      <c r="B2099" s="21">
        <v>41091</v>
      </c>
      <c r="C2099" s="17">
        <v>74</v>
      </c>
      <c r="D2099" s="17" t="s">
        <v>91</v>
      </c>
      <c r="E2099" s="14">
        <v>595779.71</v>
      </c>
      <c r="F2099" s="14">
        <v>585153.65</v>
      </c>
      <c r="G2099" s="14">
        <v>585153.65</v>
      </c>
      <c r="H2099" s="22">
        <f>F2099*(1+Assumptions!$B$6+IF(D2099="Yes",Assumptions!$C$6,0))</f>
        <v>602708.25950000004</v>
      </c>
      <c r="I2099" s="22">
        <f>F2099*(1+Assumptions!$B$7+IF(D2099="Yes",Assumptions!$C$7,0))</f>
        <v>614411.33250000002</v>
      </c>
      <c r="J2099" s="22">
        <f>F2099*(1+Assumptions!$B$8+IF(D2099="Yes",Assumptions!$C$8,0))</f>
        <v>591005.18650000007</v>
      </c>
    </row>
    <row r="2100" spans="1:10" ht="15">
      <c r="A2100" s="21">
        <v>41103</v>
      </c>
      <c r="B2100" s="21">
        <v>41091</v>
      </c>
      <c r="C2100" s="17">
        <v>79</v>
      </c>
      <c r="D2100" s="17" t="s">
        <v>91</v>
      </c>
      <c r="E2100" s="14">
        <v>981483.89</v>
      </c>
      <c r="F2100" s="14">
        <v>962586.77</v>
      </c>
      <c r="G2100" s="14">
        <v>962586.77</v>
      </c>
      <c r="H2100" s="22">
        <f>F2100*(1+Assumptions!$B$6+IF(D2100="Yes",Assumptions!$C$6,0))</f>
        <v>991464.37310000008</v>
      </c>
      <c r="I2100" s="22">
        <f>F2100*(1+Assumptions!$B$7+IF(D2100="Yes",Assumptions!$C$7,0))</f>
        <v>1010716.1085000001</v>
      </c>
      <c r="J2100" s="22">
        <f>F2100*(1+Assumptions!$B$8+IF(D2100="Yes",Assumptions!$C$8,0))</f>
        <v>972212.63770000008</v>
      </c>
    </row>
    <row r="2101" spans="1:10" ht="15">
      <c r="A2101" s="21">
        <v>41103</v>
      </c>
      <c r="B2101" s="21">
        <v>41091</v>
      </c>
      <c r="C2101" s="17">
        <v>80</v>
      </c>
      <c r="D2101" s="17" t="s">
        <v>91</v>
      </c>
      <c r="E2101" s="14">
        <v>513336.36</v>
      </c>
      <c r="F2101" s="14">
        <v>518013.77999999997</v>
      </c>
      <c r="G2101" s="14">
        <v>518013.77999999997</v>
      </c>
      <c r="H2101" s="22">
        <f>F2101*(1+Assumptions!$B$6+IF(D2101="Yes",Assumptions!$C$6,0))</f>
        <v>533554.19339999999</v>
      </c>
      <c r="I2101" s="22">
        <f>F2101*(1+Assumptions!$B$7+IF(D2101="Yes",Assumptions!$C$7,0))</f>
        <v>543914.46900000004</v>
      </c>
      <c r="J2101" s="22">
        <f>F2101*(1+Assumptions!$B$8+IF(D2101="Yes",Assumptions!$C$8,0))</f>
        <v>523193.9178</v>
      </c>
    </row>
    <row r="2102" spans="1:10" ht="15">
      <c r="A2102" s="21">
        <v>41103</v>
      </c>
      <c r="B2102" s="21">
        <v>41091</v>
      </c>
      <c r="C2102" s="17">
        <v>81</v>
      </c>
      <c r="D2102" s="17" t="s">
        <v>91</v>
      </c>
      <c r="E2102" s="14">
        <v>712570.58</v>
      </c>
      <c r="F2102" s="14">
        <v>710611.11</v>
      </c>
      <c r="G2102" s="14">
        <v>710611.11</v>
      </c>
      <c r="H2102" s="22">
        <f>F2102*(1+Assumptions!$B$6+IF(D2102="Yes",Assumptions!$C$6,0))</f>
        <v>731929.44330000004</v>
      </c>
      <c r="I2102" s="22">
        <f>F2102*(1+Assumptions!$B$7+IF(D2102="Yes",Assumptions!$C$7,0))</f>
        <v>746141.6655</v>
      </c>
      <c r="J2102" s="22">
        <f>F2102*(1+Assumptions!$B$8+IF(D2102="Yes",Assumptions!$C$8,0))</f>
        <v>717717.22109999997</v>
      </c>
    </row>
    <row r="2103" spans="1:10" ht="15">
      <c r="A2103" s="21">
        <v>41103</v>
      </c>
      <c r="B2103" s="21">
        <v>41091</v>
      </c>
      <c r="C2103" s="17">
        <v>82</v>
      </c>
      <c r="D2103" s="17" t="s">
        <v>91</v>
      </c>
      <c r="E2103" s="14">
        <v>687862.6</v>
      </c>
      <c r="F2103" s="14">
        <v>676205.61</v>
      </c>
      <c r="G2103" s="14">
        <v>676205.61</v>
      </c>
      <c r="H2103" s="22">
        <f>F2103*(1+Assumptions!$B$6+IF(D2103="Yes",Assumptions!$C$6,0))</f>
        <v>696491.77830000001</v>
      </c>
      <c r="I2103" s="22">
        <f>F2103*(1+Assumptions!$B$7+IF(D2103="Yes",Assumptions!$C$7,0))</f>
        <v>710015.89049999998</v>
      </c>
      <c r="J2103" s="22">
        <f>F2103*(1+Assumptions!$B$8+IF(D2103="Yes",Assumptions!$C$8,0))</f>
        <v>682967.66610000003</v>
      </c>
    </row>
    <row r="2104" spans="1:10" ht="15">
      <c r="A2104" s="21">
        <v>41103</v>
      </c>
      <c r="B2104" s="21">
        <v>41091</v>
      </c>
      <c r="C2104" s="17">
        <v>83</v>
      </c>
      <c r="D2104" s="17" t="s">
        <v>91</v>
      </c>
      <c r="E2104" s="14">
        <v>141956.62</v>
      </c>
      <c r="F2104" s="14">
        <v>138064.91</v>
      </c>
      <c r="G2104" s="14">
        <v>138064.91</v>
      </c>
      <c r="H2104" s="22">
        <f>F2104*(1+Assumptions!$B$6+IF(D2104="Yes",Assumptions!$C$6,0))</f>
        <v>142206.8573</v>
      </c>
      <c r="I2104" s="22">
        <f>F2104*(1+Assumptions!$B$7+IF(D2104="Yes",Assumptions!$C$7,0))</f>
        <v>144968.15550000002</v>
      </c>
      <c r="J2104" s="22">
        <f>F2104*(1+Assumptions!$B$8+IF(D2104="Yes",Assumptions!$C$8,0))</f>
        <v>139445.55910000001</v>
      </c>
    </row>
    <row r="2105" spans="1:10" ht="15">
      <c r="A2105" s="21">
        <v>41103</v>
      </c>
      <c r="B2105" s="21">
        <v>41091</v>
      </c>
      <c r="C2105" s="17">
        <v>85</v>
      </c>
      <c r="D2105" s="17" t="s">
        <v>91</v>
      </c>
      <c r="E2105" s="14">
        <v>87752.459999999992</v>
      </c>
      <c r="F2105" s="14">
        <v>98702.05</v>
      </c>
      <c r="G2105" s="14">
        <v>98702.05</v>
      </c>
      <c r="H2105" s="22">
        <f>F2105*(1+Assumptions!$B$6+IF(D2105="Yes",Assumptions!$C$6,0))</f>
        <v>101663.1115</v>
      </c>
      <c r="I2105" s="22">
        <f>F2105*(1+Assumptions!$B$7+IF(D2105="Yes",Assumptions!$C$7,0))</f>
        <v>103637.15250000001</v>
      </c>
      <c r="J2105" s="22">
        <f>F2105*(1+Assumptions!$B$8+IF(D2105="Yes",Assumptions!$C$8,0))</f>
        <v>99689.070500000002</v>
      </c>
    </row>
    <row r="2106" spans="1:10" ht="15">
      <c r="A2106" s="21">
        <v>41103</v>
      </c>
      <c r="B2106" s="21">
        <v>41091</v>
      </c>
      <c r="C2106" s="17">
        <v>87</v>
      </c>
      <c r="D2106" s="17" t="s">
        <v>91</v>
      </c>
      <c r="E2106" s="14">
        <v>666729.62</v>
      </c>
      <c r="F2106" s="14">
        <v>577193.48</v>
      </c>
      <c r="G2106" s="14">
        <v>577193.48</v>
      </c>
      <c r="H2106" s="22">
        <f>F2106*(1+Assumptions!$B$6+IF(D2106="Yes",Assumptions!$C$6,0))</f>
        <v>594509.2844</v>
      </c>
      <c r="I2106" s="22">
        <f>F2106*(1+Assumptions!$B$7+IF(D2106="Yes",Assumptions!$C$7,0))</f>
        <v>606053.15399999998</v>
      </c>
      <c r="J2106" s="22">
        <f>F2106*(1+Assumptions!$B$8+IF(D2106="Yes",Assumptions!$C$8,0))</f>
        <v>582965.41480000003</v>
      </c>
    </row>
    <row r="2107" spans="1:10" ht="15">
      <c r="A2107" s="21">
        <v>41103</v>
      </c>
      <c r="B2107" s="21">
        <v>41091</v>
      </c>
      <c r="C2107" s="17">
        <v>90</v>
      </c>
      <c r="D2107" s="17" t="s">
        <v>91</v>
      </c>
      <c r="E2107" s="14">
        <v>2021624.01</v>
      </c>
      <c r="F2107" s="14">
        <v>2019037.23</v>
      </c>
      <c r="G2107" s="14">
        <v>2019037.23</v>
      </c>
      <c r="H2107" s="22">
        <f>F2107*(1+Assumptions!$B$6+IF(D2107="Yes",Assumptions!$C$6,0))</f>
        <v>2079608.3469</v>
      </c>
      <c r="I2107" s="22">
        <f>F2107*(1+Assumptions!$B$7+IF(D2107="Yes",Assumptions!$C$7,0))</f>
        <v>2119989.0915000001</v>
      </c>
      <c r="J2107" s="22">
        <f>F2107*(1+Assumptions!$B$8+IF(D2107="Yes",Assumptions!$C$8,0))</f>
        <v>2039227.6022999999</v>
      </c>
    </row>
    <row r="2108" spans="1:10" ht="15">
      <c r="A2108" s="21">
        <v>41103</v>
      </c>
      <c r="B2108" s="21">
        <v>41091</v>
      </c>
      <c r="C2108" s="17">
        <v>91</v>
      </c>
      <c r="D2108" s="17" t="s">
        <v>91</v>
      </c>
      <c r="E2108" s="14">
        <v>1583481.92</v>
      </c>
      <c r="F2108" s="14">
        <v>1558581.48</v>
      </c>
      <c r="G2108" s="14">
        <v>1558581.48</v>
      </c>
      <c r="H2108" s="22">
        <f>F2108*(1+Assumptions!$B$6+IF(D2108="Yes",Assumptions!$C$6,0))</f>
        <v>1605338.9244000001</v>
      </c>
      <c r="I2108" s="22">
        <f>F2108*(1+Assumptions!$B$7+IF(D2108="Yes",Assumptions!$C$7,0))</f>
        <v>1636510.554</v>
      </c>
      <c r="J2108" s="22">
        <f>F2108*(1+Assumptions!$B$8+IF(D2108="Yes",Assumptions!$C$8,0))</f>
        <v>1574167.2948</v>
      </c>
    </row>
    <row r="2109" spans="1:10" ht="15">
      <c r="A2109" s="21">
        <v>41103</v>
      </c>
      <c r="B2109" s="21">
        <v>41091</v>
      </c>
      <c r="C2109" s="17">
        <v>92</v>
      </c>
      <c r="D2109" s="17" t="s">
        <v>91</v>
      </c>
      <c r="E2109" s="14">
        <v>3483021.39</v>
      </c>
      <c r="F2109" s="14">
        <v>3244024.33</v>
      </c>
      <c r="G2109" s="14">
        <v>3244024.33</v>
      </c>
      <c r="H2109" s="22">
        <f>F2109*(1+Assumptions!$B$6+IF(D2109="Yes",Assumptions!$C$6,0))</f>
        <v>3341345.0599000002</v>
      </c>
      <c r="I2109" s="22">
        <f>F2109*(1+Assumptions!$B$7+IF(D2109="Yes",Assumptions!$C$7,0))</f>
        <v>3406225.5465000002</v>
      </c>
      <c r="J2109" s="22">
        <f>F2109*(1+Assumptions!$B$8+IF(D2109="Yes",Assumptions!$C$8,0))</f>
        <v>3276464.5733000003</v>
      </c>
    </row>
    <row r="2110" spans="1:10" ht="15">
      <c r="A2110" s="21">
        <v>41103</v>
      </c>
      <c r="B2110" s="21">
        <v>41091</v>
      </c>
      <c r="C2110" s="17">
        <v>93</v>
      </c>
      <c r="D2110" s="17" t="s">
        <v>91</v>
      </c>
      <c r="E2110" s="14">
        <v>1212563.18</v>
      </c>
      <c r="F2110" s="14">
        <v>1144834.5600000001</v>
      </c>
      <c r="G2110" s="14">
        <v>1144834.5600000001</v>
      </c>
      <c r="H2110" s="22">
        <f>F2110*(1+Assumptions!$B$6+IF(D2110="Yes",Assumptions!$C$6,0))</f>
        <v>1179179.5968000002</v>
      </c>
      <c r="I2110" s="22">
        <f>F2110*(1+Assumptions!$B$7+IF(D2110="Yes",Assumptions!$C$7,0))</f>
        <v>1202076.2880000002</v>
      </c>
      <c r="J2110" s="22">
        <f>F2110*(1+Assumptions!$B$8+IF(D2110="Yes",Assumptions!$C$8,0))</f>
        <v>1156282.9056000002</v>
      </c>
    </row>
    <row r="2111" spans="1:10" ht="15">
      <c r="A2111" s="21">
        <v>41103</v>
      </c>
      <c r="B2111" s="21">
        <v>41091</v>
      </c>
      <c r="C2111" s="17">
        <v>94</v>
      </c>
      <c r="D2111" s="17" t="s">
        <v>91</v>
      </c>
      <c r="E2111" s="14">
        <v>1400189.3</v>
      </c>
      <c r="F2111" s="14">
        <v>1409965.33</v>
      </c>
      <c r="G2111" s="14">
        <v>1409965.33</v>
      </c>
      <c r="H2111" s="22">
        <f>F2111*(1+Assumptions!$B$6+IF(D2111="Yes",Assumptions!$C$6,0))</f>
        <v>1452264.2899000002</v>
      </c>
      <c r="I2111" s="22">
        <f>F2111*(1+Assumptions!$B$7+IF(D2111="Yes",Assumptions!$C$7,0))</f>
        <v>1480463.5965000002</v>
      </c>
      <c r="J2111" s="22">
        <f>F2111*(1+Assumptions!$B$8+IF(D2111="Yes",Assumptions!$C$8,0))</f>
        <v>1424064.9833000002</v>
      </c>
    </row>
    <row r="2112" spans="1:10" ht="15">
      <c r="A2112" s="21">
        <v>41103</v>
      </c>
      <c r="B2112" s="21">
        <v>41091</v>
      </c>
      <c r="C2112" s="17">
        <v>95</v>
      </c>
      <c r="D2112" s="17" t="s">
        <v>91</v>
      </c>
      <c r="E2112" s="14">
        <v>3369422.07</v>
      </c>
      <c r="F2112" s="14">
        <v>3395102.23</v>
      </c>
      <c r="G2112" s="14">
        <v>3395102.23</v>
      </c>
      <c r="H2112" s="22">
        <f>F2112*(1+Assumptions!$B$6+IF(D2112="Yes",Assumptions!$C$6,0))</f>
        <v>3496955.2969</v>
      </c>
      <c r="I2112" s="22">
        <f>F2112*(1+Assumptions!$B$7+IF(D2112="Yes",Assumptions!$C$7,0))</f>
        <v>3564857.3415000001</v>
      </c>
      <c r="J2112" s="22">
        <f>F2112*(1+Assumptions!$B$8+IF(D2112="Yes",Assumptions!$C$8,0))</f>
        <v>3429053.2522999998</v>
      </c>
    </row>
    <row r="2113" spans="1:10" ht="15">
      <c r="A2113" s="21">
        <v>41103</v>
      </c>
      <c r="B2113" s="21">
        <v>41091</v>
      </c>
      <c r="C2113" s="17">
        <v>96</v>
      </c>
      <c r="D2113" s="17" t="s">
        <v>91</v>
      </c>
      <c r="E2113" s="14">
        <v>572892.21</v>
      </c>
      <c r="F2113" s="14">
        <v>556496.81000000006</v>
      </c>
      <c r="G2113" s="14">
        <v>556496.81000000006</v>
      </c>
      <c r="H2113" s="22">
        <f>F2113*(1+Assumptions!$B$6+IF(D2113="Yes",Assumptions!$C$6,0))</f>
        <v>573191.71430000011</v>
      </c>
      <c r="I2113" s="22">
        <f>F2113*(1+Assumptions!$B$7+IF(D2113="Yes",Assumptions!$C$7,0))</f>
        <v>584321.65050000011</v>
      </c>
      <c r="J2113" s="22">
        <f>F2113*(1+Assumptions!$B$8+IF(D2113="Yes",Assumptions!$C$8,0))</f>
        <v>562061.77810000011</v>
      </c>
    </row>
    <row r="2114" spans="1:10" ht="15">
      <c r="A2114" s="21">
        <v>41103</v>
      </c>
      <c r="B2114" s="21">
        <v>41091</v>
      </c>
      <c r="C2114" s="17">
        <v>97</v>
      </c>
      <c r="D2114" s="17" t="s">
        <v>91</v>
      </c>
      <c r="E2114" s="14">
        <v>661110.97</v>
      </c>
      <c r="F2114" s="14">
        <v>672686.41</v>
      </c>
      <c r="G2114" s="14">
        <v>672686.41</v>
      </c>
      <c r="H2114" s="22">
        <f>F2114*(1+Assumptions!$B$6+IF(D2114="Yes",Assumptions!$C$6,0))</f>
        <v>692867.00230000005</v>
      </c>
      <c r="I2114" s="22">
        <f>F2114*(1+Assumptions!$B$7+IF(D2114="Yes",Assumptions!$C$7,0))</f>
        <v>706320.73050000006</v>
      </c>
      <c r="J2114" s="22">
        <f>F2114*(1+Assumptions!$B$8+IF(D2114="Yes",Assumptions!$C$8,0))</f>
        <v>679413.27410000004</v>
      </c>
    </row>
    <row r="2115" spans="1:10" ht="15">
      <c r="A2115" s="21">
        <v>41103</v>
      </c>
      <c r="B2115" s="21">
        <v>41091</v>
      </c>
      <c r="C2115" s="17">
        <v>98</v>
      </c>
      <c r="D2115" s="17" t="s">
        <v>91</v>
      </c>
      <c r="E2115" s="14">
        <v>247768.93</v>
      </c>
      <c r="F2115" s="14">
        <v>257349.21</v>
      </c>
      <c r="G2115" s="14">
        <v>257349.21</v>
      </c>
      <c r="H2115" s="22">
        <f>F2115*(1+Assumptions!$B$6+IF(D2115="Yes",Assumptions!$C$6,0))</f>
        <v>265069.6863</v>
      </c>
      <c r="I2115" s="22">
        <f>F2115*(1+Assumptions!$B$7+IF(D2115="Yes",Assumptions!$C$7,0))</f>
        <v>270216.67050000001</v>
      </c>
      <c r="J2115" s="22">
        <f>F2115*(1+Assumptions!$B$8+IF(D2115="Yes",Assumptions!$C$8,0))</f>
        <v>259922.70209999999</v>
      </c>
    </row>
    <row r="2116" spans="1:10" ht="15">
      <c r="A2116" s="21">
        <v>41103</v>
      </c>
      <c r="B2116" s="21">
        <v>41091</v>
      </c>
      <c r="C2116" s="17">
        <v>99</v>
      </c>
      <c r="D2116" s="17" t="s">
        <v>91</v>
      </c>
      <c r="E2116" s="14">
        <v>0.1</v>
      </c>
      <c r="F2116" s="14">
        <v>0.01</v>
      </c>
      <c r="G2116" s="14">
        <v>0.01</v>
      </c>
      <c r="H2116" s="22">
        <f>F2116*(1+Assumptions!$B$6+IF(D2116="Yes",Assumptions!$C$6,0))</f>
        <v>1.03E-2</v>
      </c>
      <c r="I2116" s="22">
        <f>F2116*(1+Assumptions!$B$7+IF(D2116="Yes",Assumptions!$C$7,0))</f>
        <v>1.0500000000000001E-2</v>
      </c>
      <c r="J2116" s="22">
        <f>F2116*(1+Assumptions!$B$8+IF(D2116="Yes",Assumptions!$C$8,0))</f>
        <v>1.01E-2</v>
      </c>
    </row>
    <row r="2117" spans="1:10" ht="15">
      <c r="A2117" s="21">
        <v>41110</v>
      </c>
      <c r="B2117" s="21">
        <v>41091</v>
      </c>
      <c r="C2117" s="17">
        <v>1</v>
      </c>
      <c r="D2117" s="17" t="s">
        <v>91</v>
      </c>
      <c r="E2117" s="14">
        <v>656522.54999999993</v>
      </c>
      <c r="F2117" s="14">
        <v>622483.37</v>
      </c>
      <c r="G2117" s="14">
        <v>622483.37</v>
      </c>
      <c r="H2117" s="22">
        <f>F2117*(1+Assumptions!$B$6+IF(D2117="Yes",Assumptions!$C$6,0))</f>
        <v>641157.87109999999</v>
      </c>
      <c r="I2117" s="22">
        <f>F2117*(1+Assumptions!$B$7+IF(D2117="Yes",Assumptions!$C$7,0))</f>
        <v>653607.53850000002</v>
      </c>
      <c r="J2117" s="22">
        <f>F2117*(1+Assumptions!$B$8+IF(D2117="Yes",Assumptions!$C$8,0))</f>
        <v>628708.20369999995</v>
      </c>
    </row>
    <row r="2118" spans="1:10" ht="15">
      <c r="A2118" s="21">
        <v>41110</v>
      </c>
      <c r="B2118" s="21">
        <v>41091</v>
      </c>
      <c r="C2118" s="17">
        <v>2</v>
      </c>
      <c r="D2118" s="17" t="s">
        <v>91</v>
      </c>
      <c r="E2118" s="14">
        <v>2023071.13</v>
      </c>
      <c r="F2118" s="14">
        <v>2020007.67</v>
      </c>
      <c r="G2118" s="14">
        <v>2020007.67</v>
      </c>
      <c r="H2118" s="22">
        <f>F2118*(1+Assumptions!$B$6+IF(D2118="Yes",Assumptions!$C$6,0))</f>
        <v>2080607.9001</v>
      </c>
      <c r="I2118" s="22">
        <f>F2118*(1+Assumptions!$B$7+IF(D2118="Yes",Assumptions!$C$7,0))</f>
        <v>2121008.0534999999</v>
      </c>
      <c r="J2118" s="22">
        <f>F2118*(1+Assumptions!$B$8+IF(D2118="Yes",Assumptions!$C$8,0))</f>
        <v>2040207.7467</v>
      </c>
    </row>
    <row r="2119" spans="1:10" ht="15">
      <c r="A2119" s="21">
        <v>41110</v>
      </c>
      <c r="B2119" s="21">
        <v>41091</v>
      </c>
      <c r="C2119" s="17">
        <v>3</v>
      </c>
      <c r="D2119" s="17" t="s">
        <v>91</v>
      </c>
      <c r="E2119" s="14">
        <v>827938.58</v>
      </c>
      <c r="F2119" s="14">
        <v>721942.56</v>
      </c>
      <c r="G2119" s="14">
        <v>721942.56</v>
      </c>
      <c r="H2119" s="22">
        <f>F2119*(1+Assumptions!$B$6+IF(D2119="Yes",Assumptions!$C$6,0))</f>
        <v>743600.83680000005</v>
      </c>
      <c r="I2119" s="22">
        <f>F2119*(1+Assumptions!$B$7+IF(D2119="Yes",Assumptions!$C$7,0))</f>
        <v>758039.68800000008</v>
      </c>
      <c r="J2119" s="22">
        <f>F2119*(1+Assumptions!$B$8+IF(D2119="Yes",Assumptions!$C$8,0))</f>
        <v>729161.98560000001</v>
      </c>
    </row>
    <row r="2120" spans="1:10" ht="15">
      <c r="A2120" s="21">
        <v>41110</v>
      </c>
      <c r="B2120" s="21">
        <v>41091</v>
      </c>
      <c r="C2120" s="17">
        <v>4</v>
      </c>
      <c r="D2120" s="17" t="s">
        <v>91</v>
      </c>
      <c r="E2120" s="14">
        <v>1214278.23</v>
      </c>
      <c r="F2120" s="14">
        <v>1162598.29</v>
      </c>
      <c r="G2120" s="14">
        <v>1162598.29</v>
      </c>
      <c r="H2120" s="22">
        <f>F2120*(1+Assumptions!$B$6+IF(D2120="Yes",Assumptions!$C$6,0))</f>
        <v>1197476.2387000001</v>
      </c>
      <c r="I2120" s="22">
        <f>F2120*(1+Assumptions!$B$7+IF(D2120="Yes",Assumptions!$C$7,0))</f>
        <v>1220728.2045</v>
      </c>
      <c r="J2120" s="22">
        <f>F2120*(1+Assumptions!$B$8+IF(D2120="Yes",Assumptions!$C$8,0))</f>
        <v>1174224.2729</v>
      </c>
    </row>
    <row r="2121" spans="1:10" ht="15">
      <c r="A2121" s="21">
        <v>41110</v>
      </c>
      <c r="B2121" s="21">
        <v>41091</v>
      </c>
      <c r="C2121" s="17">
        <v>5</v>
      </c>
      <c r="D2121" s="17" t="s">
        <v>91</v>
      </c>
      <c r="E2121" s="14">
        <v>628583.80999999994</v>
      </c>
      <c r="F2121" s="14">
        <v>689370.38</v>
      </c>
      <c r="G2121" s="14">
        <v>689370.38</v>
      </c>
      <c r="H2121" s="22">
        <f>F2121*(1+Assumptions!$B$6+IF(D2121="Yes",Assumptions!$C$6,0))</f>
        <v>710051.49140000006</v>
      </c>
      <c r="I2121" s="22">
        <f>F2121*(1+Assumptions!$B$7+IF(D2121="Yes",Assumptions!$C$7,0))</f>
        <v>723838.89900000009</v>
      </c>
      <c r="J2121" s="22">
        <f>F2121*(1+Assumptions!$B$8+IF(D2121="Yes",Assumptions!$C$8,0))</f>
        <v>696264.08380000002</v>
      </c>
    </row>
    <row r="2122" spans="1:10" ht="15">
      <c r="A2122" s="21">
        <v>41110</v>
      </c>
      <c r="B2122" s="21">
        <v>41091</v>
      </c>
      <c r="C2122" s="17">
        <v>6</v>
      </c>
      <c r="D2122" s="17" t="s">
        <v>91</v>
      </c>
      <c r="E2122" s="14">
        <v>162364.80000000002</v>
      </c>
      <c r="F2122" s="14">
        <v>186659.53</v>
      </c>
      <c r="G2122" s="14">
        <v>186659.53</v>
      </c>
      <c r="H2122" s="22">
        <f>F2122*(1+Assumptions!$B$6+IF(D2122="Yes",Assumptions!$C$6,0))</f>
        <v>192259.31590000002</v>
      </c>
      <c r="I2122" s="22">
        <f>F2122*(1+Assumptions!$B$7+IF(D2122="Yes",Assumptions!$C$7,0))</f>
        <v>195992.50650000002</v>
      </c>
      <c r="J2122" s="22">
        <f>F2122*(1+Assumptions!$B$8+IF(D2122="Yes",Assumptions!$C$8,0))</f>
        <v>188526.12530000001</v>
      </c>
    </row>
    <row r="2123" spans="1:10" ht="15">
      <c r="A2123" s="21">
        <v>41110</v>
      </c>
      <c r="B2123" s="21">
        <v>41091</v>
      </c>
      <c r="C2123" s="17">
        <v>7</v>
      </c>
      <c r="D2123" s="17" t="s">
        <v>91</v>
      </c>
      <c r="E2123" s="14">
        <v>873833.53</v>
      </c>
      <c r="F2123" s="14">
        <v>907400.55999999994</v>
      </c>
      <c r="G2123" s="14">
        <v>907400.55999999994</v>
      </c>
      <c r="H2123" s="22">
        <f>F2123*(1+Assumptions!$B$6+IF(D2123="Yes",Assumptions!$C$6,0))</f>
        <v>934622.57679999992</v>
      </c>
      <c r="I2123" s="22">
        <f>F2123*(1+Assumptions!$B$7+IF(D2123="Yes",Assumptions!$C$7,0))</f>
        <v>952770.58799999999</v>
      </c>
      <c r="J2123" s="22">
        <f>F2123*(1+Assumptions!$B$8+IF(D2123="Yes",Assumptions!$C$8,0))</f>
        <v>916474.56559999997</v>
      </c>
    </row>
    <row r="2124" spans="1:10" ht="15">
      <c r="A2124" s="21">
        <v>41110</v>
      </c>
      <c r="B2124" s="21">
        <v>41091</v>
      </c>
      <c r="C2124" s="17">
        <v>8</v>
      </c>
      <c r="D2124" s="17" t="s">
        <v>91</v>
      </c>
      <c r="E2124" s="14">
        <v>1344286.9</v>
      </c>
      <c r="F2124" s="14">
        <v>1305363.08</v>
      </c>
      <c r="G2124" s="14">
        <v>1305363.08</v>
      </c>
      <c r="H2124" s="22">
        <f>F2124*(1+Assumptions!$B$6+IF(D2124="Yes",Assumptions!$C$6,0))</f>
        <v>1344523.9724000001</v>
      </c>
      <c r="I2124" s="22">
        <f>F2124*(1+Assumptions!$B$7+IF(D2124="Yes",Assumptions!$C$7,0))</f>
        <v>1370631.2340000002</v>
      </c>
      <c r="J2124" s="22">
        <f>F2124*(1+Assumptions!$B$8+IF(D2124="Yes",Assumptions!$C$8,0))</f>
        <v>1318416.7108</v>
      </c>
    </row>
    <row r="2125" spans="1:10" ht="15">
      <c r="A2125" s="21">
        <v>41110</v>
      </c>
      <c r="B2125" s="21">
        <v>41091</v>
      </c>
      <c r="C2125" s="17">
        <v>9</v>
      </c>
      <c r="D2125" s="17" t="s">
        <v>91</v>
      </c>
      <c r="E2125" s="14">
        <v>1071055.1599999999</v>
      </c>
      <c r="F2125" s="14">
        <v>1082813.3899999999</v>
      </c>
      <c r="G2125" s="14">
        <v>1082813.3899999999</v>
      </c>
      <c r="H2125" s="22">
        <f>F2125*(1+Assumptions!$B$6+IF(D2125="Yes",Assumptions!$C$6,0))</f>
        <v>1115297.7916999999</v>
      </c>
      <c r="I2125" s="22">
        <f>F2125*(1+Assumptions!$B$7+IF(D2125="Yes",Assumptions!$C$7,0))</f>
        <v>1136954.0595</v>
      </c>
      <c r="J2125" s="22">
        <f>F2125*(1+Assumptions!$B$8+IF(D2125="Yes",Assumptions!$C$8,0))</f>
        <v>1093641.5238999999</v>
      </c>
    </row>
    <row r="2126" spans="1:10" ht="15">
      <c r="A2126" s="21">
        <v>41110</v>
      </c>
      <c r="B2126" s="21">
        <v>41091</v>
      </c>
      <c r="C2126" s="17">
        <v>10</v>
      </c>
      <c r="D2126" s="17" t="s">
        <v>91</v>
      </c>
      <c r="E2126" s="14">
        <v>867566.03</v>
      </c>
      <c r="F2126" s="14">
        <v>875562.65</v>
      </c>
      <c r="G2126" s="14">
        <v>875562.65</v>
      </c>
      <c r="H2126" s="22">
        <f>F2126*(1+Assumptions!$B$6+IF(D2126="Yes",Assumptions!$C$6,0))</f>
        <v>901829.52950000006</v>
      </c>
      <c r="I2126" s="22">
        <f>F2126*(1+Assumptions!$B$7+IF(D2126="Yes",Assumptions!$C$7,0))</f>
        <v>919340.78250000009</v>
      </c>
      <c r="J2126" s="22">
        <f>F2126*(1+Assumptions!$B$8+IF(D2126="Yes",Assumptions!$C$8,0))</f>
        <v>884318.27650000004</v>
      </c>
    </row>
    <row r="2127" spans="1:10" ht="15">
      <c r="A2127" s="21">
        <v>41110</v>
      </c>
      <c r="B2127" s="21">
        <v>41091</v>
      </c>
      <c r="C2127" s="17">
        <v>11</v>
      </c>
      <c r="D2127" s="17" t="s">
        <v>91</v>
      </c>
      <c r="E2127" s="14">
        <v>738695.8</v>
      </c>
      <c r="F2127" s="14">
        <v>959755.4</v>
      </c>
      <c r="G2127" s="14">
        <v>959755.4</v>
      </c>
      <c r="H2127" s="22">
        <f>F2127*(1+Assumptions!$B$6+IF(D2127="Yes",Assumptions!$C$6,0))</f>
        <v>988548.06200000003</v>
      </c>
      <c r="I2127" s="22">
        <f>F2127*(1+Assumptions!$B$7+IF(D2127="Yes",Assumptions!$C$7,0))</f>
        <v>1007743.17</v>
      </c>
      <c r="J2127" s="22">
        <f>F2127*(1+Assumptions!$B$8+IF(D2127="Yes",Assumptions!$C$8,0))</f>
        <v>969352.95400000003</v>
      </c>
    </row>
    <row r="2128" spans="1:10" ht="15">
      <c r="A2128" s="21">
        <v>41110</v>
      </c>
      <c r="B2128" s="21">
        <v>41091</v>
      </c>
      <c r="C2128" s="17">
        <v>12</v>
      </c>
      <c r="D2128" s="17" t="s">
        <v>91</v>
      </c>
      <c r="E2128" s="14">
        <v>213270.84</v>
      </c>
      <c r="F2128" s="14">
        <v>204330.53</v>
      </c>
      <c r="G2128" s="14">
        <v>204330.53</v>
      </c>
      <c r="H2128" s="22">
        <f>F2128*(1+Assumptions!$B$6+IF(D2128="Yes",Assumptions!$C$6,0))</f>
        <v>210460.44589999999</v>
      </c>
      <c r="I2128" s="22">
        <f>F2128*(1+Assumptions!$B$7+IF(D2128="Yes",Assumptions!$C$7,0))</f>
        <v>214547.05650000001</v>
      </c>
      <c r="J2128" s="22">
        <f>F2128*(1+Assumptions!$B$8+IF(D2128="Yes",Assumptions!$C$8,0))</f>
        <v>206373.83530000001</v>
      </c>
    </row>
    <row r="2129" spans="1:10" ht="15">
      <c r="A2129" s="21">
        <v>41110</v>
      </c>
      <c r="B2129" s="21">
        <v>41091</v>
      </c>
      <c r="C2129" s="17">
        <v>13</v>
      </c>
      <c r="D2129" s="17" t="s">
        <v>91</v>
      </c>
      <c r="E2129" s="14">
        <v>1375985.37</v>
      </c>
      <c r="F2129" s="14">
        <v>1362110.46</v>
      </c>
      <c r="G2129" s="14">
        <v>1362110.46</v>
      </c>
      <c r="H2129" s="22">
        <f>F2129*(1+Assumptions!$B$6+IF(D2129="Yes",Assumptions!$C$6,0))</f>
        <v>1402973.7738000001</v>
      </c>
      <c r="I2129" s="22">
        <f>F2129*(1+Assumptions!$B$7+IF(D2129="Yes",Assumptions!$C$7,0))</f>
        <v>1430215.983</v>
      </c>
      <c r="J2129" s="22">
        <f>F2129*(1+Assumptions!$B$8+IF(D2129="Yes",Assumptions!$C$8,0))</f>
        <v>1375731.5645999999</v>
      </c>
    </row>
    <row r="2130" spans="1:10" ht="15">
      <c r="A2130" s="21">
        <v>41110</v>
      </c>
      <c r="B2130" s="21">
        <v>41091</v>
      </c>
      <c r="C2130" s="17">
        <v>14</v>
      </c>
      <c r="D2130" s="17" t="s">
        <v>91</v>
      </c>
      <c r="E2130" s="14">
        <v>596748.19999999995</v>
      </c>
      <c r="F2130" s="14">
        <v>548809.72</v>
      </c>
      <c r="G2130" s="14">
        <v>548809.72</v>
      </c>
      <c r="H2130" s="22">
        <f>F2130*(1+Assumptions!$B$6+IF(D2130="Yes",Assumptions!$C$6,0))</f>
        <v>565274.01159999997</v>
      </c>
      <c r="I2130" s="22">
        <f>F2130*(1+Assumptions!$B$7+IF(D2130="Yes",Assumptions!$C$7,0))</f>
        <v>576250.20600000001</v>
      </c>
      <c r="J2130" s="22">
        <f>F2130*(1+Assumptions!$B$8+IF(D2130="Yes",Assumptions!$C$8,0))</f>
        <v>554297.81719999993</v>
      </c>
    </row>
    <row r="2131" spans="1:10" ht="15">
      <c r="A2131" s="21">
        <v>41110</v>
      </c>
      <c r="B2131" s="21">
        <v>41091</v>
      </c>
      <c r="C2131" s="17">
        <v>16</v>
      </c>
      <c r="D2131" s="17" t="s">
        <v>91</v>
      </c>
      <c r="E2131" s="14">
        <v>762762.36</v>
      </c>
      <c r="F2131" s="14">
        <v>883810.75</v>
      </c>
      <c r="G2131" s="14">
        <v>883810.75</v>
      </c>
      <c r="H2131" s="22">
        <f>F2131*(1+Assumptions!$B$6+IF(D2131="Yes",Assumptions!$C$6,0))</f>
        <v>910325.07250000001</v>
      </c>
      <c r="I2131" s="22">
        <f>F2131*(1+Assumptions!$B$7+IF(D2131="Yes",Assumptions!$C$7,0))</f>
        <v>928001.28750000009</v>
      </c>
      <c r="J2131" s="22">
        <f>F2131*(1+Assumptions!$B$8+IF(D2131="Yes",Assumptions!$C$8,0))</f>
        <v>892648.85750000004</v>
      </c>
    </row>
    <row r="2132" spans="1:10" ht="15">
      <c r="A2132" s="21">
        <v>41110</v>
      </c>
      <c r="B2132" s="21">
        <v>41091</v>
      </c>
      <c r="C2132" s="17">
        <v>17</v>
      </c>
      <c r="D2132" s="17" t="s">
        <v>91</v>
      </c>
      <c r="E2132" s="14">
        <v>412878.09</v>
      </c>
      <c r="F2132" s="14">
        <v>403927.7</v>
      </c>
      <c r="G2132" s="14">
        <v>403927.7</v>
      </c>
      <c r="H2132" s="22">
        <f>F2132*(1+Assumptions!$B$6+IF(D2132="Yes",Assumptions!$C$6,0))</f>
        <v>416045.53100000002</v>
      </c>
      <c r="I2132" s="22">
        <f>F2132*(1+Assumptions!$B$7+IF(D2132="Yes",Assumptions!$C$7,0))</f>
        <v>424124.08500000002</v>
      </c>
      <c r="J2132" s="22">
        <f>F2132*(1+Assumptions!$B$8+IF(D2132="Yes",Assumptions!$C$8,0))</f>
        <v>407966.97700000001</v>
      </c>
    </row>
    <row r="2133" spans="1:10" ht="15">
      <c r="A2133" s="21">
        <v>41110</v>
      </c>
      <c r="B2133" s="21">
        <v>41091</v>
      </c>
      <c r="C2133" s="17">
        <v>18</v>
      </c>
      <c r="D2133" s="17" t="s">
        <v>91</v>
      </c>
      <c r="E2133" s="14">
        <v>10.75</v>
      </c>
      <c r="F2133" s="14">
        <v>9.8999999999999986</v>
      </c>
      <c r="G2133" s="14">
        <v>9.8999999999999986</v>
      </c>
      <c r="H2133" s="22">
        <f>F2133*(1+Assumptions!$B$6+IF(D2133="Yes",Assumptions!$C$6,0))</f>
        <v>10.196999999999999</v>
      </c>
      <c r="I2133" s="22">
        <f>F2133*(1+Assumptions!$B$7+IF(D2133="Yes",Assumptions!$C$7,0))</f>
        <v>10.395</v>
      </c>
      <c r="J2133" s="22">
        <f>F2133*(1+Assumptions!$B$8+IF(D2133="Yes",Assumptions!$C$8,0))</f>
        <v>9.9989999999999988</v>
      </c>
    </row>
    <row r="2134" spans="1:10" ht="15">
      <c r="A2134" s="21">
        <v>41110</v>
      </c>
      <c r="B2134" s="21">
        <v>41091</v>
      </c>
      <c r="C2134" s="17">
        <v>19</v>
      </c>
      <c r="D2134" s="17" t="s">
        <v>91</v>
      </c>
      <c r="E2134" s="14">
        <v>44275.08</v>
      </c>
      <c r="F2134" s="14">
        <v>38159.61</v>
      </c>
      <c r="G2134" s="14">
        <v>38159.61</v>
      </c>
      <c r="H2134" s="22">
        <f>F2134*(1+Assumptions!$B$6+IF(D2134="Yes",Assumptions!$C$6,0))</f>
        <v>39304.398300000001</v>
      </c>
      <c r="I2134" s="22">
        <f>F2134*(1+Assumptions!$B$7+IF(D2134="Yes",Assumptions!$C$7,0))</f>
        <v>40067.590500000006</v>
      </c>
      <c r="J2134" s="22">
        <f>F2134*(1+Assumptions!$B$8+IF(D2134="Yes",Assumptions!$C$8,0))</f>
        <v>38541.206100000003</v>
      </c>
    </row>
    <row r="2135" spans="1:10" ht="15">
      <c r="A2135" s="21">
        <v>41110</v>
      </c>
      <c r="B2135" s="21">
        <v>41091</v>
      </c>
      <c r="C2135" s="17">
        <v>20</v>
      </c>
      <c r="D2135" s="17" t="s">
        <v>91</v>
      </c>
      <c r="E2135" s="14">
        <v>259251.29</v>
      </c>
      <c r="F2135" s="14">
        <v>242772.61</v>
      </c>
      <c r="G2135" s="14">
        <v>242772.61</v>
      </c>
      <c r="H2135" s="22">
        <f>F2135*(1+Assumptions!$B$6+IF(D2135="Yes",Assumptions!$C$6,0))</f>
        <v>250055.78829999999</v>
      </c>
      <c r="I2135" s="22">
        <f>F2135*(1+Assumptions!$B$7+IF(D2135="Yes",Assumptions!$C$7,0))</f>
        <v>254911.24049999999</v>
      </c>
      <c r="J2135" s="22">
        <f>F2135*(1+Assumptions!$B$8+IF(D2135="Yes",Assumptions!$C$8,0))</f>
        <v>245200.33609999999</v>
      </c>
    </row>
    <row r="2136" spans="1:10" ht="15">
      <c r="A2136" s="21">
        <v>41110</v>
      </c>
      <c r="B2136" s="21">
        <v>41091</v>
      </c>
      <c r="C2136" s="17">
        <v>21</v>
      </c>
      <c r="D2136" s="17" t="s">
        <v>91</v>
      </c>
      <c r="E2136" s="14">
        <v>200495.51</v>
      </c>
      <c r="F2136" s="14">
        <v>206302.05</v>
      </c>
      <c r="G2136" s="14">
        <v>206302.05</v>
      </c>
      <c r="H2136" s="22">
        <f>F2136*(1+Assumptions!$B$6+IF(D2136="Yes",Assumptions!$C$6,0))</f>
        <v>212491.1115</v>
      </c>
      <c r="I2136" s="22">
        <f>F2136*(1+Assumptions!$B$7+IF(D2136="Yes",Assumptions!$C$7,0))</f>
        <v>216617.1525</v>
      </c>
      <c r="J2136" s="22">
        <f>F2136*(1+Assumptions!$B$8+IF(D2136="Yes",Assumptions!$C$8,0))</f>
        <v>208365.0705</v>
      </c>
    </row>
    <row r="2137" spans="1:10" ht="15">
      <c r="A2137" s="21">
        <v>41110</v>
      </c>
      <c r="B2137" s="21">
        <v>41091</v>
      </c>
      <c r="C2137" s="17">
        <v>22</v>
      </c>
      <c r="D2137" s="17" t="s">
        <v>91</v>
      </c>
      <c r="E2137" s="14">
        <v>417520.1</v>
      </c>
      <c r="F2137" s="14">
        <v>392452.99</v>
      </c>
      <c r="G2137" s="14">
        <v>392452.99</v>
      </c>
      <c r="H2137" s="22">
        <f>F2137*(1+Assumptions!$B$6+IF(D2137="Yes",Assumptions!$C$6,0))</f>
        <v>404226.5797</v>
      </c>
      <c r="I2137" s="22">
        <f>F2137*(1+Assumptions!$B$7+IF(D2137="Yes",Assumptions!$C$7,0))</f>
        <v>412075.63949999999</v>
      </c>
      <c r="J2137" s="22">
        <f>F2137*(1+Assumptions!$B$8+IF(D2137="Yes",Assumptions!$C$8,0))</f>
        <v>396377.51990000001</v>
      </c>
    </row>
    <row r="2138" spans="1:10" ht="15">
      <c r="A2138" s="21">
        <v>41110</v>
      </c>
      <c r="B2138" s="21">
        <v>41091</v>
      </c>
      <c r="C2138" s="17">
        <v>23</v>
      </c>
      <c r="D2138" s="17" t="s">
        <v>91</v>
      </c>
      <c r="E2138" s="14">
        <v>959547.77</v>
      </c>
      <c r="F2138" s="14">
        <v>928208.53</v>
      </c>
      <c r="G2138" s="14">
        <v>928208.53</v>
      </c>
      <c r="H2138" s="22">
        <f>F2138*(1+Assumptions!$B$6+IF(D2138="Yes",Assumptions!$C$6,0))</f>
        <v>956054.78590000002</v>
      </c>
      <c r="I2138" s="22">
        <f>F2138*(1+Assumptions!$B$7+IF(D2138="Yes",Assumptions!$C$7,0))</f>
        <v>974618.95650000009</v>
      </c>
      <c r="J2138" s="22">
        <f>F2138*(1+Assumptions!$B$8+IF(D2138="Yes",Assumptions!$C$8,0))</f>
        <v>937490.61530000006</v>
      </c>
    </row>
    <row r="2139" spans="1:10" ht="15">
      <c r="A2139" s="21">
        <v>41110</v>
      </c>
      <c r="B2139" s="21">
        <v>41091</v>
      </c>
      <c r="C2139" s="17">
        <v>24</v>
      </c>
      <c r="D2139" s="17" t="s">
        <v>91</v>
      </c>
      <c r="E2139" s="14">
        <v>214258.47</v>
      </c>
      <c r="F2139" s="14">
        <v>199650.5</v>
      </c>
      <c r="G2139" s="14">
        <v>199650.5</v>
      </c>
      <c r="H2139" s="22">
        <f>F2139*(1+Assumptions!$B$6+IF(D2139="Yes",Assumptions!$C$6,0))</f>
        <v>205640.01500000001</v>
      </c>
      <c r="I2139" s="22">
        <f>F2139*(1+Assumptions!$B$7+IF(D2139="Yes",Assumptions!$C$7,0))</f>
        <v>209633.02500000002</v>
      </c>
      <c r="J2139" s="22">
        <f>F2139*(1+Assumptions!$B$8+IF(D2139="Yes",Assumptions!$C$8,0))</f>
        <v>201647.005</v>
      </c>
    </row>
    <row r="2140" spans="1:10" ht="15">
      <c r="A2140" s="21">
        <v>41110</v>
      </c>
      <c r="B2140" s="21">
        <v>41091</v>
      </c>
      <c r="C2140" s="17">
        <v>25</v>
      </c>
      <c r="D2140" s="17" t="s">
        <v>91</v>
      </c>
      <c r="E2140" s="14">
        <v>357239.32</v>
      </c>
      <c r="F2140" s="14">
        <v>374587.5</v>
      </c>
      <c r="G2140" s="14">
        <v>374587.5</v>
      </c>
      <c r="H2140" s="22">
        <f>F2140*(1+Assumptions!$B$6+IF(D2140="Yes",Assumptions!$C$6,0))</f>
        <v>385825.125</v>
      </c>
      <c r="I2140" s="22">
        <f>F2140*(1+Assumptions!$B$7+IF(D2140="Yes",Assumptions!$C$7,0))</f>
        <v>393316.875</v>
      </c>
      <c r="J2140" s="22">
        <f>F2140*(1+Assumptions!$B$8+IF(D2140="Yes",Assumptions!$C$8,0))</f>
        <v>378333.375</v>
      </c>
    </row>
    <row r="2141" spans="1:10" ht="15">
      <c r="A2141" s="21">
        <v>41110</v>
      </c>
      <c r="B2141" s="21">
        <v>41091</v>
      </c>
      <c r="C2141" s="17">
        <v>26</v>
      </c>
      <c r="D2141" s="17" t="s">
        <v>91</v>
      </c>
      <c r="E2141" s="14">
        <v>226255.33000000002</v>
      </c>
      <c r="F2141" s="14">
        <v>225326.07999999999</v>
      </c>
      <c r="G2141" s="14">
        <v>225326.07999999999</v>
      </c>
      <c r="H2141" s="22">
        <f>F2141*(1+Assumptions!$B$6+IF(D2141="Yes",Assumptions!$C$6,0))</f>
        <v>232085.86239999998</v>
      </c>
      <c r="I2141" s="22">
        <f>F2141*(1+Assumptions!$B$7+IF(D2141="Yes",Assumptions!$C$7,0))</f>
        <v>236592.38399999999</v>
      </c>
      <c r="J2141" s="22">
        <f>F2141*(1+Assumptions!$B$8+IF(D2141="Yes",Assumptions!$C$8,0))</f>
        <v>227579.34079999998</v>
      </c>
    </row>
    <row r="2142" spans="1:10" ht="15">
      <c r="A2142" s="21">
        <v>41110</v>
      </c>
      <c r="B2142" s="21">
        <v>41091</v>
      </c>
      <c r="C2142" s="17">
        <v>27</v>
      </c>
      <c r="D2142" s="17" t="s">
        <v>91</v>
      </c>
      <c r="E2142" s="14">
        <v>47929.13</v>
      </c>
      <c r="F2142" s="14">
        <v>41259.89</v>
      </c>
      <c r="G2142" s="14">
        <v>41259.89</v>
      </c>
      <c r="H2142" s="22">
        <f>F2142*(1+Assumptions!$B$6+IF(D2142="Yes",Assumptions!$C$6,0))</f>
        <v>42497.686699999998</v>
      </c>
      <c r="I2142" s="22">
        <f>F2142*(1+Assumptions!$B$7+IF(D2142="Yes",Assumptions!$C$7,0))</f>
        <v>43322.8845</v>
      </c>
      <c r="J2142" s="22">
        <f>F2142*(1+Assumptions!$B$8+IF(D2142="Yes",Assumptions!$C$8,0))</f>
        <v>41672.488899999997</v>
      </c>
    </row>
    <row r="2143" spans="1:10" ht="15">
      <c r="A2143" s="21">
        <v>41110</v>
      </c>
      <c r="B2143" s="21">
        <v>41091</v>
      </c>
      <c r="C2143" s="17">
        <v>28</v>
      </c>
      <c r="D2143" s="17" t="s">
        <v>91</v>
      </c>
      <c r="E2143" s="14">
        <v>14596.61</v>
      </c>
      <c r="F2143" s="14">
        <v>14402.11</v>
      </c>
      <c r="G2143" s="14">
        <v>14402.11</v>
      </c>
      <c r="H2143" s="22">
        <f>F2143*(1+Assumptions!$B$6+IF(D2143="Yes",Assumptions!$C$6,0))</f>
        <v>14834.1733</v>
      </c>
      <c r="I2143" s="22">
        <f>F2143*(1+Assumptions!$B$7+IF(D2143="Yes",Assumptions!$C$7,0))</f>
        <v>15122.215500000002</v>
      </c>
      <c r="J2143" s="22">
        <f>F2143*(1+Assumptions!$B$8+IF(D2143="Yes",Assumptions!$C$8,0))</f>
        <v>14546.131100000001</v>
      </c>
    </row>
    <row r="2144" spans="1:10" ht="15">
      <c r="A2144" s="21">
        <v>41110</v>
      </c>
      <c r="B2144" s="21">
        <v>41091</v>
      </c>
      <c r="C2144" s="17">
        <v>29</v>
      </c>
      <c r="D2144" s="17" t="s">
        <v>91</v>
      </c>
      <c r="E2144" s="14">
        <v>212485.86</v>
      </c>
      <c r="F2144" s="14">
        <v>203285.39</v>
      </c>
      <c r="G2144" s="14">
        <v>203285.39</v>
      </c>
      <c r="H2144" s="22">
        <f>F2144*(1+Assumptions!$B$6+IF(D2144="Yes",Assumptions!$C$6,0))</f>
        <v>209383.95170000003</v>
      </c>
      <c r="I2144" s="22">
        <f>F2144*(1+Assumptions!$B$7+IF(D2144="Yes",Assumptions!$C$7,0))</f>
        <v>213449.65950000004</v>
      </c>
      <c r="J2144" s="22">
        <f>F2144*(1+Assumptions!$B$8+IF(D2144="Yes",Assumptions!$C$8,0))</f>
        <v>205318.24390000003</v>
      </c>
    </row>
    <row r="2145" spans="1:10" ht="15">
      <c r="A2145" s="21">
        <v>41110</v>
      </c>
      <c r="B2145" s="21">
        <v>41091</v>
      </c>
      <c r="C2145" s="17">
        <v>30</v>
      </c>
      <c r="D2145" s="17" t="s">
        <v>91</v>
      </c>
      <c r="E2145" s="14">
        <v>160410</v>
      </c>
      <c r="F2145" s="14">
        <v>167256.49</v>
      </c>
      <c r="G2145" s="14">
        <v>167256.49</v>
      </c>
      <c r="H2145" s="22">
        <f>F2145*(1+Assumptions!$B$6+IF(D2145="Yes",Assumptions!$C$6,0))</f>
        <v>172274.18469999998</v>
      </c>
      <c r="I2145" s="22">
        <f>F2145*(1+Assumptions!$B$7+IF(D2145="Yes",Assumptions!$C$7,0))</f>
        <v>175619.31450000001</v>
      </c>
      <c r="J2145" s="22">
        <f>F2145*(1+Assumptions!$B$8+IF(D2145="Yes",Assumptions!$C$8,0))</f>
        <v>168929.05489999999</v>
      </c>
    </row>
    <row r="2146" spans="1:10" ht="15">
      <c r="A2146" s="21">
        <v>41110</v>
      </c>
      <c r="B2146" s="21">
        <v>41091</v>
      </c>
      <c r="C2146" s="17">
        <v>31</v>
      </c>
      <c r="D2146" s="17" t="s">
        <v>91</v>
      </c>
      <c r="E2146" s="14">
        <v>111066.92</v>
      </c>
      <c r="F2146" s="14">
        <v>114512.78</v>
      </c>
      <c r="G2146" s="14">
        <v>114512.78</v>
      </c>
      <c r="H2146" s="22">
        <f>F2146*(1+Assumptions!$B$6+IF(D2146="Yes",Assumptions!$C$6,0))</f>
        <v>117948.1634</v>
      </c>
      <c r="I2146" s="22">
        <f>F2146*(1+Assumptions!$B$7+IF(D2146="Yes",Assumptions!$C$7,0))</f>
        <v>120238.41900000001</v>
      </c>
      <c r="J2146" s="22">
        <f>F2146*(1+Assumptions!$B$8+IF(D2146="Yes",Assumptions!$C$8,0))</f>
        <v>115657.9078</v>
      </c>
    </row>
    <row r="2147" spans="1:10" ht="15">
      <c r="A2147" s="21">
        <v>41110</v>
      </c>
      <c r="B2147" s="21">
        <v>41091</v>
      </c>
      <c r="C2147" s="17">
        <v>32</v>
      </c>
      <c r="D2147" s="17" t="s">
        <v>91</v>
      </c>
      <c r="E2147" s="14">
        <v>258910.2</v>
      </c>
      <c r="F2147" s="14">
        <v>260360.49</v>
      </c>
      <c r="G2147" s="14">
        <v>260360.49</v>
      </c>
      <c r="H2147" s="22">
        <f>F2147*(1+Assumptions!$B$6+IF(D2147="Yes",Assumptions!$C$6,0))</f>
        <v>268171.30469999998</v>
      </c>
      <c r="I2147" s="22">
        <f>F2147*(1+Assumptions!$B$7+IF(D2147="Yes",Assumptions!$C$7,0))</f>
        <v>273378.51449999999</v>
      </c>
      <c r="J2147" s="22">
        <f>F2147*(1+Assumptions!$B$8+IF(D2147="Yes",Assumptions!$C$8,0))</f>
        <v>262964.09489999997</v>
      </c>
    </row>
    <row r="2148" spans="1:10" ht="15">
      <c r="A2148" s="21">
        <v>41110</v>
      </c>
      <c r="B2148" s="21">
        <v>41091</v>
      </c>
      <c r="C2148" s="17">
        <v>33</v>
      </c>
      <c r="D2148" s="17" t="s">
        <v>91</v>
      </c>
      <c r="E2148" s="14">
        <v>236473.23</v>
      </c>
      <c r="F2148" s="14">
        <v>206992.93</v>
      </c>
      <c r="G2148" s="14">
        <v>206992.93</v>
      </c>
      <c r="H2148" s="22">
        <f>F2148*(1+Assumptions!$B$6+IF(D2148="Yes",Assumptions!$C$6,0))</f>
        <v>213202.71789999999</v>
      </c>
      <c r="I2148" s="22">
        <f>F2148*(1+Assumptions!$B$7+IF(D2148="Yes",Assumptions!$C$7,0))</f>
        <v>217342.5765</v>
      </c>
      <c r="J2148" s="22">
        <f>F2148*(1+Assumptions!$B$8+IF(D2148="Yes",Assumptions!$C$8,0))</f>
        <v>209062.85929999998</v>
      </c>
    </row>
    <row r="2149" spans="1:10" ht="15">
      <c r="A2149" s="21">
        <v>41110</v>
      </c>
      <c r="B2149" s="21">
        <v>41091</v>
      </c>
      <c r="C2149" s="17">
        <v>34</v>
      </c>
      <c r="D2149" s="17" t="s">
        <v>91</v>
      </c>
      <c r="E2149" s="14">
        <v>583304.19999999995</v>
      </c>
      <c r="F2149" s="14">
        <v>622103.05000000005</v>
      </c>
      <c r="G2149" s="14">
        <v>622103.05000000005</v>
      </c>
      <c r="H2149" s="22">
        <f>F2149*(1+Assumptions!$B$6+IF(D2149="Yes",Assumptions!$C$6,0))</f>
        <v>640766.14150000003</v>
      </c>
      <c r="I2149" s="22">
        <f>F2149*(1+Assumptions!$B$7+IF(D2149="Yes",Assumptions!$C$7,0))</f>
        <v>653208.20250000013</v>
      </c>
      <c r="J2149" s="22">
        <f>F2149*(1+Assumptions!$B$8+IF(D2149="Yes",Assumptions!$C$8,0))</f>
        <v>628324.08050000004</v>
      </c>
    </row>
    <row r="2150" spans="1:10" ht="15">
      <c r="A2150" s="21">
        <v>41110</v>
      </c>
      <c r="B2150" s="21">
        <v>41091</v>
      </c>
      <c r="C2150" s="17">
        <v>35</v>
      </c>
      <c r="D2150" s="17" t="s">
        <v>91</v>
      </c>
      <c r="E2150" s="14">
        <v>92516.58</v>
      </c>
      <c r="F2150" s="14">
        <v>113687.86</v>
      </c>
      <c r="G2150" s="14">
        <v>113687.86</v>
      </c>
      <c r="H2150" s="22">
        <f>F2150*(1+Assumptions!$B$6+IF(D2150="Yes",Assumptions!$C$6,0))</f>
        <v>117098.4958</v>
      </c>
      <c r="I2150" s="22">
        <f>F2150*(1+Assumptions!$B$7+IF(D2150="Yes",Assumptions!$C$7,0))</f>
        <v>119372.25300000001</v>
      </c>
      <c r="J2150" s="22">
        <f>F2150*(1+Assumptions!$B$8+IF(D2150="Yes",Assumptions!$C$8,0))</f>
        <v>114824.7386</v>
      </c>
    </row>
    <row r="2151" spans="1:10" ht="15">
      <c r="A2151" s="21">
        <v>41110</v>
      </c>
      <c r="B2151" s="21">
        <v>41091</v>
      </c>
      <c r="C2151" s="17">
        <v>36</v>
      </c>
      <c r="D2151" s="17" t="s">
        <v>91</v>
      </c>
      <c r="E2151" s="14">
        <v>62416.480000000003</v>
      </c>
      <c r="F2151" s="14">
        <v>90812.28</v>
      </c>
      <c r="G2151" s="14">
        <v>90812.28</v>
      </c>
      <c r="H2151" s="22">
        <f>F2151*(1+Assumptions!$B$6+IF(D2151="Yes",Assumptions!$C$6,0))</f>
        <v>93536.648400000005</v>
      </c>
      <c r="I2151" s="22">
        <f>F2151*(1+Assumptions!$B$7+IF(D2151="Yes",Assumptions!$C$7,0))</f>
        <v>95352.894</v>
      </c>
      <c r="J2151" s="22">
        <f>F2151*(1+Assumptions!$B$8+IF(D2151="Yes",Assumptions!$C$8,0))</f>
        <v>91720.402799999996</v>
      </c>
    </row>
    <row r="2152" spans="1:10" ht="15">
      <c r="A2152" s="21">
        <v>41110</v>
      </c>
      <c r="B2152" s="21">
        <v>41091</v>
      </c>
      <c r="C2152" s="17">
        <v>37</v>
      </c>
      <c r="D2152" s="17" t="s">
        <v>91</v>
      </c>
      <c r="E2152" s="14">
        <v>53004.29</v>
      </c>
      <c r="F2152" s="14">
        <v>50828.800000000003</v>
      </c>
      <c r="G2152" s="14">
        <v>50828.800000000003</v>
      </c>
      <c r="H2152" s="22">
        <f>F2152*(1+Assumptions!$B$6+IF(D2152="Yes",Assumptions!$C$6,0))</f>
        <v>52353.664000000004</v>
      </c>
      <c r="I2152" s="22">
        <f>F2152*(1+Assumptions!$B$7+IF(D2152="Yes",Assumptions!$C$7,0))</f>
        <v>53370.240000000005</v>
      </c>
      <c r="J2152" s="22">
        <f>F2152*(1+Assumptions!$B$8+IF(D2152="Yes",Assumptions!$C$8,0))</f>
        <v>51337.088000000003</v>
      </c>
    </row>
    <row r="2153" spans="1:10" ht="15">
      <c r="A2153" s="21">
        <v>41110</v>
      </c>
      <c r="B2153" s="21">
        <v>41091</v>
      </c>
      <c r="C2153" s="17">
        <v>38</v>
      </c>
      <c r="D2153" s="17" t="s">
        <v>91</v>
      </c>
      <c r="E2153" s="14">
        <v>2728844.38</v>
      </c>
      <c r="F2153" s="14">
        <v>2588606.11</v>
      </c>
      <c r="G2153" s="14">
        <v>2588606.11</v>
      </c>
      <c r="H2153" s="22">
        <f>F2153*(1+Assumptions!$B$6+IF(D2153="Yes",Assumptions!$C$6,0))</f>
        <v>2666264.2933</v>
      </c>
      <c r="I2153" s="22">
        <f>F2153*(1+Assumptions!$B$7+IF(D2153="Yes",Assumptions!$C$7,0))</f>
        <v>2718036.4155000001</v>
      </c>
      <c r="J2153" s="22">
        <f>F2153*(1+Assumptions!$B$8+IF(D2153="Yes",Assumptions!$C$8,0))</f>
        <v>2614492.1710999999</v>
      </c>
    </row>
    <row r="2154" spans="1:10" ht="15">
      <c r="A2154" s="21">
        <v>41110</v>
      </c>
      <c r="B2154" s="21">
        <v>41091</v>
      </c>
      <c r="C2154" s="17">
        <v>40</v>
      </c>
      <c r="D2154" s="17" t="s">
        <v>91</v>
      </c>
      <c r="E2154" s="14">
        <v>1993286.9</v>
      </c>
      <c r="F2154" s="14">
        <v>1866638.96</v>
      </c>
      <c r="G2154" s="14">
        <v>1866638.96</v>
      </c>
      <c r="H2154" s="22">
        <f>F2154*(1+Assumptions!$B$6+IF(D2154="Yes",Assumptions!$C$6,0))</f>
        <v>1922638.1288000001</v>
      </c>
      <c r="I2154" s="22">
        <f>F2154*(1+Assumptions!$B$7+IF(D2154="Yes",Assumptions!$C$7,0))</f>
        <v>1959970.9080000001</v>
      </c>
      <c r="J2154" s="22">
        <f>F2154*(1+Assumptions!$B$8+IF(D2154="Yes",Assumptions!$C$8,0))</f>
        <v>1885305.3496000001</v>
      </c>
    </row>
    <row r="2155" spans="1:10" ht="15">
      <c r="A2155" s="21">
        <v>41110</v>
      </c>
      <c r="B2155" s="21">
        <v>41091</v>
      </c>
      <c r="C2155" s="17">
        <v>41</v>
      </c>
      <c r="D2155" s="17" t="s">
        <v>91</v>
      </c>
      <c r="E2155" s="14">
        <v>51555.9</v>
      </c>
      <c r="F2155" s="14">
        <v>53861.85</v>
      </c>
      <c r="G2155" s="14">
        <v>53861.85</v>
      </c>
      <c r="H2155" s="22">
        <f>F2155*(1+Assumptions!$B$6+IF(D2155="Yes",Assumptions!$C$6,0))</f>
        <v>55477.705499999996</v>
      </c>
      <c r="I2155" s="22">
        <f>F2155*(1+Assumptions!$B$7+IF(D2155="Yes",Assumptions!$C$7,0))</f>
        <v>56554.942499999997</v>
      </c>
      <c r="J2155" s="22">
        <f>F2155*(1+Assumptions!$B$8+IF(D2155="Yes",Assumptions!$C$8,0))</f>
        <v>54400.468499999995</v>
      </c>
    </row>
    <row r="2156" spans="1:10" ht="15">
      <c r="A2156" s="21">
        <v>41110</v>
      </c>
      <c r="B2156" s="21">
        <v>41091</v>
      </c>
      <c r="C2156" s="17">
        <v>42</v>
      </c>
      <c r="D2156" s="17" t="s">
        <v>91</v>
      </c>
      <c r="E2156" s="14">
        <v>245987.76</v>
      </c>
      <c r="F2156" s="14">
        <v>237527.78</v>
      </c>
      <c r="G2156" s="14">
        <v>237527.78</v>
      </c>
      <c r="H2156" s="22">
        <f>F2156*(1+Assumptions!$B$6+IF(D2156="Yes",Assumptions!$C$6,0))</f>
        <v>244653.6134</v>
      </c>
      <c r="I2156" s="22">
        <f>F2156*(1+Assumptions!$B$7+IF(D2156="Yes",Assumptions!$C$7,0))</f>
        <v>249404.16900000002</v>
      </c>
      <c r="J2156" s="22">
        <f>F2156*(1+Assumptions!$B$8+IF(D2156="Yes",Assumptions!$C$8,0))</f>
        <v>239903.05780000001</v>
      </c>
    </row>
    <row r="2157" spans="1:10" ht="15">
      <c r="A2157" s="21">
        <v>41110</v>
      </c>
      <c r="B2157" s="21">
        <v>41091</v>
      </c>
      <c r="C2157" s="17">
        <v>44</v>
      </c>
      <c r="D2157" s="17" t="s">
        <v>91</v>
      </c>
      <c r="E2157" s="14">
        <v>169736.13</v>
      </c>
      <c r="F2157" s="14">
        <v>151970.20000000001</v>
      </c>
      <c r="G2157" s="14">
        <v>151970.20000000001</v>
      </c>
      <c r="H2157" s="22">
        <f>F2157*(1+Assumptions!$B$6+IF(D2157="Yes",Assumptions!$C$6,0))</f>
        <v>156529.30600000001</v>
      </c>
      <c r="I2157" s="22">
        <f>F2157*(1+Assumptions!$B$7+IF(D2157="Yes",Assumptions!$C$7,0))</f>
        <v>159568.71000000002</v>
      </c>
      <c r="J2157" s="22">
        <f>F2157*(1+Assumptions!$B$8+IF(D2157="Yes",Assumptions!$C$8,0))</f>
        <v>153489.902</v>
      </c>
    </row>
    <row r="2158" spans="1:10" ht="15">
      <c r="A2158" s="21">
        <v>41110</v>
      </c>
      <c r="B2158" s="21">
        <v>41091</v>
      </c>
      <c r="C2158" s="17">
        <v>45</v>
      </c>
      <c r="D2158" s="17" t="s">
        <v>91</v>
      </c>
      <c r="E2158" s="14">
        <v>91.550000000000011</v>
      </c>
      <c r="F2158" s="14">
        <v>36.82</v>
      </c>
      <c r="G2158" s="14">
        <v>36.82</v>
      </c>
      <c r="H2158" s="22">
        <f>F2158*(1+Assumptions!$B$6+IF(D2158="Yes",Assumptions!$C$6,0))</f>
        <v>37.924599999999998</v>
      </c>
      <c r="I2158" s="22">
        <f>F2158*(1+Assumptions!$B$7+IF(D2158="Yes",Assumptions!$C$7,0))</f>
        <v>38.661000000000001</v>
      </c>
      <c r="J2158" s="22">
        <f>F2158*(1+Assumptions!$B$8+IF(D2158="Yes",Assumptions!$C$8,0))</f>
        <v>37.188200000000002</v>
      </c>
    </row>
    <row r="2159" spans="1:10" ht="15">
      <c r="A2159" s="21">
        <v>41110</v>
      </c>
      <c r="B2159" s="21">
        <v>41091</v>
      </c>
      <c r="C2159" s="17">
        <v>46</v>
      </c>
      <c r="D2159" s="17" t="s">
        <v>91</v>
      </c>
      <c r="E2159" s="14">
        <v>934680.06</v>
      </c>
      <c r="F2159" s="14">
        <v>924077.93</v>
      </c>
      <c r="G2159" s="14">
        <v>924077.93</v>
      </c>
      <c r="H2159" s="22">
        <f>F2159*(1+Assumptions!$B$6+IF(D2159="Yes",Assumptions!$C$6,0))</f>
        <v>951800.26790000009</v>
      </c>
      <c r="I2159" s="22">
        <f>F2159*(1+Assumptions!$B$7+IF(D2159="Yes",Assumptions!$C$7,0))</f>
        <v>970281.82650000008</v>
      </c>
      <c r="J2159" s="22">
        <f>F2159*(1+Assumptions!$B$8+IF(D2159="Yes",Assumptions!$C$8,0))</f>
        <v>933318.7093000001</v>
      </c>
    </row>
    <row r="2160" spans="1:10" ht="15">
      <c r="A2160" s="21">
        <v>41110</v>
      </c>
      <c r="B2160" s="21">
        <v>41091</v>
      </c>
      <c r="C2160" s="17">
        <v>47</v>
      </c>
      <c r="D2160" s="17" t="s">
        <v>91</v>
      </c>
      <c r="E2160" s="14">
        <v>70</v>
      </c>
      <c r="F2160" s="14">
        <v>89</v>
      </c>
      <c r="G2160" s="14">
        <v>89</v>
      </c>
      <c r="H2160" s="22">
        <f>F2160*(1+Assumptions!$B$6+IF(D2160="Yes",Assumptions!$C$6,0))</f>
        <v>91.67</v>
      </c>
      <c r="I2160" s="22">
        <f>F2160*(1+Assumptions!$B$7+IF(D2160="Yes",Assumptions!$C$7,0))</f>
        <v>93.45</v>
      </c>
      <c r="J2160" s="22">
        <f>F2160*(1+Assumptions!$B$8+IF(D2160="Yes",Assumptions!$C$8,0))</f>
        <v>89.89</v>
      </c>
    </row>
    <row r="2161" spans="1:10" ht="15">
      <c r="A2161" s="21">
        <v>41110</v>
      </c>
      <c r="B2161" s="21">
        <v>41091</v>
      </c>
      <c r="C2161" s="17">
        <v>48</v>
      </c>
      <c r="D2161" s="17" t="s">
        <v>91</v>
      </c>
      <c r="E2161" s="14">
        <v>8923</v>
      </c>
      <c r="F2161" s="14">
        <v>4471</v>
      </c>
      <c r="G2161" s="14">
        <v>4471</v>
      </c>
      <c r="H2161" s="22">
        <f>F2161*(1+Assumptions!$B$6+IF(D2161="Yes",Assumptions!$C$6,0))</f>
        <v>4605.13</v>
      </c>
      <c r="I2161" s="22">
        <f>F2161*(1+Assumptions!$B$7+IF(D2161="Yes",Assumptions!$C$7,0))</f>
        <v>4694.55</v>
      </c>
      <c r="J2161" s="22">
        <f>F2161*(1+Assumptions!$B$8+IF(D2161="Yes",Assumptions!$C$8,0))</f>
        <v>4515.71</v>
      </c>
    </row>
    <row r="2162" spans="1:10" ht="15">
      <c r="A2162" s="21">
        <v>41110</v>
      </c>
      <c r="B2162" s="21">
        <v>41091</v>
      </c>
      <c r="C2162" s="17">
        <v>49</v>
      </c>
      <c r="D2162" s="17" t="s">
        <v>91</v>
      </c>
      <c r="E2162" s="14">
        <v>249042.55</v>
      </c>
      <c r="F2162" s="14">
        <v>258780.87</v>
      </c>
      <c r="G2162" s="14">
        <v>258780.87</v>
      </c>
      <c r="H2162" s="22">
        <f>F2162*(1+Assumptions!$B$6+IF(D2162="Yes",Assumptions!$C$6,0))</f>
        <v>266544.29609999998</v>
      </c>
      <c r="I2162" s="22">
        <f>F2162*(1+Assumptions!$B$7+IF(D2162="Yes",Assumptions!$C$7,0))</f>
        <v>271719.91350000002</v>
      </c>
      <c r="J2162" s="22">
        <f>F2162*(1+Assumptions!$B$8+IF(D2162="Yes",Assumptions!$C$8,0))</f>
        <v>261368.67869999999</v>
      </c>
    </row>
    <row r="2163" spans="1:10" ht="15">
      <c r="A2163" s="21">
        <v>41110</v>
      </c>
      <c r="B2163" s="21">
        <v>41091</v>
      </c>
      <c r="C2163" s="17">
        <v>50</v>
      </c>
      <c r="D2163" s="17" t="s">
        <v>91</v>
      </c>
      <c r="E2163" s="14">
        <v>32265.35</v>
      </c>
      <c r="F2163" s="14">
        <v>28428.3</v>
      </c>
      <c r="G2163" s="14">
        <v>28428.3</v>
      </c>
      <c r="H2163" s="22">
        <f>F2163*(1+Assumptions!$B$6+IF(D2163="Yes",Assumptions!$C$6,0))</f>
        <v>29281.149000000001</v>
      </c>
      <c r="I2163" s="22">
        <f>F2163*(1+Assumptions!$B$7+IF(D2163="Yes",Assumptions!$C$7,0))</f>
        <v>29849.715</v>
      </c>
      <c r="J2163" s="22">
        <f>F2163*(1+Assumptions!$B$8+IF(D2163="Yes",Assumptions!$C$8,0))</f>
        <v>28712.582999999999</v>
      </c>
    </row>
    <row r="2164" spans="1:10" ht="15">
      <c r="A2164" s="21">
        <v>41110</v>
      </c>
      <c r="B2164" s="21">
        <v>41091</v>
      </c>
      <c r="C2164" s="17">
        <v>51</v>
      </c>
      <c r="D2164" s="17" t="s">
        <v>91</v>
      </c>
      <c r="E2164" s="14">
        <v>22.32</v>
      </c>
      <c r="F2164" s="14">
        <v>12.8</v>
      </c>
      <c r="G2164" s="14">
        <v>12.8</v>
      </c>
      <c r="H2164" s="22">
        <f>F2164*(1+Assumptions!$B$6+IF(D2164="Yes",Assumptions!$C$6,0))</f>
        <v>13.184000000000001</v>
      </c>
      <c r="I2164" s="22">
        <f>F2164*(1+Assumptions!$B$7+IF(D2164="Yes",Assumptions!$C$7,0))</f>
        <v>13.440000000000001</v>
      </c>
      <c r="J2164" s="22">
        <f>F2164*(1+Assumptions!$B$8+IF(D2164="Yes",Assumptions!$C$8,0))</f>
        <v>12.928000000000001</v>
      </c>
    </row>
    <row r="2165" spans="1:10" ht="15">
      <c r="A2165" s="21">
        <v>41110</v>
      </c>
      <c r="B2165" s="21">
        <v>41091</v>
      </c>
      <c r="C2165" s="17">
        <v>52</v>
      </c>
      <c r="D2165" s="17" t="s">
        <v>91</v>
      </c>
      <c r="E2165" s="14">
        <v>68689.460000000006</v>
      </c>
      <c r="F2165" s="14">
        <v>67000.429999999993</v>
      </c>
      <c r="G2165" s="14">
        <v>67000.429999999993</v>
      </c>
      <c r="H2165" s="22">
        <f>F2165*(1+Assumptions!$B$6+IF(D2165="Yes",Assumptions!$C$6,0))</f>
        <v>69010.442899999995</v>
      </c>
      <c r="I2165" s="22">
        <f>F2165*(1+Assumptions!$B$7+IF(D2165="Yes",Assumptions!$C$7,0))</f>
        <v>70350.451499999996</v>
      </c>
      <c r="J2165" s="22">
        <f>F2165*(1+Assumptions!$B$8+IF(D2165="Yes",Assumptions!$C$8,0))</f>
        <v>67670.434299999994</v>
      </c>
    </row>
    <row r="2166" spans="1:10" ht="15">
      <c r="A2166" s="21">
        <v>41110</v>
      </c>
      <c r="B2166" s="21">
        <v>41091</v>
      </c>
      <c r="C2166" s="17">
        <v>54</v>
      </c>
      <c r="D2166" s="17" t="s">
        <v>91</v>
      </c>
      <c r="E2166" s="14">
        <v>840.62</v>
      </c>
      <c r="F2166" s="14">
        <v>1389.76</v>
      </c>
      <c r="G2166" s="14">
        <v>1389.76</v>
      </c>
      <c r="H2166" s="22">
        <f>F2166*(1+Assumptions!$B$6+IF(D2166="Yes",Assumptions!$C$6,0))</f>
        <v>1431.4528</v>
      </c>
      <c r="I2166" s="22">
        <f>F2166*(1+Assumptions!$B$7+IF(D2166="Yes",Assumptions!$C$7,0))</f>
        <v>1459.248</v>
      </c>
      <c r="J2166" s="22">
        <f>F2166*(1+Assumptions!$B$8+IF(D2166="Yes",Assumptions!$C$8,0))</f>
        <v>1403.6576</v>
      </c>
    </row>
    <row r="2167" spans="1:10" ht="15">
      <c r="A2167" s="21">
        <v>41110</v>
      </c>
      <c r="B2167" s="21">
        <v>41091</v>
      </c>
      <c r="C2167" s="17">
        <v>55</v>
      </c>
      <c r="D2167" s="17" t="s">
        <v>91</v>
      </c>
      <c r="E2167" s="14">
        <v>264627.92</v>
      </c>
      <c r="F2167" s="14">
        <v>285185.31</v>
      </c>
      <c r="G2167" s="14">
        <v>285185.31</v>
      </c>
      <c r="H2167" s="22">
        <f>F2167*(1+Assumptions!$B$6+IF(D2167="Yes",Assumptions!$C$6,0))</f>
        <v>293740.86930000002</v>
      </c>
      <c r="I2167" s="22">
        <f>F2167*(1+Assumptions!$B$7+IF(D2167="Yes",Assumptions!$C$7,0))</f>
        <v>299444.57550000004</v>
      </c>
      <c r="J2167" s="22">
        <f>F2167*(1+Assumptions!$B$8+IF(D2167="Yes",Assumptions!$C$8,0))</f>
        <v>288037.16310000001</v>
      </c>
    </row>
    <row r="2168" spans="1:10" ht="15">
      <c r="A2168" s="21">
        <v>41110</v>
      </c>
      <c r="B2168" s="21">
        <v>41091</v>
      </c>
      <c r="C2168" s="17">
        <v>56</v>
      </c>
      <c r="D2168" s="17" t="s">
        <v>91</v>
      </c>
      <c r="E2168" s="14">
        <v>67679.66</v>
      </c>
      <c r="F2168" s="14">
        <v>65607.009999999995</v>
      </c>
      <c r="G2168" s="14">
        <v>65607.009999999995</v>
      </c>
      <c r="H2168" s="22">
        <f>F2168*(1+Assumptions!$B$6+IF(D2168="Yes",Assumptions!$C$6,0))</f>
        <v>67575.220300000001</v>
      </c>
      <c r="I2168" s="22">
        <f>F2168*(1+Assumptions!$B$7+IF(D2168="Yes",Assumptions!$C$7,0))</f>
        <v>68887.360499999995</v>
      </c>
      <c r="J2168" s="22">
        <f>F2168*(1+Assumptions!$B$8+IF(D2168="Yes",Assumptions!$C$8,0))</f>
        <v>66263.080099999992</v>
      </c>
    </row>
    <row r="2169" spans="1:10" ht="15">
      <c r="A2169" s="21">
        <v>41110</v>
      </c>
      <c r="B2169" s="21">
        <v>41091</v>
      </c>
      <c r="C2169" s="17">
        <v>58</v>
      </c>
      <c r="D2169" s="17" t="s">
        <v>91</v>
      </c>
      <c r="E2169" s="14">
        <v>130209</v>
      </c>
      <c r="F2169" s="14">
        <v>107198.94</v>
      </c>
      <c r="G2169" s="14">
        <v>107198.94</v>
      </c>
      <c r="H2169" s="22">
        <f>F2169*(1+Assumptions!$B$6+IF(D2169="Yes",Assumptions!$C$6,0))</f>
        <v>110414.90820000001</v>
      </c>
      <c r="I2169" s="22">
        <f>F2169*(1+Assumptions!$B$7+IF(D2169="Yes",Assumptions!$C$7,0))</f>
        <v>112558.887</v>
      </c>
      <c r="J2169" s="22">
        <f>F2169*(1+Assumptions!$B$8+IF(D2169="Yes",Assumptions!$C$8,0))</f>
        <v>108270.92940000001</v>
      </c>
    </row>
    <row r="2170" spans="1:10" ht="15">
      <c r="A2170" s="21">
        <v>41110</v>
      </c>
      <c r="B2170" s="21">
        <v>41091</v>
      </c>
      <c r="C2170" s="17">
        <v>59</v>
      </c>
      <c r="D2170" s="17" t="s">
        <v>91</v>
      </c>
      <c r="E2170" s="14">
        <v>7706.78</v>
      </c>
      <c r="F2170" s="14">
        <v>9774.51</v>
      </c>
      <c r="G2170" s="14">
        <v>9774.51</v>
      </c>
      <c r="H2170" s="22">
        <f>F2170*(1+Assumptions!$B$6+IF(D2170="Yes",Assumptions!$C$6,0))</f>
        <v>10067.7453</v>
      </c>
      <c r="I2170" s="22">
        <f>F2170*(1+Assumptions!$B$7+IF(D2170="Yes",Assumptions!$C$7,0))</f>
        <v>10263.235500000001</v>
      </c>
      <c r="J2170" s="22">
        <f>F2170*(1+Assumptions!$B$8+IF(D2170="Yes",Assumptions!$C$8,0))</f>
        <v>9872.2551000000003</v>
      </c>
    </row>
    <row r="2171" spans="1:10" ht="15">
      <c r="A2171" s="21">
        <v>41110</v>
      </c>
      <c r="B2171" s="21">
        <v>41091</v>
      </c>
      <c r="C2171" s="17">
        <v>60</v>
      </c>
      <c r="D2171" s="17" t="s">
        <v>91</v>
      </c>
      <c r="E2171" s="14">
        <v>13309.5</v>
      </c>
      <c r="F2171" s="14">
        <v>12623.960000000001</v>
      </c>
      <c r="G2171" s="14">
        <v>12623.960000000001</v>
      </c>
      <c r="H2171" s="22">
        <f>F2171*(1+Assumptions!$B$6+IF(D2171="Yes",Assumptions!$C$6,0))</f>
        <v>13002.678800000002</v>
      </c>
      <c r="I2171" s="22">
        <f>F2171*(1+Assumptions!$B$7+IF(D2171="Yes",Assumptions!$C$7,0))</f>
        <v>13255.158000000001</v>
      </c>
      <c r="J2171" s="22">
        <f>F2171*(1+Assumptions!$B$8+IF(D2171="Yes",Assumptions!$C$8,0))</f>
        <v>12750.199600000002</v>
      </c>
    </row>
    <row r="2172" spans="1:10" ht="15">
      <c r="A2172" s="21">
        <v>41110</v>
      </c>
      <c r="B2172" s="21">
        <v>41091</v>
      </c>
      <c r="C2172" s="17">
        <v>65</v>
      </c>
      <c r="D2172" s="17" t="s">
        <v>91</v>
      </c>
      <c r="E2172" s="14">
        <v>49332.1</v>
      </c>
      <c r="F2172" s="14">
        <v>45546.87</v>
      </c>
      <c r="G2172" s="14">
        <v>45546.87</v>
      </c>
      <c r="H2172" s="22">
        <f>F2172*(1+Assumptions!$B$6+IF(D2172="Yes",Assumptions!$C$6,0))</f>
        <v>46913.276100000003</v>
      </c>
      <c r="I2172" s="22">
        <f>F2172*(1+Assumptions!$B$7+IF(D2172="Yes",Assumptions!$C$7,0))</f>
        <v>47824.213500000005</v>
      </c>
      <c r="J2172" s="22">
        <f>F2172*(1+Assumptions!$B$8+IF(D2172="Yes",Assumptions!$C$8,0))</f>
        <v>46002.3387</v>
      </c>
    </row>
    <row r="2173" spans="1:10" ht="15">
      <c r="A2173" s="21">
        <v>41110</v>
      </c>
      <c r="B2173" s="21">
        <v>41091</v>
      </c>
      <c r="C2173" s="17">
        <v>67</v>
      </c>
      <c r="D2173" s="17" t="s">
        <v>91</v>
      </c>
      <c r="E2173" s="14">
        <v>263761.83</v>
      </c>
      <c r="F2173" s="14">
        <v>238383.25</v>
      </c>
      <c r="G2173" s="14">
        <v>238383.25</v>
      </c>
      <c r="H2173" s="22">
        <f>F2173*(1+Assumptions!$B$6+IF(D2173="Yes",Assumptions!$C$6,0))</f>
        <v>245534.7475</v>
      </c>
      <c r="I2173" s="22">
        <f>F2173*(1+Assumptions!$B$7+IF(D2173="Yes",Assumptions!$C$7,0))</f>
        <v>250302.41250000001</v>
      </c>
      <c r="J2173" s="22">
        <f>F2173*(1+Assumptions!$B$8+IF(D2173="Yes",Assumptions!$C$8,0))</f>
        <v>240767.08249999999</v>
      </c>
    </row>
    <row r="2174" spans="1:10" ht="15">
      <c r="A2174" s="21">
        <v>41110</v>
      </c>
      <c r="B2174" s="21">
        <v>41091</v>
      </c>
      <c r="C2174" s="17">
        <v>71</v>
      </c>
      <c r="D2174" s="17" t="s">
        <v>91</v>
      </c>
      <c r="E2174" s="14">
        <v>212039</v>
      </c>
      <c r="F2174" s="14">
        <v>205927.73</v>
      </c>
      <c r="G2174" s="14">
        <v>205927.73</v>
      </c>
      <c r="H2174" s="22">
        <f>F2174*(1+Assumptions!$B$6+IF(D2174="Yes",Assumptions!$C$6,0))</f>
        <v>212105.56190000003</v>
      </c>
      <c r="I2174" s="22">
        <f>F2174*(1+Assumptions!$B$7+IF(D2174="Yes",Assumptions!$C$7,0))</f>
        <v>216224.11650000003</v>
      </c>
      <c r="J2174" s="22">
        <f>F2174*(1+Assumptions!$B$8+IF(D2174="Yes",Assumptions!$C$8,0))</f>
        <v>207987.00730000003</v>
      </c>
    </row>
    <row r="2175" spans="1:10" ht="15">
      <c r="A2175" s="21">
        <v>41110</v>
      </c>
      <c r="B2175" s="21">
        <v>41091</v>
      </c>
      <c r="C2175" s="17">
        <v>72</v>
      </c>
      <c r="D2175" s="17" t="s">
        <v>91</v>
      </c>
      <c r="E2175" s="14">
        <v>1618193.52</v>
      </c>
      <c r="F2175" s="14">
        <v>1670085.15</v>
      </c>
      <c r="G2175" s="14">
        <v>1670085.15</v>
      </c>
      <c r="H2175" s="22">
        <f>F2175*(1+Assumptions!$B$6+IF(D2175="Yes",Assumptions!$C$6,0))</f>
        <v>1720187.7045</v>
      </c>
      <c r="I2175" s="22">
        <f>F2175*(1+Assumptions!$B$7+IF(D2175="Yes",Assumptions!$C$7,0))</f>
        <v>1753589.4075</v>
      </c>
      <c r="J2175" s="22">
        <f>F2175*(1+Assumptions!$B$8+IF(D2175="Yes",Assumptions!$C$8,0))</f>
        <v>1686786.0015</v>
      </c>
    </row>
    <row r="2176" spans="1:10" ht="15">
      <c r="A2176" s="21">
        <v>41110</v>
      </c>
      <c r="B2176" s="21">
        <v>41091</v>
      </c>
      <c r="C2176" s="17">
        <v>74</v>
      </c>
      <c r="D2176" s="17" t="s">
        <v>91</v>
      </c>
      <c r="E2176" s="14">
        <v>648493.4</v>
      </c>
      <c r="F2176" s="14">
        <v>602187.31999999995</v>
      </c>
      <c r="G2176" s="14">
        <v>602187.31999999995</v>
      </c>
      <c r="H2176" s="22">
        <f>F2176*(1+Assumptions!$B$6+IF(D2176="Yes",Assumptions!$C$6,0))</f>
        <v>620252.93959999993</v>
      </c>
      <c r="I2176" s="22">
        <f>F2176*(1+Assumptions!$B$7+IF(D2176="Yes",Assumptions!$C$7,0))</f>
        <v>632296.68599999999</v>
      </c>
      <c r="J2176" s="22">
        <f>F2176*(1+Assumptions!$B$8+IF(D2176="Yes",Assumptions!$C$8,0))</f>
        <v>608209.19319999998</v>
      </c>
    </row>
    <row r="2177" spans="1:10" ht="15">
      <c r="A2177" s="21">
        <v>41110</v>
      </c>
      <c r="B2177" s="21">
        <v>41091</v>
      </c>
      <c r="C2177" s="17">
        <v>79</v>
      </c>
      <c r="D2177" s="17" t="s">
        <v>91</v>
      </c>
      <c r="E2177" s="14">
        <v>958619.98</v>
      </c>
      <c r="F2177" s="14">
        <v>949896.42</v>
      </c>
      <c r="G2177" s="14">
        <v>949896.42</v>
      </c>
      <c r="H2177" s="22">
        <f>F2177*(1+Assumptions!$B$6+IF(D2177="Yes",Assumptions!$C$6,0))</f>
        <v>978393.31260000006</v>
      </c>
      <c r="I2177" s="22">
        <f>F2177*(1+Assumptions!$B$7+IF(D2177="Yes",Assumptions!$C$7,0))</f>
        <v>997391.24100000004</v>
      </c>
      <c r="J2177" s="22">
        <f>F2177*(1+Assumptions!$B$8+IF(D2177="Yes",Assumptions!$C$8,0))</f>
        <v>959395.38420000009</v>
      </c>
    </row>
    <row r="2178" spans="1:10" ht="15">
      <c r="A2178" s="21">
        <v>41110</v>
      </c>
      <c r="B2178" s="21">
        <v>41091</v>
      </c>
      <c r="C2178" s="17">
        <v>80</v>
      </c>
      <c r="D2178" s="17" t="s">
        <v>91</v>
      </c>
      <c r="E2178" s="14">
        <v>509914.04000000004</v>
      </c>
      <c r="F2178" s="14">
        <v>510156.24</v>
      </c>
      <c r="G2178" s="14">
        <v>510156.24</v>
      </c>
      <c r="H2178" s="22">
        <f>F2178*(1+Assumptions!$B$6+IF(D2178="Yes",Assumptions!$C$6,0))</f>
        <v>525460.92720000003</v>
      </c>
      <c r="I2178" s="22">
        <f>F2178*(1+Assumptions!$B$7+IF(D2178="Yes",Assumptions!$C$7,0))</f>
        <v>535664.05200000003</v>
      </c>
      <c r="J2178" s="22">
        <f>F2178*(1+Assumptions!$B$8+IF(D2178="Yes",Assumptions!$C$8,0))</f>
        <v>515257.80239999999</v>
      </c>
    </row>
    <row r="2179" spans="1:10" ht="15">
      <c r="A2179" s="21">
        <v>41110</v>
      </c>
      <c r="B2179" s="21">
        <v>41091</v>
      </c>
      <c r="C2179" s="17">
        <v>81</v>
      </c>
      <c r="D2179" s="17" t="s">
        <v>91</v>
      </c>
      <c r="E2179" s="14">
        <v>707289.29</v>
      </c>
      <c r="F2179" s="14">
        <v>697680.14</v>
      </c>
      <c r="G2179" s="14">
        <v>697680.14</v>
      </c>
      <c r="H2179" s="22">
        <f>F2179*(1+Assumptions!$B$6+IF(D2179="Yes",Assumptions!$C$6,0))</f>
        <v>718610.5442</v>
      </c>
      <c r="I2179" s="22">
        <f>F2179*(1+Assumptions!$B$7+IF(D2179="Yes",Assumptions!$C$7,0))</f>
        <v>732564.147</v>
      </c>
      <c r="J2179" s="22">
        <f>F2179*(1+Assumptions!$B$8+IF(D2179="Yes",Assumptions!$C$8,0))</f>
        <v>704656.94140000001</v>
      </c>
    </row>
    <row r="2180" spans="1:10" ht="15">
      <c r="A2180" s="21">
        <v>41110</v>
      </c>
      <c r="B2180" s="21">
        <v>41091</v>
      </c>
      <c r="C2180" s="17">
        <v>82</v>
      </c>
      <c r="D2180" s="17" t="s">
        <v>91</v>
      </c>
      <c r="E2180" s="14">
        <v>702779.94000000006</v>
      </c>
      <c r="F2180" s="14">
        <v>668148.66</v>
      </c>
      <c r="G2180" s="14">
        <v>668148.66</v>
      </c>
      <c r="H2180" s="22">
        <f>F2180*(1+Assumptions!$B$6+IF(D2180="Yes",Assumptions!$C$6,0))</f>
        <v>688193.1198000001</v>
      </c>
      <c r="I2180" s="22">
        <f>F2180*(1+Assumptions!$B$7+IF(D2180="Yes",Assumptions!$C$7,0))</f>
        <v>701556.09300000011</v>
      </c>
      <c r="J2180" s="22">
        <f>F2180*(1+Assumptions!$B$8+IF(D2180="Yes",Assumptions!$C$8,0))</f>
        <v>674830.14660000009</v>
      </c>
    </row>
    <row r="2181" spans="1:10" ht="15">
      <c r="A2181" s="21">
        <v>41110</v>
      </c>
      <c r="B2181" s="21">
        <v>41091</v>
      </c>
      <c r="C2181" s="17">
        <v>83</v>
      </c>
      <c r="D2181" s="17" t="s">
        <v>91</v>
      </c>
      <c r="E2181" s="14">
        <v>131390.47</v>
      </c>
      <c r="F2181" s="14">
        <v>125391.85</v>
      </c>
      <c r="G2181" s="14">
        <v>125391.85</v>
      </c>
      <c r="H2181" s="22">
        <f>F2181*(1+Assumptions!$B$6+IF(D2181="Yes",Assumptions!$C$6,0))</f>
        <v>129153.60550000001</v>
      </c>
      <c r="I2181" s="22">
        <f>F2181*(1+Assumptions!$B$7+IF(D2181="Yes",Assumptions!$C$7,0))</f>
        <v>131661.4425</v>
      </c>
      <c r="J2181" s="22">
        <f>F2181*(1+Assumptions!$B$8+IF(D2181="Yes",Assumptions!$C$8,0))</f>
        <v>126645.76850000001</v>
      </c>
    </row>
    <row r="2182" spans="1:10" ht="15">
      <c r="A2182" s="21">
        <v>41110</v>
      </c>
      <c r="B2182" s="21">
        <v>41091</v>
      </c>
      <c r="C2182" s="17">
        <v>85</v>
      </c>
      <c r="D2182" s="17" t="s">
        <v>91</v>
      </c>
      <c r="E2182" s="14">
        <v>88014.25</v>
      </c>
      <c r="F2182" s="14">
        <v>96825.87</v>
      </c>
      <c r="G2182" s="14">
        <v>96825.87</v>
      </c>
      <c r="H2182" s="22">
        <f>F2182*(1+Assumptions!$B$6+IF(D2182="Yes",Assumptions!$C$6,0))</f>
        <v>99730.646099999998</v>
      </c>
      <c r="I2182" s="22">
        <f>F2182*(1+Assumptions!$B$7+IF(D2182="Yes",Assumptions!$C$7,0))</f>
        <v>101667.1635</v>
      </c>
      <c r="J2182" s="22">
        <f>F2182*(1+Assumptions!$B$8+IF(D2182="Yes",Assumptions!$C$8,0))</f>
        <v>97794.128700000001</v>
      </c>
    </row>
    <row r="2183" spans="1:10" ht="15">
      <c r="A2183" s="21">
        <v>41110</v>
      </c>
      <c r="B2183" s="21">
        <v>41091</v>
      </c>
      <c r="C2183" s="17">
        <v>87</v>
      </c>
      <c r="D2183" s="17" t="s">
        <v>91</v>
      </c>
      <c r="E2183" s="14">
        <v>692763.46</v>
      </c>
      <c r="F2183" s="14">
        <v>585555.53</v>
      </c>
      <c r="G2183" s="14">
        <v>585555.53</v>
      </c>
      <c r="H2183" s="22">
        <f>F2183*(1+Assumptions!$B$6+IF(D2183="Yes",Assumptions!$C$6,0))</f>
        <v>603122.19590000005</v>
      </c>
      <c r="I2183" s="22">
        <f>F2183*(1+Assumptions!$B$7+IF(D2183="Yes",Assumptions!$C$7,0))</f>
        <v>614833.30650000006</v>
      </c>
      <c r="J2183" s="22">
        <f>F2183*(1+Assumptions!$B$8+IF(D2183="Yes",Assumptions!$C$8,0))</f>
        <v>591411.08530000004</v>
      </c>
    </row>
    <row r="2184" spans="1:10" ht="15">
      <c r="A2184" s="21">
        <v>41110</v>
      </c>
      <c r="B2184" s="21">
        <v>41091</v>
      </c>
      <c r="C2184" s="17">
        <v>90</v>
      </c>
      <c r="D2184" s="17" t="s">
        <v>91</v>
      </c>
      <c r="E2184" s="14">
        <v>1990484.16</v>
      </c>
      <c r="F2184" s="14">
        <v>1965143.55</v>
      </c>
      <c r="G2184" s="14">
        <v>1965143.55</v>
      </c>
      <c r="H2184" s="22">
        <f>F2184*(1+Assumptions!$B$6+IF(D2184="Yes",Assumptions!$C$6,0))</f>
        <v>2024097.8565</v>
      </c>
      <c r="I2184" s="22">
        <f>F2184*(1+Assumptions!$B$7+IF(D2184="Yes",Assumptions!$C$7,0))</f>
        <v>2063400.7275</v>
      </c>
      <c r="J2184" s="22">
        <f>F2184*(1+Assumptions!$B$8+IF(D2184="Yes",Assumptions!$C$8,0))</f>
        <v>1984794.9855</v>
      </c>
    </row>
    <row r="2185" spans="1:10" ht="15">
      <c r="A2185" s="21">
        <v>41110</v>
      </c>
      <c r="B2185" s="21">
        <v>41091</v>
      </c>
      <c r="C2185" s="17">
        <v>91</v>
      </c>
      <c r="D2185" s="17" t="s">
        <v>91</v>
      </c>
      <c r="E2185" s="14">
        <v>1515123.88</v>
      </c>
      <c r="F2185" s="14">
        <v>1468980.2</v>
      </c>
      <c r="G2185" s="14">
        <v>1468980.2</v>
      </c>
      <c r="H2185" s="22">
        <f>F2185*(1+Assumptions!$B$6+IF(D2185="Yes",Assumptions!$C$6,0))</f>
        <v>1513049.6059999999</v>
      </c>
      <c r="I2185" s="22">
        <f>F2185*(1+Assumptions!$B$7+IF(D2185="Yes",Assumptions!$C$7,0))</f>
        <v>1542429.21</v>
      </c>
      <c r="J2185" s="22">
        <f>F2185*(1+Assumptions!$B$8+IF(D2185="Yes",Assumptions!$C$8,0))</f>
        <v>1483670.0019999999</v>
      </c>
    </row>
    <row r="2186" spans="1:10" ht="15">
      <c r="A2186" s="21">
        <v>41110</v>
      </c>
      <c r="B2186" s="21">
        <v>41091</v>
      </c>
      <c r="C2186" s="17">
        <v>92</v>
      </c>
      <c r="D2186" s="17" t="s">
        <v>91</v>
      </c>
      <c r="E2186" s="14">
        <v>3355136.34</v>
      </c>
      <c r="F2186" s="14">
        <v>3049986.88</v>
      </c>
      <c r="G2186" s="14">
        <v>3049986.88</v>
      </c>
      <c r="H2186" s="22">
        <f>F2186*(1+Assumptions!$B$6+IF(D2186="Yes",Assumptions!$C$6,0))</f>
        <v>3141486.4863999998</v>
      </c>
      <c r="I2186" s="22">
        <f>F2186*(1+Assumptions!$B$7+IF(D2186="Yes",Assumptions!$C$7,0))</f>
        <v>3202486.2239999999</v>
      </c>
      <c r="J2186" s="22">
        <f>F2186*(1+Assumptions!$B$8+IF(D2186="Yes",Assumptions!$C$8,0))</f>
        <v>3080486.7487999997</v>
      </c>
    </row>
    <row r="2187" spans="1:10" ht="15">
      <c r="A2187" s="21">
        <v>41110</v>
      </c>
      <c r="B2187" s="21">
        <v>41091</v>
      </c>
      <c r="C2187" s="17">
        <v>93</v>
      </c>
      <c r="D2187" s="17" t="s">
        <v>91</v>
      </c>
      <c r="E2187" s="14">
        <v>1135181.46</v>
      </c>
      <c r="F2187" s="14">
        <v>1059142.6599999999</v>
      </c>
      <c r="G2187" s="14">
        <v>1059142.6599999999</v>
      </c>
      <c r="H2187" s="22">
        <f>F2187*(1+Assumptions!$B$6+IF(D2187="Yes",Assumptions!$C$6,0))</f>
        <v>1090916.9398000001</v>
      </c>
      <c r="I2187" s="22">
        <f>F2187*(1+Assumptions!$B$7+IF(D2187="Yes",Assumptions!$C$7,0))</f>
        <v>1112099.7930000001</v>
      </c>
      <c r="J2187" s="22">
        <f>F2187*(1+Assumptions!$B$8+IF(D2187="Yes",Assumptions!$C$8,0))</f>
        <v>1069734.0866</v>
      </c>
    </row>
    <row r="2188" spans="1:10" ht="15">
      <c r="A2188" s="21">
        <v>41110</v>
      </c>
      <c r="B2188" s="21">
        <v>41091</v>
      </c>
      <c r="C2188" s="17">
        <v>94</v>
      </c>
      <c r="D2188" s="17" t="s">
        <v>91</v>
      </c>
      <c r="E2188" s="14">
        <v>1397777.23</v>
      </c>
      <c r="F2188" s="14">
        <v>1407163.09</v>
      </c>
      <c r="G2188" s="14">
        <v>1407163.09</v>
      </c>
      <c r="H2188" s="22">
        <f>F2188*(1+Assumptions!$B$6+IF(D2188="Yes",Assumptions!$C$6,0))</f>
        <v>1449377.9827000001</v>
      </c>
      <c r="I2188" s="22">
        <f>F2188*(1+Assumptions!$B$7+IF(D2188="Yes",Assumptions!$C$7,0))</f>
        <v>1477521.2445000003</v>
      </c>
      <c r="J2188" s="22">
        <f>F2188*(1+Assumptions!$B$8+IF(D2188="Yes",Assumptions!$C$8,0))</f>
        <v>1421234.7209000001</v>
      </c>
    </row>
    <row r="2189" spans="1:10" ht="15">
      <c r="A2189" s="21">
        <v>41110</v>
      </c>
      <c r="B2189" s="21">
        <v>41091</v>
      </c>
      <c r="C2189" s="17">
        <v>95</v>
      </c>
      <c r="D2189" s="17" t="s">
        <v>91</v>
      </c>
      <c r="E2189" s="14">
        <v>3323364.7399999998</v>
      </c>
      <c r="F2189" s="14">
        <v>3378955.43</v>
      </c>
      <c r="G2189" s="14">
        <v>3378955.43</v>
      </c>
      <c r="H2189" s="22">
        <f>F2189*(1+Assumptions!$B$6+IF(D2189="Yes",Assumptions!$C$6,0))</f>
        <v>3480324.0929</v>
      </c>
      <c r="I2189" s="22">
        <f>F2189*(1+Assumptions!$B$7+IF(D2189="Yes",Assumptions!$C$7,0))</f>
        <v>3547903.2015000004</v>
      </c>
      <c r="J2189" s="22">
        <f>F2189*(1+Assumptions!$B$8+IF(D2189="Yes",Assumptions!$C$8,0))</f>
        <v>3412744.9843000001</v>
      </c>
    </row>
    <row r="2190" spans="1:10" ht="15">
      <c r="A2190" s="21">
        <v>41110</v>
      </c>
      <c r="B2190" s="21">
        <v>41091</v>
      </c>
      <c r="C2190" s="17">
        <v>96</v>
      </c>
      <c r="D2190" s="17" t="s">
        <v>91</v>
      </c>
      <c r="E2190" s="14">
        <v>596585.28</v>
      </c>
      <c r="F2190" s="14">
        <v>567821.62</v>
      </c>
      <c r="G2190" s="14">
        <v>567821.62</v>
      </c>
      <c r="H2190" s="22">
        <f>F2190*(1+Assumptions!$B$6+IF(D2190="Yes",Assumptions!$C$6,0))</f>
        <v>584856.26860000007</v>
      </c>
      <c r="I2190" s="22">
        <f>F2190*(1+Assumptions!$B$7+IF(D2190="Yes",Assumptions!$C$7,0))</f>
        <v>596212.701</v>
      </c>
      <c r="J2190" s="22">
        <f>F2190*(1+Assumptions!$B$8+IF(D2190="Yes",Assumptions!$C$8,0))</f>
        <v>573499.83620000002</v>
      </c>
    </row>
    <row r="2191" spans="1:10" ht="15">
      <c r="A2191" s="21">
        <v>41110</v>
      </c>
      <c r="B2191" s="21">
        <v>41091</v>
      </c>
      <c r="C2191" s="17">
        <v>97</v>
      </c>
      <c r="D2191" s="17" t="s">
        <v>91</v>
      </c>
      <c r="E2191" s="14">
        <v>636984.11</v>
      </c>
      <c r="F2191" s="14">
        <v>637290.20000000007</v>
      </c>
      <c r="G2191" s="14">
        <v>637290.20000000007</v>
      </c>
      <c r="H2191" s="22">
        <f>F2191*(1+Assumptions!$B$6+IF(D2191="Yes",Assumptions!$C$6,0))</f>
        <v>656408.90600000008</v>
      </c>
      <c r="I2191" s="22">
        <f>F2191*(1+Assumptions!$B$7+IF(D2191="Yes",Assumptions!$C$7,0))</f>
        <v>669154.71000000008</v>
      </c>
      <c r="J2191" s="22">
        <f>F2191*(1+Assumptions!$B$8+IF(D2191="Yes",Assumptions!$C$8,0))</f>
        <v>643663.10200000007</v>
      </c>
    </row>
    <row r="2192" spans="1:10" ht="15">
      <c r="A2192" s="21">
        <v>41110</v>
      </c>
      <c r="B2192" s="21">
        <v>41091</v>
      </c>
      <c r="C2192" s="17">
        <v>98</v>
      </c>
      <c r="D2192" s="17" t="s">
        <v>91</v>
      </c>
      <c r="E2192" s="14">
        <v>245899.68</v>
      </c>
      <c r="F2192" s="14">
        <v>246042.88</v>
      </c>
      <c r="G2192" s="14">
        <v>246042.88</v>
      </c>
      <c r="H2192" s="22">
        <f>F2192*(1+Assumptions!$B$6+IF(D2192="Yes",Assumptions!$C$6,0))</f>
        <v>253424.16640000002</v>
      </c>
      <c r="I2192" s="22">
        <f>F2192*(1+Assumptions!$B$7+IF(D2192="Yes",Assumptions!$C$7,0))</f>
        <v>258345.024</v>
      </c>
      <c r="J2192" s="22">
        <f>F2192*(1+Assumptions!$B$8+IF(D2192="Yes",Assumptions!$C$8,0))</f>
        <v>248503.3088</v>
      </c>
    </row>
    <row r="2193" spans="1:10" ht="15">
      <c r="A2193" s="21">
        <v>41117</v>
      </c>
      <c r="B2193" s="21">
        <v>41091</v>
      </c>
      <c r="C2193" s="17">
        <v>1</v>
      </c>
      <c r="D2193" s="17" t="s">
        <v>91</v>
      </c>
      <c r="E2193" s="14">
        <v>632525.48</v>
      </c>
      <c r="F2193" s="14">
        <v>628436.93999999994</v>
      </c>
      <c r="G2193" s="14">
        <v>628436.93999999994</v>
      </c>
      <c r="H2193" s="22">
        <f>F2193*(1+Assumptions!$B$6+IF(D2193="Yes",Assumptions!$C$6,0))</f>
        <v>647290.04819999996</v>
      </c>
      <c r="I2193" s="22">
        <f>F2193*(1+Assumptions!$B$7+IF(D2193="Yes",Assumptions!$C$7,0))</f>
        <v>659858.78700000001</v>
      </c>
      <c r="J2193" s="22">
        <f>F2193*(1+Assumptions!$B$8+IF(D2193="Yes",Assumptions!$C$8,0))</f>
        <v>634721.30939999991</v>
      </c>
    </row>
    <row r="2194" spans="1:10" ht="15">
      <c r="A2194" s="21">
        <v>41117</v>
      </c>
      <c r="B2194" s="21">
        <v>41091</v>
      </c>
      <c r="C2194" s="17">
        <v>2</v>
      </c>
      <c r="D2194" s="17" t="s">
        <v>91</v>
      </c>
      <c r="E2194" s="14">
        <v>1956474.29</v>
      </c>
      <c r="F2194" s="14">
        <v>1978010.96</v>
      </c>
      <c r="G2194" s="14">
        <v>1978010.96</v>
      </c>
      <c r="H2194" s="22">
        <f>F2194*(1+Assumptions!$B$6+IF(D2194="Yes",Assumptions!$C$6,0))</f>
        <v>2037351.2888</v>
      </c>
      <c r="I2194" s="22">
        <f>F2194*(1+Assumptions!$B$7+IF(D2194="Yes",Assumptions!$C$7,0))</f>
        <v>2076911.5080000001</v>
      </c>
      <c r="J2194" s="22">
        <f>F2194*(1+Assumptions!$B$8+IF(D2194="Yes",Assumptions!$C$8,0))</f>
        <v>1997791.0696</v>
      </c>
    </row>
    <row r="2195" spans="1:10" ht="15">
      <c r="A2195" s="21">
        <v>41117</v>
      </c>
      <c r="B2195" s="21">
        <v>41091</v>
      </c>
      <c r="C2195" s="17">
        <v>3</v>
      </c>
      <c r="D2195" s="17" t="s">
        <v>91</v>
      </c>
      <c r="E2195" s="14">
        <v>851286.64</v>
      </c>
      <c r="F2195" s="14">
        <v>857413.23</v>
      </c>
      <c r="G2195" s="14">
        <v>857413.23</v>
      </c>
      <c r="H2195" s="22">
        <f>F2195*(1+Assumptions!$B$6+IF(D2195="Yes",Assumptions!$C$6,0))</f>
        <v>883135.62690000003</v>
      </c>
      <c r="I2195" s="22">
        <f>F2195*(1+Assumptions!$B$7+IF(D2195="Yes",Assumptions!$C$7,0))</f>
        <v>900283.89150000003</v>
      </c>
      <c r="J2195" s="22">
        <f>F2195*(1+Assumptions!$B$8+IF(D2195="Yes",Assumptions!$C$8,0))</f>
        <v>865987.36230000004</v>
      </c>
    </row>
    <row r="2196" spans="1:10" ht="15">
      <c r="A2196" s="21">
        <v>41117</v>
      </c>
      <c r="B2196" s="21">
        <v>41091</v>
      </c>
      <c r="C2196" s="17">
        <v>4</v>
      </c>
      <c r="D2196" s="17" t="s">
        <v>91</v>
      </c>
      <c r="E2196" s="14">
        <v>1163598.81</v>
      </c>
      <c r="F2196" s="14">
        <v>1151014.32</v>
      </c>
      <c r="G2196" s="14">
        <v>1151014.32</v>
      </c>
      <c r="H2196" s="22">
        <f>F2196*(1+Assumptions!$B$6+IF(D2196="Yes",Assumptions!$C$6,0))</f>
        <v>1185544.7496000002</v>
      </c>
      <c r="I2196" s="22">
        <f>F2196*(1+Assumptions!$B$7+IF(D2196="Yes",Assumptions!$C$7,0))</f>
        <v>1208565.0360000001</v>
      </c>
      <c r="J2196" s="22">
        <f>F2196*(1+Assumptions!$B$8+IF(D2196="Yes",Assumptions!$C$8,0))</f>
        <v>1162524.4632000001</v>
      </c>
    </row>
    <row r="2197" spans="1:10" ht="15">
      <c r="A2197" s="21">
        <v>41117</v>
      </c>
      <c r="B2197" s="21">
        <v>41091</v>
      </c>
      <c r="C2197" s="17">
        <v>5</v>
      </c>
      <c r="D2197" s="17" t="s">
        <v>91</v>
      </c>
      <c r="E2197" s="14">
        <v>561848.39</v>
      </c>
      <c r="F2197" s="14">
        <v>615967.68000000005</v>
      </c>
      <c r="G2197" s="14">
        <v>615967.68000000005</v>
      </c>
      <c r="H2197" s="22">
        <f>F2197*(1+Assumptions!$B$6+IF(D2197="Yes",Assumptions!$C$6,0))</f>
        <v>634446.7104000001</v>
      </c>
      <c r="I2197" s="22">
        <f>F2197*(1+Assumptions!$B$7+IF(D2197="Yes",Assumptions!$C$7,0))</f>
        <v>646766.06400000013</v>
      </c>
      <c r="J2197" s="22">
        <f>F2197*(1+Assumptions!$B$8+IF(D2197="Yes",Assumptions!$C$8,0))</f>
        <v>622127.35680000007</v>
      </c>
    </row>
    <row r="2198" spans="1:10" ht="15">
      <c r="A2198" s="21">
        <v>41117</v>
      </c>
      <c r="B2198" s="21">
        <v>41091</v>
      </c>
      <c r="C2198" s="17">
        <v>6</v>
      </c>
      <c r="D2198" s="17" t="s">
        <v>91</v>
      </c>
      <c r="E2198" s="14">
        <v>153566.5</v>
      </c>
      <c r="F2198" s="14">
        <v>177552.74</v>
      </c>
      <c r="G2198" s="14">
        <v>177552.74</v>
      </c>
      <c r="H2198" s="22">
        <f>F2198*(1+Assumptions!$B$6+IF(D2198="Yes",Assumptions!$C$6,0))</f>
        <v>182879.3222</v>
      </c>
      <c r="I2198" s="22">
        <f>F2198*(1+Assumptions!$B$7+IF(D2198="Yes",Assumptions!$C$7,0))</f>
        <v>186430.37700000001</v>
      </c>
      <c r="J2198" s="22">
        <f>F2198*(1+Assumptions!$B$8+IF(D2198="Yes",Assumptions!$C$8,0))</f>
        <v>179328.26739999998</v>
      </c>
    </row>
    <row r="2199" spans="1:10" ht="15">
      <c r="A2199" s="21">
        <v>41117</v>
      </c>
      <c r="B2199" s="21">
        <v>41091</v>
      </c>
      <c r="C2199" s="17">
        <v>7</v>
      </c>
      <c r="D2199" s="17" t="s">
        <v>91</v>
      </c>
      <c r="E2199" s="14">
        <v>807738.08</v>
      </c>
      <c r="F2199" s="14">
        <v>821011.26</v>
      </c>
      <c r="G2199" s="14">
        <v>821011.26</v>
      </c>
      <c r="H2199" s="22">
        <f>F2199*(1+Assumptions!$B$6+IF(D2199="Yes",Assumptions!$C$6,0))</f>
        <v>845641.59779999999</v>
      </c>
      <c r="I2199" s="22">
        <f>F2199*(1+Assumptions!$B$7+IF(D2199="Yes",Assumptions!$C$7,0))</f>
        <v>862061.82300000009</v>
      </c>
      <c r="J2199" s="22">
        <f>F2199*(1+Assumptions!$B$8+IF(D2199="Yes",Assumptions!$C$8,0))</f>
        <v>829221.3726</v>
      </c>
    </row>
    <row r="2200" spans="1:10" ht="15">
      <c r="A2200" s="21">
        <v>41117</v>
      </c>
      <c r="B2200" s="21">
        <v>41091</v>
      </c>
      <c r="C2200" s="17">
        <v>8</v>
      </c>
      <c r="D2200" s="17" t="s">
        <v>91</v>
      </c>
      <c r="E2200" s="14">
        <v>1332595.1499999999</v>
      </c>
      <c r="F2200" s="14">
        <v>1288557.28</v>
      </c>
      <c r="G2200" s="14">
        <v>1288557.28</v>
      </c>
      <c r="H2200" s="22">
        <f>F2200*(1+Assumptions!$B$6+IF(D2200="Yes",Assumptions!$C$6,0))</f>
        <v>1327213.9984000002</v>
      </c>
      <c r="I2200" s="22">
        <f>F2200*(1+Assumptions!$B$7+IF(D2200="Yes",Assumptions!$C$7,0))</f>
        <v>1352985.1440000001</v>
      </c>
      <c r="J2200" s="22">
        <f>F2200*(1+Assumptions!$B$8+IF(D2200="Yes",Assumptions!$C$8,0))</f>
        <v>1301442.8528</v>
      </c>
    </row>
    <row r="2201" spans="1:10" ht="15">
      <c r="A2201" s="21">
        <v>41117</v>
      </c>
      <c r="B2201" s="21">
        <v>41091</v>
      </c>
      <c r="C2201" s="17">
        <v>9</v>
      </c>
      <c r="D2201" s="17" t="s">
        <v>91</v>
      </c>
      <c r="E2201" s="14">
        <v>1034149.59</v>
      </c>
      <c r="F2201" s="14">
        <v>1029926.83</v>
      </c>
      <c r="G2201" s="14">
        <v>1029926.83</v>
      </c>
      <c r="H2201" s="22">
        <f>F2201*(1+Assumptions!$B$6+IF(D2201="Yes",Assumptions!$C$6,0))</f>
        <v>1060824.6348999999</v>
      </c>
      <c r="I2201" s="22">
        <f>F2201*(1+Assumptions!$B$7+IF(D2201="Yes",Assumptions!$C$7,0))</f>
        <v>1081423.1714999999</v>
      </c>
      <c r="J2201" s="22">
        <f>F2201*(1+Assumptions!$B$8+IF(D2201="Yes",Assumptions!$C$8,0))</f>
        <v>1040226.0983</v>
      </c>
    </row>
    <row r="2202" spans="1:10" ht="15">
      <c r="A2202" s="21">
        <v>41117</v>
      </c>
      <c r="B2202" s="21">
        <v>41091</v>
      </c>
      <c r="C2202" s="17">
        <v>10</v>
      </c>
      <c r="D2202" s="17" t="s">
        <v>91</v>
      </c>
      <c r="E2202" s="14">
        <v>871295.96</v>
      </c>
      <c r="F2202" s="14">
        <v>861737.46</v>
      </c>
      <c r="G2202" s="14">
        <v>861737.46</v>
      </c>
      <c r="H2202" s="22">
        <f>F2202*(1+Assumptions!$B$6+IF(D2202="Yes",Assumptions!$C$6,0))</f>
        <v>887589.58380000002</v>
      </c>
      <c r="I2202" s="22">
        <f>F2202*(1+Assumptions!$B$7+IF(D2202="Yes",Assumptions!$C$7,0))</f>
        <v>904824.33299999998</v>
      </c>
      <c r="J2202" s="22">
        <f>F2202*(1+Assumptions!$B$8+IF(D2202="Yes",Assumptions!$C$8,0))</f>
        <v>870354.83459999994</v>
      </c>
    </row>
    <row r="2203" spans="1:10" ht="15">
      <c r="A2203" s="21">
        <v>41117</v>
      </c>
      <c r="B2203" s="21">
        <v>41091</v>
      </c>
      <c r="C2203" s="17">
        <v>11</v>
      </c>
      <c r="D2203" s="17" t="s">
        <v>91</v>
      </c>
      <c r="E2203" s="14">
        <v>634462.98</v>
      </c>
      <c r="F2203" s="14">
        <v>703089.49</v>
      </c>
      <c r="G2203" s="14">
        <v>703089.49</v>
      </c>
      <c r="H2203" s="22">
        <f>F2203*(1+Assumptions!$B$6+IF(D2203="Yes",Assumptions!$C$6,0))</f>
        <v>724182.17469999997</v>
      </c>
      <c r="I2203" s="22">
        <f>F2203*(1+Assumptions!$B$7+IF(D2203="Yes",Assumptions!$C$7,0))</f>
        <v>738243.9645</v>
      </c>
      <c r="J2203" s="22">
        <f>F2203*(1+Assumptions!$B$8+IF(D2203="Yes",Assumptions!$C$8,0))</f>
        <v>710120.38489999995</v>
      </c>
    </row>
    <row r="2204" spans="1:10" ht="15">
      <c r="A2204" s="21">
        <v>41117</v>
      </c>
      <c r="B2204" s="21">
        <v>41091</v>
      </c>
      <c r="C2204" s="17">
        <v>12</v>
      </c>
      <c r="D2204" s="17" t="s">
        <v>91</v>
      </c>
      <c r="E2204" s="14">
        <v>206507.47</v>
      </c>
      <c r="F2204" s="14">
        <v>210376.05</v>
      </c>
      <c r="G2204" s="14">
        <v>210376.05</v>
      </c>
      <c r="H2204" s="22">
        <f>F2204*(1+Assumptions!$B$6+IF(D2204="Yes",Assumptions!$C$6,0))</f>
        <v>216687.3315</v>
      </c>
      <c r="I2204" s="22">
        <f>F2204*(1+Assumptions!$B$7+IF(D2204="Yes",Assumptions!$C$7,0))</f>
        <v>220894.85250000001</v>
      </c>
      <c r="J2204" s="22">
        <f>F2204*(1+Assumptions!$B$8+IF(D2204="Yes",Assumptions!$C$8,0))</f>
        <v>212479.81049999999</v>
      </c>
    </row>
    <row r="2205" spans="1:10" ht="15">
      <c r="A2205" s="21">
        <v>41117</v>
      </c>
      <c r="B2205" s="21">
        <v>41091</v>
      </c>
      <c r="C2205" s="17">
        <v>13</v>
      </c>
      <c r="D2205" s="17" t="s">
        <v>91</v>
      </c>
      <c r="E2205" s="14">
        <v>1331878.6399999999</v>
      </c>
      <c r="F2205" s="14">
        <v>1336601.2</v>
      </c>
      <c r="G2205" s="14">
        <v>1336601.2</v>
      </c>
      <c r="H2205" s="22">
        <f>F2205*(1+Assumptions!$B$6+IF(D2205="Yes",Assumptions!$C$6,0))</f>
        <v>1376699.236</v>
      </c>
      <c r="I2205" s="22">
        <f>F2205*(1+Assumptions!$B$7+IF(D2205="Yes",Assumptions!$C$7,0))</f>
        <v>1403431.26</v>
      </c>
      <c r="J2205" s="22">
        <f>F2205*(1+Assumptions!$B$8+IF(D2205="Yes",Assumptions!$C$8,0))</f>
        <v>1349967.2120000001</v>
      </c>
    </row>
    <row r="2206" spans="1:10" ht="15">
      <c r="A2206" s="21">
        <v>41117</v>
      </c>
      <c r="B2206" s="21">
        <v>41091</v>
      </c>
      <c r="C2206" s="17">
        <v>14</v>
      </c>
      <c r="D2206" s="17" t="s">
        <v>91</v>
      </c>
      <c r="E2206" s="14">
        <v>577298.42999999993</v>
      </c>
      <c r="F2206" s="14">
        <v>544633.82999999996</v>
      </c>
      <c r="G2206" s="14">
        <v>544633.82999999996</v>
      </c>
      <c r="H2206" s="22">
        <f>F2206*(1+Assumptions!$B$6+IF(D2206="Yes",Assumptions!$C$6,0))</f>
        <v>560972.84490000003</v>
      </c>
      <c r="I2206" s="22">
        <f>F2206*(1+Assumptions!$B$7+IF(D2206="Yes",Assumptions!$C$7,0))</f>
        <v>571865.52150000003</v>
      </c>
      <c r="J2206" s="22">
        <f>F2206*(1+Assumptions!$B$8+IF(D2206="Yes",Assumptions!$C$8,0))</f>
        <v>550080.16830000002</v>
      </c>
    </row>
    <row r="2207" spans="1:10" ht="15">
      <c r="A2207" s="21">
        <v>41117</v>
      </c>
      <c r="B2207" s="21">
        <v>41091</v>
      </c>
      <c r="C2207" s="17">
        <v>16</v>
      </c>
      <c r="D2207" s="17" t="s">
        <v>91</v>
      </c>
      <c r="E2207" s="14">
        <v>693351.54</v>
      </c>
      <c r="F2207" s="14">
        <v>744570.27</v>
      </c>
      <c r="G2207" s="14">
        <v>744570.27</v>
      </c>
      <c r="H2207" s="22">
        <f>F2207*(1+Assumptions!$B$6+IF(D2207="Yes",Assumptions!$C$6,0))</f>
        <v>766907.37810000009</v>
      </c>
      <c r="I2207" s="22">
        <f>F2207*(1+Assumptions!$B$7+IF(D2207="Yes",Assumptions!$C$7,0))</f>
        <v>781798.78350000002</v>
      </c>
      <c r="J2207" s="22">
        <f>F2207*(1+Assumptions!$B$8+IF(D2207="Yes",Assumptions!$C$8,0))</f>
        <v>752015.97270000004</v>
      </c>
    </row>
    <row r="2208" spans="1:10" ht="15">
      <c r="A2208" s="21">
        <v>41117</v>
      </c>
      <c r="B2208" s="21">
        <v>41091</v>
      </c>
      <c r="C2208" s="17">
        <v>17</v>
      </c>
      <c r="D2208" s="17" t="s">
        <v>91</v>
      </c>
      <c r="E2208" s="14">
        <v>395158.58</v>
      </c>
      <c r="F2208" s="14">
        <v>391540.04000000004</v>
      </c>
      <c r="G2208" s="14">
        <v>391540.04000000004</v>
      </c>
      <c r="H2208" s="22">
        <f>F2208*(1+Assumptions!$B$6+IF(D2208="Yes",Assumptions!$C$6,0))</f>
        <v>403286.24120000005</v>
      </c>
      <c r="I2208" s="22">
        <f>F2208*(1+Assumptions!$B$7+IF(D2208="Yes",Assumptions!$C$7,0))</f>
        <v>411117.04200000007</v>
      </c>
      <c r="J2208" s="22">
        <f>F2208*(1+Assumptions!$B$8+IF(D2208="Yes",Assumptions!$C$8,0))</f>
        <v>395455.44040000002</v>
      </c>
    </row>
    <row r="2209" spans="1:10" ht="15">
      <c r="A2209" s="21">
        <v>41117</v>
      </c>
      <c r="B2209" s="21">
        <v>41091</v>
      </c>
      <c r="C2209" s="17">
        <v>18</v>
      </c>
      <c r="D2209" s="17" t="s">
        <v>91</v>
      </c>
      <c r="E2209" s="14">
        <v>34.119999999999997</v>
      </c>
      <c r="F2209" s="14">
        <v>3.7</v>
      </c>
      <c r="G2209" s="14">
        <v>3.7</v>
      </c>
      <c r="H2209" s="22">
        <f>F2209*(1+Assumptions!$B$6+IF(D2209="Yes",Assumptions!$C$6,0))</f>
        <v>3.8110000000000004</v>
      </c>
      <c r="I2209" s="22">
        <f>F2209*(1+Assumptions!$B$7+IF(D2209="Yes",Assumptions!$C$7,0))</f>
        <v>3.8850000000000002</v>
      </c>
      <c r="J2209" s="22">
        <f>F2209*(1+Assumptions!$B$8+IF(D2209="Yes",Assumptions!$C$8,0))</f>
        <v>3.7370000000000001</v>
      </c>
    </row>
    <row r="2210" spans="1:10" ht="15">
      <c r="A2210" s="21">
        <v>41117</v>
      </c>
      <c r="B2210" s="21">
        <v>41091</v>
      </c>
      <c r="C2210" s="17">
        <v>19</v>
      </c>
      <c r="D2210" s="17" t="s">
        <v>91</v>
      </c>
      <c r="E2210" s="14">
        <v>42670.2</v>
      </c>
      <c r="F2210" s="14">
        <v>41926.69</v>
      </c>
      <c r="G2210" s="14">
        <v>41926.69</v>
      </c>
      <c r="H2210" s="22">
        <f>F2210*(1+Assumptions!$B$6+IF(D2210="Yes",Assumptions!$C$6,0))</f>
        <v>43184.490700000002</v>
      </c>
      <c r="I2210" s="22">
        <f>F2210*(1+Assumptions!$B$7+IF(D2210="Yes",Assumptions!$C$7,0))</f>
        <v>44023.024500000007</v>
      </c>
      <c r="J2210" s="22">
        <f>F2210*(1+Assumptions!$B$8+IF(D2210="Yes",Assumptions!$C$8,0))</f>
        <v>42345.956900000005</v>
      </c>
    </row>
    <row r="2211" spans="1:10" ht="15">
      <c r="A2211" s="21">
        <v>41117</v>
      </c>
      <c r="B2211" s="21">
        <v>41091</v>
      </c>
      <c r="C2211" s="17">
        <v>20</v>
      </c>
      <c r="D2211" s="17" t="s">
        <v>91</v>
      </c>
      <c r="E2211" s="14">
        <v>245771.62</v>
      </c>
      <c r="F2211" s="14">
        <v>239785.49</v>
      </c>
      <c r="G2211" s="14">
        <v>239785.49</v>
      </c>
      <c r="H2211" s="22">
        <f>F2211*(1+Assumptions!$B$6+IF(D2211="Yes",Assumptions!$C$6,0))</f>
        <v>246979.05470000001</v>
      </c>
      <c r="I2211" s="22">
        <f>F2211*(1+Assumptions!$B$7+IF(D2211="Yes",Assumptions!$C$7,0))</f>
        <v>251774.76449999999</v>
      </c>
      <c r="J2211" s="22">
        <f>F2211*(1+Assumptions!$B$8+IF(D2211="Yes",Assumptions!$C$8,0))</f>
        <v>242183.3449</v>
      </c>
    </row>
    <row r="2212" spans="1:10" ht="15">
      <c r="A2212" s="21">
        <v>41117</v>
      </c>
      <c r="B2212" s="21">
        <v>41091</v>
      </c>
      <c r="C2212" s="17">
        <v>21</v>
      </c>
      <c r="D2212" s="17" t="s">
        <v>91</v>
      </c>
      <c r="E2212" s="14">
        <v>198625.12</v>
      </c>
      <c r="F2212" s="14">
        <v>209916.79</v>
      </c>
      <c r="G2212" s="14">
        <v>209916.79</v>
      </c>
      <c r="H2212" s="22">
        <f>F2212*(1+Assumptions!$B$6+IF(D2212="Yes",Assumptions!$C$6,0))</f>
        <v>216214.29370000001</v>
      </c>
      <c r="I2212" s="22">
        <f>F2212*(1+Assumptions!$B$7+IF(D2212="Yes",Assumptions!$C$7,0))</f>
        <v>220412.62950000001</v>
      </c>
      <c r="J2212" s="22">
        <f>F2212*(1+Assumptions!$B$8+IF(D2212="Yes",Assumptions!$C$8,0))</f>
        <v>212015.95790000001</v>
      </c>
    </row>
    <row r="2213" spans="1:10" ht="15">
      <c r="A2213" s="21">
        <v>41117</v>
      </c>
      <c r="B2213" s="21">
        <v>41091</v>
      </c>
      <c r="C2213" s="17">
        <v>22</v>
      </c>
      <c r="D2213" s="17" t="s">
        <v>91</v>
      </c>
      <c r="E2213" s="14">
        <v>390702.46</v>
      </c>
      <c r="F2213" s="14">
        <v>384031.93</v>
      </c>
      <c r="G2213" s="14">
        <v>384031.93</v>
      </c>
      <c r="H2213" s="22">
        <f>F2213*(1+Assumptions!$B$6+IF(D2213="Yes",Assumptions!$C$6,0))</f>
        <v>395552.88790000003</v>
      </c>
      <c r="I2213" s="22">
        <f>F2213*(1+Assumptions!$B$7+IF(D2213="Yes",Assumptions!$C$7,0))</f>
        <v>403233.52650000004</v>
      </c>
      <c r="J2213" s="22">
        <f>F2213*(1+Assumptions!$B$8+IF(D2213="Yes",Assumptions!$C$8,0))</f>
        <v>387872.24930000002</v>
      </c>
    </row>
    <row r="2214" spans="1:10" ht="15">
      <c r="A2214" s="21">
        <v>41117</v>
      </c>
      <c r="B2214" s="21">
        <v>41091</v>
      </c>
      <c r="C2214" s="17">
        <v>23</v>
      </c>
      <c r="D2214" s="17" t="s">
        <v>91</v>
      </c>
      <c r="E2214" s="14">
        <v>908153.91</v>
      </c>
      <c r="F2214" s="14">
        <v>872457.7</v>
      </c>
      <c r="G2214" s="14">
        <v>872457.7</v>
      </c>
      <c r="H2214" s="22">
        <f>F2214*(1+Assumptions!$B$6+IF(D2214="Yes",Assumptions!$C$6,0))</f>
        <v>898631.43099999998</v>
      </c>
      <c r="I2214" s="22">
        <f>F2214*(1+Assumptions!$B$7+IF(D2214="Yes",Assumptions!$C$7,0))</f>
        <v>916080.58499999996</v>
      </c>
      <c r="J2214" s="22">
        <f>F2214*(1+Assumptions!$B$8+IF(D2214="Yes",Assumptions!$C$8,0))</f>
        <v>881182.277</v>
      </c>
    </row>
    <row r="2215" spans="1:10" ht="15">
      <c r="A2215" s="21">
        <v>41117</v>
      </c>
      <c r="B2215" s="21">
        <v>41091</v>
      </c>
      <c r="C2215" s="17">
        <v>24</v>
      </c>
      <c r="D2215" s="17" t="s">
        <v>91</v>
      </c>
      <c r="E2215" s="14">
        <v>222254.49</v>
      </c>
      <c r="F2215" s="14">
        <v>206256.22</v>
      </c>
      <c r="G2215" s="14">
        <v>206256.22</v>
      </c>
      <c r="H2215" s="22">
        <f>F2215*(1+Assumptions!$B$6+IF(D2215="Yes",Assumptions!$C$6,0))</f>
        <v>212443.90660000002</v>
      </c>
      <c r="I2215" s="22">
        <f>F2215*(1+Assumptions!$B$7+IF(D2215="Yes",Assumptions!$C$7,0))</f>
        <v>216569.03100000002</v>
      </c>
      <c r="J2215" s="22">
        <f>F2215*(1+Assumptions!$B$8+IF(D2215="Yes",Assumptions!$C$8,0))</f>
        <v>208318.78220000002</v>
      </c>
    </row>
    <row r="2216" spans="1:10" ht="15">
      <c r="A2216" s="21">
        <v>41117</v>
      </c>
      <c r="B2216" s="21">
        <v>41091</v>
      </c>
      <c r="C2216" s="17">
        <v>25</v>
      </c>
      <c r="D2216" s="17" t="s">
        <v>91</v>
      </c>
      <c r="E2216" s="14">
        <v>331617.51</v>
      </c>
      <c r="F2216" s="14">
        <v>347756.85</v>
      </c>
      <c r="G2216" s="14">
        <v>347756.85</v>
      </c>
      <c r="H2216" s="22">
        <f>F2216*(1+Assumptions!$B$6+IF(D2216="Yes",Assumptions!$C$6,0))</f>
        <v>358189.55549999996</v>
      </c>
      <c r="I2216" s="22">
        <f>F2216*(1+Assumptions!$B$7+IF(D2216="Yes",Assumptions!$C$7,0))</f>
        <v>365144.6925</v>
      </c>
      <c r="J2216" s="22">
        <f>F2216*(1+Assumptions!$B$8+IF(D2216="Yes",Assumptions!$C$8,0))</f>
        <v>351234.41849999997</v>
      </c>
    </row>
    <row r="2217" spans="1:10" ht="15">
      <c r="A2217" s="21">
        <v>41117</v>
      </c>
      <c r="B2217" s="21">
        <v>41091</v>
      </c>
      <c r="C2217" s="17">
        <v>26</v>
      </c>
      <c r="D2217" s="17" t="s">
        <v>91</v>
      </c>
      <c r="E2217" s="14">
        <v>214085.56</v>
      </c>
      <c r="F2217" s="14">
        <v>209151.9</v>
      </c>
      <c r="G2217" s="14">
        <v>209151.9</v>
      </c>
      <c r="H2217" s="22">
        <f>F2217*(1+Assumptions!$B$6+IF(D2217="Yes",Assumptions!$C$6,0))</f>
        <v>215426.45699999999</v>
      </c>
      <c r="I2217" s="22">
        <f>F2217*(1+Assumptions!$B$7+IF(D2217="Yes",Assumptions!$C$7,0))</f>
        <v>219609.495</v>
      </c>
      <c r="J2217" s="22">
        <f>F2217*(1+Assumptions!$B$8+IF(D2217="Yes",Assumptions!$C$8,0))</f>
        <v>211243.41899999999</v>
      </c>
    </row>
    <row r="2218" spans="1:10" ht="15">
      <c r="A2218" s="21">
        <v>41117</v>
      </c>
      <c r="B2218" s="21">
        <v>41091</v>
      </c>
      <c r="C2218" s="17">
        <v>27</v>
      </c>
      <c r="D2218" s="17" t="s">
        <v>91</v>
      </c>
      <c r="E2218" s="14">
        <v>46631.94</v>
      </c>
      <c r="F2218" s="14">
        <v>41158.22</v>
      </c>
      <c r="G2218" s="14">
        <v>41158.22</v>
      </c>
      <c r="H2218" s="22">
        <f>F2218*(1+Assumptions!$B$6+IF(D2218="Yes",Assumptions!$C$6,0))</f>
        <v>42392.9666</v>
      </c>
      <c r="I2218" s="22">
        <f>F2218*(1+Assumptions!$B$7+IF(D2218="Yes",Assumptions!$C$7,0))</f>
        <v>43216.131000000001</v>
      </c>
      <c r="J2218" s="22">
        <f>F2218*(1+Assumptions!$B$8+IF(D2218="Yes",Assumptions!$C$8,0))</f>
        <v>41569.802199999998</v>
      </c>
    </row>
    <row r="2219" spans="1:10" ht="15">
      <c r="A2219" s="21">
        <v>41117</v>
      </c>
      <c r="B2219" s="21">
        <v>41091</v>
      </c>
      <c r="C2219" s="17">
        <v>28</v>
      </c>
      <c r="D2219" s="17" t="s">
        <v>91</v>
      </c>
      <c r="E2219" s="14">
        <v>13427.74</v>
      </c>
      <c r="F2219" s="14">
        <v>14056.82</v>
      </c>
      <c r="G2219" s="14">
        <v>14056.82</v>
      </c>
      <c r="H2219" s="22">
        <f>F2219*(1+Assumptions!$B$6+IF(D2219="Yes",Assumptions!$C$6,0))</f>
        <v>14478.524600000001</v>
      </c>
      <c r="I2219" s="22">
        <f>F2219*(1+Assumptions!$B$7+IF(D2219="Yes",Assumptions!$C$7,0))</f>
        <v>14759.661</v>
      </c>
      <c r="J2219" s="22">
        <f>F2219*(1+Assumptions!$B$8+IF(D2219="Yes",Assumptions!$C$8,0))</f>
        <v>14197.388199999999</v>
      </c>
    </row>
    <row r="2220" spans="1:10" ht="15">
      <c r="A2220" s="21">
        <v>41117</v>
      </c>
      <c r="B2220" s="21">
        <v>41091</v>
      </c>
      <c r="C2220" s="17">
        <v>29</v>
      </c>
      <c r="D2220" s="17" t="s">
        <v>91</v>
      </c>
      <c r="E2220" s="14">
        <v>201608.28</v>
      </c>
      <c r="F2220" s="14">
        <v>193032.02</v>
      </c>
      <c r="G2220" s="14">
        <v>193032.02</v>
      </c>
      <c r="H2220" s="22">
        <f>F2220*(1+Assumptions!$B$6+IF(D2220="Yes",Assumptions!$C$6,0))</f>
        <v>198822.98059999998</v>
      </c>
      <c r="I2220" s="22">
        <f>F2220*(1+Assumptions!$B$7+IF(D2220="Yes",Assumptions!$C$7,0))</f>
        <v>202683.62099999998</v>
      </c>
      <c r="J2220" s="22">
        <f>F2220*(1+Assumptions!$B$8+IF(D2220="Yes",Assumptions!$C$8,0))</f>
        <v>194962.34019999998</v>
      </c>
    </row>
    <row r="2221" spans="1:10" ht="15">
      <c r="A2221" s="21">
        <v>41117</v>
      </c>
      <c r="B2221" s="21">
        <v>41091</v>
      </c>
      <c r="C2221" s="17">
        <v>30</v>
      </c>
      <c r="D2221" s="17" t="s">
        <v>91</v>
      </c>
      <c r="E2221" s="14">
        <v>152163.03</v>
      </c>
      <c r="F2221" s="14">
        <v>162697.61000000002</v>
      </c>
      <c r="G2221" s="14">
        <v>162697.61000000002</v>
      </c>
      <c r="H2221" s="22">
        <f>F2221*(1+Assumptions!$B$6+IF(D2221="Yes",Assumptions!$C$6,0))</f>
        <v>167578.53830000001</v>
      </c>
      <c r="I2221" s="22">
        <f>F2221*(1+Assumptions!$B$7+IF(D2221="Yes",Assumptions!$C$7,0))</f>
        <v>170832.49050000001</v>
      </c>
      <c r="J2221" s="22">
        <f>F2221*(1+Assumptions!$B$8+IF(D2221="Yes",Assumptions!$C$8,0))</f>
        <v>164324.58610000001</v>
      </c>
    </row>
    <row r="2222" spans="1:10" ht="15">
      <c r="A2222" s="21">
        <v>41117</v>
      </c>
      <c r="B2222" s="21">
        <v>41091</v>
      </c>
      <c r="C2222" s="17">
        <v>31</v>
      </c>
      <c r="D2222" s="17" t="s">
        <v>91</v>
      </c>
      <c r="E2222" s="14">
        <v>116795.45</v>
      </c>
      <c r="F2222" s="14">
        <v>128457.79000000001</v>
      </c>
      <c r="G2222" s="14">
        <v>128457.79000000001</v>
      </c>
      <c r="H2222" s="22">
        <f>F2222*(1+Assumptions!$B$6+IF(D2222="Yes",Assumptions!$C$6,0))</f>
        <v>132311.52370000002</v>
      </c>
      <c r="I2222" s="22">
        <f>F2222*(1+Assumptions!$B$7+IF(D2222="Yes",Assumptions!$C$7,0))</f>
        <v>134880.67950000003</v>
      </c>
      <c r="J2222" s="22">
        <f>F2222*(1+Assumptions!$B$8+IF(D2222="Yes",Assumptions!$C$8,0))</f>
        <v>129742.36790000001</v>
      </c>
    </row>
    <row r="2223" spans="1:10" ht="15">
      <c r="A2223" s="21">
        <v>41117</v>
      </c>
      <c r="B2223" s="21">
        <v>41091</v>
      </c>
      <c r="C2223" s="17">
        <v>32</v>
      </c>
      <c r="D2223" s="17" t="s">
        <v>91</v>
      </c>
      <c r="E2223" s="14">
        <v>231067.13</v>
      </c>
      <c r="F2223" s="14">
        <v>244300.30000000002</v>
      </c>
      <c r="G2223" s="14">
        <v>244300.30000000002</v>
      </c>
      <c r="H2223" s="22">
        <f>F2223*(1+Assumptions!$B$6+IF(D2223="Yes",Assumptions!$C$6,0))</f>
        <v>251629.30900000004</v>
      </c>
      <c r="I2223" s="22">
        <f>F2223*(1+Assumptions!$B$7+IF(D2223="Yes",Assumptions!$C$7,0))</f>
        <v>256515.31500000003</v>
      </c>
      <c r="J2223" s="22">
        <f>F2223*(1+Assumptions!$B$8+IF(D2223="Yes",Assumptions!$C$8,0))</f>
        <v>246743.30300000001</v>
      </c>
    </row>
    <row r="2224" spans="1:10" ht="15">
      <c r="A2224" s="21">
        <v>41117</v>
      </c>
      <c r="B2224" s="21">
        <v>41091</v>
      </c>
      <c r="C2224" s="17">
        <v>33</v>
      </c>
      <c r="D2224" s="17" t="s">
        <v>91</v>
      </c>
      <c r="E2224" s="14">
        <v>236296.33000000002</v>
      </c>
      <c r="F2224" s="14">
        <v>204290.15</v>
      </c>
      <c r="G2224" s="14">
        <v>204290.15</v>
      </c>
      <c r="H2224" s="22">
        <f>F2224*(1+Assumptions!$B$6+IF(D2224="Yes",Assumptions!$C$6,0))</f>
        <v>210418.85449999999</v>
      </c>
      <c r="I2224" s="22">
        <f>F2224*(1+Assumptions!$B$7+IF(D2224="Yes",Assumptions!$C$7,0))</f>
        <v>214504.6575</v>
      </c>
      <c r="J2224" s="22">
        <f>F2224*(1+Assumptions!$B$8+IF(D2224="Yes",Assumptions!$C$8,0))</f>
        <v>206333.0515</v>
      </c>
    </row>
    <row r="2225" spans="1:10" ht="15">
      <c r="A2225" s="21">
        <v>41117</v>
      </c>
      <c r="B2225" s="21">
        <v>41091</v>
      </c>
      <c r="C2225" s="17">
        <v>34</v>
      </c>
      <c r="D2225" s="17" t="s">
        <v>91</v>
      </c>
      <c r="E2225" s="14">
        <v>541500.53</v>
      </c>
      <c r="F2225" s="14">
        <v>572730.63</v>
      </c>
      <c r="G2225" s="14">
        <v>572730.63</v>
      </c>
      <c r="H2225" s="22">
        <f>F2225*(1+Assumptions!$B$6+IF(D2225="Yes",Assumptions!$C$6,0))</f>
        <v>589912.54890000005</v>
      </c>
      <c r="I2225" s="22">
        <f>F2225*(1+Assumptions!$B$7+IF(D2225="Yes",Assumptions!$C$7,0))</f>
        <v>601367.16150000005</v>
      </c>
      <c r="J2225" s="22">
        <f>F2225*(1+Assumptions!$B$8+IF(D2225="Yes",Assumptions!$C$8,0))</f>
        <v>578457.93630000006</v>
      </c>
    </row>
    <row r="2226" spans="1:10" ht="15">
      <c r="A2226" s="21">
        <v>41117</v>
      </c>
      <c r="B2226" s="21">
        <v>41091</v>
      </c>
      <c r="C2226" s="17">
        <v>35</v>
      </c>
      <c r="D2226" s="17" t="s">
        <v>91</v>
      </c>
      <c r="E2226" s="14">
        <v>87262.57</v>
      </c>
      <c r="F2226" s="14">
        <v>92040.83</v>
      </c>
      <c r="G2226" s="14">
        <v>92040.83</v>
      </c>
      <c r="H2226" s="22">
        <f>F2226*(1+Assumptions!$B$6+IF(D2226="Yes",Assumptions!$C$6,0))</f>
        <v>94802.054900000003</v>
      </c>
      <c r="I2226" s="22">
        <f>F2226*(1+Assumptions!$B$7+IF(D2226="Yes",Assumptions!$C$7,0))</f>
        <v>96642.871500000008</v>
      </c>
      <c r="J2226" s="22">
        <f>F2226*(1+Assumptions!$B$8+IF(D2226="Yes",Assumptions!$C$8,0))</f>
        <v>92961.238299999997</v>
      </c>
    </row>
    <row r="2227" spans="1:10" ht="15">
      <c r="A2227" s="21">
        <v>41117</v>
      </c>
      <c r="B2227" s="21">
        <v>41091</v>
      </c>
      <c r="C2227" s="17">
        <v>36</v>
      </c>
      <c r="D2227" s="17" t="s">
        <v>91</v>
      </c>
      <c r="E2227" s="14">
        <v>46229.68</v>
      </c>
      <c r="F2227" s="14">
        <v>62957.42</v>
      </c>
      <c r="G2227" s="14">
        <v>62957.42</v>
      </c>
      <c r="H2227" s="22">
        <f>F2227*(1+Assumptions!$B$6+IF(D2227="Yes",Assumptions!$C$6,0))</f>
        <v>64846.142599999999</v>
      </c>
      <c r="I2227" s="22">
        <f>F2227*(1+Assumptions!$B$7+IF(D2227="Yes",Assumptions!$C$7,0))</f>
        <v>66105.290999999997</v>
      </c>
      <c r="J2227" s="22">
        <f>F2227*(1+Assumptions!$B$8+IF(D2227="Yes",Assumptions!$C$8,0))</f>
        <v>63586.994200000001</v>
      </c>
    </row>
    <row r="2228" spans="1:10" ht="15">
      <c r="A2228" s="21">
        <v>41117</v>
      </c>
      <c r="B2228" s="21">
        <v>41091</v>
      </c>
      <c r="C2228" s="17">
        <v>37</v>
      </c>
      <c r="D2228" s="17" t="s">
        <v>91</v>
      </c>
      <c r="E2228" s="14">
        <v>55897.18</v>
      </c>
      <c r="F2228" s="14">
        <v>51684.98</v>
      </c>
      <c r="G2228" s="14">
        <v>51684.98</v>
      </c>
      <c r="H2228" s="22">
        <f>F2228*(1+Assumptions!$B$6+IF(D2228="Yes",Assumptions!$C$6,0))</f>
        <v>53235.529400000007</v>
      </c>
      <c r="I2228" s="22">
        <f>F2228*(1+Assumptions!$B$7+IF(D2228="Yes",Assumptions!$C$7,0))</f>
        <v>54269.229000000007</v>
      </c>
      <c r="J2228" s="22">
        <f>F2228*(1+Assumptions!$B$8+IF(D2228="Yes",Assumptions!$C$8,0))</f>
        <v>52201.829800000007</v>
      </c>
    </row>
    <row r="2229" spans="1:10" ht="15">
      <c r="A2229" s="21">
        <v>41117</v>
      </c>
      <c r="B2229" s="21">
        <v>41091</v>
      </c>
      <c r="C2229" s="17">
        <v>38</v>
      </c>
      <c r="D2229" s="17" t="s">
        <v>91</v>
      </c>
      <c r="E2229" s="14">
        <v>2645343.56</v>
      </c>
      <c r="F2229" s="14">
        <v>2631124.89</v>
      </c>
      <c r="G2229" s="14">
        <v>2631124.89</v>
      </c>
      <c r="H2229" s="22">
        <f>F2229*(1+Assumptions!$B$6+IF(D2229="Yes",Assumptions!$C$6,0))</f>
        <v>2710058.6367000001</v>
      </c>
      <c r="I2229" s="22">
        <f>F2229*(1+Assumptions!$B$7+IF(D2229="Yes",Assumptions!$C$7,0))</f>
        <v>2762681.1345000002</v>
      </c>
      <c r="J2229" s="22">
        <f>F2229*(1+Assumptions!$B$8+IF(D2229="Yes",Assumptions!$C$8,0))</f>
        <v>2657436.1389000001</v>
      </c>
    </row>
    <row r="2230" spans="1:10" ht="15">
      <c r="A2230" s="21">
        <v>41117</v>
      </c>
      <c r="B2230" s="21">
        <v>41091</v>
      </c>
      <c r="C2230" s="17">
        <v>40</v>
      </c>
      <c r="D2230" s="17" t="s">
        <v>91</v>
      </c>
      <c r="E2230" s="14">
        <v>1947620.49</v>
      </c>
      <c r="F2230" s="14">
        <v>1847980.69</v>
      </c>
      <c r="G2230" s="14">
        <v>1847980.69</v>
      </c>
      <c r="H2230" s="22">
        <f>F2230*(1+Assumptions!$B$6+IF(D2230="Yes",Assumptions!$C$6,0))</f>
        <v>1903420.1107000001</v>
      </c>
      <c r="I2230" s="22">
        <f>F2230*(1+Assumptions!$B$7+IF(D2230="Yes",Assumptions!$C$7,0))</f>
        <v>1940379.7245</v>
      </c>
      <c r="J2230" s="22">
        <f>F2230*(1+Assumptions!$B$8+IF(D2230="Yes",Assumptions!$C$8,0))</f>
        <v>1866460.4968999999</v>
      </c>
    </row>
    <row r="2231" spans="1:10" ht="15">
      <c r="A2231" s="21">
        <v>41117</v>
      </c>
      <c r="B2231" s="21">
        <v>41091</v>
      </c>
      <c r="C2231" s="17">
        <v>41</v>
      </c>
      <c r="D2231" s="17" t="s">
        <v>91</v>
      </c>
      <c r="E2231" s="14">
        <v>55095.91</v>
      </c>
      <c r="F2231" s="14">
        <v>53881.97</v>
      </c>
      <c r="G2231" s="14">
        <v>53881.97</v>
      </c>
      <c r="H2231" s="22">
        <f>F2231*(1+Assumptions!$B$6+IF(D2231="Yes",Assumptions!$C$6,0))</f>
        <v>55498.429100000001</v>
      </c>
      <c r="I2231" s="22">
        <f>F2231*(1+Assumptions!$B$7+IF(D2231="Yes",Assumptions!$C$7,0))</f>
        <v>56576.068500000001</v>
      </c>
      <c r="J2231" s="22">
        <f>F2231*(1+Assumptions!$B$8+IF(D2231="Yes",Assumptions!$C$8,0))</f>
        <v>54420.789700000001</v>
      </c>
    </row>
    <row r="2232" spans="1:10" ht="15">
      <c r="A2232" s="21">
        <v>41117</v>
      </c>
      <c r="B2232" s="21">
        <v>41091</v>
      </c>
      <c r="C2232" s="17">
        <v>42</v>
      </c>
      <c r="D2232" s="17" t="s">
        <v>91</v>
      </c>
      <c r="E2232" s="14">
        <v>238537.96</v>
      </c>
      <c r="F2232" s="14">
        <v>234692.06</v>
      </c>
      <c r="G2232" s="14">
        <v>234692.06</v>
      </c>
      <c r="H2232" s="22">
        <f>F2232*(1+Assumptions!$B$6+IF(D2232="Yes",Assumptions!$C$6,0))</f>
        <v>241732.82180000001</v>
      </c>
      <c r="I2232" s="22">
        <f>F2232*(1+Assumptions!$B$7+IF(D2232="Yes",Assumptions!$C$7,0))</f>
        <v>246426.663</v>
      </c>
      <c r="J2232" s="22">
        <f>F2232*(1+Assumptions!$B$8+IF(D2232="Yes",Assumptions!$C$8,0))</f>
        <v>237038.98060000001</v>
      </c>
    </row>
    <row r="2233" spans="1:10" ht="15">
      <c r="A2233" s="21">
        <v>41117</v>
      </c>
      <c r="B2233" s="21">
        <v>41091</v>
      </c>
      <c r="C2233" s="17">
        <v>44</v>
      </c>
      <c r="D2233" s="17" t="s">
        <v>91</v>
      </c>
      <c r="E2233" s="14">
        <v>162989.88</v>
      </c>
      <c r="F2233" s="14">
        <v>145208.85</v>
      </c>
      <c r="G2233" s="14">
        <v>145208.85</v>
      </c>
      <c r="H2233" s="22">
        <f>F2233*(1+Assumptions!$B$6+IF(D2233="Yes",Assumptions!$C$6,0))</f>
        <v>149565.11550000001</v>
      </c>
      <c r="I2233" s="22">
        <f>F2233*(1+Assumptions!$B$7+IF(D2233="Yes",Assumptions!$C$7,0))</f>
        <v>152469.29250000001</v>
      </c>
      <c r="J2233" s="22">
        <f>F2233*(1+Assumptions!$B$8+IF(D2233="Yes",Assumptions!$C$8,0))</f>
        <v>146660.93850000002</v>
      </c>
    </row>
    <row r="2234" spans="1:10" ht="15">
      <c r="A2234" s="21">
        <v>41117</v>
      </c>
      <c r="B2234" s="21">
        <v>41091</v>
      </c>
      <c r="C2234" s="17">
        <v>45</v>
      </c>
      <c r="D2234" s="17" t="s">
        <v>91</v>
      </c>
      <c r="E2234" s="14">
        <v>5.97</v>
      </c>
      <c r="F2234" s="14">
        <v>37.32</v>
      </c>
      <c r="G2234" s="14">
        <v>37.32</v>
      </c>
      <c r="H2234" s="22">
        <f>F2234*(1+Assumptions!$B$6+IF(D2234="Yes",Assumptions!$C$6,0))</f>
        <v>38.439599999999999</v>
      </c>
      <c r="I2234" s="22">
        <f>F2234*(1+Assumptions!$B$7+IF(D2234="Yes",Assumptions!$C$7,0))</f>
        <v>39.186</v>
      </c>
      <c r="J2234" s="22">
        <f>F2234*(1+Assumptions!$B$8+IF(D2234="Yes",Assumptions!$C$8,0))</f>
        <v>37.693199999999997</v>
      </c>
    </row>
    <row r="2235" spans="1:10" ht="15">
      <c r="A2235" s="21">
        <v>41117</v>
      </c>
      <c r="B2235" s="21">
        <v>41091</v>
      </c>
      <c r="C2235" s="17">
        <v>46</v>
      </c>
      <c r="D2235" s="17" t="s">
        <v>91</v>
      </c>
      <c r="E2235" s="14">
        <v>885057.22</v>
      </c>
      <c r="F2235" s="14">
        <v>885926.05</v>
      </c>
      <c r="G2235" s="14">
        <v>885926.05</v>
      </c>
      <c r="H2235" s="22">
        <f>F2235*(1+Assumptions!$B$6+IF(D2235="Yes",Assumptions!$C$6,0))</f>
        <v>912503.83150000009</v>
      </c>
      <c r="I2235" s="22">
        <f>F2235*(1+Assumptions!$B$7+IF(D2235="Yes",Assumptions!$C$7,0))</f>
        <v>930222.35250000004</v>
      </c>
      <c r="J2235" s="22">
        <f>F2235*(1+Assumptions!$B$8+IF(D2235="Yes",Assumptions!$C$8,0))</f>
        <v>894785.31050000002</v>
      </c>
    </row>
    <row r="2236" spans="1:10" ht="15">
      <c r="A2236" s="21">
        <v>41117</v>
      </c>
      <c r="B2236" s="21">
        <v>41091</v>
      </c>
      <c r="C2236" s="17">
        <v>48</v>
      </c>
      <c r="D2236" s="17" t="s">
        <v>91</v>
      </c>
      <c r="E2236" s="14">
        <v>18609</v>
      </c>
      <c r="F2236" s="14">
        <v>8598</v>
      </c>
      <c r="G2236" s="14">
        <v>8598</v>
      </c>
      <c r="H2236" s="22">
        <f>F2236*(1+Assumptions!$B$6+IF(D2236="Yes",Assumptions!$C$6,0))</f>
        <v>8855.94</v>
      </c>
      <c r="I2236" s="22">
        <f>F2236*(1+Assumptions!$B$7+IF(D2236="Yes",Assumptions!$C$7,0))</f>
        <v>9027.9</v>
      </c>
      <c r="J2236" s="22">
        <f>F2236*(1+Assumptions!$B$8+IF(D2236="Yes",Assumptions!$C$8,0))</f>
        <v>8683.98</v>
      </c>
    </row>
    <row r="2237" spans="1:10" ht="15">
      <c r="A2237" s="21">
        <v>41117</v>
      </c>
      <c r="B2237" s="21">
        <v>41091</v>
      </c>
      <c r="C2237" s="17">
        <v>49</v>
      </c>
      <c r="D2237" s="17" t="s">
        <v>91</v>
      </c>
      <c r="E2237" s="14">
        <v>250192.95</v>
      </c>
      <c r="F2237" s="14">
        <v>252751.49</v>
      </c>
      <c r="G2237" s="14">
        <v>252751.49</v>
      </c>
      <c r="H2237" s="22">
        <f>F2237*(1+Assumptions!$B$6+IF(D2237="Yes",Assumptions!$C$6,0))</f>
        <v>260334.03469999999</v>
      </c>
      <c r="I2237" s="22">
        <f>F2237*(1+Assumptions!$B$7+IF(D2237="Yes",Assumptions!$C$7,0))</f>
        <v>265389.06449999998</v>
      </c>
      <c r="J2237" s="22">
        <f>F2237*(1+Assumptions!$B$8+IF(D2237="Yes",Assumptions!$C$8,0))</f>
        <v>255279.0049</v>
      </c>
    </row>
    <row r="2238" spans="1:10" ht="15">
      <c r="A2238" s="21">
        <v>41117</v>
      </c>
      <c r="B2238" s="21">
        <v>41091</v>
      </c>
      <c r="C2238" s="17">
        <v>50</v>
      </c>
      <c r="D2238" s="17" t="s">
        <v>91</v>
      </c>
      <c r="E2238" s="14">
        <v>30716.720000000001</v>
      </c>
      <c r="F2238" s="14">
        <v>29148.5</v>
      </c>
      <c r="G2238" s="14">
        <v>29148.5</v>
      </c>
      <c r="H2238" s="22">
        <f>F2238*(1+Assumptions!$B$6+IF(D2238="Yes",Assumptions!$C$6,0))</f>
        <v>30022.955000000002</v>
      </c>
      <c r="I2238" s="22">
        <f>F2238*(1+Assumptions!$B$7+IF(D2238="Yes",Assumptions!$C$7,0))</f>
        <v>30605.925000000003</v>
      </c>
      <c r="J2238" s="22">
        <f>F2238*(1+Assumptions!$B$8+IF(D2238="Yes",Assumptions!$C$8,0))</f>
        <v>29439.985000000001</v>
      </c>
    </row>
    <row r="2239" spans="1:10" ht="15">
      <c r="A2239" s="21">
        <v>41117</v>
      </c>
      <c r="B2239" s="21">
        <v>41091</v>
      </c>
      <c r="C2239" s="17">
        <v>51</v>
      </c>
      <c r="D2239" s="17" t="s">
        <v>91</v>
      </c>
      <c r="E2239" s="14">
        <v>2.36</v>
      </c>
      <c r="F2239" s="14">
        <v>11.84</v>
      </c>
      <c r="G2239" s="14">
        <v>11.84</v>
      </c>
      <c r="H2239" s="22">
        <f>F2239*(1+Assumptions!$B$6+IF(D2239="Yes",Assumptions!$C$6,0))</f>
        <v>12.1952</v>
      </c>
      <c r="I2239" s="22">
        <f>F2239*(1+Assumptions!$B$7+IF(D2239="Yes",Assumptions!$C$7,0))</f>
        <v>12.432</v>
      </c>
      <c r="J2239" s="22">
        <f>F2239*(1+Assumptions!$B$8+IF(D2239="Yes",Assumptions!$C$8,0))</f>
        <v>11.958399999999999</v>
      </c>
    </row>
    <row r="2240" spans="1:10" ht="15">
      <c r="A2240" s="21">
        <v>41117</v>
      </c>
      <c r="B2240" s="21">
        <v>41091</v>
      </c>
      <c r="C2240" s="17">
        <v>52</v>
      </c>
      <c r="D2240" s="17" t="s">
        <v>91</v>
      </c>
      <c r="E2240" s="14">
        <v>70711.240000000005</v>
      </c>
      <c r="F2240" s="14">
        <v>69608.25</v>
      </c>
      <c r="G2240" s="14">
        <v>69608.25</v>
      </c>
      <c r="H2240" s="22">
        <f>F2240*(1+Assumptions!$B$6+IF(D2240="Yes",Assumptions!$C$6,0))</f>
        <v>71696.497499999998</v>
      </c>
      <c r="I2240" s="22">
        <f>F2240*(1+Assumptions!$B$7+IF(D2240="Yes",Assumptions!$C$7,0))</f>
        <v>73088.662500000006</v>
      </c>
      <c r="J2240" s="22">
        <f>F2240*(1+Assumptions!$B$8+IF(D2240="Yes",Assumptions!$C$8,0))</f>
        <v>70304.332500000004</v>
      </c>
    </row>
    <row r="2241" spans="1:10" ht="15">
      <c r="A2241" s="21">
        <v>41117</v>
      </c>
      <c r="B2241" s="21">
        <v>41091</v>
      </c>
      <c r="C2241" s="17">
        <v>54</v>
      </c>
      <c r="D2241" s="17" t="s">
        <v>91</v>
      </c>
      <c r="E2241" s="14">
        <v>878.8</v>
      </c>
      <c r="F2241" s="14">
        <v>1099.2</v>
      </c>
      <c r="G2241" s="14">
        <v>1099.2</v>
      </c>
      <c r="H2241" s="22">
        <f>F2241*(1+Assumptions!$B$6+IF(D2241="Yes",Assumptions!$C$6,0))</f>
        <v>1132.1760000000002</v>
      </c>
      <c r="I2241" s="22">
        <f>F2241*(1+Assumptions!$B$7+IF(D2241="Yes",Assumptions!$C$7,0))</f>
        <v>1154.1600000000001</v>
      </c>
      <c r="J2241" s="22">
        <f>F2241*(1+Assumptions!$B$8+IF(D2241="Yes",Assumptions!$C$8,0))</f>
        <v>1110.192</v>
      </c>
    </row>
    <row r="2242" spans="1:10" ht="15">
      <c r="A2242" s="21">
        <v>41117</v>
      </c>
      <c r="B2242" s="21">
        <v>41091</v>
      </c>
      <c r="C2242" s="17">
        <v>55</v>
      </c>
      <c r="D2242" s="17" t="s">
        <v>91</v>
      </c>
      <c r="E2242" s="14">
        <v>238410.41</v>
      </c>
      <c r="F2242" s="14">
        <v>275493.23</v>
      </c>
      <c r="G2242" s="14">
        <v>275493.23</v>
      </c>
      <c r="H2242" s="22">
        <f>F2242*(1+Assumptions!$B$6+IF(D2242="Yes",Assumptions!$C$6,0))</f>
        <v>283758.0269</v>
      </c>
      <c r="I2242" s="22">
        <f>F2242*(1+Assumptions!$B$7+IF(D2242="Yes",Assumptions!$C$7,0))</f>
        <v>289267.89149999997</v>
      </c>
      <c r="J2242" s="22">
        <f>F2242*(1+Assumptions!$B$8+IF(D2242="Yes",Assumptions!$C$8,0))</f>
        <v>278248.16229999997</v>
      </c>
    </row>
    <row r="2243" spans="1:10" ht="15">
      <c r="A2243" s="21">
        <v>41117</v>
      </c>
      <c r="B2243" s="21">
        <v>41091</v>
      </c>
      <c r="C2243" s="17">
        <v>56</v>
      </c>
      <c r="D2243" s="17" t="s">
        <v>91</v>
      </c>
      <c r="E2243" s="14">
        <v>47753.120000000003</v>
      </c>
      <c r="F2243" s="14">
        <v>55226.53</v>
      </c>
      <c r="G2243" s="14">
        <v>55226.53</v>
      </c>
      <c r="H2243" s="22">
        <f>F2243*(1+Assumptions!$B$6+IF(D2243="Yes",Assumptions!$C$6,0))</f>
        <v>56883.325900000003</v>
      </c>
      <c r="I2243" s="22">
        <f>F2243*(1+Assumptions!$B$7+IF(D2243="Yes",Assumptions!$C$7,0))</f>
        <v>57987.856500000002</v>
      </c>
      <c r="J2243" s="22">
        <f>F2243*(1+Assumptions!$B$8+IF(D2243="Yes",Assumptions!$C$8,0))</f>
        <v>55778.795299999998</v>
      </c>
    </row>
    <row r="2244" spans="1:10" ht="15">
      <c r="A2244" s="21">
        <v>41117</v>
      </c>
      <c r="B2244" s="21">
        <v>41091</v>
      </c>
      <c r="C2244" s="17">
        <v>58</v>
      </c>
      <c r="D2244" s="17" t="s">
        <v>91</v>
      </c>
      <c r="E2244" s="14">
        <v>100219</v>
      </c>
      <c r="F2244" s="14">
        <v>89845</v>
      </c>
      <c r="G2244" s="14">
        <v>89845</v>
      </c>
      <c r="H2244" s="22">
        <f>F2244*(1+Assumptions!$B$6+IF(D2244="Yes",Assumptions!$C$6,0))</f>
        <v>92540.35</v>
      </c>
      <c r="I2244" s="22">
        <f>F2244*(1+Assumptions!$B$7+IF(D2244="Yes",Assumptions!$C$7,0))</f>
        <v>94337.25</v>
      </c>
      <c r="J2244" s="22">
        <f>F2244*(1+Assumptions!$B$8+IF(D2244="Yes",Assumptions!$C$8,0))</f>
        <v>90743.45</v>
      </c>
    </row>
    <row r="2245" spans="1:10" ht="15">
      <c r="A2245" s="21">
        <v>41117</v>
      </c>
      <c r="B2245" s="21">
        <v>41091</v>
      </c>
      <c r="C2245" s="17">
        <v>59</v>
      </c>
      <c r="D2245" s="17" t="s">
        <v>91</v>
      </c>
      <c r="E2245" s="14">
        <v>7384.21</v>
      </c>
      <c r="F2245" s="14">
        <v>9696.27</v>
      </c>
      <c r="G2245" s="14">
        <v>9696.27</v>
      </c>
      <c r="H2245" s="22">
        <f>F2245*(1+Assumptions!$B$6+IF(D2245="Yes",Assumptions!$C$6,0))</f>
        <v>9987.1581000000006</v>
      </c>
      <c r="I2245" s="22">
        <f>F2245*(1+Assumptions!$B$7+IF(D2245="Yes",Assumptions!$C$7,0))</f>
        <v>10181.083500000001</v>
      </c>
      <c r="J2245" s="22">
        <f>F2245*(1+Assumptions!$B$8+IF(D2245="Yes",Assumptions!$C$8,0))</f>
        <v>9793.2327000000005</v>
      </c>
    </row>
    <row r="2246" spans="1:10" ht="15">
      <c r="A2246" s="21">
        <v>41117</v>
      </c>
      <c r="B2246" s="21">
        <v>41091</v>
      </c>
      <c r="C2246" s="17">
        <v>60</v>
      </c>
      <c r="D2246" s="17" t="s">
        <v>91</v>
      </c>
      <c r="E2246" s="14">
        <v>12734.8</v>
      </c>
      <c r="F2246" s="14">
        <v>13807.2</v>
      </c>
      <c r="G2246" s="14">
        <v>13807.2</v>
      </c>
      <c r="H2246" s="22">
        <f>F2246*(1+Assumptions!$B$6+IF(D2246="Yes",Assumptions!$C$6,0))</f>
        <v>14221.416000000001</v>
      </c>
      <c r="I2246" s="22">
        <f>F2246*(1+Assumptions!$B$7+IF(D2246="Yes",Assumptions!$C$7,0))</f>
        <v>14497.560000000001</v>
      </c>
      <c r="J2246" s="22">
        <f>F2246*(1+Assumptions!$B$8+IF(D2246="Yes",Assumptions!$C$8,0))</f>
        <v>13945.272000000001</v>
      </c>
    </row>
    <row r="2247" spans="1:10" ht="15">
      <c r="A2247" s="21">
        <v>41117</v>
      </c>
      <c r="B2247" s="21">
        <v>41091</v>
      </c>
      <c r="C2247" s="17">
        <v>65</v>
      </c>
      <c r="D2247" s="17" t="s">
        <v>91</v>
      </c>
      <c r="E2247" s="14">
        <v>48056.11</v>
      </c>
      <c r="F2247" s="14">
        <v>44779.41</v>
      </c>
      <c r="G2247" s="14">
        <v>44779.41</v>
      </c>
      <c r="H2247" s="22">
        <f>F2247*(1+Assumptions!$B$6+IF(D2247="Yes",Assumptions!$C$6,0))</f>
        <v>46122.792300000008</v>
      </c>
      <c r="I2247" s="22">
        <f>F2247*(1+Assumptions!$B$7+IF(D2247="Yes",Assumptions!$C$7,0))</f>
        <v>47018.380500000007</v>
      </c>
      <c r="J2247" s="22">
        <f>F2247*(1+Assumptions!$B$8+IF(D2247="Yes",Assumptions!$C$8,0))</f>
        <v>45227.204100000003</v>
      </c>
    </row>
    <row r="2248" spans="1:10" ht="15">
      <c r="A2248" s="21">
        <v>41117</v>
      </c>
      <c r="B2248" s="21">
        <v>41091</v>
      </c>
      <c r="C2248" s="17">
        <v>67</v>
      </c>
      <c r="D2248" s="17" t="s">
        <v>91</v>
      </c>
      <c r="E2248" s="14">
        <v>249613.38</v>
      </c>
      <c r="F2248" s="14">
        <v>230651</v>
      </c>
      <c r="G2248" s="14">
        <v>230651</v>
      </c>
      <c r="H2248" s="22">
        <f>F2248*(1+Assumptions!$B$6+IF(D2248="Yes",Assumptions!$C$6,0))</f>
        <v>237570.53</v>
      </c>
      <c r="I2248" s="22">
        <f>F2248*(1+Assumptions!$B$7+IF(D2248="Yes",Assumptions!$C$7,0))</f>
        <v>242183.55000000002</v>
      </c>
      <c r="J2248" s="22">
        <f>F2248*(1+Assumptions!$B$8+IF(D2248="Yes",Assumptions!$C$8,0))</f>
        <v>232957.51</v>
      </c>
    </row>
    <row r="2249" spans="1:10" ht="15">
      <c r="A2249" s="21">
        <v>41117</v>
      </c>
      <c r="B2249" s="21">
        <v>41091</v>
      </c>
      <c r="C2249" s="17">
        <v>71</v>
      </c>
      <c r="D2249" s="17" t="s">
        <v>91</v>
      </c>
      <c r="E2249" s="14">
        <v>201884.38</v>
      </c>
      <c r="F2249" s="14">
        <v>208829.7</v>
      </c>
      <c r="G2249" s="14">
        <v>208829.7</v>
      </c>
      <c r="H2249" s="22">
        <f>F2249*(1+Assumptions!$B$6+IF(D2249="Yes",Assumptions!$C$6,0))</f>
        <v>215094.59100000001</v>
      </c>
      <c r="I2249" s="22">
        <f>F2249*(1+Assumptions!$B$7+IF(D2249="Yes",Assumptions!$C$7,0))</f>
        <v>219271.18500000003</v>
      </c>
      <c r="J2249" s="22">
        <f>F2249*(1+Assumptions!$B$8+IF(D2249="Yes",Assumptions!$C$8,0))</f>
        <v>210917.997</v>
      </c>
    </row>
    <row r="2250" spans="1:10" ht="15">
      <c r="A2250" s="21">
        <v>41117</v>
      </c>
      <c r="B2250" s="21">
        <v>41091</v>
      </c>
      <c r="C2250" s="17">
        <v>72</v>
      </c>
      <c r="D2250" s="17" t="s">
        <v>91</v>
      </c>
      <c r="E2250" s="14">
        <v>1616887.75</v>
      </c>
      <c r="F2250" s="14">
        <v>1656796.25</v>
      </c>
      <c r="G2250" s="14">
        <v>1656796.25</v>
      </c>
      <c r="H2250" s="22">
        <f>F2250*(1+Assumptions!$B$6+IF(D2250="Yes",Assumptions!$C$6,0))</f>
        <v>1706500.1375</v>
      </c>
      <c r="I2250" s="22">
        <f>F2250*(1+Assumptions!$B$7+IF(D2250="Yes",Assumptions!$C$7,0))</f>
        <v>1739636.0625</v>
      </c>
      <c r="J2250" s="22">
        <f>F2250*(1+Assumptions!$B$8+IF(D2250="Yes",Assumptions!$C$8,0))</f>
        <v>1673364.2124999999</v>
      </c>
    </row>
    <row r="2251" spans="1:10" ht="15">
      <c r="A2251" s="21">
        <v>41117</v>
      </c>
      <c r="B2251" s="21">
        <v>41091</v>
      </c>
      <c r="C2251" s="17">
        <v>74</v>
      </c>
      <c r="D2251" s="17" t="s">
        <v>91</v>
      </c>
      <c r="E2251" s="14">
        <v>611923.02</v>
      </c>
      <c r="F2251" s="14">
        <v>614072.79</v>
      </c>
      <c r="G2251" s="14">
        <v>614072.79</v>
      </c>
      <c r="H2251" s="22">
        <f>F2251*(1+Assumptions!$B$6+IF(D2251="Yes",Assumptions!$C$6,0))</f>
        <v>632494.97370000009</v>
      </c>
      <c r="I2251" s="22">
        <f>F2251*(1+Assumptions!$B$7+IF(D2251="Yes",Assumptions!$C$7,0))</f>
        <v>644776.42950000009</v>
      </c>
      <c r="J2251" s="22">
        <f>F2251*(1+Assumptions!$B$8+IF(D2251="Yes",Assumptions!$C$8,0))</f>
        <v>620213.51790000009</v>
      </c>
    </row>
    <row r="2252" spans="1:10" ht="15">
      <c r="A2252" s="21">
        <v>41117</v>
      </c>
      <c r="B2252" s="21">
        <v>41091</v>
      </c>
      <c r="C2252" s="17">
        <v>79</v>
      </c>
      <c r="D2252" s="17" t="s">
        <v>91</v>
      </c>
      <c r="E2252" s="14">
        <v>915788.85</v>
      </c>
      <c r="F2252" s="14">
        <v>914803.96</v>
      </c>
      <c r="G2252" s="14">
        <v>914803.96</v>
      </c>
      <c r="H2252" s="22">
        <f>F2252*(1+Assumptions!$B$6+IF(D2252="Yes",Assumptions!$C$6,0))</f>
        <v>942248.07880000002</v>
      </c>
      <c r="I2252" s="22">
        <f>F2252*(1+Assumptions!$B$7+IF(D2252="Yes",Assumptions!$C$7,0))</f>
        <v>960544.15800000005</v>
      </c>
      <c r="J2252" s="22">
        <f>F2252*(1+Assumptions!$B$8+IF(D2252="Yes",Assumptions!$C$8,0))</f>
        <v>923951.99959999998</v>
      </c>
    </row>
    <row r="2253" spans="1:10" ht="15">
      <c r="A2253" s="21">
        <v>41117</v>
      </c>
      <c r="B2253" s="21">
        <v>41091</v>
      </c>
      <c r="C2253" s="17">
        <v>80</v>
      </c>
      <c r="D2253" s="17" t="s">
        <v>91</v>
      </c>
      <c r="E2253" s="14">
        <v>489504.05</v>
      </c>
      <c r="F2253" s="14">
        <v>488103.45999999996</v>
      </c>
      <c r="G2253" s="14">
        <v>488103.45999999996</v>
      </c>
      <c r="H2253" s="22">
        <f>F2253*(1+Assumptions!$B$6+IF(D2253="Yes",Assumptions!$C$6,0))</f>
        <v>502746.5638</v>
      </c>
      <c r="I2253" s="22">
        <f>F2253*(1+Assumptions!$B$7+IF(D2253="Yes",Assumptions!$C$7,0))</f>
        <v>512508.63299999997</v>
      </c>
      <c r="J2253" s="22">
        <f>F2253*(1+Assumptions!$B$8+IF(D2253="Yes",Assumptions!$C$8,0))</f>
        <v>492984.49459999998</v>
      </c>
    </row>
    <row r="2254" spans="1:10" ht="15">
      <c r="A2254" s="21">
        <v>41117</v>
      </c>
      <c r="B2254" s="21">
        <v>41091</v>
      </c>
      <c r="C2254" s="17">
        <v>81</v>
      </c>
      <c r="D2254" s="17" t="s">
        <v>91</v>
      </c>
      <c r="E2254" s="14">
        <v>679469.59</v>
      </c>
      <c r="F2254" s="14">
        <v>678368.64</v>
      </c>
      <c r="G2254" s="14">
        <v>678368.64</v>
      </c>
      <c r="H2254" s="22">
        <f>F2254*(1+Assumptions!$B$6+IF(D2254="Yes",Assumptions!$C$6,0))</f>
        <v>698719.69920000003</v>
      </c>
      <c r="I2254" s="22">
        <f>F2254*(1+Assumptions!$B$7+IF(D2254="Yes",Assumptions!$C$7,0))</f>
        <v>712287.07200000004</v>
      </c>
      <c r="J2254" s="22">
        <f>F2254*(1+Assumptions!$B$8+IF(D2254="Yes",Assumptions!$C$8,0))</f>
        <v>685152.32640000002</v>
      </c>
    </row>
    <row r="2255" spans="1:10" ht="15">
      <c r="A2255" s="21">
        <v>41117</v>
      </c>
      <c r="B2255" s="21">
        <v>41091</v>
      </c>
      <c r="C2255" s="17">
        <v>82</v>
      </c>
      <c r="D2255" s="17" t="s">
        <v>91</v>
      </c>
      <c r="E2255" s="14">
        <v>672671.59</v>
      </c>
      <c r="F2255" s="14">
        <v>652359.87</v>
      </c>
      <c r="G2255" s="14">
        <v>652359.87</v>
      </c>
      <c r="H2255" s="22">
        <f>F2255*(1+Assumptions!$B$6+IF(D2255="Yes",Assumptions!$C$6,0))</f>
        <v>671930.66610000003</v>
      </c>
      <c r="I2255" s="22">
        <f>F2255*(1+Assumptions!$B$7+IF(D2255="Yes",Assumptions!$C$7,0))</f>
        <v>684977.86349999998</v>
      </c>
      <c r="J2255" s="22">
        <f>F2255*(1+Assumptions!$B$8+IF(D2255="Yes",Assumptions!$C$8,0))</f>
        <v>658883.46869999997</v>
      </c>
    </row>
    <row r="2256" spans="1:10" ht="15">
      <c r="A2256" s="21">
        <v>41117</v>
      </c>
      <c r="B2256" s="21">
        <v>41091</v>
      </c>
      <c r="C2256" s="17">
        <v>83</v>
      </c>
      <c r="D2256" s="17" t="s">
        <v>91</v>
      </c>
      <c r="E2256" s="14">
        <v>119724.74</v>
      </c>
      <c r="F2256" s="14">
        <v>112544.03</v>
      </c>
      <c r="G2256" s="14">
        <v>112544.03</v>
      </c>
      <c r="H2256" s="22">
        <f>F2256*(1+Assumptions!$B$6+IF(D2256="Yes",Assumptions!$C$6,0))</f>
        <v>115920.3509</v>
      </c>
      <c r="I2256" s="22">
        <f>F2256*(1+Assumptions!$B$7+IF(D2256="Yes",Assumptions!$C$7,0))</f>
        <v>118171.23150000001</v>
      </c>
      <c r="J2256" s="22">
        <f>F2256*(1+Assumptions!$B$8+IF(D2256="Yes",Assumptions!$C$8,0))</f>
        <v>113669.4703</v>
      </c>
    </row>
    <row r="2257" spans="1:10" ht="15">
      <c r="A2257" s="21">
        <v>41117</v>
      </c>
      <c r="B2257" s="21">
        <v>41091</v>
      </c>
      <c r="C2257" s="17">
        <v>85</v>
      </c>
      <c r="D2257" s="17" t="s">
        <v>91</v>
      </c>
      <c r="E2257" s="14">
        <v>85156.89</v>
      </c>
      <c r="F2257" s="14">
        <v>95778.8</v>
      </c>
      <c r="G2257" s="14">
        <v>95778.8</v>
      </c>
      <c r="H2257" s="22">
        <f>F2257*(1+Assumptions!$B$6+IF(D2257="Yes",Assumptions!$C$6,0))</f>
        <v>98652.164000000004</v>
      </c>
      <c r="I2257" s="22">
        <f>F2257*(1+Assumptions!$B$7+IF(D2257="Yes",Assumptions!$C$7,0))</f>
        <v>100567.74</v>
      </c>
      <c r="J2257" s="22">
        <f>F2257*(1+Assumptions!$B$8+IF(D2257="Yes",Assumptions!$C$8,0))</f>
        <v>96736.588000000003</v>
      </c>
    </row>
    <row r="2258" spans="1:10" ht="15">
      <c r="A2258" s="21">
        <v>41117</v>
      </c>
      <c r="B2258" s="21">
        <v>41091</v>
      </c>
      <c r="C2258" s="17">
        <v>87</v>
      </c>
      <c r="D2258" s="17" t="s">
        <v>91</v>
      </c>
      <c r="E2258" s="14">
        <v>667306.35</v>
      </c>
      <c r="F2258" s="14">
        <v>562006.56999999995</v>
      </c>
      <c r="G2258" s="14">
        <v>562006.56999999995</v>
      </c>
      <c r="H2258" s="22">
        <f>F2258*(1+Assumptions!$B$6+IF(D2258="Yes",Assumptions!$C$6,0))</f>
        <v>578866.76709999994</v>
      </c>
      <c r="I2258" s="22">
        <f>F2258*(1+Assumptions!$B$7+IF(D2258="Yes",Assumptions!$C$7,0))</f>
        <v>590106.89850000001</v>
      </c>
      <c r="J2258" s="22">
        <f>F2258*(1+Assumptions!$B$8+IF(D2258="Yes",Assumptions!$C$8,0))</f>
        <v>567626.63569999998</v>
      </c>
    </row>
    <row r="2259" spans="1:10" ht="15">
      <c r="A2259" s="21">
        <v>41117</v>
      </c>
      <c r="B2259" s="21">
        <v>41091</v>
      </c>
      <c r="C2259" s="17">
        <v>90</v>
      </c>
      <c r="D2259" s="17" t="s">
        <v>91</v>
      </c>
      <c r="E2259" s="14">
        <v>1920995.89</v>
      </c>
      <c r="F2259" s="14">
        <v>1908539.12</v>
      </c>
      <c r="G2259" s="14">
        <v>1908539.12</v>
      </c>
      <c r="H2259" s="22">
        <f>F2259*(1+Assumptions!$B$6+IF(D2259="Yes",Assumptions!$C$6,0))</f>
        <v>1965795.2936000002</v>
      </c>
      <c r="I2259" s="22">
        <f>F2259*(1+Assumptions!$B$7+IF(D2259="Yes",Assumptions!$C$7,0))</f>
        <v>2003966.0760000001</v>
      </c>
      <c r="J2259" s="22">
        <f>F2259*(1+Assumptions!$B$8+IF(D2259="Yes",Assumptions!$C$8,0))</f>
        <v>1927624.5112000001</v>
      </c>
    </row>
    <row r="2260" spans="1:10" ht="15">
      <c r="A2260" s="21">
        <v>41117</v>
      </c>
      <c r="B2260" s="21">
        <v>41091</v>
      </c>
      <c r="C2260" s="17">
        <v>91</v>
      </c>
      <c r="D2260" s="17" t="s">
        <v>91</v>
      </c>
      <c r="E2260" s="14">
        <v>1400701.69</v>
      </c>
      <c r="F2260" s="14">
        <v>1369965.77</v>
      </c>
      <c r="G2260" s="14">
        <v>1369965.77</v>
      </c>
      <c r="H2260" s="22">
        <f>F2260*(1+Assumptions!$B$6+IF(D2260="Yes",Assumptions!$C$6,0))</f>
        <v>1411064.7431000001</v>
      </c>
      <c r="I2260" s="22">
        <f>F2260*(1+Assumptions!$B$7+IF(D2260="Yes",Assumptions!$C$7,0))</f>
        <v>1438464.0585</v>
      </c>
      <c r="J2260" s="22">
        <f>F2260*(1+Assumptions!$B$8+IF(D2260="Yes",Assumptions!$C$8,0))</f>
        <v>1383665.4277000001</v>
      </c>
    </row>
    <row r="2261" spans="1:10" ht="15">
      <c r="A2261" s="21">
        <v>41117</v>
      </c>
      <c r="B2261" s="21">
        <v>41091</v>
      </c>
      <c r="C2261" s="17">
        <v>92</v>
      </c>
      <c r="D2261" s="17" t="s">
        <v>91</v>
      </c>
      <c r="E2261" s="14">
        <v>3180575.83</v>
      </c>
      <c r="F2261" s="14">
        <v>2963044.89</v>
      </c>
      <c r="G2261" s="14">
        <v>2963044.89</v>
      </c>
      <c r="H2261" s="22">
        <f>F2261*(1+Assumptions!$B$6+IF(D2261="Yes",Assumptions!$C$6,0))</f>
        <v>3051936.2367000002</v>
      </c>
      <c r="I2261" s="22">
        <f>F2261*(1+Assumptions!$B$7+IF(D2261="Yes",Assumptions!$C$7,0))</f>
        <v>3111197.1345000002</v>
      </c>
      <c r="J2261" s="22">
        <f>F2261*(1+Assumptions!$B$8+IF(D2261="Yes",Assumptions!$C$8,0))</f>
        <v>2992675.3389000003</v>
      </c>
    </row>
    <row r="2262" spans="1:10" ht="15">
      <c r="A2262" s="21">
        <v>41117</v>
      </c>
      <c r="B2262" s="21">
        <v>41091</v>
      </c>
      <c r="C2262" s="17">
        <v>93</v>
      </c>
      <c r="D2262" s="17" t="s">
        <v>91</v>
      </c>
      <c r="E2262" s="14">
        <v>1041662.99</v>
      </c>
      <c r="F2262" s="14">
        <v>989025.66</v>
      </c>
      <c r="G2262" s="14">
        <v>989025.66</v>
      </c>
      <c r="H2262" s="22">
        <f>F2262*(1+Assumptions!$B$6+IF(D2262="Yes",Assumptions!$C$6,0))</f>
        <v>1018696.4298</v>
      </c>
      <c r="I2262" s="22">
        <f>F2262*(1+Assumptions!$B$7+IF(D2262="Yes",Assumptions!$C$7,0))</f>
        <v>1038476.9430000001</v>
      </c>
      <c r="J2262" s="22">
        <f>F2262*(1+Assumptions!$B$8+IF(D2262="Yes",Assumptions!$C$8,0))</f>
        <v>998915.9166</v>
      </c>
    </row>
    <row r="2263" spans="1:10" ht="15">
      <c r="A2263" s="21">
        <v>41117</v>
      </c>
      <c r="B2263" s="21">
        <v>41091</v>
      </c>
      <c r="C2263" s="17">
        <v>94</v>
      </c>
      <c r="D2263" s="17" t="s">
        <v>91</v>
      </c>
      <c r="E2263" s="14">
        <v>1353312.06</v>
      </c>
      <c r="F2263" s="14">
        <v>1358347.11</v>
      </c>
      <c r="G2263" s="14">
        <v>1358347.11</v>
      </c>
      <c r="H2263" s="22">
        <f>F2263*(1+Assumptions!$B$6+IF(D2263="Yes",Assumptions!$C$6,0))</f>
        <v>1399097.5233000002</v>
      </c>
      <c r="I2263" s="22">
        <f>F2263*(1+Assumptions!$B$7+IF(D2263="Yes",Assumptions!$C$7,0))</f>
        <v>1426264.4655000002</v>
      </c>
      <c r="J2263" s="22">
        <f>F2263*(1+Assumptions!$B$8+IF(D2263="Yes",Assumptions!$C$8,0))</f>
        <v>1371930.5811000001</v>
      </c>
    </row>
    <row r="2264" spans="1:10" ht="15">
      <c r="A2264" s="21">
        <v>41117</v>
      </c>
      <c r="B2264" s="21">
        <v>41091</v>
      </c>
      <c r="C2264" s="17">
        <v>95</v>
      </c>
      <c r="D2264" s="17" t="s">
        <v>91</v>
      </c>
      <c r="E2264" s="14">
        <v>3205849.61</v>
      </c>
      <c r="F2264" s="14">
        <v>3204515.8</v>
      </c>
      <c r="G2264" s="14">
        <v>3204515.8</v>
      </c>
      <c r="H2264" s="22">
        <f>F2264*(1+Assumptions!$B$6+IF(D2264="Yes",Assumptions!$C$6,0))</f>
        <v>3300651.2739999997</v>
      </c>
      <c r="I2264" s="22">
        <f>F2264*(1+Assumptions!$B$7+IF(D2264="Yes",Assumptions!$C$7,0))</f>
        <v>3364741.59</v>
      </c>
      <c r="J2264" s="22">
        <f>F2264*(1+Assumptions!$B$8+IF(D2264="Yes",Assumptions!$C$8,0))</f>
        <v>3236560.9579999996</v>
      </c>
    </row>
    <row r="2265" spans="1:10" ht="15">
      <c r="A2265" s="21">
        <v>41117</v>
      </c>
      <c r="B2265" s="21">
        <v>41091</v>
      </c>
      <c r="C2265" s="17">
        <v>96</v>
      </c>
      <c r="D2265" s="17" t="s">
        <v>91</v>
      </c>
      <c r="E2265" s="14">
        <v>582078.17000000004</v>
      </c>
      <c r="F2265" s="14">
        <v>551965.89</v>
      </c>
      <c r="G2265" s="14">
        <v>551965.89</v>
      </c>
      <c r="H2265" s="22">
        <f>F2265*(1+Assumptions!$B$6+IF(D2265="Yes",Assumptions!$C$6,0))</f>
        <v>568524.86670000001</v>
      </c>
      <c r="I2265" s="22">
        <f>F2265*(1+Assumptions!$B$7+IF(D2265="Yes",Assumptions!$C$7,0))</f>
        <v>579564.18450000009</v>
      </c>
      <c r="J2265" s="22">
        <f>F2265*(1+Assumptions!$B$8+IF(D2265="Yes",Assumptions!$C$8,0))</f>
        <v>557485.54890000005</v>
      </c>
    </row>
    <row r="2266" spans="1:10" ht="15">
      <c r="A2266" s="21">
        <v>41117</v>
      </c>
      <c r="B2266" s="21">
        <v>41091</v>
      </c>
      <c r="C2266" s="17">
        <v>97</v>
      </c>
      <c r="D2266" s="17" t="s">
        <v>91</v>
      </c>
      <c r="E2266" s="14">
        <v>597300.27</v>
      </c>
      <c r="F2266" s="14">
        <v>605027.55000000005</v>
      </c>
      <c r="G2266" s="14">
        <v>605027.55000000005</v>
      </c>
      <c r="H2266" s="22">
        <f>F2266*(1+Assumptions!$B$6+IF(D2266="Yes",Assumptions!$C$6,0))</f>
        <v>623178.37650000001</v>
      </c>
      <c r="I2266" s="22">
        <f>F2266*(1+Assumptions!$B$7+IF(D2266="Yes",Assumptions!$C$7,0))</f>
        <v>635278.92750000011</v>
      </c>
      <c r="J2266" s="22">
        <f>F2266*(1+Assumptions!$B$8+IF(D2266="Yes",Assumptions!$C$8,0))</f>
        <v>611077.82550000004</v>
      </c>
    </row>
    <row r="2267" spans="1:10" ht="15">
      <c r="A2267" s="21">
        <v>41117</v>
      </c>
      <c r="B2267" s="21">
        <v>41091</v>
      </c>
      <c r="C2267" s="17">
        <v>98</v>
      </c>
      <c r="D2267" s="17" t="s">
        <v>91</v>
      </c>
      <c r="E2267" s="14">
        <v>240240.96</v>
      </c>
      <c r="F2267" s="14">
        <v>247913.53</v>
      </c>
      <c r="G2267" s="14">
        <v>247913.53</v>
      </c>
      <c r="H2267" s="22">
        <f>F2267*(1+Assumptions!$B$6+IF(D2267="Yes",Assumptions!$C$6,0))</f>
        <v>255350.93590000001</v>
      </c>
      <c r="I2267" s="22">
        <f>F2267*(1+Assumptions!$B$7+IF(D2267="Yes",Assumptions!$C$7,0))</f>
        <v>260309.2065</v>
      </c>
      <c r="J2267" s="22">
        <f>F2267*(1+Assumptions!$B$8+IF(D2267="Yes",Assumptions!$C$8,0))</f>
        <v>250392.66529999999</v>
      </c>
    </row>
    <row r="2268" spans="1:10" ht="15">
      <c r="A2268" s="21">
        <v>41124</v>
      </c>
      <c r="B2268" s="21">
        <v>41122</v>
      </c>
      <c r="C2268" s="17">
        <v>1</v>
      </c>
      <c r="D2268" s="17" t="s">
        <v>91</v>
      </c>
      <c r="E2268" s="14">
        <v>657372.05000000005</v>
      </c>
      <c r="F2268" s="14">
        <v>643312.68000000005</v>
      </c>
      <c r="G2268" s="14">
        <v>643312.68000000005</v>
      </c>
      <c r="H2268" s="22">
        <f>F2268*(1+Assumptions!$B$6+IF(D2268="Yes",Assumptions!$C$6,0))</f>
        <v>662612.06040000007</v>
      </c>
      <c r="I2268" s="22">
        <f>F2268*(1+Assumptions!$B$7+IF(D2268="Yes",Assumptions!$C$7,0))</f>
        <v>675478.31400000013</v>
      </c>
      <c r="J2268" s="22">
        <f>F2268*(1+Assumptions!$B$8+IF(D2268="Yes",Assumptions!$C$8,0))</f>
        <v>649745.80680000002</v>
      </c>
    </row>
    <row r="2269" spans="1:10" ht="15">
      <c r="A2269" s="21">
        <v>41124</v>
      </c>
      <c r="B2269" s="21">
        <v>41122</v>
      </c>
      <c r="C2269" s="17">
        <v>2</v>
      </c>
      <c r="D2269" s="17" t="s">
        <v>91</v>
      </c>
      <c r="E2269" s="14">
        <v>2095041.31</v>
      </c>
      <c r="F2269" s="14">
        <v>2117353.71</v>
      </c>
      <c r="G2269" s="14">
        <v>2117353.71</v>
      </c>
      <c r="H2269" s="22">
        <f>F2269*(1+Assumptions!$B$6+IF(D2269="Yes",Assumptions!$C$6,0))</f>
        <v>2180874.3213</v>
      </c>
      <c r="I2269" s="22">
        <f>F2269*(1+Assumptions!$B$7+IF(D2269="Yes",Assumptions!$C$7,0))</f>
        <v>2223221.3955000001</v>
      </c>
      <c r="J2269" s="22">
        <f>F2269*(1+Assumptions!$B$8+IF(D2269="Yes",Assumptions!$C$8,0))</f>
        <v>2138527.2470999998</v>
      </c>
    </row>
    <row r="2270" spans="1:10" ht="15">
      <c r="A2270" s="21">
        <v>41124</v>
      </c>
      <c r="B2270" s="21">
        <v>41122</v>
      </c>
      <c r="C2270" s="17">
        <v>3</v>
      </c>
      <c r="D2270" s="17" t="s">
        <v>91</v>
      </c>
      <c r="E2270" s="14">
        <v>1104998.6499999999</v>
      </c>
      <c r="F2270" s="14">
        <v>1097011.27</v>
      </c>
      <c r="G2270" s="14">
        <v>1097011.27</v>
      </c>
      <c r="H2270" s="22">
        <f>F2270*(1+Assumptions!$B$6+IF(D2270="Yes",Assumptions!$C$6,0))</f>
        <v>1129921.6081000001</v>
      </c>
      <c r="I2270" s="22">
        <f>F2270*(1+Assumptions!$B$7+IF(D2270="Yes",Assumptions!$C$7,0))</f>
        <v>1151861.8335000002</v>
      </c>
      <c r="J2270" s="22">
        <f>F2270*(1+Assumptions!$B$8+IF(D2270="Yes",Assumptions!$C$8,0))</f>
        <v>1107981.3827</v>
      </c>
    </row>
    <row r="2271" spans="1:10" ht="15">
      <c r="A2271" s="21">
        <v>41124</v>
      </c>
      <c r="B2271" s="21">
        <v>41122</v>
      </c>
      <c r="C2271" s="17">
        <v>4</v>
      </c>
      <c r="D2271" s="17" t="s">
        <v>91</v>
      </c>
      <c r="E2271" s="14">
        <v>1271804.07</v>
      </c>
      <c r="F2271" s="14">
        <v>1278204.24</v>
      </c>
      <c r="G2271" s="14">
        <v>1278204.24</v>
      </c>
      <c r="H2271" s="22">
        <f>F2271*(1+Assumptions!$B$6+IF(D2271="Yes",Assumptions!$C$6,0))</f>
        <v>1316550.3672</v>
      </c>
      <c r="I2271" s="22">
        <f>F2271*(1+Assumptions!$B$7+IF(D2271="Yes",Assumptions!$C$7,0))</f>
        <v>1342114.452</v>
      </c>
      <c r="J2271" s="22">
        <f>F2271*(1+Assumptions!$B$8+IF(D2271="Yes",Assumptions!$C$8,0))</f>
        <v>1290986.2823999999</v>
      </c>
    </row>
    <row r="2272" spans="1:10" ht="15">
      <c r="A2272" s="21">
        <v>41124</v>
      </c>
      <c r="B2272" s="21">
        <v>41122</v>
      </c>
      <c r="C2272" s="17">
        <v>5</v>
      </c>
      <c r="D2272" s="17" t="s">
        <v>91</v>
      </c>
      <c r="E2272" s="14">
        <v>568948.26</v>
      </c>
      <c r="F2272" s="14">
        <v>742472.99</v>
      </c>
      <c r="G2272" s="14">
        <v>742472.99</v>
      </c>
      <c r="H2272" s="22">
        <f>F2272*(1+Assumptions!$B$6+IF(D2272="Yes",Assumptions!$C$6,0))</f>
        <v>764747.17969999998</v>
      </c>
      <c r="I2272" s="22">
        <f>F2272*(1+Assumptions!$B$7+IF(D2272="Yes",Assumptions!$C$7,0))</f>
        <v>779596.63950000005</v>
      </c>
      <c r="J2272" s="22">
        <f>F2272*(1+Assumptions!$B$8+IF(D2272="Yes",Assumptions!$C$8,0))</f>
        <v>749897.71990000003</v>
      </c>
    </row>
    <row r="2273" spans="1:10" ht="15">
      <c r="A2273" s="21">
        <v>41124</v>
      </c>
      <c r="B2273" s="21">
        <v>41122</v>
      </c>
      <c r="C2273" s="17">
        <v>6</v>
      </c>
      <c r="D2273" s="17" t="s">
        <v>91</v>
      </c>
      <c r="E2273" s="14">
        <v>138181.32999999999</v>
      </c>
      <c r="F2273" s="14">
        <v>170708.85</v>
      </c>
      <c r="G2273" s="14">
        <v>170708.85</v>
      </c>
      <c r="H2273" s="22">
        <f>F2273*(1+Assumptions!$B$6+IF(D2273="Yes",Assumptions!$C$6,0))</f>
        <v>175830.11550000001</v>
      </c>
      <c r="I2273" s="22">
        <f>F2273*(1+Assumptions!$B$7+IF(D2273="Yes",Assumptions!$C$7,0))</f>
        <v>179244.29250000001</v>
      </c>
      <c r="J2273" s="22">
        <f>F2273*(1+Assumptions!$B$8+IF(D2273="Yes",Assumptions!$C$8,0))</f>
        <v>172415.93850000002</v>
      </c>
    </row>
    <row r="2274" spans="1:10" ht="15">
      <c r="A2274" s="21">
        <v>41124</v>
      </c>
      <c r="B2274" s="21">
        <v>41122</v>
      </c>
      <c r="C2274" s="17">
        <v>7</v>
      </c>
      <c r="D2274" s="17" t="s">
        <v>91</v>
      </c>
      <c r="E2274" s="14">
        <v>802319.91</v>
      </c>
      <c r="F2274" s="14">
        <v>825580.2</v>
      </c>
      <c r="G2274" s="14">
        <v>825580.2</v>
      </c>
      <c r="H2274" s="22">
        <f>F2274*(1+Assumptions!$B$6+IF(D2274="Yes",Assumptions!$C$6,0))</f>
        <v>850347.60600000003</v>
      </c>
      <c r="I2274" s="22">
        <f>F2274*(1+Assumptions!$B$7+IF(D2274="Yes",Assumptions!$C$7,0))</f>
        <v>866859.21</v>
      </c>
      <c r="J2274" s="22">
        <f>F2274*(1+Assumptions!$B$8+IF(D2274="Yes",Assumptions!$C$8,0))</f>
        <v>833836.00199999998</v>
      </c>
    </row>
    <row r="2275" spans="1:10" ht="15">
      <c r="A2275" s="21">
        <v>41124</v>
      </c>
      <c r="B2275" s="21">
        <v>41122</v>
      </c>
      <c r="C2275" s="17">
        <v>8</v>
      </c>
      <c r="D2275" s="17" t="s">
        <v>91</v>
      </c>
      <c r="E2275" s="14">
        <v>1429988.42</v>
      </c>
      <c r="F2275" s="14">
        <v>1373645.18</v>
      </c>
      <c r="G2275" s="14">
        <v>1373645.18</v>
      </c>
      <c r="H2275" s="22">
        <f>F2275*(1+Assumptions!$B$6+IF(D2275="Yes",Assumptions!$C$6,0))</f>
        <v>1414854.5353999999</v>
      </c>
      <c r="I2275" s="22">
        <f>F2275*(1+Assumptions!$B$7+IF(D2275="Yes",Assumptions!$C$7,0))</f>
        <v>1442327.439</v>
      </c>
      <c r="J2275" s="22">
        <f>F2275*(1+Assumptions!$B$8+IF(D2275="Yes",Assumptions!$C$8,0))</f>
        <v>1387381.6317999999</v>
      </c>
    </row>
    <row r="2276" spans="1:10" ht="15">
      <c r="A2276" s="21">
        <v>41124</v>
      </c>
      <c r="B2276" s="21">
        <v>41122</v>
      </c>
      <c r="C2276" s="17">
        <v>9</v>
      </c>
      <c r="D2276" s="17" t="s">
        <v>91</v>
      </c>
      <c r="E2276" s="14">
        <v>1014341.07</v>
      </c>
      <c r="F2276" s="14">
        <v>1019683.71</v>
      </c>
      <c r="G2276" s="14">
        <v>1019683.71</v>
      </c>
      <c r="H2276" s="22">
        <f>F2276*(1+Assumptions!$B$6+IF(D2276="Yes",Assumptions!$C$6,0))</f>
        <v>1050274.2213000001</v>
      </c>
      <c r="I2276" s="22">
        <f>F2276*(1+Assumptions!$B$7+IF(D2276="Yes",Assumptions!$C$7,0))</f>
        <v>1070667.8955000001</v>
      </c>
      <c r="J2276" s="22">
        <f>F2276*(1+Assumptions!$B$8+IF(D2276="Yes",Assumptions!$C$8,0))</f>
        <v>1029880.5471</v>
      </c>
    </row>
    <row r="2277" spans="1:10" ht="15">
      <c r="A2277" s="21">
        <v>41124</v>
      </c>
      <c r="B2277" s="21">
        <v>41122</v>
      </c>
      <c r="C2277" s="17">
        <v>10</v>
      </c>
      <c r="D2277" s="17" t="s">
        <v>91</v>
      </c>
      <c r="E2277" s="14">
        <v>885342.17</v>
      </c>
      <c r="F2277" s="14">
        <v>886444.74</v>
      </c>
      <c r="G2277" s="14">
        <v>886444.74</v>
      </c>
      <c r="H2277" s="22">
        <f>F2277*(1+Assumptions!$B$6+IF(D2277="Yes",Assumptions!$C$6,0))</f>
        <v>913038.08220000006</v>
      </c>
      <c r="I2277" s="22">
        <f>F2277*(1+Assumptions!$B$7+IF(D2277="Yes",Assumptions!$C$7,0))</f>
        <v>930766.97700000007</v>
      </c>
      <c r="J2277" s="22">
        <f>F2277*(1+Assumptions!$B$8+IF(D2277="Yes",Assumptions!$C$8,0))</f>
        <v>895309.18740000005</v>
      </c>
    </row>
    <row r="2278" spans="1:10" ht="15">
      <c r="A2278" s="21">
        <v>41124</v>
      </c>
      <c r="B2278" s="21">
        <v>41122</v>
      </c>
      <c r="C2278" s="17">
        <v>11</v>
      </c>
      <c r="D2278" s="17" t="s">
        <v>91</v>
      </c>
      <c r="E2278" s="14">
        <v>664486.22</v>
      </c>
      <c r="F2278" s="14">
        <v>688818.66</v>
      </c>
      <c r="G2278" s="14">
        <v>688818.66</v>
      </c>
      <c r="H2278" s="22">
        <f>F2278*(1+Assumptions!$B$6+IF(D2278="Yes",Assumptions!$C$6,0))</f>
        <v>709483.21980000008</v>
      </c>
      <c r="I2278" s="22">
        <f>F2278*(1+Assumptions!$B$7+IF(D2278="Yes",Assumptions!$C$7,0))</f>
        <v>723259.59300000011</v>
      </c>
      <c r="J2278" s="22">
        <f>F2278*(1+Assumptions!$B$8+IF(D2278="Yes",Assumptions!$C$8,0))</f>
        <v>695706.84660000005</v>
      </c>
    </row>
    <row r="2279" spans="1:10" ht="15">
      <c r="A2279" s="21">
        <v>41124</v>
      </c>
      <c r="B2279" s="21">
        <v>41122</v>
      </c>
      <c r="C2279" s="17">
        <v>12</v>
      </c>
      <c r="D2279" s="17" t="s">
        <v>91</v>
      </c>
      <c r="E2279" s="14">
        <v>209672.94</v>
      </c>
      <c r="F2279" s="14">
        <v>214057.88</v>
      </c>
      <c r="G2279" s="14">
        <v>214057.88</v>
      </c>
      <c r="H2279" s="22">
        <f>F2279*(1+Assumptions!$B$6+IF(D2279="Yes",Assumptions!$C$6,0))</f>
        <v>220479.6164</v>
      </c>
      <c r="I2279" s="22">
        <f>F2279*(1+Assumptions!$B$7+IF(D2279="Yes",Assumptions!$C$7,0))</f>
        <v>224760.774</v>
      </c>
      <c r="J2279" s="22">
        <f>F2279*(1+Assumptions!$B$8+IF(D2279="Yes",Assumptions!$C$8,0))</f>
        <v>216198.45879999999</v>
      </c>
    </row>
    <row r="2280" spans="1:10" ht="15">
      <c r="A2280" s="21">
        <v>41124</v>
      </c>
      <c r="B2280" s="21">
        <v>41122</v>
      </c>
      <c r="C2280" s="17">
        <v>13</v>
      </c>
      <c r="D2280" s="17" t="s">
        <v>91</v>
      </c>
      <c r="E2280" s="14">
        <v>1469757.42</v>
      </c>
      <c r="F2280" s="14">
        <v>1468287.19</v>
      </c>
      <c r="G2280" s="14">
        <v>1468287.19</v>
      </c>
      <c r="H2280" s="22">
        <f>F2280*(1+Assumptions!$B$6+IF(D2280="Yes",Assumptions!$C$6,0))</f>
        <v>1512335.8056999999</v>
      </c>
      <c r="I2280" s="22">
        <f>F2280*(1+Assumptions!$B$7+IF(D2280="Yes",Assumptions!$C$7,0))</f>
        <v>1541701.5495</v>
      </c>
      <c r="J2280" s="22">
        <f>F2280*(1+Assumptions!$B$8+IF(D2280="Yes",Assumptions!$C$8,0))</f>
        <v>1482970.0618999999</v>
      </c>
    </row>
    <row r="2281" spans="1:10" ht="15">
      <c r="A2281" s="21">
        <v>41124</v>
      </c>
      <c r="B2281" s="21">
        <v>41122</v>
      </c>
      <c r="C2281" s="17">
        <v>14</v>
      </c>
      <c r="D2281" s="17" t="s">
        <v>91</v>
      </c>
      <c r="E2281" s="14">
        <v>604761.30000000005</v>
      </c>
      <c r="F2281" s="14">
        <v>612133.12</v>
      </c>
      <c r="G2281" s="14">
        <v>612133.12</v>
      </c>
      <c r="H2281" s="22">
        <f>F2281*(1+Assumptions!$B$6+IF(D2281="Yes",Assumptions!$C$6,0))</f>
        <v>630497.11360000004</v>
      </c>
      <c r="I2281" s="22">
        <f>F2281*(1+Assumptions!$B$7+IF(D2281="Yes",Assumptions!$C$7,0))</f>
        <v>642739.77600000007</v>
      </c>
      <c r="J2281" s="22">
        <f>F2281*(1+Assumptions!$B$8+IF(D2281="Yes",Assumptions!$C$8,0))</f>
        <v>618254.45120000001</v>
      </c>
    </row>
    <row r="2282" spans="1:10" ht="15">
      <c r="A2282" s="21">
        <v>41124</v>
      </c>
      <c r="B2282" s="21">
        <v>41122</v>
      </c>
      <c r="C2282" s="17">
        <v>16</v>
      </c>
      <c r="D2282" s="17" t="s">
        <v>91</v>
      </c>
      <c r="E2282" s="14">
        <v>660847.53</v>
      </c>
      <c r="F2282" s="14">
        <v>699814.25</v>
      </c>
      <c r="G2282" s="14">
        <v>699814.25</v>
      </c>
      <c r="H2282" s="22">
        <f>F2282*(1+Assumptions!$B$6+IF(D2282="Yes",Assumptions!$C$6,0))</f>
        <v>720808.67749999999</v>
      </c>
      <c r="I2282" s="22">
        <f>F2282*(1+Assumptions!$B$7+IF(D2282="Yes",Assumptions!$C$7,0))</f>
        <v>734804.96250000002</v>
      </c>
      <c r="J2282" s="22">
        <f>F2282*(1+Assumptions!$B$8+IF(D2282="Yes",Assumptions!$C$8,0))</f>
        <v>706812.39249999996</v>
      </c>
    </row>
    <row r="2283" spans="1:10" ht="15">
      <c r="A2283" s="21">
        <v>41124</v>
      </c>
      <c r="B2283" s="21">
        <v>41122</v>
      </c>
      <c r="C2283" s="17">
        <v>17</v>
      </c>
      <c r="D2283" s="17" t="s">
        <v>91</v>
      </c>
      <c r="E2283" s="14">
        <v>425107.79</v>
      </c>
      <c r="F2283" s="14">
        <v>430125.63</v>
      </c>
      <c r="G2283" s="14">
        <v>430125.63</v>
      </c>
      <c r="H2283" s="22">
        <f>F2283*(1+Assumptions!$B$6+IF(D2283="Yes",Assumptions!$C$6,0))</f>
        <v>443029.39890000003</v>
      </c>
      <c r="I2283" s="22">
        <f>F2283*(1+Assumptions!$B$7+IF(D2283="Yes",Assumptions!$C$7,0))</f>
        <v>451631.91150000005</v>
      </c>
      <c r="J2283" s="22">
        <f>F2283*(1+Assumptions!$B$8+IF(D2283="Yes",Assumptions!$C$8,0))</f>
        <v>434426.88630000001</v>
      </c>
    </row>
    <row r="2284" spans="1:10" ht="15">
      <c r="A2284" s="21">
        <v>41124</v>
      </c>
      <c r="B2284" s="21">
        <v>41122</v>
      </c>
      <c r="C2284" s="17">
        <v>18</v>
      </c>
      <c r="D2284" s="17" t="s">
        <v>91</v>
      </c>
      <c r="E2284" s="14">
        <v>262.44</v>
      </c>
      <c r="F2284" s="14">
        <v>7.6700000000000008</v>
      </c>
      <c r="G2284" s="14">
        <v>7.6700000000000008</v>
      </c>
      <c r="H2284" s="22">
        <f>F2284*(1+Assumptions!$B$6+IF(D2284="Yes",Assumptions!$C$6,0))</f>
        <v>7.900100000000001</v>
      </c>
      <c r="I2284" s="22">
        <f>F2284*(1+Assumptions!$B$7+IF(D2284="Yes",Assumptions!$C$7,0))</f>
        <v>8.0535000000000014</v>
      </c>
      <c r="J2284" s="22">
        <f>F2284*(1+Assumptions!$B$8+IF(D2284="Yes",Assumptions!$C$8,0))</f>
        <v>7.7467000000000006</v>
      </c>
    </row>
    <row r="2285" spans="1:10" ht="15">
      <c r="A2285" s="21">
        <v>41124</v>
      </c>
      <c r="B2285" s="21">
        <v>41122</v>
      </c>
      <c r="C2285" s="17">
        <v>19</v>
      </c>
      <c r="D2285" s="17" t="s">
        <v>91</v>
      </c>
      <c r="E2285" s="14">
        <v>42069.299999999996</v>
      </c>
      <c r="F2285" s="14">
        <v>43922.520000000004</v>
      </c>
      <c r="G2285" s="14">
        <v>43922.520000000004</v>
      </c>
      <c r="H2285" s="22">
        <f>F2285*(1+Assumptions!$B$6+IF(D2285="Yes",Assumptions!$C$6,0))</f>
        <v>45240.195600000006</v>
      </c>
      <c r="I2285" s="22">
        <f>F2285*(1+Assumptions!$B$7+IF(D2285="Yes",Assumptions!$C$7,0))</f>
        <v>46118.646000000008</v>
      </c>
      <c r="J2285" s="22">
        <f>F2285*(1+Assumptions!$B$8+IF(D2285="Yes",Assumptions!$C$8,0))</f>
        <v>44361.745200000005</v>
      </c>
    </row>
    <row r="2286" spans="1:10" ht="15">
      <c r="A2286" s="21">
        <v>41124</v>
      </c>
      <c r="B2286" s="21">
        <v>41122</v>
      </c>
      <c r="C2286" s="17">
        <v>20</v>
      </c>
      <c r="D2286" s="17" t="s">
        <v>91</v>
      </c>
      <c r="E2286" s="14">
        <v>268680.06</v>
      </c>
      <c r="F2286" s="14">
        <v>269136.15000000002</v>
      </c>
      <c r="G2286" s="14">
        <v>269136.15000000002</v>
      </c>
      <c r="H2286" s="22">
        <f>F2286*(1+Assumptions!$B$6+IF(D2286="Yes",Assumptions!$C$6,0))</f>
        <v>277210.23450000002</v>
      </c>
      <c r="I2286" s="22">
        <f>F2286*(1+Assumptions!$B$7+IF(D2286="Yes",Assumptions!$C$7,0))</f>
        <v>282592.95750000002</v>
      </c>
      <c r="J2286" s="22">
        <f>F2286*(1+Assumptions!$B$8+IF(D2286="Yes",Assumptions!$C$8,0))</f>
        <v>271827.51150000002</v>
      </c>
    </row>
    <row r="2287" spans="1:10" ht="15">
      <c r="A2287" s="21">
        <v>41124</v>
      </c>
      <c r="B2287" s="21">
        <v>41122</v>
      </c>
      <c r="C2287" s="17">
        <v>21</v>
      </c>
      <c r="D2287" s="17" t="s">
        <v>91</v>
      </c>
      <c r="E2287" s="14">
        <v>208589</v>
      </c>
      <c r="F2287" s="14">
        <v>214228.5</v>
      </c>
      <c r="G2287" s="14">
        <v>214228.5</v>
      </c>
      <c r="H2287" s="22">
        <f>F2287*(1+Assumptions!$B$6+IF(D2287="Yes",Assumptions!$C$6,0))</f>
        <v>220655.35500000001</v>
      </c>
      <c r="I2287" s="22">
        <f>F2287*(1+Assumptions!$B$7+IF(D2287="Yes",Assumptions!$C$7,0))</f>
        <v>224939.92500000002</v>
      </c>
      <c r="J2287" s="22">
        <f>F2287*(1+Assumptions!$B$8+IF(D2287="Yes",Assumptions!$C$8,0))</f>
        <v>216370.785</v>
      </c>
    </row>
    <row r="2288" spans="1:10" ht="15">
      <c r="A2288" s="21">
        <v>41124</v>
      </c>
      <c r="B2288" s="21">
        <v>41122</v>
      </c>
      <c r="C2288" s="17">
        <v>22</v>
      </c>
      <c r="D2288" s="17" t="s">
        <v>91</v>
      </c>
      <c r="E2288" s="14">
        <v>440616.42</v>
      </c>
      <c r="F2288" s="14">
        <v>419190.16000000003</v>
      </c>
      <c r="G2288" s="14">
        <v>419190.16000000003</v>
      </c>
      <c r="H2288" s="22">
        <f>F2288*(1+Assumptions!$B$6+IF(D2288="Yes",Assumptions!$C$6,0))</f>
        <v>431765.86480000004</v>
      </c>
      <c r="I2288" s="22">
        <f>F2288*(1+Assumptions!$B$7+IF(D2288="Yes",Assumptions!$C$7,0))</f>
        <v>440149.66800000006</v>
      </c>
      <c r="J2288" s="22">
        <f>F2288*(1+Assumptions!$B$8+IF(D2288="Yes",Assumptions!$C$8,0))</f>
        <v>423382.06160000002</v>
      </c>
    </row>
    <row r="2289" spans="1:10" ht="15">
      <c r="A2289" s="21">
        <v>41124</v>
      </c>
      <c r="B2289" s="21">
        <v>41122</v>
      </c>
      <c r="C2289" s="17">
        <v>23</v>
      </c>
      <c r="D2289" s="17" t="s">
        <v>91</v>
      </c>
      <c r="E2289" s="14">
        <v>965791.27</v>
      </c>
      <c r="F2289" s="14">
        <v>934164.7</v>
      </c>
      <c r="G2289" s="14">
        <v>934164.7</v>
      </c>
      <c r="H2289" s="22">
        <f>F2289*(1+Assumptions!$B$6+IF(D2289="Yes",Assumptions!$C$6,0))</f>
        <v>962189.64099999995</v>
      </c>
      <c r="I2289" s="22">
        <f>F2289*(1+Assumptions!$B$7+IF(D2289="Yes",Assumptions!$C$7,0))</f>
        <v>980872.93499999994</v>
      </c>
      <c r="J2289" s="22">
        <f>F2289*(1+Assumptions!$B$8+IF(D2289="Yes",Assumptions!$C$8,0))</f>
        <v>943506.34699999995</v>
      </c>
    </row>
    <row r="2290" spans="1:10" ht="15">
      <c r="A2290" s="21">
        <v>41124</v>
      </c>
      <c r="B2290" s="21">
        <v>41122</v>
      </c>
      <c r="C2290" s="17">
        <v>24</v>
      </c>
      <c r="D2290" s="17" t="s">
        <v>91</v>
      </c>
      <c r="E2290" s="14">
        <v>281185.47000000003</v>
      </c>
      <c r="F2290" s="14">
        <v>283059.68</v>
      </c>
      <c r="G2290" s="14">
        <v>283059.68</v>
      </c>
      <c r="H2290" s="22">
        <f>F2290*(1+Assumptions!$B$6+IF(D2290="Yes",Assumptions!$C$6,0))</f>
        <v>291551.47039999999</v>
      </c>
      <c r="I2290" s="22">
        <f>F2290*(1+Assumptions!$B$7+IF(D2290="Yes",Assumptions!$C$7,0))</f>
        <v>297212.66399999999</v>
      </c>
      <c r="J2290" s="22">
        <f>F2290*(1+Assumptions!$B$8+IF(D2290="Yes",Assumptions!$C$8,0))</f>
        <v>285890.27679999999</v>
      </c>
    </row>
    <row r="2291" spans="1:10" ht="15">
      <c r="A2291" s="21">
        <v>41124</v>
      </c>
      <c r="B2291" s="21">
        <v>41122</v>
      </c>
      <c r="C2291" s="17">
        <v>25</v>
      </c>
      <c r="D2291" s="17" t="s">
        <v>91</v>
      </c>
      <c r="E2291" s="14">
        <v>356755.69</v>
      </c>
      <c r="F2291" s="14">
        <v>382260.83</v>
      </c>
      <c r="G2291" s="14">
        <v>382260.83</v>
      </c>
      <c r="H2291" s="22">
        <f>F2291*(1+Assumptions!$B$6+IF(D2291="Yes",Assumptions!$C$6,0))</f>
        <v>393728.65490000002</v>
      </c>
      <c r="I2291" s="22">
        <f>F2291*(1+Assumptions!$B$7+IF(D2291="Yes",Assumptions!$C$7,0))</f>
        <v>401373.87150000001</v>
      </c>
      <c r="J2291" s="22">
        <f>F2291*(1+Assumptions!$B$8+IF(D2291="Yes",Assumptions!$C$8,0))</f>
        <v>386083.43830000004</v>
      </c>
    </row>
    <row r="2292" spans="1:10" ht="15">
      <c r="A2292" s="21">
        <v>41124</v>
      </c>
      <c r="B2292" s="21">
        <v>41122</v>
      </c>
      <c r="C2292" s="17">
        <v>26</v>
      </c>
      <c r="D2292" s="17" t="s">
        <v>91</v>
      </c>
      <c r="E2292" s="14">
        <v>236232.53</v>
      </c>
      <c r="F2292" s="14">
        <v>256264.17</v>
      </c>
      <c r="G2292" s="14">
        <v>256264.17</v>
      </c>
      <c r="H2292" s="22">
        <f>F2292*(1+Assumptions!$B$6+IF(D2292="Yes",Assumptions!$C$6,0))</f>
        <v>263952.09510000004</v>
      </c>
      <c r="I2292" s="22">
        <f>F2292*(1+Assumptions!$B$7+IF(D2292="Yes",Assumptions!$C$7,0))</f>
        <v>269077.37850000005</v>
      </c>
      <c r="J2292" s="22">
        <f>F2292*(1+Assumptions!$B$8+IF(D2292="Yes",Assumptions!$C$8,0))</f>
        <v>258826.81170000002</v>
      </c>
    </row>
    <row r="2293" spans="1:10" ht="15">
      <c r="A2293" s="21">
        <v>41124</v>
      </c>
      <c r="B2293" s="21">
        <v>41122</v>
      </c>
      <c r="C2293" s="17">
        <v>27</v>
      </c>
      <c r="D2293" s="17" t="s">
        <v>91</v>
      </c>
      <c r="E2293" s="14">
        <v>49188.03</v>
      </c>
      <c r="F2293" s="14">
        <v>47655.01</v>
      </c>
      <c r="G2293" s="14">
        <v>47655.01</v>
      </c>
      <c r="H2293" s="22">
        <f>F2293*(1+Assumptions!$B$6+IF(D2293="Yes",Assumptions!$C$6,0))</f>
        <v>49084.660300000003</v>
      </c>
      <c r="I2293" s="22">
        <f>F2293*(1+Assumptions!$B$7+IF(D2293="Yes",Assumptions!$C$7,0))</f>
        <v>50037.760500000004</v>
      </c>
      <c r="J2293" s="22">
        <f>F2293*(1+Assumptions!$B$8+IF(D2293="Yes",Assumptions!$C$8,0))</f>
        <v>48131.560100000002</v>
      </c>
    </row>
    <row r="2294" spans="1:10" ht="15">
      <c r="A2294" s="21">
        <v>41124</v>
      </c>
      <c r="B2294" s="21">
        <v>41122</v>
      </c>
      <c r="C2294" s="17">
        <v>28</v>
      </c>
      <c r="D2294" s="17" t="s">
        <v>91</v>
      </c>
      <c r="E2294" s="14">
        <v>14157.57</v>
      </c>
      <c r="F2294" s="14">
        <v>14573.95</v>
      </c>
      <c r="G2294" s="14">
        <v>14573.95</v>
      </c>
      <c r="H2294" s="22">
        <f>F2294*(1+Assumptions!$B$6+IF(D2294="Yes",Assumptions!$C$6,0))</f>
        <v>15011.168500000002</v>
      </c>
      <c r="I2294" s="22">
        <f>F2294*(1+Assumptions!$B$7+IF(D2294="Yes",Assumptions!$C$7,0))</f>
        <v>15302.647500000001</v>
      </c>
      <c r="J2294" s="22">
        <f>F2294*(1+Assumptions!$B$8+IF(D2294="Yes",Assumptions!$C$8,0))</f>
        <v>14719.6895</v>
      </c>
    </row>
    <row r="2295" spans="1:10" ht="15">
      <c r="A2295" s="21">
        <v>41124</v>
      </c>
      <c r="B2295" s="21">
        <v>41122</v>
      </c>
      <c r="C2295" s="17">
        <v>29</v>
      </c>
      <c r="D2295" s="17" t="s">
        <v>91</v>
      </c>
      <c r="E2295" s="14">
        <v>213973.7</v>
      </c>
      <c r="F2295" s="14">
        <v>211507.32</v>
      </c>
      <c r="G2295" s="14">
        <v>211507.32</v>
      </c>
      <c r="H2295" s="22">
        <f>F2295*(1+Assumptions!$B$6+IF(D2295="Yes",Assumptions!$C$6,0))</f>
        <v>217852.53960000002</v>
      </c>
      <c r="I2295" s="22">
        <f>F2295*(1+Assumptions!$B$7+IF(D2295="Yes",Assumptions!$C$7,0))</f>
        <v>222082.68600000002</v>
      </c>
      <c r="J2295" s="22">
        <f>F2295*(1+Assumptions!$B$8+IF(D2295="Yes",Assumptions!$C$8,0))</f>
        <v>213622.39320000002</v>
      </c>
    </row>
    <row r="2296" spans="1:10" ht="15">
      <c r="A2296" s="21">
        <v>41124</v>
      </c>
      <c r="B2296" s="21">
        <v>41122</v>
      </c>
      <c r="C2296" s="17">
        <v>30</v>
      </c>
      <c r="D2296" s="17" t="s">
        <v>91</v>
      </c>
      <c r="E2296" s="14">
        <v>157586.54999999999</v>
      </c>
      <c r="F2296" s="14">
        <v>173277.62</v>
      </c>
      <c r="G2296" s="14">
        <v>173277.62</v>
      </c>
      <c r="H2296" s="22">
        <f>F2296*(1+Assumptions!$B$6+IF(D2296="Yes",Assumptions!$C$6,0))</f>
        <v>178475.9486</v>
      </c>
      <c r="I2296" s="22">
        <f>F2296*(1+Assumptions!$B$7+IF(D2296="Yes",Assumptions!$C$7,0))</f>
        <v>181941.50099999999</v>
      </c>
      <c r="J2296" s="22">
        <f>F2296*(1+Assumptions!$B$8+IF(D2296="Yes",Assumptions!$C$8,0))</f>
        <v>175010.39619999999</v>
      </c>
    </row>
    <row r="2297" spans="1:10" ht="15">
      <c r="A2297" s="21">
        <v>41124</v>
      </c>
      <c r="B2297" s="21">
        <v>41122</v>
      </c>
      <c r="C2297" s="17">
        <v>31</v>
      </c>
      <c r="D2297" s="17" t="s">
        <v>91</v>
      </c>
      <c r="E2297" s="14">
        <v>147460.54999999999</v>
      </c>
      <c r="F2297" s="14">
        <v>159252.39000000001</v>
      </c>
      <c r="G2297" s="14">
        <v>159252.39000000001</v>
      </c>
      <c r="H2297" s="22">
        <f>F2297*(1+Assumptions!$B$6+IF(D2297="Yes",Assumptions!$C$6,0))</f>
        <v>164029.96170000001</v>
      </c>
      <c r="I2297" s="22">
        <f>F2297*(1+Assumptions!$B$7+IF(D2297="Yes",Assumptions!$C$7,0))</f>
        <v>167215.00950000001</v>
      </c>
      <c r="J2297" s="22">
        <f>F2297*(1+Assumptions!$B$8+IF(D2297="Yes",Assumptions!$C$8,0))</f>
        <v>160844.91390000001</v>
      </c>
    </row>
    <row r="2298" spans="1:10" ht="15">
      <c r="A2298" s="21">
        <v>41124</v>
      </c>
      <c r="B2298" s="21">
        <v>41122</v>
      </c>
      <c r="C2298" s="17">
        <v>32</v>
      </c>
      <c r="D2298" s="17" t="s">
        <v>91</v>
      </c>
      <c r="E2298" s="14">
        <v>245788.26</v>
      </c>
      <c r="F2298" s="14">
        <v>262744.48</v>
      </c>
      <c r="G2298" s="14">
        <v>262744.48</v>
      </c>
      <c r="H2298" s="22">
        <f>F2298*(1+Assumptions!$B$6+IF(D2298="Yes",Assumptions!$C$6,0))</f>
        <v>270626.81439999997</v>
      </c>
      <c r="I2298" s="22">
        <f>F2298*(1+Assumptions!$B$7+IF(D2298="Yes",Assumptions!$C$7,0))</f>
        <v>275881.70399999997</v>
      </c>
      <c r="J2298" s="22">
        <f>F2298*(1+Assumptions!$B$8+IF(D2298="Yes",Assumptions!$C$8,0))</f>
        <v>265371.92479999998</v>
      </c>
    </row>
    <row r="2299" spans="1:10" ht="15">
      <c r="A2299" s="21">
        <v>41124</v>
      </c>
      <c r="B2299" s="21">
        <v>41122</v>
      </c>
      <c r="C2299" s="17">
        <v>33</v>
      </c>
      <c r="D2299" s="17" t="s">
        <v>91</v>
      </c>
      <c r="E2299" s="14">
        <v>285151.01</v>
      </c>
      <c r="F2299" s="14">
        <v>273874.82</v>
      </c>
      <c r="G2299" s="14">
        <v>273874.82</v>
      </c>
      <c r="H2299" s="22">
        <f>F2299*(1+Assumptions!$B$6+IF(D2299="Yes",Assumptions!$C$6,0))</f>
        <v>282091.06460000004</v>
      </c>
      <c r="I2299" s="22">
        <f>F2299*(1+Assumptions!$B$7+IF(D2299="Yes",Assumptions!$C$7,0))</f>
        <v>287568.56100000005</v>
      </c>
      <c r="J2299" s="22">
        <f>F2299*(1+Assumptions!$B$8+IF(D2299="Yes",Assumptions!$C$8,0))</f>
        <v>276613.56820000004</v>
      </c>
    </row>
    <row r="2300" spans="1:10" ht="15">
      <c r="A2300" s="21">
        <v>41124</v>
      </c>
      <c r="B2300" s="21">
        <v>41122</v>
      </c>
      <c r="C2300" s="17">
        <v>34</v>
      </c>
      <c r="D2300" s="17" t="s">
        <v>91</v>
      </c>
      <c r="E2300" s="14">
        <v>573019.93999999994</v>
      </c>
      <c r="F2300" s="14">
        <v>619883.36</v>
      </c>
      <c r="G2300" s="14">
        <v>619883.36</v>
      </c>
      <c r="H2300" s="22">
        <f>F2300*(1+Assumptions!$B$6+IF(D2300="Yes",Assumptions!$C$6,0))</f>
        <v>638479.86080000002</v>
      </c>
      <c r="I2300" s="22">
        <f>F2300*(1+Assumptions!$B$7+IF(D2300="Yes",Assumptions!$C$7,0))</f>
        <v>650877.52800000005</v>
      </c>
      <c r="J2300" s="22">
        <f>F2300*(1+Assumptions!$B$8+IF(D2300="Yes",Assumptions!$C$8,0))</f>
        <v>626082.1936</v>
      </c>
    </row>
    <row r="2301" spans="1:10" ht="15">
      <c r="A2301" s="21">
        <v>41124</v>
      </c>
      <c r="B2301" s="21">
        <v>41122</v>
      </c>
      <c r="C2301" s="17">
        <v>35</v>
      </c>
      <c r="D2301" s="17" t="s">
        <v>91</v>
      </c>
      <c r="E2301" s="14">
        <v>86755.95</v>
      </c>
      <c r="F2301" s="14">
        <v>100429.07</v>
      </c>
      <c r="G2301" s="14">
        <v>100429.07</v>
      </c>
      <c r="H2301" s="22">
        <f>F2301*(1+Assumptions!$B$6+IF(D2301="Yes",Assumptions!$C$6,0))</f>
        <v>103441.94210000001</v>
      </c>
      <c r="I2301" s="22">
        <f>F2301*(1+Assumptions!$B$7+IF(D2301="Yes",Assumptions!$C$7,0))</f>
        <v>105450.52350000001</v>
      </c>
      <c r="J2301" s="22">
        <f>F2301*(1+Assumptions!$B$8+IF(D2301="Yes",Assumptions!$C$8,0))</f>
        <v>101433.3607</v>
      </c>
    </row>
    <row r="2302" spans="1:10" ht="15">
      <c r="A2302" s="21">
        <v>41124</v>
      </c>
      <c r="B2302" s="21">
        <v>41122</v>
      </c>
      <c r="C2302" s="17">
        <v>36</v>
      </c>
      <c r="D2302" s="17" t="s">
        <v>91</v>
      </c>
      <c r="E2302" s="14">
        <v>34523.46</v>
      </c>
      <c r="F2302" s="14">
        <v>52791.97</v>
      </c>
      <c r="G2302" s="14">
        <v>52791.97</v>
      </c>
      <c r="H2302" s="22">
        <f>F2302*(1+Assumptions!$B$6+IF(D2302="Yes",Assumptions!$C$6,0))</f>
        <v>54375.729100000004</v>
      </c>
      <c r="I2302" s="22">
        <f>F2302*(1+Assumptions!$B$7+IF(D2302="Yes",Assumptions!$C$7,0))</f>
        <v>55431.568500000001</v>
      </c>
      <c r="J2302" s="22">
        <f>F2302*(1+Assumptions!$B$8+IF(D2302="Yes",Assumptions!$C$8,0))</f>
        <v>53319.8897</v>
      </c>
    </row>
    <row r="2303" spans="1:10" ht="15">
      <c r="A2303" s="21">
        <v>41124</v>
      </c>
      <c r="B2303" s="21">
        <v>41122</v>
      </c>
      <c r="C2303" s="17">
        <v>37</v>
      </c>
      <c r="D2303" s="17" t="s">
        <v>91</v>
      </c>
      <c r="E2303" s="14">
        <v>54563.76</v>
      </c>
      <c r="F2303" s="14">
        <v>54024.639999999999</v>
      </c>
      <c r="G2303" s="14">
        <v>54024.639999999999</v>
      </c>
      <c r="H2303" s="22">
        <f>F2303*(1+Assumptions!$B$6+IF(D2303="Yes",Assumptions!$C$6,0))</f>
        <v>55645.379200000003</v>
      </c>
      <c r="I2303" s="22">
        <f>F2303*(1+Assumptions!$B$7+IF(D2303="Yes",Assumptions!$C$7,0))</f>
        <v>56725.872000000003</v>
      </c>
      <c r="J2303" s="22">
        <f>F2303*(1+Assumptions!$B$8+IF(D2303="Yes",Assumptions!$C$8,0))</f>
        <v>54564.886400000003</v>
      </c>
    </row>
    <row r="2304" spans="1:10" ht="15">
      <c r="A2304" s="21">
        <v>41124</v>
      </c>
      <c r="B2304" s="21">
        <v>41122</v>
      </c>
      <c r="C2304" s="17">
        <v>38</v>
      </c>
      <c r="D2304" s="17" t="s">
        <v>91</v>
      </c>
      <c r="E2304" s="14">
        <v>2805902.25</v>
      </c>
      <c r="F2304" s="14">
        <v>2824319.92</v>
      </c>
      <c r="G2304" s="14">
        <v>2824319.92</v>
      </c>
      <c r="H2304" s="22">
        <f>F2304*(1+Assumptions!$B$6+IF(D2304="Yes",Assumptions!$C$6,0))</f>
        <v>2909049.5175999999</v>
      </c>
      <c r="I2304" s="22">
        <f>F2304*(1+Assumptions!$B$7+IF(D2304="Yes",Assumptions!$C$7,0))</f>
        <v>2965535.9160000002</v>
      </c>
      <c r="J2304" s="22">
        <f>F2304*(1+Assumptions!$B$8+IF(D2304="Yes",Assumptions!$C$8,0))</f>
        <v>2852563.1192000001</v>
      </c>
    </row>
    <row r="2305" spans="1:10" ht="15">
      <c r="A2305" s="21">
        <v>41124</v>
      </c>
      <c r="B2305" s="21">
        <v>41122</v>
      </c>
      <c r="C2305" s="17">
        <v>40</v>
      </c>
      <c r="D2305" s="17" t="s">
        <v>91</v>
      </c>
      <c r="E2305" s="14">
        <v>2071343.14</v>
      </c>
      <c r="F2305" s="14">
        <v>1967323.1</v>
      </c>
      <c r="G2305" s="14">
        <v>1967323.1</v>
      </c>
      <c r="H2305" s="22">
        <f>F2305*(1+Assumptions!$B$6+IF(D2305="Yes",Assumptions!$C$6,0))</f>
        <v>2026342.7930000001</v>
      </c>
      <c r="I2305" s="22">
        <f>F2305*(1+Assumptions!$B$7+IF(D2305="Yes",Assumptions!$C$7,0))</f>
        <v>2065689.2550000001</v>
      </c>
      <c r="J2305" s="22">
        <f>F2305*(1+Assumptions!$B$8+IF(D2305="Yes",Assumptions!$C$8,0))</f>
        <v>1986996.331</v>
      </c>
    </row>
    <row r="2306" spans="1:10" ht="15">
      <c r="A2306" s="21">
        <v>41124</v>
      </c>
      <c r="B2306" s="21">
        <v>41122</v>
      </c>
      <c r="C2306" s="17">
        <v>41</v>
      </c>
      <c r="D2306" s="17" t="s">
        <v>91</v>
      </c>
      <c r="E2306" s="14">
        <v>62534.04</v>
      </c>
      <c r="F2306" s="14">
        <v>61266.9</v>
      </c>
      <c r="G2306" s="14">
        <v>61266.9</v>
      </c>
      <c r="H2306" s="22">
        <f>F2306*(1+Assumptions!$B$6+IF(D2306="Yes",Assumptions!$C$6,0))</f>
        <v>63104.907000000007</v>
      </c>
      <c r="I2306" s="22">
        <f>F2306*(1+Assumptions!$B$7+IF(D2306="Yes",Assumptions!$C$7,0))</f>
        <v>64330.245000000003</v>
      </c>
      <c r="J2306" s="22">
        <f>F2306*(1+Assumptions!$B$8+IF(D2306="Yes",Assumptions!$C$8,0))</f>
        <v>61879.569000000003</v>
      </c>
    </row>
    <row r="2307" spans="1:10" ht="15">
      <c r="A2307" s="21">
        <v>41124</v>
      </c>
      <c r="B2307" s="21">
        <v>41122</v>
      </c>
      <c r="C2307" s="17">
        <v>42</v>
      </c>
      <c r="D2307" s="17" t="s">
        <v>91</v>
      </c>
      <c r="E2307" s="14">
        <v>240692.61</v>
      </c>
      <c r="F2307" s="14">
        <v>245104.93</v>
      </c>
      <c r="G2307" s="14">
        <v>245104.93</v>
      </c>
      <c r="H2307" s="22">
        <f>F2307*(1+Assumptions!$B$6+IF(D2307="Yes",Assumptions!$C$6,0))</f>
        <v>252458.0779</v>
      </c>
      <c r="I2307" s="22">
        <f>F2307*(1+Assumptions!$B$7+IF(D2307="Yes",Assumptions!$C$7,0))</f>
        <v>257360.1765</v>
      </c>
      <c r="J2307" s="22">
        <f>F2307*(1+Assumptions!$B$8+IF(D2307="Yes",Assumptions!$C$8,0))</f>
        <v>247555.97930000001</v>
      </c>
    </row>
    <row r="2308" spans="1:10" ht="15">
      <c r="A2308" s="21">
        <v>41124</v>
      </c>
      <c r="B2308" s="21">
        <v>41122</v>
      </c>
      <c r="C2308" s="17">
        <v>44</v>
      </c>
      <c r="D2308" s="17" t="s">
        <v>91</v>
      </c>
      <c r="E2308" s="14">
        <v>164584.72</v>
      </c>
      <c r="F2308" s="14">
        <v>156024.5</v>
      </c>
      <c r="G2308" s="14">
        <v>156024.5</v>
      </c>
      <c r="H2308" s="22">
        <f>F2308*(1+Assumptions!$B$6+IF(D2308="Yes",Assumptions!$C$6,0))</f>
        <v>160705.23500000002</v>
      </c>
      <c r="I2308" s="22">
        <f>F2308*(1+Assumptions!$B$7+IF(D2308="Yes",Assumptions!$C$7,0))</f>
        <v>163825.72500000001</v>
      </c>
      <c r="J2308" s="22">
        <f>F2308*(1+Assumptions!$B$8+IF(D2308="Yes",Assumptions!$C$8,0))</f>
        <v>157584.745</v>
      </c>
    </row>
    <row r="2309" spans="1:10" ht="15">
      <c r="A2309" s="21">
        <v>41124</v>
      </c>
      <c r="B2309" s="21">
        <v>41122</v>
      </c>
      <c r="C2309" s="17">
        <v>45</v>
      </c>
      <c r="D2309" s="17" t="s">
        <v>91</v>
      </c>
      <c r="E2309" s="14">
        <v>36.35</v>
      </c>
      <c r="F2309" s="14">
        <v>41.39</v>
      </c>
      <c r="G2309" s="14">
        <v>41.39</v>
      </c>
      <c r="H2309" s="22">
        <f>F2309*(1+Assumptions!$B$6+IF(D2309="Yes",Assumptions!$C$6,0))</f>
        <v>42.631700000000002</v>
      </c>
      <c r="I2309" s="22">
        <f>F2309*(1+Assumptions!$B$7+IF(D2309="Yes",Assumptions!$C$7,0))</f>
        <v>43.459500000000006</v>
      </c>
      <c r="J2309" s="22">
        <f>F2309*(1+Assumptions!$B$8+IF(D2309="Yes",Assumptions!$C$8,0))</f>
        <v>41.803899999999999</v>
      </c>
    </row>
    <row r="2310" spans="1:10" ht="15">
      <c r="A2310" s="21">
        <v>41124</v>
      </c>
      <c r="B2310" s="21">
        <v>41122</v>
      </c>
      <c r="C2310" s="17">
        <v>46</v>
      </c>
      <c r="D2310" s="17" t="s">
        <v>91</v>
      </c>
      <c r="E2310" s="14">
        <v>921350.46</v>
      </c>
      <c r="F2310" s="14">
        <v>901981.05999999994</v>
      </c>
      <c r="G2310" s="14">
        <v>901981.05999999994</v>
      </c>
      <c r="H2310" s="22">
        <f>F2310*(1+Assumptions!$B$6+IF(D2310="Yes",Assumptions!$C$6,0))</f>
        <v>929040.49179999996</v>
      </c>
      <c r="I2310" s="22">
        <f>F2310*(1+Assumptions!$B$7+IF(D2310="Yes",Assumptions!$C$7,0))</f>
        <v>947080.11300000001</v>
      </c>
      <c r="J2310" s="22">
        <f>F2310*(1+Assumptions!$B$8+IF(D2310="Yes",Assumptions!$C$8,0))</f>
        <v>911000.87059999991</v>
      </c>
    </row>
    <row r="2311" spans="1:10" ht="15">
      <c r="A2311" s="21">
        <v>41124</v>
      </c>
      <c r="B2311" s="21">
        <v>41122</v>
      </c>
      <c r="C2311" s="17">
        <v>47</v>
      </c>
      <c r="D2311" s="17" t="s">
        <v>91</v>
      </c>
      <c r="E2311" s="14">
        <v>279</v>
      </c>
      <c r="F2311" s="14">
        <v>20</v>
      </c>
      <c r="G2311" s="14">
        <v>20</v>
      </c>
      <c r="H2311" s="22">
        <f>F2311*(1+Assumptions!$B$6+IF(D2311="Yes",Assumptions!$C$6,0))</f>
        <v>20.6</v>
      </c>
      <c r="I2311" s="22">
        <f>F2311*(1+Assumptions!$B$7+IF(D2311="Yes",Assumptions!$C$7,0))</f>
        <v>21</v>
      </c>
      <c r="J2311" s="22">
        <f>F2311*(1+Assumptions!$B$8+IF(D2311="Yes",Assumptions!$C$8,0))</f>
        <v>20.2</v>
      </c>
    </row>
    <row r="2312" spans="1:10" ht="15">
      <c r="A2312" s="21">
        <v>41124</v>
      </c>
      <c r="B2312" s="21">
        <v>41122</v>
      </c>
      <c r="C2312" s="17">
        <v>48</v>
      </c>
      <c r="D2312" s="17" t="s">
        <v>91</v>
      </c>
      <c r="E2312" s="14">
        <v>12066</v>
      </c>
      <c r="F2312" s="14">
        <v>8172</v>
      </c>
      <c r="G2312" s="14">
        <v>8172</v>
      </c>
      <c r="H2312" s="22">
        <f>F2312*(1+Assumptions!$B$6+IF(D2312="Yes",Assumptions!$C$6,0))</f>
        <v>8417.16</v>
      </c>
      <c r="I2312" s="22">
        <f>F2312*(1+Assumptions!$B$7+IF(D2312="Yes",Assumptions!$C$7,0))</f>
        <v>8580.6</v>
      </c>
      <c r="J2312" s="22">
        <f>F2312*(1+Assumptions!$B$8+IF(D2312="Yes",Assumptions!$C$8,0))</f>
        <v>8253.7199999999993</v>
      </c>
    </row>
    <row r="2313" spans="1:10" ht="15">
      <c r="A2313" s="21">
        <v>41124</v>
      </c>
      <c r="B2313" s="21">
        <v>41122</v>
      </c>
      <c r="C2313" s="17">
        <v>49</v>
      </c>
      <c r="D2313" s="17" t="s">
        <v>91</v>
      </c>
      <c r="E2313" s="14">
        <v>265966.45</v>
      </c>
      <c r="F2313" s="14">
        <v>273784.28999999998</v>
      </c>
      <c r="G2313" s="14">
        <v>273784.28999999998</v>
      </c>
      <c r="H2313" s="22">
        <f>F2313*(1+Assumptions!$B$6+IF(D2313="Yes",Assumptions!$C$6,0))</f>
        <v>281997.8187</v>
      </c>
      <c r="I2313" s="22">
        <f>F2313*(1+Assumptions!$B$7+IF(D2313="Yes",Assumptions!$C$7,0))</f>
        <v>287473.50449999998</v>
      </c>
      <c r="J2313" s="22">
        <f>F2313*(1+Assumptions!$B$8+IF(D2313="Yes",Assumptions!$C$8,0))</f>
        <v>276522.13289999997</v>
      </c>
    </row>
    <row r="2314" spans="1:10" ht="15">
      <c r="A2314" s="21">
        <v>41124</v>
      </c>
      <c r="B2314" s="21">
        <v>41122</v>
      </c>
      <c r="C2314" s="17">
        <v>50</v>
      </c>
      <c r="D2314" s="17" t="s">
        <v>91</v>
      </c>
      <c r="E2314" s="14">
        <v>32131.200000000001</v>
      </c>
      <c r="F2314" s="14">
        <v>31010.22</v>
      </c>
      <c r="G2314" s="14">
        <v>31010.22</v>
      </c>
      <c r="H2314" s="22">
        <f>F2314*(1+Assumptions!$B$6+IF(D2314="Yes",Assumptions!$C$6,0))</f>
        <v>31940.526600000001</v>
      </c>
      <c r="I2314" s="22">
        <f>F2314*(1+Assumptions!$B$7+IF(D2314="Yes",Assumptions!$C$7,0))</f>
        <v>32560.731000000003</v>
      </c>
      <c r="J2314" s="22">
        <f>F2314*(1+Assumptions!$B$8+IF(D2314="Yes",Assumptions!$C$8,0))</f>
        <v>31320.322200000002</v>
      </c>
    </row>
    <row r="2315" spans="1:10" ht="15">
      <c r="A2315" s="21">
        <v>41124</v>
      </c>
      <c r="B2315" s="21">
        <v>41122</v>
      </c>
      <c r="C2315" s="17">
        <v>51</v>
      </c>
      <c r="D2315" s="17" t="s">
        <v>91</v>
      </c>
      <c r="E2315" s="14">
        <v>10.600000000000001</v>
      </c>
      <c r="F2315" s="14">
        <v>79</v>
      </c>
      <c r="G2315" s="14">
        <v>79</v>
      </c>
      <c r="H2315" s="22">
        <f>F2315*(1+Assumptions!$B$6+IF(D2315="Yes",Assumptions!$C$6,0))</f>
        <v>81.37</v>
      </c>
      <c r="I2315" s="22">
        <f>F2315*(1+Assumptions!$B$7+IF(D2315="Yes",Assumptions!$C$7,0))</f>
        <v>82.95</v>
      </c>
      <c r="J2315" s="22">
        <f>F2315*(1+Assumptions!$B$8+IF(D2315="Yes",Assumptions!$C$8,0))</f>
        <v>79.790000000000006</v>
      </c>
    </row>
    <row r="2316" spans="1:10" ht="15">
      <c r="A2316" s="21">
        <v>41124</v>
      </c>
      <c r="B2316" s="21">
        <v>41122</v>
      </c>
      <c r="C2316" s="17">
        <v>52</v>
      </c>
      <c r="D2316" s="17" t="s">
        <v>91</v>
      </c>
      <c r="E2316" s="14">
        <v>67904.61</v>
      </c>
      <c r="F2316" s="14">
        <v>72760.7</v>
      </c>
      <c r="G2316" s="14">
        <v>72760.7</v>
      </c>
      <c r="H2316" s="22">
        <f>F2316*(1+Assumptions!$B$6+IF(D2316="Yes",Assumptions!$C$6,0))</f>
        <v>74943.520999999993</v>
      </c>
      <c r="I2316" s="22">
        <f>F2316*(1+Assumptions!$B$7+IF(D2316="Yes",Assumptions!$C$7,0))</f>
        <v>76398.735000000001</v>
      </c>
      <c r="J2316" s="22">
        <f>F2316*(1+Assumptions!$B$8+IF(D2316="Yes",Assumptions!$C$8,0))</f>
        <v>73488.307000000001</v>
      </c>
    </row>
    <row r="2317" spans="1:10" ht="15">
      <c r="A2317" s="21">
        <v>41124</v>
      </c>
      <c r="B2317" s="21">
        <v>41122</v>
      </c>
      <c r="C2317" s="17">
        <v>54</v>
      </c>
      <c r="D2317" s="17" t="s">
        <v>91</v>
      </c>
      <c r="E2317" s="14">
        <v>965.34</v>
      </c>
      <c r="F2317" s="14">
        <v>1551.18</v>
      </c>
      <c r="G2317" s="14">
        <v>1551.18</v>
      </c>
      <c r="H2317" s="22">
        <f>F2317*(1+Assumptions!$B$6+IF(D2317="Yes",Assumptions!$C$6,0))</f>
        <v>1597.7154</v>
      </c>
      <c r="I2317" s="22">
        <f>F2317*(1+Assumptions!$B$7+IF(D2317="Yes",Assumptions!$C$7,0))</f>
        <v>1628.739</v>
      </c>
      <c r="J2317" s="22">
        <f>F2317*(1+Assumptions!$B$8+IF(D2317="Yes",Assumptions!$C$8,0))</f>
        <v>1566.6918000000001</v>
      </c>
    </row>
    <row r="2318" spans="1:10" ht="15">
      <c r="A2318" s="21">
        <v>41124</v>
      </c>
      <c r="B2318" s="21">
        <v>41122</v>
      </c>
      <c r="C2318" s="17">
        <v>55</v>
      </c>
      <c r="D2318" s="17" t="s">
        <v>91</v>
      </c>
      <c r="E2318" s="14">
        <v>240282.59</v>
      </c>
      <c r="F2318" s="14">
        <v>276878.89</v>
      </c>
      <c r="G2318" s="14">
        <v>276878.89</v>
      </c>
      <c r="H2318" s="22">
        <f>F2318*(1+Assumptions!$B$6+IF(D2318="Yes",Assumptions!$C$6,0))</f>
        <v>285185.25670000003</v>
      </c>
      <c r="I2318" s="22">
        <f>F2318*(1+Assumptions!$B$7+IF(D2318="Yes",Assumptions!$C$7,0))</f>
        <v>290722.83450000006</v>
      </c>
      <c r="J2318" s="22">
        <f>F2318*(1+Assumptions!$B$8+IF(D2318="Yes",Assumptions!$C$8,0))</f>
        <v>279647.6789</v>
      </c>
    </row>
    <row r="2319" spans="1:10" ht="15">
      <c r="A2319" s="21">
        <v>41124</v>
      </c>
      <c r="B2319" s="21">
        <v>41122</v>
      </c>
      <c r="C2319" s="17">
        <v>56</v>
      </c>
      <c r="D2319" s="17" t="s">
        <v>91</v>
      </c>
      <c r="E2319" s="14">
        <v>43525.36</v>
      </c>
      <c r="F2319" s="14">
        <v>48168.06</v>
      </c>
      <c r="G2319" s="14">
        <v>48168.06</v>
      </c>
      <c r="H2319" s="22">
        <f>F2319*(1+Assumptions!$B$6+IF(D2319="Yes",Assumptions!$C$6,0))</f>
        <v>49613.101799999997</v>
      </c>
      <c r="I2319" s="22">
        <f>F2319*(1+Assumptions!$B$7+IF(D2319="Yes",Assumptions!$C$7,0))</f>
        <v>50576.462999999996</v>
      </c>
      <c r="J2319" s="22">
        <f>F2319*(1+Assumptions!$B$8+IF(D2319="Yes",Assumptions!$C$8,0))</f>
        <v>48649.740599999997</v>
      </c>
    </row>
    <row r="2320" spans="1:10" ht="15">
      <c r="A2320" s="21">
        <v>41124</v>
      </c>
      <c r="B2320" s="21">
        <v>41122</v>
      </c>
      <c r="C2320" s="17">
        <v>58</v>
      </c>
      <c r="D2320" s="17" t="s">
        <v>91</v>
      </c>
      <c r="E2320" s="14">
        <v>132880</v>
      </c>
      <c r="F2320" s="14">
        <v>118474.97</v>
      </c>
      <c r="G2320" s="14">
        <v>118474.97</v>
      </c>
      <c r="H2320" s="22">
        <f>F2320*(1+Assumptions!$B$6+IF(D2320="Yes",Assumptions!$C$6,0))</f>
        <v>122029.2191</v>
      </c>
      <c r="I2320" s="22">
        <f>F2320*(1+Assumptions!$B$7+IF(D2320="Yes",Assumptions!$C$7,0))</f>
        <v>124398.7185</v>
      </c>
      <c r="J2320" s="22">
        <f>F2320*(1+Assumptions!$B$8+IF(D2320="Yes",Assumptions!$C$8,0))</f>
        <v>119659.7197</v>
      </c>
    </row>
    <row r="2321" spans="1:10" ht="15">
      <c r="A2321" s="21">
        <v>41124</v>
      </c>
      <c r="B2321" s="21">
        <v>41122</v>
      </c>
      <c r="C2321" s="17">
        <v>59</v>
      </c>
      <c r="D2321" s="17" t="s">
        <v>91</v>
      </c>
      <c r="E2321" s="14">
        <v>8174.44</v>
      </c>
      <c r="F2321" s="14">
        <v>11967.2</v>
      </c>
      <c r="G2321" s="14">
        <v>11967.2</v>
      </c>
      <c r="H2321" s="22">
        <f>F2321*(1+Assumptions!$B$6+IF(D2321="Yes",Assumptions!$C$6,0))</f>
        <v>12326.216</v>
      </c>
      <c r="I2321" s="22">
        <f>F2321*(1+Assumptions!$B$7+IF(D2321="Yes",Assumptions!$C$7,0))</f>
        <v>12565.560000000001</v>
      </c>
      <c r="J2321" s="22">
        <f>F2321*(1+Assumptions!$B$8+IF(D2321="Yes",Assumptions!$C$8,0))</f>
        <v>12086.872000000001</v>
      </c>
    </row>
    <row r="2322" spans="1:10" ht="15">
      <c r="A2322" s="21">
        <v>41124</v>
      </c>
      <c r="B2322" s="21">
        <v>41122</v>
      </c>
      <c r="C2322" s="17">
        <v>60</v>
      </c>
      <c r="D2322" s="17" t="s">
        <v>91</v>
      </c>
      <c r="E2322" s="14">
        <v>15578.4</v>
      </c>
      <c r="F2322" s="14">
        <v>15734.4</v>
      </c>
      <c r="G2322" s="14">
        <v>15734.4</v>
      </c>
      <c r="H2322" s="22">
        <f>F2322*(1+Assumptions!$B$6+IF(D2322="Yes",Assumptions!$C$6,0))</f>
        <v>16206.432000000001</v>
      </c>
      <c r="I2322" s="22">
        <f>F2322*(1+Assumptions!$B$7+IF(D2322="Yes",Assumptions!$C$7,0))</f>
        <v>16521.12</v>
      </c>
      <c r="J2322" s="22">
        <f>F2322*(1+Assumptions!$B$8+IF(D2322="Yes",Assumptions!$C$8,0))</f>
        <v>15891.744000000001</v>
      </c>
    </row>
    <row r="2323" spans="1:10" ht="15">
      <c r="A2323" s="21">
        <v>41124</v>
      </c>
      <c r="B2323" s="21">
        <v>41122</v>
      </c>
      <c r="C2323" s="17">
        <v>65</v>
      </c>
      <c r="D2323" s="17" t="s">
        <v>91</v>
      </c>
      <c r="E2323" s="14">
        <v>48465.7</v>
      </c>
      <c r="F2323" s="14">
        <v>45018.62</v>
      </c>
      <c r="G2323" s="14">
        <v>45018.62</v>
      </c>
      <c r="H2323" s="22">
        <f>F2323*(1+Assumptions!$B$6+IF(D2323="Yes",Assumptions!$C$6,0))</f>
        <v>46369.178600000007</v>
      </c>
      <c r="I2323" s="22">
        <f>F2323*(1+Assumptions!$B$7+IF(D2323="Yes",Assumptions!$C$7,0))</f>
        <v>47269.551000000007</v>
      </c>
      <c r="J2323" s="22">
        <f>F2323*(1+Assumptions!$B$8+IF(D2323="Yes",Assumptions!$C$8,0))</f>
        <v>45468.806200000006</v>
      </c>
    </row>
    <row r="2324" spans="1:10" ht="15">
      <c r="A2324" s="21">
        <v>41124</v>
      </c>
      <c r="B2324" s="21">
        <v>41122</v>
      </c>
      <c r="C2324" s="17">
        <v>67</v>
      </c>
      <c r="D2324" s="17" t="s">
        <v>91</v>
      </c>
      <c r="E2324" s="14">
        <v>263077.48</v>
      </c>
      <c r="F2324" s="14">
        <v>244349.01</v>
      </c>
      <c r="G2324" s="14">
        <v>244349.01</v>
      </c>
      <c r="H2324" s="22">
        <f>F2324*(1+Assumptions!$B$6+IF(D2324="Yes",Assumptions!$C$6,0))</f>
        <v>251679.48030000002</v>
      </c>
      <c r="I2324" s="22">
        <f>F2324*(1+Assumptions!$B$7+IF(D2324="Yes",Assumptions!$C$7,0))</f>
        <v>256566.46050000002</v>
      </c>
      <c r="J2324" s="22">
        <f>F2324*(1+Assumptions!$B$8+IF(D2324="Yes",Assumptions!$C$8,0))</f>
        <v>246792.5001</v>
      </c>
    </row>
    <row r="2325" spans="1:10" ht="15">
      <c r="A2325" s="21">
        <v>41124</v>
      </c>
      <c r="B2325" s="21">
        <v>41122</v>
      </c>
      <c r="C2325" s="17">
        <v>71</v>
      </c>
      <c r="D2325" s="17" t="s">
        <v>91</v>
      </c>
      <c r="E2325" s="14">
        <v>228196.84</v>
      </c>
      <c r="F2325" s="14">
        <v>229793.06</v>
      </c>
      <c r="G2325" s="14">
        <v>229793.06</v>
      </c>
      <c r="H2325" s="22">
        <f>F2325*(1+Assumptions!$B$6+IF(D2325="Yes",Assumptions!$C$6,0))</f>
        <v>236686.8518</v>
      </c>
      <c r="I2325" s="22">
        <f>F2325*(1+Assumptions!$B$7+IF(D2325="Yes",Assumptions!$C$7,0))</f>
        <v>241282.71300000002</v>
      </c>
      <c r="J2325" s="22">
        <f>F2325*(1+Assumptions!$B$8+IF(D2325="Yes",Assumptions!$C$8,0))</f>
        <v>232090.99059999999</v>
      </c>
    </row>
    <row r="2326" spans="1:10" ht="15">
      <c r="A2326" s="21">
        <v>41124</v>
      </c>
      <c r="B2326" s="21">
        <v>41122</v>
      </c>
      <c r="C2326" s="17">
        <v>72</v>
      </c>
      <c r="D2326" s="17" t="s">
        <v>91</v>
      </c>
      <c r="E2326" s="14">
        <v>1764825.49</v>
      </c>
      <c r="F2326" s="14">
        <v>1856680.45</v>
      </c>
      <c r="G2326" s="14">
        <v>1856680.45</v>
      </c>
      <c r="H2326" s="22">
        <f>F2326*(1+Assumptions!$B$6+IF(D2326="Yes",Assumptions!$C$6,0))</f>
        <v>1912380.8635</v>
      </c>
      <c r="I2326" s="22">
        <f>F2326*(1+Assumptions!$B$7+IF(D2326="Yes",Assumptions!$C$7,0))</f>
        <v>1949514.4725000001</v>
      </c>
      <c r="J2326" s="22">
        <f>F2326*(1+Assumptions!$B$8+IF(D2326="Yes",Assumptions!$C$8,0))</f>
        <v>1875247.2545</v>
      </c>
    </row>
    <row r="2327" spans="1:10" ht="15">
      <c r="A2327" s="21">
        <v>41124</v>
      </c>
      <c r="B2327" s="21">
        <v>41122</v>
      </c>
      <c r="C2327" s="17">
        <v>74</v>
      </c>
      <c r="D2327" s="17" t="s">
        <v>91</v>
      </c>
      <c r="E2327" s="14">
        <v>689036.17</v>
      </c>
      <c r="F2327" s="14">
        <v>690150</v>
      </c>
      <c r="G2327" s="14">
        <v>690150</v>
      </c>
      <c r="H2327" s="22">
        <f>F2327*(1+Assumptions!$B$6+IF(D2327="Yes",Assumptions!$C$6,0))</f>
        <v>710854.5</v>
      </c>
      <c r="I2327" s="22">
        <f>F2327*(1+Assumptions!$B$7+IF(D2327="Yes",Assumptions!$C$7,0))</f>
        <v>724657.5</v>
      </c>
      <c r="J2327" s="22">
        <f>F2327*(1+Assumptions!$B$8+IF(D2327="Yes",Assumptions!$C$8,0))</f>
        <v>697051.5</v>
      </c>
    </row>
    <row r="2328" spans="1:10" ht="15">
      <c r="A2328" s="21">
        <v>41124</v>
      </c>
      <c r="B2328" s="21">
        <v>41122</v>
      </c>
      <c r="C2328" s="17">
        <v>79</v>
      </c>
      <c r="D2328" s="17" t="s">
        <v>91</v>
      </c>
      <c r="E2328" s="14">
        <v>1072025.9099999999</v>
      </c>
      <c r="F2328" s="14">
        <v>1077677.6399999999</v>
      </c>
      <c r="G2328" s="14">
        <v>1077677.6399999999</v>
      </c>
      <c r="H2328" s="22">
        <f>F2328*(1+Assumptions!$B$6+IF(D2328="Yes",Assumptions!$C$6,0))</f>
        <v>1110007.9691999999</v>
      </c>
      <c r="I2328" s="22">
        <f>F2328*(1+Assumptions!$B$7+IF(D2328="Yes",Assumptions!$C$7,0))</f>
        <v>1131561.5219999999</v>
      </c>
      <c r="J2328" s="22">
        <f>F2328*(1+Assumptions!$B$8+IF(D2328="Yes",Assumptions!$C$8,0))</f>
        <v>1088454.4164</v>
      </c>
    </row>
    <row r="2329" spans="1:10" ht="15">
      <c r="A2329" s="21">
        <v>41124</v>
      </c>
      <c r="B2329" s="21">
        <v>41122</v>
      </c>
      <c r="C2329" s="17">
        <v>80</v>
      </c>
      <c r="D2329" s="17" t="s">
        <v>91</v>
      </c>
      <c r="E2329" s="14">
        <v>513974.4</v>
      </c>
      <c r="F2329" s="14">
        <v>535075.36</v>
      </c>
      <c r="G2329" s="14">
        <v>535075.36</v>
      </c>
      <c r="H2329" s="22">
        <f>F2329*(1+Assumptions!$B$6+IF(D2329="Yes",Assumptions!$C$6,0))</f>
        <v>551127.62080000003</v>
      </c>
      <c r="I2329" s="22">
        <f>F2329*(1+Assumptions!$B$7+IF(D2329="Yes",Assumptions!$C$7,0))</f>
        <v>561829.12800000003</v>
      </c>
      <c r="J2329" s="22">
        <f>F2329*(1+Assumptions!$B$8+IF(D2329="Yes",Assumptions!$C$8,0))</f>
        <v>540426.11360000004</v>
      </c>
    </row>
    <row r="2330" spans="1:10" ht="15">
      <c r="A2330" s="21">
        <v>41124</v>
      </c>
      <c r="B2330" s="21">
        <v>41122</v>
      </c>
      <c r="C2330" s="17">
        <v>81</v>
      </c>
      <c r="D2330" s="17" t="s">
        <v>91</v>
      </c>
      <c r="E2330" s="14">
        <v>716717.85</v>
      </c>
      <c r="F2330" s="14">
        <v>736156.81</v>
      </c>
      <c r="G2330" s="14">
        <v>736156.81</v>
      </c>
      <c r="H2330" s="22">
        <f>F2330*(1+Assumptions!$B$6+IF(D2330="Yes",Assumptions!$C$6,0))</f>
        <v>758241.51430000004</v>
      </c>
      <c r="I2330" s="22">
        <f>F2330*(1+Assumptions!$B$7+IF(D2330="Yes",Assumptions!$C$7,0))</f>
        <v>772964.65050000011</v>
      </c>
      <c r="J2330" s="22">
        <f>F2330*(1+Assumptions!$B$8+IF(D2330="Yes",Assumptions!$C$8,0))</f>
        <v>743518.37810000009</v>
      </c>
    </row>
    <row r="2331" spans="1:10" ht="15">
      <c r="A2331" s="21">
        <v>41124</v>
      </c>
      <c r="B2331" s="21">
        <v>41122</v>
      </c>
      <c r="C2331" s="17">
        <v>82</v>
      </c>
      <c r="D2331" s="17" t="s">
        <v>91</v>
      </c>
      <c r="E2331" s="14">
        <v>701693.8</v>
      </c>
      <c r="F2331" s="14">
        <v>685768.54</v>
      </c>
      <c r="G2331" s="14">
        <v>685768.54</v>
      </c>
      <c r="H2331" s="22">
        <f>F2331*(1+Assumptions!$B$6+IF(D2331="Yes",Assumptions!$C$6,0))</f>
        <v>706341.59620000003</v>
      </c>
      <c r="I2331" s="22">
        <f>F2331*(1+Assumptions!$B$7+IF(D2331="Yes",Assumptions!$C$7,0))</f>
        <v>720056.96700000006</v>
      </c>
      <c r="J2331" s="22">
        <f>F2331*(1+Assumptions!$B$8+IF(D2331="Yes",Assumptions!$C$8,0))</f>
        <v>692626.2254</v>
      </c>
    </row>
    <row r="2332" spans="1:10" ht="15">
      <c r="A2332" s="21">
        <v>41124</v>
      </c>
      <c r="B2332" s="21">
        <v>41122</v>
      </c>
      <c r="C2332" s="17">
        <v>83</v>
      </c>
      <c r="D2332" s="17" t="s">
        <v>91</v>
      </c>
      <c r="E2332" s="14">
        <v>140159.99</v>
      </c>
      <c r="F2332" s="14">
        <v>138666.88</v>
      </c>
      <c r="G2332" s="14">
        <v>138666.88</v>
      </c>
      <c r="H2332" s="22">
        <f>F2332*(1+Assumptions!$B$6+IF(D2332="Yes",Assumptions!$C$6,0))</f>
        <v>142826.88640000002</v>
      </c>
      <c r="I2332" s="22">
        <f>F2332*(1+Assumptions!$B$7+IF(D2332="Yes",Assumptions!$C$7,0))</f>
        <v>145600.22400000002</v>
      </c>
      <c r="J2332" s="22">
        <f>F2332*(1+Assumptions!$B$8+IF(D2332="Yes",Assumptions!$C$8,0))</f>
        <v>140053.54880000002</v>
      </c>
    </row>
    <row r="2333" spans="1:10" ht="15">
      <c r="A2333" s="21">
        <v>41124</v>
      </c>
      <c r="B2333" s="21">
        <v>41122</v>
      </c>
      <c r="C2333" s="17">
        <v>85</v>
      </c>
      <c r="D2333" s="17" t="s">
        <v>91</v>
      </c>
      <c r="E2333" s="14">
        <v>88589.66</v>
      </c>
      <c r="F2333" s="14">
        <v>100385.14</v>
      </c>
      <c r="G2333" s="14">
        <v>100385.14</v>
      </c>
      <c r="H2333" s="22">
        <f>F2333*(1+Assumptions!$B$6+IF(D2333="Yes",Assumptions!$C$6,0))</f>
        <v>103396.6942</v>
      </c>
      <c r="I2333" s="22">
        <f>F2333*(1+Assumptions!$B$7+IF(D2333="Yes",Assumptions!$C$7,0))</f>
        <v>105404.397</v>
      </c>
      <c r="J2333" s="22">
        <f>F2333*(1+Assumptions!$B$8+IF(D2333="Yes",Assumptions!$C$8,0))</f>
        <v>101388.9914</v>
      </c>
    </row>
    <row r="2334" spans="1:10" ht="15">
      <c r="A2334" s="21">
        <v>41124</v>
      </c>
      <c r="B2334" s="21">
        <v>41122</v>
      </c>
      <c r="C2334" s="17">
        <v>87</v>
      </c>
      <c r="D2334" s="17" t="s">
        <v>91</v>
      </c>
      <c r="E2334" s="14">
        <v>796374.71</v>
      </c>
      <c r="F2334" s="14">
        <v>708536.17999999993</v>
      </c>
      <c r="G2334" s="14">
        <v>708536.17999999993</v>
      </c>
      <c r="H2334" s="22">
        <f>F2334*(1+Assumptions!$B$6+IF(D2334="Yes",Assumptions!$C$6,0))</f>
        <v>729792.26539999992</v>
      </c>
      <c r="I2334" s="22">
        <f>F2334*(1+Assumptions!$B$7+IF(D2334="Yes",Assumptions!$C$7,0))</f>
        <v>743962.98899999994</v>
      </c>
      <c r="J2334" s="22">
        <f>F2334*(1+Assumptions!$B$8+IF(D2334="Yes",Assumptions!$C$8,0))</f>
        <v>715621.54179999989</v>
      </c>
    </row>
    <row r="2335" spans="1:10" ht="15">
      <c r="A2335" s="21">
        <v>41124</v>
      </c>
      <c r="B2335" s="21">
        <v>41122</v>
      </c>
      <c r="C2335" s="17">
        <v>90</v>
      </c>
      <c r="D2335" s="17" t="s">
        <v>91</v>
      </c>
      <c r="E2335" s="14">
        <v>2079494.02</v>
      </c>
      <c r="F2335" s="14">
        <v>2130231.13</v>
      </c>
      <c r="G2335" s="14">
        <v>2130231.13</v>
      </c>
      <c r="H2335" s="22">
        <f>F2335*(1+Assumptions!$B$6+IF(D2335="Yes",Assumptions!$C$6,0))</f>
        <v>2194138.0639</v>
      </c>
      <c r="I2335" s="22">
        <f>F2335*(1+Assumptions!$B$7+IF(D2335="Yes",Assumptions!$C$7,0))</f>
        <v>2236742.6864999998</v>
      </c>
      <c r="J2335" s="22">
        <f>F2335*(1+Assumptions!$B$8+IF(D2335="Yes",Assumptions!$C$8,0))</f>
        <v>2151533.4413000001</v>
      </c>
    </row>
    <row r="2336" spans="1:10" ht="15">
      <c r="A2336" s="21">
        <v>41124</v>
      </c>
      <c r="B2336" s="21">
        <v>41122</v>
      </c>
      <c r="C2336" s="17">
        <v>91</v>
      </c>
      <c r="D2336" s="17" t="s">
        <v>91</v>
      </c>
      <c r="E2336" s="14">
        <v>1562167.69</v>
      </c>
      <c r="F2336" s="14">
        <v>1614586.97</v>
      </c>
      <c r="G2336" s="14">
        <v>1614586.97</v>
      </c>
      <c r="H2336" s="22">
        <f>F2336*(1+Assumptions!$B$6+IF(D2336="Yes",Assumptions!$C$6,0))</f>
        <v>1663024.5791</v>
      </c>
      <c r="I2336" s="22">
        <f>F2336*(1+Assumptions!$B$7+IF(D2336="Yes",Assumptions!$C$7,0))</f>
        <v>1695316.3185000001</v>
      </c>
      <c r="J2336" s="22">
        <f>F2336*(1+Assumptions!$B$8+IF(D2336="Yes",Assumptions!$C$8,0))</f>
        <v>1630732.8396999999</v>
      </c>
    </row>
    <row r="2337" spans="1:10" ht="15">
      <c r="A2337" s="21">
        <v>41124</v>
      </c>
      <c r="B2337" s="21">
        <v>41122</v>
      </c>
      <c r="C2337" s="17">
        <v>92</v>
      </c>
      <c r="D2337" s="17" t="s">
        <v>91</v>
      </c>
      <c r="E2337" s="14">
        <v>3549275.12</v>
      </c>
      <c r="F2337" s="14">
        <v>3475954.9</v>
      </c>
      <c r="G2337" s="14">
        <v>3475954.9</v>
      </c>
      <c r="H2337" s="22">
        <f>F2337*(1+Assumptions!$B$6+IF(D2337="Yes",Assumptions!$C$6,0))</f>
        <v>3580233.5469999998</v>
      </c>
      <c r="I2337" s="22">
        <f>F2337*(1+Assumptions!$B$7+IF(D2337="Yes",Assumptions!$C$7,0))</f>
        <v>3649752.645</v>
      </c>
      <c r="J2337" s="22">
        <f>F2337*(1+Assumptions!$B$8+IF(D2337="Yes",Assumptions!$C$8,0))</f>
        <v>3510714.449</v>
      </c>
    </row>
    <row r="2338" spans="1:10" ht="15">
      <c r="A2338" s="21">
        <v>41124</v>
      </c>
      <c r="B2338" s="21">
        <v>41122</v>
      </c>
      <c r="C2338" s="17">
        <v>93</v>
      </c>
      <c r="D2338" s="17" t="s">
        <v>91</v>
      </c>
      <c r="E2338" s="14">
        <v>1176528.29</v>
      </c>
      <c r="F2338" s="14">
        <v>1187705.1000000001</v>
      </c>
      <c r="G2338" s="14">
        <v>1187705.1000000001</v>
      </c>
      <c r="H2338" s="22">
        <f>F2338*(1+Assumptions!$B$6+IF(D2338="Yes",Assumptions!$C$6,0))</f>
        <v>1223336.253</v>
      </c>
      <c r="I2338" s="22">
        <f>F2338*(1+Assumptions!$B$7+IF(D2338="Yes",Assumptions!$C$7,0))</f>
        <v>1247090.3550000002</v>
      </c>
      <c r="J2338" s="22">
        <f>F2338*(1+Assumptions!$B$8+IF(D2338="Yes",Assumptions!$C$8,0))</f>
        <v>1199582.1510000001</v>
      </c>
    </row>
    <row r="2339" spans="1:10" ht="15">
      <c r="A2339" s="21">
        <v>41124</v>
      </c>
      <c r="B2339" s="21">
        <v>41122</v>
      </c>
      <c r="C2339" s="17">
        <v>94</v>
      </c>
      <c r="D2339" s="17" t="s">
        <v>91</v>
      </c>
      <c r="E2339" s="14">
        <v>1402454.59</v>
      </c>
      <c r="F2339" s="14">
        <v>1481149.75</v>
      </c>
      <c r="G2339" s="14">
        <v>1481149.75</v>
      </c>
      <c r="H2339" s="22">
        <f>F2339*(1+Assumptions!$B$6+IF(D2339="Yes",Assumptions!$C$6,0))</f>
        <v>1525584.2424999999</v>
      </c>
      <c r="I2339" s="22">
        <f>F2339*(1+Assumptions!$B$7+IF(D2339="Yes",Assumptions!$C$7,0))</f>
        <v>1555207.2375</v>
      </c>
      <c r="J2339" s="22">
        <f>F2339*(1+Assumptions!$B$8+IF(D2339="Yes",Assumptions!$C$8,0))</f>
        <v>1495961.2475000001</v>
      </c>
    </row>
    <row r="2340" spans="1:10" ht="15">
      <c r="A2340" s="21">
        <v>41124</v>
      </c>
      <c r="B2340" s="21">
        <v>41122</v>
      </c>
      <c r="C2340" s="17">
        <v>95</v>
      </c>
      <c r="D2340" s="17" t="s">
        <v>91</v>
      </c>
      <c r="E2340" s="14">
        <v>3411164.17</v>
      </c>
      <c r="F2340" s="14">
        <v>3489024.06</v>
      </c>
      <c r="G2340" s="14">
        <v>3489024.06</v>
      </c>
      <c r="H2340" s="22">
        <f>F2340*(1+Assumptions!$B$6+IF(D2340="Yes",Assumptions!$C$6,0))</f>
        <v>3593694.7818</v>
      </c>
      <c r="I2340" s="22">
        <f>F2340*(1+Assumptions!$B$7+IF(D2340="Yes",Assumptions!$C$7,0))</f>
        <v>3663475.2630000003</v>
      </c>
      <c r="J2340" s="22">
        <f>F2340*(1+Assumptions!$B$8+IF(D2340="Yes",Assumptions!$C$8,0))</f>
        <v>3523914.3006000002</v>
      </c>
    </row>
    <row r="2341" spans="1:10" ht="15">
      <c r="A2341" s="21">
        <v>41124</v>
      </c>
      <c r="B2341" s="21">
        <v>41122</v>
      </c>
      <c r="C2341" s="17">
        <v>96</v>
      </c>
      <c r="D2341" s="17" t="s">
        <v>91</v>
      </c>
      <c r="E2341" s="14">
        <v>593684.79</v>
      </c>
      <c r="F2341" s="14">
        <v>570103.64</v>
      </c>
      <c r="G2341" s="14">
        <v>570103.64</v>
      </c>
      <c r="H2341" s="22">
        <f>F2341*(1+Assumptions!$B$6+IF(D2341="Yes",Assumptions!$C$6,0))</f>
        <v>587206.74920000008</v>
      </c>
      <c r="I2341" s="22">
        <f>F2341*(1+Assumptions!$B$7+IF(D2341="Yes",Assumptions!$C$7,0))</f>
        <v>598608.82200000004</v>
      </c>
      <c r="J2341" s="22">
        <f>F2341*(1+Assumptions!$B$8+IF(D2341="Yes",Assumptions!$C$8,0))</f>
        <v>575804.6764</v>
      </c>
    </row>
    <row r="2342" spans="1:10" ht="15">
      <c r="A2342" s="21">
        <v>41124</v>
      </c>
      <c r="B2342" s="21">
        <v>41122</v>
      </c>
      <c r="C2342" s="17">
        <v>97</v>
      </c>
      <c r="D2342" s="17" t="s">
        <v>91</v>
      </c>
      <c r="E2342" s="14">
        <v>671580.72</v>
      </c>
      <c r="F2342" s="14">
        <v>700766.32</v>
      </c>
      <c r="G2342" s="14">
        <v>700766.32</v>
      </c>
      <c r="H2342" s="22">
        <f>F2342*(1+Assumptions!$B$6+IF(D2342="Yes",Assumptions!$C$6,0))</f>
        <v>721789.30959999992</v>
      </c>
      <c r="I2342" s="22">
        <f>F2342*(1+Assumptions!$B$7+IF(D2342="Yes",Assumptions!$C$7,0))</f>
        <v>735804.63599999994</v>
      </c>
      <c r="J2342" s="22">
        <f>F2342*(1+Assumptions!$B$8+IF(D2342="Yes",Assumptions!$C$8,0))</f>
        <v>707773.9831999999</v>
      </c>
    </row>
    <row r="2343" spans="1:10" ht="15">
      <c r="A2343" s="21">
        <v>41124</v>
      </c>
      <c r="B2343" s="21">
        <v>41122</v>
      </c>
      <c r="C2343" s="17">
        <v>98</v>
      </c>
      <c r="D2343" s="17" t="s">
        <v>91</v>
      </c>
      <c r="E2343" s="14">
        <v>245135.97999999998</v>
      </c>
      <c r="F2343" s="14">
        <v>258925.72</v>
      </c>
      <c r="G2343" s="14">
        <v>258925.72</v>
      </c>
      <c r="H2343" s="22">
        <f>F2343*(1+Assumptions!$B$6+IF(D2343="Yes",Assumptions!$C$6,0))</f>
        <v>266693.49160000001</v>
      </c>
      <c r="I2343" s="22">
        <f>F2343*(1+Assumptions!$B$7+IF(D2343="Yes",Assumptions!$C$7,0))</f>
        <v>271872.00599999999</v>
      </c>
      <c r="J2343" s="22">
        <f>F2343*(1+Assumptions!$B$8+IF(D2343="Yes",Assumptions!$C$8,0))</f>
        <v>261514.97719999999</v>
      </c>
    </row>
    <row r="2344" spans="1:10" ht="15">
      <c r="A2344" s="21">
        <v>41131</v>
      </c>
      <c r="B2344" s="21">
        <v>41122</v>
      </c>
      <c r="C2344" s="17">
        <v>1</v>
      </c>
      <c r="D2344" s="17" t="s">
        <v>91</v>
      </c>
      <c r="E2344" s="14">
        <v>645714.28</v>
      </c>
      <c r="F2344" s="14">
        <v>619463.6</v>
      </c>
      <c r="G2344" s="14">
        <v>619463.6</v>
      </c>
      <c r="H2344" s="22">
        <f>F2344*(1+Assumptions!$B$6+IF(D2344="Yes",Assumptions!$C$6,0))</f>
        <v>638047.50800000003</v>
      </c>
      <c r="I2344" s="22">
        <f>F2344*(1+Assumptions!$B$7+IF(D2344="Yes",Assumptions!$C$7,0))</f>
        <v>650436.78</v>
      </c>
      <c r="J2344" s="22">
        <f>F2344*(1+Assumptions!$B$8+IF(D2344="Yes",Assumptions!$C$8,0))</f>
        <v>625658.23600000003</v>
      </c>
    </row>
    <row r="2345" spans="1:10" ht="15">
      <c r="A2345" s="21">
        <v>41131</v>
      </c>
      <c r="B2345" s="21">
        <v>41122</v>
      </c>
      <c r="C2345" s="17">
        <v>2</v>
      </c>
      <c r="D2345" s="17" t="s">
        <v>91</v>
      </c>
      <c r="E2345" s="14">
        <v>2068667.1</v>
      </c>
      <c r="F2345" s="14">
        <v>2024573.83</v>
      </c>
      <c r="G2345" s="14">
        <v>2024573.83</v>
      </c>
      <c r="H2345" s="22">
        <f>F2345*(1+Assumptions!$B$6+IF(D2345="Yes",Assumptions!$C$6,0))</f>
        <v>2085311.0449000001</v>
      </c>
      <c r="I2345" s="22">
        <f>F2345*(1+Assumptions!$B$7+IF(D2345="Yes",Assumptions!$C$7,0))</f>
        <v>2125802.5215000003</v>
      </c>
      <c r="J2345" s="22">
        <f>F2345*(1+Assumptions!$B$8+IF(D2345="Yes",Assumptions!$C$8,0))</f>
        <v>2044819.5683000002</v>
      </c>
    </row>
    <row r="2346" spans="1:10" ht="15">
      <c r="A2346" s="21">
        <v>41131</v>
      </c>
      <c r="B2346" s="21">
        <v>41122</v>
      </c>
      <c r="C2346" s="17">
        <v>3</v>
      </c>
      <c r="D2346" s="17" t="s">
        <v>91</v>
      </c>
      <c r="E2346" s="14">
        <v>1286478.1299999999</v>
      </c>
      <c r="F2346" s="14">
        <v>1325741.4099999999</v>
      </c>
      <c r="G2346" s="14">
        <v>1325741.4099999999</v>
      </c>
      <c r="H2346" s="22">
        <f>F2346*(1+Assumptions!$B$6+IF(D2346="Yes",Assumptions!$C$6,0))</f>
        <v>1365513.6523</v>
      </c>
      <c r="I2346" s="22">
        <f>F2346*(1+Assumptions!$B$7+IF(D2346="Yes",Assumptions!$C$7,0))</f>
        <v>1392028.4805000001</v>
      </c>
      <c r="J2346" s="22">
        <f>F2346*(1+Assumptions!$B$8+IF(D2346="Yes",Assumptions!$C$8,0))</f>
        <v>1338998.8240999999</v>
      </c>
    </row>
    <row r="2347" spans="1:10" ht="15">
      <c r="A2347" s="21">
        <v>41131</v>
      </c>
      <c r="B2347" s="21">
        <v>41122</v>
      </c>
      <c r="C2347" s="17">
        <v>4</v>
      </c>
      <c r="D2347" s="17" t="s">
        <v>91</v>
      </c>
      <c r="E2347" s="14">
        <v>1250046.56</v>
      </c>
      <c r="F2347" s="14">
        <v>1208181.22</v>
      </c>
      <c r="G2347" s="14">
        <v>1208181.22</v>
      </c>
      <c r="H2347" s="22">
        <f>F2347*(1+Assumptions!$B$6+IF(D2347="Yes",Assumptions!$C$6,0))</f>
        <v>1244426.6566000001</v>
      </c>
      <c r="I2347" s="22">
        <f>F2347*(1+Assumptions!$B$7+IF(D2347="Yes",Assumptions!$C$7,0))</f>
        <v>1268590.281</v>
      </c>
      <c r="J2347" s="22">
        <f>F2347*(1+Assumptions!$B$8+IF(D2347="Yes",Assumptions!$C$8,0))</f>
        <v>1220263.0322</v>
      </c>
    </row>
    <row r="2348" spans="1:10" ht="15">
      <c r="A2348" s="21">
        <v>41131</v>
      </c>
      <c r="B2348" s="21">
        <v>41122</v>
      </c>
      <c r="C2348" s="17">
        <v>5</v>
      </c>
      <c r="D2348" s="17" t="s">
        <v>91</v>
      </c>
      <c r="E2348" s="14">
        <v>636480.17000000004</v>
      </c>
      <c r="F2348" s="14">
        <v>703222.03</v>
      </c>
      <c r="G2348" s="14">
        <v>703222.03</v>
      </c>
      <c r="H2348" s="22">
        <f>F2348*(1+Assumptions!$B$6+IF(D2348="Yes",Assumptions!$C$6,0))</f>
        <v>724318.69090000005</v>
      </c>
      <c r="I2348" s="22">
        <f>F2348*(1+Assumptions!$B$7+IF(D2348="Yes",Assumptions!$C$7,0))</f>
        <v>738383.13150000002</v>
      </c>
      <c r="J2348" s="22">
        <f>F2348*(1+Assumptions!$B$8+IF(D2348="Yes",Assumptions!$C$8,0))</f>
        <v>710254.25030000007</v>
      </c>
    </row>
    <row r="2349" spans="1:10" ht="15">
      <c r="A2349" s="21">
        <v>41131</v>
      </c>
      <c r="B2349" s="21">
        <v>41122</v>
      </c>
      <c r="C2349" s="17">
        <v>6</v>
      </c>
      <c r="D2349" s="17" t="s">
        <v>91</v>
      </c>
      <c r="E2349" s="14">
        <v>134317.04</v>
      </c>
      <c r="F2349" s="14">
        <v>171388.21</v>
      </c>
      <c r="G2349" s="14">
        <v>171388.21</v>
      </c>
      <c r="H2349" s="22">
        <f>F2349*(1+Assumptions!$B$6+IF(D2349="Yes",Assumptions!$C$6,0))</f>
        <v>176529.85629999998</v>
      </c>
      <c r="I2349" s="22">
        <f>F2349*(1+Assumptions!$B$7+IF(D2349="Yes",Assumptions!$C$7,0))</f>
        <v>179957.62049999999</v>
      </c>
      <c r="J2349" s="22">
        <f>F2349*(1+Assumptions!$B$8+IF(D2349="Yes",Assumptions!$C$8,0))</f>
        <v>173102.09209999998</v>
      </c>
    </row>
    <row r="2350" spans="1:10" ht="15">
      <c r="A2350" s="21">
        <v>41131</v>
      </c>
      <c r="B2350" s="21">
        <v>41122</v>
      </c>
      <c r="C2350" s="17">
        <v>7</v>
      </c>
      <c r="D2350" s="17" t="s">
        <v>91</v>
      </c>
      <c r="E2350" s="14">
        <v>795387.58</v>
      </c>
      <c r="F2350" s="14">
        <v>759914.49</v>
      </c>
      <c r="G2350" s="14">
        <v>759914.49</v>
      </c>
      <c r="H2350" s="22">
        <f>F2350*(1+Assumptions!$B$6+IF(D2350="Yes",Assumptions!$C$6,0))</f>
        <v>782711.92469999997</v>
      </c>
      <c r="I2350" s="22">
        <f>F2350*(1+Assumptions!$B$7+IF(D2350="Yes",Assumptions!$C$7,0))</f>
        <v>797910.2145</v>
      </c>
      <c r="J2350" s="22">
        <f>F2350*(1+Assumptions!$B$8+IF(D2350="Yes",Assumptions!$C$8,0))</f>
        <v>767513.63489999995</v>
      </c>
    </row>
    <row r="2351" spans="1:10" ht="15">
      <c r="A2351" s="21">
        <v>41131</v>
      </c>
      <c r="B2351" s="21">
        <v>41122</v>
      </c>
      <c r="C2351" s="17">
        <v>8</v>
      </c>
      <c r="D2351" s="17" t="s">
        <v>91</v>
      </c>
      <c r="E2351" s="14">
        <v>1355065.25</v>
      </c>
      <c r="F2351" s="14">
        <v>1290362.54</v>
      </c>
      <c r="G2351" s="14">
        <v>1290362.54</v>
      </c>
      <c r="H2351" s="22">
        <f>F2351*(1+Assumptions!$B$6+IF(D2351="Yes",Assumptions!$C$6,0))</f>
        <v>1329073.4162000001</v>
      </c>
      <c r="I2351" s="22">
        <f>F2351*(1+Assumptions!$B$7+IF(D2351="Yes",Assumptions!$C$7,0))</f>
        <v>1354880.6670000001</v>
      </c>
      <c r="J2351" s="22">
        <f>F2351*(1+Assumptions!$B$8+IF(D2351="Yes",Assumptions!$C$8,0))</f>
        <v>1303266.1654000001</v>
      </c>
    </row>
    <row r="2352" spans="1:10" ht="15">
      <c r="A2352" s="21">
        <v>41131</v>
      </c>
      <c r="B2352" s="21">
        <v>41122</v>
      </c>
      <c r="C2352" s="17">
        <v>9</v>
      </c>
      <c r="D2352" s="17" t="s">
        <v>91</v>
      </c>
      <c r="E2352" s="14">
        <v>961358.82</v>
      </c>
      <c r="F2352" s="14">
        <v>970450.26</v>
      </c>
      <c r="G2352" s="14">
        <v>970450.26</v>
      </c>
      <c r="H2352" s="22">
        <f>F2352*(1+Assumptions!$B$6+IF(D2352="Yes",Assumptions!$C$6,0))</f>
        <v>999563.76780000003</v>
      </c>
      <c r="I2352" s="22">
        <f>F2352*(1+Assumptions!$B$7+IF(D2352="Yes",Assumptions!$C$7,0))</f>
        <v>1018972.773</v>
      </c>
      <c r="J2352" s="22">
        <f>F2352*(1+Assumptions!$B$8+IF(D2352="Yes",Assumptions!$C$8,0))</f>
        <v>980154.76260000002</v>
      </c>
    </row>
    <row r="2353" spans="1:10" ht="15">
      <c r="A2353" s="21">
        <v>41131</v>
      </c>
      <c r="B2353" s="21">
        <v>41122</v>
      </c>
      <c r="C2353" s="17">
        <v>10</v>
      </c>
      <c r="D2353" s="17" t="s">
        <v>91</v>
      </c>
      <c r="E2353" s="14">
        <v>866521.17999999993</v>
      </c>
      <c r="F2353" s="14">
        <v>860275.87</v>
      </c>
      <c r="G2353" s="14">
        <v>860275.87</v>
      </c>
      <c r="H2353" s="22">
        <f>F2353*(1+Assumptions!$B$6+IF(D2353="Yes",Assumptions!$C$6,0))</f>
        <v>886084.14610000001</v>
      </c>
      <c r="I2353" s="22">
        <f>F2353*(1+Assumptions!$B$7+IF(D2353="Yes",Assumptions!$C$7,0))</f>
        <v>903289.66350000002</v>
      </c>
      <c r="J2353" s="22">
        <f>F2353*(1+Assumptions!$B$8+IF(D2353="Yes",Assumptions!$C$8,0))</f>
        <v>868878.6287</v>
      </c>
    </row>
    <row r="2354" spans="1:10" ht="15">
      <c r="A2354" s="21">
        <v>41131</v>
      </c>
      <c r="B2354" s="21">
        <v>41122</v>
      </c>
      <c r="C2354" s="17">
        <v>11</v>
      </c>
      <c r="D2354" s="17" t="s">
        <v>91</v>
      </c>
      <c r="E2354" s="14">
        <v>637398.02</v>
      </c>
      <c r="F2354" s="14">
        <v>581400.42000000004</v>
      </c>
      <c r="G2354" s="14">
        <v>581400.42000000004</v>
      </c>
      <c r="H2354" s="22">
        <f>F2354*(1+Assumptions!$B$6+IF(D2354="Yes",Assumptions!$C$6,0))</f>
        <v>598842.43260000006</v>
      </c>
      <c r="I2354" s="22">
        <f>F2354*(1+Assumptions!$B$7+IF(D2354="Yes",Assumptions!$C$7,0))</f>
        <v>610470.44100000011</v>
      </c>
      <c r="J2354" s="22">
        <f>F2354*(1+Assumptions!$B$8+IF(D2354="Yes",Assumptions!$C$8,0))</f>
        <v>587214.42420000001</v>
      </c>
    </row>
    <row r="2355" spans="1:10" ht="15">
      <c r="A2355" s="21">
        <v>41131</v>
      </c>
      <c r="B2355" s="21">
        <v>41122</v>
      </c>
      <c r="C2355" s="17">
        <v>12</v>
      </c>
      <c r="D2355" s="17" t="s">
        <v>91</v>
      </c>
      <c r="E2355" s="14">
        <v>205041.03</v>
      </c>
      <c r="F2355" s="14">
        <v>199173.98</v>
      </c>
      <c r="G2355" s="14">
        <v>199173.98</v>
      </c>
      <c r="H2355" s="22">
        <f>F2355*(1+Assumptions!$B$6+IF(D2355="Yes",Assumptions!$C$6,0))</f>
        <v>205149.19940000001</v>
      </c>
      <c r="I2355" s="22">
        <f>F2355*(1+Assumptions!$B$7+IF(D2355="Yes",Assumptions!$C$7,0))</f>
        <v>209132.67900000003</v>
      </c>
      <c r="J2355" s="22">
        <f>F2355*(1+Assumptions!$B$8+IF(D2355="Yes",Assumptions!$C$8,0))</f>
        <v>201165.71980000002</v>
      </c>
    </row>
    <row r="2356" spans="1:10" ht="15">
      <c r="A2356" s="21">
        <v>41131</v>
      </c>
      <c r="B2356" s="21">
        <v>41122</v>
      </c>
      <c r="C2356" s="17">
        <v>13</v>
      </c>
      <c r="D2356" s="17" t="s">
        <v>91</v>
      </c>
      <c r="E2356" s="14">
        <v>1445633.7</v>
      </c>
      <c r="F2356" s="14">
        <v>1375193.05</v>
      </c>
      <c r="G2356" s="14">
        <v>1375193.05</v>
      </c>
      <c r="H2356" s="22">
        <f>F2356*(1+Assumptions!$B$6+IF(D2356="Yes",Assumptions!$C$6,0))</f>
        <v>1416448.8415000001</v>
      </c>
      <c r="I2356" s="22">
        <f>F2356*(1+Assumptions!$B$7+IF(D2356="Yes",Assumptions!$C$7,0))</f>
        <v>1443952.7025000001</v>
      </c>
      <c r="J2356" s="22">
        <f>F2356*(1+Assumptions!$B$8+IF(D2356="Yes",Assumptions!$C$8,0))</f>
        <v>1388944.9805000001</v>
      </c>
    </row>
    <row r="2357" spans="1:10" ht="15">
      <c r="A2357" s="21">
        <v>41131</v>
      </c>
      <c r="B2357" s="21">
        <v>41122</v>
      </c>
      <c r="C2357" s="17">
        <v>14</v>
      </c>
      <c r="D2357" s="17" t="s">
        <v>91</v>
      </c>
      <c r="E2357" s="14">
        <v>618229.11</v>
      </c>
      <c r="F2357" s="14">
        <v>599198.03</v>
      </c>
      <c r="G2357" s="14">
        <v>599198.03</v>
      </c>
      <c r="H2357" s="22">
        <f>F2357*(1+Assumptions!$B$6+IF(D2357="Yes",Assumptions!$C$6,0))</f>
        <v>617173.97090000007</v>
      </c>
      <c r="I2357" s="22">
        <f>F2357*(1+Assumptions!$B$7+IF(D2357="Yes",Assumptions!$C$7,0))</f>
        <v>629157.93150000006</v>
      </c>
      <c r="J2357" s="22">
        <f>F2357*(1+Assumptions!$B$8+IF(D2357="Yes",Assumptions!$C$8,0))</f>
        <v>605190.01030000008</v>
      </c>
    </row>
    <row r="2358" spans="1:10" ht="15">
      <c r="A2358" s="21">
        <v>41131</v>
      </c>
      <c r="B2358" s="21">
        <v>41122</v>
      </c>
      <c r="C2358" s="17">
        <v>16</v>
      </c>
      <c r="D2358" s="17" t="s">
        <v>91</v>
      </c>
      <c r="E2358" s="14">
        <v>610863.16</v>
      </c>
      <c r="F2358" s="14">
        <v>597877.56000000006</v>
      </c>
      <c r="G2358" s="14">
        <v>597877.56000000006</v>
      </c>
      <c r="H2358" s="22">
        <f>F2358*(1+Assumptions!$B$6+IF(D2358="Yes",Assumptions!$C$6,0))</f>
        <v>615813.88680000009</v>
      </c>
      <c r="I2358" s="22">
        <f>F2358*(1+Assumptions!$B$7+IF(D2358="Yes",Assumptions!$C$7,0))</f>
        <v>627771.43800000008</v>
      </c>
      <c r="J2358" s="22">
        <f>F2358*(1+Assumptions!$B$8+IF(D2358="Yes",Assumptions!$C$8,0))</f>
        <v>603856.33560000011</v>
      </c>
    </row>
    <row r="2359" spans="1:10" ht="15">
      <c r="A2359" s="21">
        <v>41131</v>
      </c>
      <c r="B2359" s="21">
        <v>41122</v>
      </c>
      <c r="C2359" s="17">
        <v>17</v>
      </c>
      <c r="D2359" s="17" t="s">
        <v>91</v>
      </c>
      <c r="E2359" s="14">
        <v>431507.61</v>
      </c>
      <c r="F2359" s="14">
        <v>418740.15</v>
      </c>
      <c r="G2359" s="14">
        <v>418740.15</v>
      </c>
      <c r="H2359" s="22">
        <f>F2359*(1+Assumptions!$B$6+IF(D2359="Yes",Assumptions!$C$6,0))</f>
        <v>431302.35450000002</v>
      </c>
      <c r="I2359" s="22">
        <f>F2359*(1+Assumptions!$B$7+IF(D2359="Yes",Assumptions!$C$7,0))</f>
        <v>439677.15750000003</v>
      </c>
      <c r="J2359" s="22">
        <f>F2359*(1+Assumptions!$B$8+IF(D2359="Yes",Assumptions!$C$8,0))</f>
        <v>422927.5515</v>
      </c>
    </row>
    <row r="2360" spans="1:10" ht="15">
      <c r="A2360" s="21">
        <v>41131</v>
      </c>
      <c r="B2360" s="21">
        <v>41122</v>
      </c>
      <c r="C2360" s="17">
        <v>18</v>
      </c>
      <c r="D2360" s="17" t="s">
        <v>91</v>
      </c>
      <c r="E2360" s="14">
        <v>555.1</v>
      </c>
      <c r="F2360" s="14">
        <v>72.12</v>
      </c>
      <c r="G2360" s="14">
        <v>72.12</v>
      </c>
      <c r="H2360" s="22">
        <f>F2360*(1+Assumptions!$B$6+IF(D2360="Yes",Assumptions!$C$6,0))</f>
        <v>74.283600000000007</v>
      </c>
      <c r="I2360" s="22">
        <f>F2360*(1+Assumptions!$B$7+IF(D2360="Yes",Assumptions!$C$7,0))</f>
        <v>75.726000000000013</v>
      </c>
      <c r="J2360" s="22">
        <f>F2360*(1+Assumptions!$B$8+IF(D2360="Yes",Assumptions!$C$8,0))</f>
        <v>72.841200000000001</v>
      </c>
    </row>
    <row r="2361" spans="1:10" ht="15">
      <c r="A2361" s="21">
        <v>41131</v>
      </c>
      <c r="B2361" s="21">
        <v>41122</v>
      </c>
      <c r="C2361" s="17">
        <v>19</v>
      </c>
      <c r="D2361" s="17" t="s">
        <v>91</v>
      </c>
      <c r="E2361" s="14">
        <v>43811.23</v>
      </c>
      <c r="F2361" s="14">
        <v>42961.65</v>
      </c>
      <c r="G2361" s="14">
        <v>42961.65</v>
      </c>
      <c r="H2361" s="22">
        <f>F2361*(1+Assumptions!$B$6+IF(D2361="Yes",Assumptions!$C$6,0))</f>
        <v>44250.499500000005</v>
      </c>
      <c r="I2361" s="22">
        <f>F2361*(1+Assumptions!$B$7+IF(D2361="Yes",Assumptions!$C$7,0))</f>
        <v>45109.732500000006</v>
      </c>
      <c r="J2361" s="22">
        <f>F2361*(1+Assumptions!$B$8+IF(D2361="Yes",Assumptions!$C$8,0))</f>
        <v>43391.266500000005</v>
      </c>
    </row>
    <row r="2362" spans="1:10" ht="15">
      <c r="A2362" s="21">
        <v>41131</v>
      </c>
      <c r="B2362" s="21">
        <v>41122</v>
      </c>
      <c r="C2362" s="17">
        <v>20</v>
      </c>
      <c r="D2362" s="17" t="s">
        <v>91</v>
      </c>
      <c r="E2362" s="14">
        <v>258946.11000000002</v>
      </c>
      <c r="F2362" s="14">
        <v>251370.16</v>
      </c>
      <c r="G2362" s="14">
        <v>251370.16</v>
      </c>
      <c r="H2362" s="22">
        <f>F2362*(1+Assumptions!$B$6+IF(D2362="Yes",Assumptions!$C$6,0))</f>
        <v>258911.2648</v>
      </c>
      <c r="I2362" s="22">
        <f>F2362*(1+Assumptions!$B$7+IF(D2362="Yes",Assumptions!$C$7,0))</f>
        <v>263938.66800000001</v>
      </c>
      <c r="J2362" s="22">
        <f>F2362*(1+Assumptions!$B$8+IF(D2362="Yes",Assumptions!$C$8,0))</f>
        <v>253883.8616</v>
      </c>
    </row>
    <row r="2363" spans="1:10" ht="15">
      <c r="A2363" s="21">
        <v>41131</v>
      </c>
      <c r="B2363" s="21">
        <v>41122</v>
      </c>
      <c r="C2363" s="17">
        <v>21</v>
      </c>
      <c r="D2363" s="17" t="s">
        <v>91</v>
      </c>
      <c r="E2363" s="14">
        <v>209187.5</v>
      </c>
      <c r="F2363" s="14">
        <v>210035.99</v>
      </c>
      <c r="G2363" s="14">
        <v>210035.99</v>
      </c>
      <c r="H2363" s="22">
        <f>F2363*(1+Assumptions!$B$6+IF(D2363="Yes",Assumptions!$C$6,0))</f>
        <v>216337.06969999999</v>
      </c>
      <c r="I2363" s="22">
        <f>F2363*(1+Assumptions!$B$7+IF(D2363="Yes",Assumptions!$C$7,0))</f>
        <v>220537.78950000001</v>
      </c>
      <c r="J2363" s="22">
        <f>F2363*(1+Assumptions!$B$8+IF(D2363="Yes",Assumptions!$C$8,0))</f>
        <v>212136.3499</v>
      </c>
    </row>
    <row r="2364" spans="1:10" ht="15">
      <c r="A2364" s="21">
        <v>41131</v>
      </c>
      <c r="B2364" s="21">
        <v>41122</v>
      </c>
      <c r="C2364" s="17">
        <v>22</v>
      </c>
      <c r="D2364" s="17" t="s">
        <v>91</v>
      </c>
      <c r="E2364" s="14">
        <v>431099.89</v>
      </c>
      <c r="F2364" s="14">
        <v>401592.63</v>
      </c>
      <c r="G2364" s="14">
        <v>401592.63</v>
      </c>
      <c r="H2364" s="22">
        <f>F2364*(1+Assumptions!$B$6+IF(D2364="Yes",Assumptions!$C$6,0))</f>
        <v>413640.40890000004</v>
      </c>
      <c r="I2364" s="22">
        <f>F2364*(1+Assumptions!$B$7+IF(D2364="Yes",Assumptions!$C$7,0))</f>
        <v>421672.26150000002</v>
      </c>
      <c r="J2364" s="22">
        <f>F2364*(1+Assumptions!$B$8+IF(D2364="Yes",Assumptions!$C$8,0))</f>
        <v>405608.5563</v>
      </c>
    </row>
    <row r="2365" spans="1:10" ht="15">
      <c r="A2365" s="21">
        <v>41131</v>
      </c>
      <c r="B2365" s="21">
        <v>41122</v>
      </c>
      <c r="C2365" s="17">
        <v>23</v>
      </c>
      <c r="D2365" s="17" t="s">
        <v>91</v>
      </c>
      <c r="E2365" s="14">
        <v>979129.76</v>
      </c>
      <c r="F2365" s="14">
        <v>917635.91</v>
      </c>
      <c r="G2365" s="14">
        <v>917635.91</v>
      </c>
      <c r="H2365" s="22">
        <f>F2365*(1+Assumptions!$B$6+IF(D2365="Yes",Assumptions!$C$6,0))</f>
        <v>945164.98730000004</v>
      </c>
      <c r="I2365" s="22">
        <f>F2365*(1+Assumptions!$B$7+IF(D2365="Yes",Assumptions!$C$7,0))</f>
        <v>963517.70550000004</v>
      </c>
      <c r="J2365" s="22">
        <f>F2365*(1+Assumptions!$B$8+IF(D2365="Yes",Assumptions!$C$8,0))</f>
        <v>926812.26910000003</v>
      </c>
    </row>
    <row r="2366" spans="1:10" ht="15">
      <c r="A2366" s="21">
        <v>41131</v>
      </c>
      <c r="B2366" s="21">
        <v>41122</v>
      </c>
      <c r="C2366" s="17">
        <v>24</v>
      </c>
      <c r="D2366" s="17" t="s">
        <v>91</v>
      </c>
      <c r="E2366" s="14">
        <v>300583.93</v>
      </c>
      <c r="F2366" s="14">
        <v>326429.67</v>
      </c>
      <c r="G2366" s="14">
        <v>326429.67</v>
      </c>
      <c r="H2366" s="22">
        <f>F2366*(1+Assumptions!$B$6+IF(D2366="Yes",Assumptions!$C$6,0))</f>
        <v>336222.5601</v>
      </c>
      <c r="I2366" s="22">
        <f>F2366*(1+Assumptions!$B$7+IF(D2366="Yes",Assumptions!$C$7,0))</f>
        <v>342751.15350000001</v>
      </c>
      <c r="J2366" s="22">
        <f>F2366*(1+Assumptions!$B$8+IF(D2366="Yes",Assumptions!$C$8,0))</f>
        <v>329693.96669999999</v>
      </c>
    </row>
    <row r="2367" spans="1:10" ht="15">
      <c r="A2367" s="21">
        <v>41131</v>
      </c>
      <c r="B2367" s="21">
        <v>41122</v>
      </c>
      <c r="C2367" s="17">
        <v>25</v>
      </c>
      <c r="D2367" s="17" t="s">
        <v>91</v>
      </c>
      <c r="E2367" s="14">
        <v>354927.4</v>
      </c>
      <c r="F2367" s="14">
        <v>366574.44</v>
      </c>
      <c r="G2367" s="14">
        <v>366574.44</v>
      </c>
      <c r="H2367" s="22">
        <f>F2367*(1+Assumptions!$B$6+IF(D2367="Yes",Assumptions!$C$6,0))</f>
        <v>377571.67320000002</v>
      </c>
      <c r="I2367" s="22">
        <f>F2367*(1+Assumptions!$B$7+IF(D2367="Yes",Assumptions!$C$7,0))</f>
        <v>384903.16200000001</v>
      </c>
      <c r="J2367" s="22">
        <f>F2367*(1+Assumptions!$B$8+IF(D2367="Yes",Assumptions!$C$8,0))</f>
        <v>370240.18440000003</v>
      </c>
    </row>
    <row r="2368" spans="1:10" ht="15">
      <c r="A2368" s="21">
        <v>41131</v>
      </c>
      <c r="B2368" s="21">
        <v>41122</v>
      </c>
      <c r="C2368" s="17">
        <v>26</v>
      </c>
      <c r="D2368" s="17" t="s">
        <v>91</v>
      </c>
      <c r="E2368" s="14">
        <v>243213.94</v>
      </c>
      <c r="F2368" s="14">
        <v>246998.11000000002</v>
      </c>
      <c r="G2368" s="14">
        <v>246998.11000000002</v>
      </c>
      <c r="H2368" s="22">
        <f>F2368*(1+Assumptions!$B$6+IF(D2368="Yes",Assumptions!$C$6,0))</f>
        <v>254408.05330000003</v>
      </c>
      <c r="I2368" s="22">
        <f>F2368*(1+Assumptions!$B$7+IF(D2368="Yes",Assumptions!$C$7,0))</f>
        <v>259348.01550000004</v>
      </c>
      <c r="J2368" s="22">
        <f>F2368*(1+Assumptions!$B$8+IF(D2368="Yes",Assumptions!$C$8,0))</f>
        <v>249468.09110000002</v>
      </c>
    </row>
    <row r="2369" spans="1:10" ht="15">
      <c r="A2369" s="21">
        <v>41131</v>
      </c>
      <c r="B2369" s="21">
        <v>41122</v>
      </c>
      <c r="C2369" s="17">
        <v>27</v>
      </c>
      <c r="D2369" s="17" t="s">
        <v>91</v>
      </c>
      <c r="E2369" s="14">
        <v>52689</v>
      </c>
      <c r="F2369" s="14">
        <v>47568.67</v>
      </c>
      <c r="G2369" s="14">
        <v>47568.67</v>
      </c>
      <c r="H2369" s="22">
        <f>F2369*(1+Assumptions!$B$6+IF(D2369="Yes",Assumptions!$C$6,0))</f>
        <v>48995.730100000001</v>
      </c>
      <c r="I2369" s="22">
        <f>F2369*(1+Assumptions!$B$7+IF(D2369="Yes",Assumptions!$C$7,0))</f>
        <v>49947.103499999997</v>
      </c>
      <c r="J2369" s="22">
        <f>F2369*(1+Assumptions!$B$8+IF(D2369="Yes",Assumptions!$C$8,0))</f>
        <v>48044.356699999997</v>
      </c>
    </row>
    <row r="2370" spans="1:10" ht="15">
      <c r="A2370" s="21">
        <v>41131</v>
      </c>
      <c r="B2370" s="21">
        <v>41122</v>
      </c>
      <c r="C2370" s="17">
        <v>28</v>
      </c>
      <c r="D2370" s="17" t="s">
        <v>91</v>
      </c>
      <c r="E2370" s="14">
        <v>14582.87</v>
      </c>
      <c r="F2370" s="14">
        <v>14379.9</v>
      </c>
      <c r="G2370" s="14">
        <v>14379.9</v>
      </c>
      <c r="H2370" s="22">
        <f>F2370*(1+Assumptions!$B$6+IF(D2370="Yes",Assumptions!$C$6,0))</f>
        <v>14811.297</v>
      </c>
      <c r="I2370" s="22">
        <f>F2370*(1+Assumptions!$B$7+IF(D2370="Yes",Assumptions!$C$7,0))</f>
        <v>15098.895</v>
      </c>
      <c r="J2370" s="22">
        <f>F2370*(1+Assumptions!$B$8+IF(D2370="Yes",Assumptions!$C$8,0))</f>
        <v>14523.699000000001</v>
      </c>
    </row>
    <row r="2371" spans="1:10" ht="15">
      <c r="A2371" s="21">
        <v>41131</v>
      </c>
      <c r="B2371" s="21">
        <v>41122</v>
      </c>
      <c r="C2371" s="17">
        <v>29</v>
      </c>
      <c r="D2371" s="17" t="s">
        <v>91</v>
      </c>
      <c r="E2371" s="14">
        <v>211719.74</v>
      </c>
      <c r="F2371" s="14">
        <v>199565.69</v>
      </c>
      <c r="G2371" s="14">
        <v>199565.69</v>
      </c>
      <c r="H2371" s="22">
        <f>F2371*(1+Assumptions!$B$6+IF(D2371="Yes",Assumptions!$C$6,0))</f>
        <v>205552.66070000001</v>
      </c>
      <c r="I2371" s="22">
        <f>F2371*(1+Assumptions!$B$7+IF(D2371="Yes",Assumptions!$C$7,0))</f>
        <v>209543.97450000001</v>
      </c>
      <c r="J2371" s="22">
        <f>F2371*(1+Assumptions!$B$8+IF(D2371="Yes",Assumptions!$C$8,0))</f>
        <v>201561.3469</v>
      </c>
    </row>
    <row r="2372" spans="1:10" ht="15">
      <c r="A2372" s="21">
        <v>41131</v>
      </c>
      <c r="B2372" s="21">
        <v>41122</v>
      </c>
      <c r="C2372" s="17">
        <v>30</v>
      </c>
      <c r="D2372" s="17" t="s">
        <v>91</v>
      </c>
      <c r="E2372" s="14">
        <v>160406.62</v>
      </c>
      <c r="F2372" s="14">
        <v>159518.38</v>
      </c>
      <c r="G2372" s="14">
        <v>159518.38</v>
      </c>
      <c r="H2372" s="22">
        <f>F2372*(1+Assumptions!$B$6+IF(D2372="Yes",Assumptions!$C$6,0))</f>
        <v>164303.9314</v>
      </c>
      <c r="I2372" s="22">
        <f>F2372*(1+Assumptions!$B$7+IF(D2372="Yes",Assumptions!$C$7,0))</f>
        <v>167494.299</v>
      </c>
      <c r="J2372" s="22">
        <f>F2372*(1+Assumptions!$B$8+IF(D2372="Yes",Assumptions!$C$8,0))</f>
        <v>161113.5638</v>
      </c>
    </row>
    <row r="2373" spans="1:10" ht="15">
      <c r="A2373" s="21">
        <v>41131</v>
      </c>
      <c r="B2373" s="21">
        <v>41122</v>
      </c>
      <c r="C2373" s="17">
        <v>31</v>
      </c>
      <c r="D2373" s="17" t="s">
        <v>91</v>
      </c>
      <c r="E2373" s="14">
        <v>160968.06</v>
      </c>
      <c r="F2373" s="14">
        <v>185160.01</v>
      </c>
      <c r="G2373" s="14">
        <v>185160.01</v>
      </c>
      <c r="H2373" s="22">
        <f>F2373*(1+Assumptions!$B$6+IF(D2373="Yes",Assumptions!$C$6,0))</f>
        <v>190714.81030000001</v>
      </c>
      <c r="I2373" s="22">
        <f>F2373*(1+Assumptions!$B$7+IF(D2373="Yes",Assumptions!$C$7,0))</f>
        <v>194418.0105</v>
      </c>
      <c r="J2373" s="22">
        <f>F2373*(1+Assumptions!$B$8+IF(D2373="Yes",Assumptions!$C$8,0))</f>
        <v>187011.61010000002</v>
      </c>
    </row>
    <row r="2374" spans="1:10" ht="15">
      <c r="A2374" s="21">
        <v>41131</v>
      </c>
      <c r="B2374" s="21">
        <v>41122</v>
      </c>
      <c r="C2374" s="17">
        <v>32</v>
      </c>
      <c r="D2374" s="17" t="s">
        <v>91</v>
      </c>
      <c r="E2374" s="14">
        <v>239358.96</v>
      </c>
      <c r="F2374" s="14">
        <v>246098.48</v>
      </c>
      <c r="G2374" s="14">
        <v>246098.48</v>
      </c>
      <c r="H2374" s="22">
        <f>F2374*(1+Assumptions!$B$6+IF(D2374="Yes",Assumptions!$C$6,0))</f>
        <v>253481.43440000003</v>
      </c>
      <c r="I2374" s="22">
        <f>F2374*(1+Assumptions!$B$7+IF(D2374="Yes",Assumptions!$C$7,0))</f>
        <v>258403.40400000001</v>
      </c>
      <c r="J2374" s="22">
        <f>F2374*(1+Assumptions!$B$8+IF(D2374="Yes",Assumptions!$C$8,0))</f>
        <v>248559.46480000002</v>
      </c>
    </row>
    <row r="2375" spans="1:10" ht="15">
      <c r="A2375" s="21">
        <v>41131</v>
      </c>
      <c r="B2375" s="21">
        <v>41122</v>
      </c>
      <c r="C2375" s="17">
        <v>33</v>
      </c>
      <c r="D2375" s="17" t="s">
        <v>91</v>
      </c>
      <c r="E2375" s="14">
        <v>309271.69</v>
      </c>
      <c r="F2375" s="14">
        <v>296263.65000000002</v>
      </c>
      <c r="G2375" s="14">
        <v>296263.65000000002</v>
      </c>
      <c r="H2375" s="22">
        <f>F2375*(1+Assumptions!$B$6+IF(D2375="Yes",Assumptions!$C$6,0))</f>
        <v>305151.55950000003</v>
      </c>
      <c r="I2375" s="22">
        <f>F2375*(1+Assumptions!$B$7+IF(D2375="Yes",Assumptions!$C$7,0))</f>
        <v>311076.83250000002</v>
      </c>
      <c r="J2375" s="22">
        <f>F2375*(1+Assumptions!$B$8+IF(D2375="Yes",Assumptions!$C$8,0))</f>
        <v>299226.28650000005</v>
      </c>
    </row>
    <row r="2376" spans="1:10" ht="15">
      <c r="A2376" s="21">
        <v>41131</v>
      </c>
      <c r="B2376" s="21">
        <v>41122</v>
      </c>
      <c r="C2376" s="17">
        <v>34</v>
      </c>
      <c r="D2376" s="17" t="s">
        <v>91</v>
      </c>
      <c r="E2376" s="14">
        <v>565117.63</v>
      </c>
      <c r="F2376" s="14">
        <v>568695.38</v>
      </c>
      <c r="G2376" s="14">
        <v>568695.38</v>
      </c>
      <c r="H2376" s="22">
        <f>F2376*(1+Assumptions!$B$6+IF(D2376="Yes",Assumptions!$C$6,0))</f>
        <v>585756.24140000006</v>
      </c>
      <c r="I2376" s="22">
        <f>F2376*(1+Assumptions!$B$7+IF(D2376="Yes",Assumptions!$C$7,0))</f>
        <v>597130.14899999998</v>
      </c>
      <c r="J2376" s="22">
        <f>F2376*(1+Assumptions!$B$8+IF(D2376="Yes",Assumptions!$C$8,0))</f>
        <v>574382.33380000002</v>
      </c>
    </row>
    <row r="2377" spans="1:10" ht="15">
      <c r="A2377" s="21">
        <v>41131</v>
      </c>
      <c r="B2377" s="21">
        <v>41122</v>
      </c>
      <c r="C2377" s="17">
        <v>35</v>
      </c>
      <c r="D2377" s="17" t="s">
        <v>91</v>
      </c>
      <c r="E2377" s="14">
        <v>90357.119999999995</v>
      </c>
      <c r="F2377" s="14">
        <v>97133.040000000008</v>
      </c>
      <c r="G2377" s="14">
        <v>97133.040000000008</v>
      </c>
      <c r="H2377" s="22">
        <f>F2377*(1+Assumptions!$B$6+IF(D2377="Yes",Assumptions!$C$6,0))</f>
        <v>100047.03120000001</v>
      </c>
      <c r="I2377" s="22">
        <f>F2377*(1+Assumptions!$B$7+IF(D2377="Yes",Assumptions!$C$7,0))</f>
        <v>101989.69200000001</v>
      </c>
      <c r="J2377" s="22">
        <f>F2377*(1+Assumptions!$B$8+IF(D2377="Yes",Assumptions!$C$8,0))</f>
        <v>98104.370400000014</v>
      </c>
    </row>
    <row r="2378" spans="1:10" ht="15">
      <c r="A2378" s="21">
        <v>41131</v>
      </c>
      <c r="B2378" s="21">
        <v>41122</v>
      </c>
      <c r="C2378" s="17">
        <v>36</v>
      </c>
      <c r="D2378" s="17" t="s">
        <v>91</v>
      </c>
      <c r="E2378" s="14">
        <v>26793.21</v>
      </c>
      <c r="F2378" s="14">
        <v>43726.720000000001</v>
      </c>
      <c r="G2378" s="14">
        <v>43726.720000000001</v>
      </c>
      <c r="H2378" s="22">
        <f>F2378*(1+Assumptions!$B$6+IF(D2378="Yes",Assumptions!$C$6,0))</f>
        <v>45038.5216</v>
      </c>
      <c r="I2378" s="22">
        <f>F2378*(1+Assumptions!$B$7+IF(D2378="Yes",Assumptions!$C$7,0))</f>
        <v>45913.056000000004</v>
      </c>
      <c r="J2378" s="22">
        <f>F2378*(1+Assumptions!$B$8+IF(D2378="Yes",Assumptions!$C$8,0))</f>
        <v>44163.987200000003</v>
      </c>
    </row>
    <row r="2379" spans="1:10" ht="15">
      <c r="A2379" s="21">
        <v>41131</v>
      </c>
      <c r="B2379" s="21">
        <v>41122</v>
      </c>
      <c r="C2379" s="17">
        <v>37</v>
      </c>
      <c r="D2379" s="17" t="s">
        <v>91</v>
      </c>
      <c r="E2379" s="14">
        <v>54253.86</v>
      </c>
      <c r="F2379" s="14">
        <v>53480.63</v>
      </c>
      <c r="G2379" s="14">
        <v>53480.63</v>
      </c>
      <c r="H2379" s="22">
        <f>F2379*(1+Assumptions!$B$6+IF(D2379="Yes",Assumptions!$C$6,0))</f>
        <v>55085.048900000002</v>
      </c>
      <c r="I2379" s="22">
        <f>F2379*(1+Assumptions!$B$7+IF(D2379="Yes",Assumptions!$C$7,0))</f>
        <v>56154.661500000002</v>
      </c>
      <c r="J2379" s="22">
        <f>F2379*(1+Assumptions!$B$8+IF(D2379="Yes",Assumptions!$C$8,0))</f>
        <v>54015.436300000001</v>
      </c>
    </row>
    <row r="2380" spans="1:10" ht="15">
      <c r="A2380" s="21">
        <v>41131</v>
      </c>
      <c r="B2380" s="21">
        <v>41122</v>
      </c>
      <c r="C2380" s="17">
        <v>38</v>
      </c>
      <c r="D2380" s="17" t="s">
        <v>91</v>
      </c>
      <c r="E2380" s="14">
        <v>2673662.6</v>
      </c>
      <c r="F2380" s="14">
        <v>2674134.84</v>
      </c>
      <c r="G2380" s="14">
        <v>2674134.84</v>
      </c>
      <c r="H2380" s="22">
        <f>F2380*(1+Assumptions!$B$6+IF(D2380="Yes",Assumptions!$C$6,0))</f>
        <v>2754358.8851999999</v>
      </c>
      <c r="I2380" s="22">
        <f>F2380*(1+Assumptions!$B$7+IF(D2380="Yes",Assumptions!$C$7,0))</f>
        <v>2807841.5819999999</v>
      </c>
      <c r="J2380" s="22">
        <f>F2380*(1+Assumptions!$B$8+IF(D2380="Yes",Assumptions!$C$8,0))</f>
        <v>2700876.1883999999</v>
      </c>
    </row>
    <row r="2381" spans="1:10" ht="15">
      <c r="A2381" s="21">
        <v>41131</v>
      </c>
      <c r="B2381" s="21">
        <v>41122</v>
      </c>
      <c r="C2381" s="17">
        <v>40</v>
      </c>
      <c r="D2381" s="17" t="s">
        <v>91</v>
      </c>
      <c r="E2381" s="14">
        <v>2030745.36</v>
      </c>
      <c r="F2381" s="14">
        <v>1900644.2</v>
      </c>
      <c r="G2381" s="14">
        <v>1900644.2</v>
      </c>
      <c r="H2381" s="22">
        <f>F2381*(1+Assumptions!$B$6+IF(D2381="Yes",Assumptions!$C$6,0))</f>
        <v>1957663.5260000001</v>
      </c>
      <c r="I2381" s="22">
        <f>F2381*(1+Assumptions!$B$7+IF(D2381="Yes",Assumptions!$C$7,0))</f>
        <v>1995676.4100000001</v>
      </c>
      <c r="J2381" s="22">
        <f>F2381*(1+Assumptions!$B$8+IF(D2381="Yes",Assumptions!$C$8,0))</f>
        <v>1919650.642</v>
      </c>
    </row>
    <row r="2382" spans="1:10" ht="15">
      <c r="A2382" s="21">
        <v>41131</v>
      </c>
      <c r="B2382" s="21">
        <v>41122</v>
      </c>
      <c r="C2382" s="17">
        <v>41</v>
      </c>
      <c r="D2382" s="17" t="s">
        <v>91</v>
      </c>
      <c r="E2382" s="14">
        <v>74882.91</v>
      </c>
      <c r="F2382" s="14">
        <v>73779.56</v>
      </c>
      <c r="G2382" s="14">
        <v>73779.56</v>
      </c>
      <c r="H2382" s="22">
        <f>F2382*(1+Assumptions!$B$6+IF(D2382="Yes",Assumptions!$C$6,0))</f>
        <v>75992.946800000005</v>
      </c>
      <c r="I2382" s="22">
        <f>F2382*(1+Assumptions!$B$7+IF(D2382="Yes",Assumptions!$C$7,0))</f>
        <v>77468.538</v>
      </c>
      <c r="J2382" s="22">
        <f>F2382*(1+Assumptions!$B$8+IF(D2382="Yes",Assumptions!$C$8,0))</f>
        <v>74517.355599999995</v>
      </c>
    </row>
    <row r="2383" spans="1:10" ht="15">
      <c r="A2383" s="21">
        <v>41131</v>
      </c>
      <c r="B2383" s="21">
        <v>41122</v>
      </c>
      <c r="C2383" s="17">
        <v>42</v>
      </c>
      <c r="D2383" s="17" t="s">
        <v>91</v>
      </c>
      <c r="E2383" s="14">
        <v>248362.69</v>
      </c>
      <c r="F2383" s="14">
        <v>233381.26</v>
      </c>
      <c r="G2383" s="14">
        <v>233381.26</v>
      </c>
      <c r="H2383" s="22">
        <f>F2383*(1+Assumptions!$B$6+IF(D2383="Yes",Assumptions!$C$6,0))</f>
        <v>240382.69780000002</v>
      </c>
      <c r="I2383" s="22">
        <f>F2383*(1+Assumptions!$B$7+IF(D2383="Yes",Assumptions!$C$7,0))</f>
        <v>245050.32300000003</v>
      </c>
      <c r="J2383" s="22">
        <f>F2383*(1+Assumptions!$B$8+IF(D2383="Yes",Assumptions!$C$8,0))</f>
        <v>235715.07260000001</v>
      </c>
    </row>
    <row r="2384" spans="1:10" ht="15">
      <c r="A2384" s="21">
        <v>41131</v>
      </c>
      <c r="B2384" s="21">
        <v>41122</v>
      </c>
      <c r="C2384" s="17">
        <v>44</v>
      </c>
      <c r="D2384" s="17" t="s">
        <v>91</v>
      </c>
      <c r="E2384" s="14">
        <v>169275.45</v>
      </c>
      <c r="F2384" s="14">
        <v>154522.57</v>
      </c>
      <c r="G2384" s="14">
        <v>154522.57</v>
      </c>
      <c r="H2384" s="22">
        <f>F2384*(1+Assumptions!$B$6+IF(D2384="Yes",Assumptions!$C$6,0))</f>
        <v>159158.24710000001</v>
      </c>
      <c r="I2384" s="22">
        <f>F2384*(1+Assumptions!$B$7+IF(D2384="Yes",Assumptions!$C$7,0))</f>
        <v>162248.69850000003</v>
      </c>
      <c r="J2384" s="22">
        <f>F2384*(1+Assumptions!$B$8+IF(D2384="Yes",Assumptions!$C$8,0))</f>
        <v>156067.79570000002</v>
      </c>
    </row>
    <row r="2385" spans="1:10" ht="15">
      <c r="A2385" s="21">
        <v>41131</v>
      </c>
      <c r="B2385" s="21">
        <v>41122</v>
      </c>
      <c r="C2385" s="17">
        <v>45</v>
      </c>
      <c r="D2385" s="17" t="s">
        <v>91</v>
      </c>
      <c r="E2385" s="14">
        <v>5.97</v>
      </c>
      <c r="F2385" s="14">
        <v>11.47</v>
      </c>
      <c r="G2385" s="14">
        <v>11.47</v>
      </c>
      <c r="H2385" s="22">
        <f>F2385*(1+Assumptions!$B$6+IF(D2385="Yes",Assumptions!$C$6,0))</f>
        <v>11.814100000000002</v>
      </c>
      <c r="I2385" s="22">
        <f>F2385*(1+Assumptions!$B$7+IF(D2385="Yes",Assumptions!$C$7,0))</f>
        <v>12.043500000000002</v>
      </c>
      <c r="J2385" s="22">
        <f>F2385*(1+Assumptions!$B$8+IF(D2385="Yes",Assumptions!$C$8,0))</f>
        <v>11.584700000000002</v>
      </c>
    </row>
    <row r="2386" spans="1:10" ht="15">
      <c r="A2386" s="21">
        <v>41131</v>
      </c>
      <c r="B2386" s="21">
        <v>41122</v>
      </c>
      <c r="C2386" s="17">
        <v>46</v>
      </c>
      <c r="D2386" s="17" t="s">
        <v>91</v>
      </c>
      <c r="E2386" s="14">
        <v>893742.7</v>
      </c>
      <c r="F2386" s="14">
        <v>872294.08</v>
      </c>
      <c r="G2386" s="14">
        <v>872294.08</v>
      </c>
      <c r="H2386" s="22">
        <f>F2386*(1+Assumptions!$B$6+IF(D2386="Yes",Assumptions!$C$6,0))</f>
        <v>898462.90240000002</v>
      </c>
      <c r="I2386" s="22">
        <f>F2386*(1+Assumptions!$B$7+IF(D2386="Yes",Assumptions!$C$7,0))</f>
        <v>915908.78399999999</v>
      </c>
      <c r="J2386" s="22">
        <f>F2386*(1+Assumptions!$B$8+IF(D2386="Yes",Assumptions!$C$8,0))</f>
        <v>881017.02079999994</v>
      </c>
    </row>
    <row r="2387" spans="1:10" ht="15">
      <c r="A2387" s="21">
        <v>41131</v>
      </c>
      <c r="B2387" s="21">
        <v>41122</v>
      </c>
      <c r="C2387" s="17">
        <v>47</v>
      </c>
      <c r="D2387" s="17" t="s">
        <v>91</v>
      </c>
      <c r="E2387" s="14">
        <v>68</v>
      </c>
      <c r="F2387" s="14">
        <v>0</v>
      </c>
      <c r="G2387" s="14">
        <v>0</v>
      </c>
      <c r="H2387" s="22">
        <f>F2387*(1+Assumptions!$B$6+IF(D2387="Yes",Assumptions!$C$6,0))</f>
        <v>0</v>
      </c>
      <c r="I2387" s="22">
        <f>F2387*(1+Assumptions!$B$7+IF(D2387="Yes",Assumptions!$C$7,0))</f>
        <v>0</v>
      </c>
      <c r="J2387" s="22">
        <f>F2387*(1+Assumptions!$B$8+IF(D2387="Yes",Assumptions!$C$8,0))</f>
        <v>0</v>
      </c>
    </row>
    <row r="2388" spans="1:10" ht="15">
      <c r="A2388" s="21">
        <v>41131</v>
      </c>
      <c r="B2388" s="21">
        <v>41122</v>
      </c>
      <c r="C2388" s="17">
        <v>48</v>
      </c>
      <c r="D2388" s="17" t="s">
        <v>91</v>
      </c>
      <c r="E2388" s="14">
        <v>19315</v>
      </c>
      <c r="F2388" s="14">
        <v>10058</v>
      </c>
      <c r="G2388" s="14">
        <v>10058</v>
      </c>
      <c r="H2388" s="22">
        <f>F2388*(1+Assumptions!$B$6+IF(D2388="Yes",Assumptions!$C$6,0))</f>
        <v>10359.74</v>
      </c>
      <c r="I2388" s="22">
        <f>F2388*(1+Assumptions!$B$7+IF(D2388="Yes",Assumptions!$C$7,0))</f>
        <v>10560.9</v>
      </c>
      <c r="J2388" s="22">
        <f>F2388*(1+Assumptions!$B$8+IF(D2388="Yes",Assumptions!$C$8,0))</f>
        <v>10158.58</v>
      </c>
    </row>
    <row r="2389" spans="1:10" ht="15">
      <c r="A2389" s="21">
        <v>41131</v>
      </c>
      <c r="B2389" s="21">
        <v>41122</v>
      </c>
      <c r="C2389" s="17">
        <v>49</v>
      </c>
      <c r="D2389" s="17" t="s">
        <v>91</v>
      </c>
      <c r="E2389" s="14">
        <v>279047.33</v>
      </c>
      <c r="F2389" s="14">
        <v>274543.84000000003</v>
      </c>
      <c r="G2389" s="14">
        <v>274543.84000000003</v>
      </c>
      <c r="H2389" s="22">
        <f>F2389*(1+Assumptions!$B$6+IF(D2389="Yes",Assumptions!$C$6,0))</f>
        <v>282780.15520000004</v>
      </c>
      <c r="I2389" s="22">
        <f>F2389*(1+Assumptions!$B$7+IF(D2389="Yes",Assumptions!$C$7,0))</f>
        <v>288271.03200000006</v>
      </c>
      <c r="J2389" s="22">
        <f>F2389*(1+Assumptions!$B$8+IF(D2389="Yes",Assumptions!$C$8,0))</f>
        <v>277289.27840000001</v>
      </c>
    </row>
    <row r="2390" spans="1:10" ht="15">
      <c r="A2390" s="21">
        <v>41131</v>
      </c>
      <c r="B2390" s="21">
        <v>41122</v>
      </c>
      <c r="C2390" s="17">
        <v>50</v>
      </c>
      <c r="D2390" s="17" t="s">
        <v>91</v>
      </c>
      <c r="E2390" s="14">
        <v>32607.85</v>
      </c>
      <c r="F2390" s="14">
        <v>32449.21</v>
      </c>
      <c r="G2390" s="14">
        <v>32449.21</v>
      </c>
      <c r="H2390" s="22">
        <f>F2390*(1+Assumptions!$B$6+IF(D2390="Yes",Assumptions!$C$6,0))</f>
        <v>33422.686300000001</v>
      </c>
      <c r="I2390" s="22">
        <f>F2390*(1+Assumptions!$B$7+IF(D2390="Yes",Assumptions!$C$7,0))</f>
        <v>34071.6705</v>
      </c>
      <c r="J2390" s="22">
        <f>F2390*(1+Assumptions!$B$8+IF(D2390="Yes",Assumptions!$C$8,0))</f>
        <v>32773.702100000002</v>
      </c>
    </row>
    <row r="2391" spans="1:10" ht="15">
      <c r="A2391" s="21">
        <v>41131</v>
      </c>
      <c r="B2391" s="21">
        <v>41122</v>
      </c>
      <c r="C2391" s="17">
        <v>52</v>
      </c>
      <c r="D2391" s="17" t="s">
        <v>91</v>
      </c>
      <c r="E2391" s="14">
        <v>66069.52</v>
      </c>
      <c r="F2391" s="14">
        <v>71150.47</v>
      </c>
      <c r="G2391" s="14">
        <v>71150.47</v>
      </c>
      <c r="H2391" s="22">
        <f>F2391*(1+Assumptions!$B$6+IF(D2391="Yes",Assumptions!$C$6,0))</f>
        <v>73284.984100000001</v>
      </c>
      <c r="I2391" s="22">
        <f>F2391*(1+Assumptions!$B$7+IF(D2391="Yes",Assumptions!$C$7,0))</f>
        <v>74707.993500000011</v>
      </c>
      <c r="J2391" s="22">
        <f>F2391*(1+Assumptions!$B$8+IF(D2391="Yes",Assumptions!$C$8,0))</f>
        <v>71861.974700000006</v>
      </c>
    </row>
    <row r="2392" spans="1:10" ht="15">
      <c r="A2392" s="21">
        <v>41131</v>
      </c>
      <c r="B2392" s="21">
        <v>41122</v>
      </c>
      <c r="C2392" s="17">
        <v>54</v>
      </c>
      <c r="D2392" s="17" t="s">
        <v>91</v>
      </c>
      <c r="E2392" s="14">
        <v>991.38</v>
      </c>
      <c r="F2392" s="14">
        <v>1570.44</v>
      </c>
      <c r="G2392" s="14">
        <v>1570.44</v>
      </c>
      <c r="H2392" s="22">
        <f>F2392*(1+Assumptions!$B$6+IF(D2392="Yes",Assumptions!$C$6,0))</f>
        <v>1617.5532000000001</v>
      </c>
      <c r="I2392" s="22">
        <f>F2392*(1+Assumptions!$B$7+IF(D2392="Yes",Assumptions!$C$7,0))</f>
        <v>1648.9620000000002</v>
      </c>
      <c r="J2392" s="22">
        <f>F2392*(1+Assumptions!$B$8+IF(D2392="Yes",Assumptions!$C$8,0))</f>
        <v>1586.1444000000001</v>
      </c>
    </row>
    <row r="2393" spans="1:10" ht="15">
      <c r="A2393" s="21">
        <v>41131</v>
      </c>
      <c r="B2393" s="21">
        <v>41122</v>
      </c>
      <c r="C2393" s="17">
        <v>55</v>
      </c>
      <c r="D2393" s="17" t="s">
        <v>91</v>
      </c>
      <c r="E2393" s="14">
        <v>228438.01</v>
      </c>
      <c r="F2393" s="14">
        <v>263842.45</v>
      </c>
      <c r="G2393" s="14">
        <v>263842.45</v>
      </c>
      <c r="H2393" s="22">
        <f>F2393*(1+Assumptions!$B$6+IF(D2393="Yes",Assumptions!$C$6,0))</f>
        <v>271757.72350000002</v>
      </c>
      <c r="I2393" s="22">
        <f>F2393*(1+Assumptions!$B$7+IF(D2393="Yes",Assumptions!$C$7,0))</f>
        <v>277034.57250000001</v>
      </c>
      <c r="J2393" s="22">
        <f>F2393*(1+Assumptions!$B$8+IF(D2393="Yes",Assumptions!$C$8,0))</f>
        <v>266480.87450000003</v>
      </c>
    </row>
    <row r="2394" spans="1:10" ht="15">
      <c r="A2394" s="21">
        <v>41131</v>
      </c>
      <c r="B2394" s="21">
        <v>41122</v>
      </c>
      <c r="C2394" s="17">
        <v>56</v>
      </c>
      <c r="D2394" s="17" t="s">
        <v>91</v>
      </c>
      <c r="E2394" s="14">
        <v>44340.55</v>
      </c>
      <c r="F2394" s="14">
        <v>44672.68</v>
      </c>
      <c r="G2394" s="14">
        <v>44672.68</v>
      </c>
      <c r="H2394" s="22">
        <f>F2394*(1+Assumptions!$B$6+IF(D2394="Yes",Assumptions!$C$6,0))</f>
        <v>46012.860400000005</v>
      </c>
      <c r="I2394" s="22">
        <f>F2394*(1+Assumptions!$B$7+IF(D2394="Yes",Assumptions!$C$7,0))</f>
        <v>46906.314000000006</v>
      </c>
      <c r="J2394" s="22">
        <f>F2394*(1+Assumptions!$B$8+IF(D2394="Yes",Assumptions!$C$8,0))</f>
        <v>45119.406800000004</v>
      </c>
    </row>
    <row r="2395" spans="1:10" ht="15">
      <c r="A2395" s="21">
        <v>41131</v>
      </c>
      <c r="B2395" s="21">
        <v>41122</v>
      </c>
      <c r="C2395" s="17">
        <v>58</v>
      </c>
      <c r="D2395" s="17" t="s">
        <v>91</v>
      </c>
      <c r="E2395" s="14">
        <v>118899</v>
      </c>
      <c r="F2395" s="14">
        <v>90055</v>
      </c>
      <c r="G2395" s="14">
        <v>90055</v>
      </c>
      <c r="H2395" s="22">
        <f>F2395*(1+Assumptions!$B$6+IF(D2395="Yes",Assumptions!$C$6,0))</f>
        <v>92756.650000000009</v>
      </c>
      <c r="I2395" s="22">
        <f>F2395*(1+Assumptions!$B$7+IF(D2395="Yes",Assumptions!$C$7,0))</f>
        <v>94557.75</v>
      </c>
      <c r="J2395" s="22">
        <f>F2395*(1+Assumptions!$B$8+IF(D2395="Yes",Assumptions!$C$8,0))</f>
        <v>90955.55</v>
      </c>
    </row>
    <row r="2396" spans="1:10" ht="15">
      <c r="A2396" s="21">
        <v>41131</v>
      </c>
      <c r="B2396" s="21">
        <v>41122</v>
      </c>
      <c r="C2396" s="17">
        <v>59</v>
      </c>
      <c r="D2396" s="17" t="s">
        <v>91</v>
      </c>
      <c r="E2396" s="14">
        <v>8382.91</v>
      </c>
      <c r="F2396" s="14">
        <v>11582.73</v>
      </c>
      <c r="G2396" s="14">
        <v>11582.73</v>
      </c>
      <c r="H2396" s="22">
        <f>F2396*(1+Assumptions!$B$6+IF(D2396="Yes",Assumptions!$C$6,0))</f>
        <v>11930.2119</v>
      </c>
      <c r="I2396" s="22">
        <f>F2396*(1+Assumptions!$B$7+IF(D2396="Yes",Assumptions!$C$7,0))</f>
        <v>12161.8665</v>
      </c>
      <c r="J2396" s="22">
        <f>F2396*(1+Assumptions!$B$8+IF(D2396="Yes",Assumptions!$C$8,0))</f>
        <v>11698.5573</v>
      </c>
    </row>
    <row r="2397" spans="1:10" ht="15">
      <c r="A2397" s="21">
        <v>41131</v>
      </c>
      <c r="B2397" s="21">
        <v>41122</v>
      </c>
      <c r="C2397" s="17">
        <v>60</v>
      </c>
      <c r="D2397" s="17" t="s">
        <v>91</v>
      </c>
      <c r="E2397" s="14">
        <v>14480.4</v>
      </c>
      <c r="F2397" s="14">
        <v>13200</v>
      </c>
      <c r="G2397" s="14">
        <v>13200</v>
      </c>
      <c r="H2397" s="22">
        <f>F2397*(1+Assumptions!$B$6+IF(D2397="Yes",Assumptions!$C$6,0))</f>
        <v>13596</v>
      </c>
      <c r="I2397" s="22">
        <f>F2397*(1+Assumptions!$B$7+IF(D2397="Yes",Assumptions!$C$7,0))</f>
        <v>13860</v>
      </c>
      <c r="J2397" s="22">
        <f>F2397*(1+Assumptions!$B$8+IF(D2397="Yes",Assumptions!$C$8,0))</f>
        <v>13332</v>
      </c>
    </row>
    <row r="2398" spans="1:10" ht="15">
      <c r="A2398" s="21">
        <v>41131</v>
      </c>
      <c r="B2398" s="21">
        <v>41122</v>
      </c>
      <c r="C2398" s="17">
        <v>65</v>
      </c>
      <c r="D2398" s="17" t="s">
        <v>91</v>
      </c>
      <c r="E2398" s="14">
        <v>53344.17</v>
      </c>
      <c r="F2398" s="14">
        <v>33979.54</v>
      </c>
      <c r="G2398" s="14">
        <v>33979.54</v>
      </c>
      <c r="H2398" s="22">
        <f>F2398*(1+Assumptions!$B$6+IF(D2398="Yes",Assumptions!$C$6,0))</f>
        <v>34998.926200000002</v>
      </c>
      <c r="I2398" s="22">
        <f>F2398*(1+Assumptions!$B$7+IF(D2398="Yes",Assumptions!$C$7,0))</f>
        <v>35678.517</v>
      </c>
      <c r="J2398" s="22">
        <f>F2398*(1+Assumptions!$B$8+IF(D2398="Yes",Assumptions!$C$8,0))</f>
        <v>34319.335400000004</v>
      </c>
    </row>
    <row r="2399" spans="1:10" ht="15">
      <c r="A2399" s="21">
        <v>41131</v>
      </c>
      <c r="B2399" s="21">
        <v>41122</v>
      </c>
      <c r="C2399" s="17">
        <v>67</v>
      </c>
      <c r="D2399" s="17" t="s">
        <v>91</v>
      </c>
      <c r="E2399" s="14">
        <v>270449.96999999997</v>
      </c>
      <c r="F2399" s="14">
        <v>238781.25</v>
      </c>
      <c r="G2399" s="14">
        <v>238781.25</v>
      </c>
      <c r="H2399" s="22">
        <f>F2399*(1+Assumptions!$B$6+IF(D2399="Yes",Assumptions!$C$6,0))</f>
        <v>245944.6875</v>
      </c>
      <c r="I2399" s="22">
        <f>F2399*(1+Assumptions!$B$7+IF(D2399="Yes",Assumptions!$C$7,0))</f>
        <v>250720.3125</v>
      </c>
      <c r="J2399" s="22">
        <f>F2399*(1+Assumptions!$B$8+IF(D2399="Yes",Assumptions!$C$8,0))</f>
        <v>241169.0625</v>
      </c>
    </row>
    <row r="2400" spans="1:10" ht="15">
      <c r="A2400" s="21">
        <v>41131</v>
      </c>
      <c r="B2400" s="21">
        <v>41122</v>
      </c>
      <c r="C2400" s="17">
        <v>71</v>
      </c>
      <c r="D2400" s="17" t="s">
        <v>91</v>
      </c>
      <c r="E2400" s="14">
        <v>225714.78</v>
      </c>
      <c r="F2400" s="14">
        <v>226113.95</v>
      </c>
      <c r="G2400" s="14">
        <v>226113.95</v>
      </c>
      <c r="H2400" s="22">
        <f>F2400*(1+Assumptions!$B$6+IF(D2400="Yes",Assumptions!$C$6,0))</f>
        <v>232897.36850000001</v>
      </c>
      <c r="I2400" s="22">
        <f>F2400*(1+Assumptions!$B$7+IF(D2400="Yes",Assumptions!$C$7,0))</f>
        <v>237419.64750000002</v>
      </c>
      <c r="J2400" s="22">
        <f>F2400*(1+Assumptions!$B$8+IF(D2400="Yes",Assumptions!$C$8,0))</f>
        <v>228375.0895</v>
      </c>
    </row>
    <row r="2401" spans="1:10" ht="15">
      <c r="A2401" s="21">
        <v>41131</v>
      </c>
      <c r="B2401" s="21">
        <v>41122</v>
      </c>
      <c r="C2401" s="17">
        <v>72</v>
      </c>
      <c r="D2401" s="17" t="s">
        <v>91</v>
      </c>
      <c r="E2401" s="14">
        <v>1721078.67</v>
      </c>
      <c r="F2401" s="14">
        <v>1788250.95</v>
      </c>
      <c r="G2401" s="14">
        <v>1788250.95</v>
      </c>
      <c r="H2401" s="22">
        <f>F2401*(1+Assumptions!$B$6+IF(D2401="Yes",Assumptions!$C$6,0))</f>
        <v>1841898.4785</v>
      </c>
      <c r="I2401" s="22">
        <f>F2401*(1+Assumptions!$B$7+IF(D2401="Yes",Assumptions!$C$7,0))</f>
        <v>1877663.4975000001</v>
      </c>
      <c r="J2401" s="22">
        <f>F2401*(1+Assumptions!$B$8+IF(D2401="Yes",Assumptions!$C$8,0))</f>
        <v>1806133.4594999999</v>
      </c>
    </row>
    <row r="2402" spans="1:10" ht="15">
      <c r="A2402" s="21">
        <v>41131</v>
      </c>
      <c r="B2402" s="21">
        <v>41122</v>
      </c>
      <c r="C2402" s="17">
        <v>74</v>
      </c>
      <c r="D2402" s="17" t="s">
        <v>91</v>
      </c>
      <c r="E2402" s="14">
        <v>687463.03</v>
      </c>
      <c r="F2402" s="14">
        <v>689169.78</v>
      </c>
      <c r="G2402" s="14">
        <v>689169.78</v>
      </c>
      <c r="H2402" s="22">
        <f>F2402*(1+Assumptions!$B$6+IF(D2402="Yes",Assumptions!$C$6,0))</f>
        <v>709844.87340000004</v>
      </c>
      <c r="I2402" s="22">
        <f>F2402*(1+Assumptions!$B$7+IF(D2402="Yes",Assumptions!$C$7,0))</f>
        <v>723628.26900000009</v>
      </c>
      <c r="J2402" s="22">
        <f>F2402*(1+Assumptions!$B$8+IF(D2402="Yes",Assumptions!$C$8,0))</f>
        <v>696061.47779999999</v>
      </c>
    </row>
    <row r="2403" spans="1:10" ht="15">
      <c r="A2403" s="21">
        <v>41131</v>
      </c>
      <c r="B2403" s="21">
        <v>41122</v>
      </c>
      <c r="C2403" s="17">
        <v>79</v>
      </c>
      <c r="D2403" s="17" t="s">
        <v>91</v>
      </c>
      <c r="E2403" s="14">
        <v>988218.17</v>
      </c>
      <c r="F2403" s="14">
        <v>953776.26</v>
      </c>
      <c r="G2403" s="14">
        <v>953776.26</v>
      </c>
      <c r="H2403" s="22">
        <f>F2403*(1+Assumptions!$B$6+IF(D2403="Yes",Assumptions!$C$6,0))</f>
        <v>982389.54780000006</v>
      </c>
      <c r="I2403" s="22">
        <f>F2403*(1+Assumptions!$B$7+IF(D2403="Yes",Assumptions!$C$7,0))</f>
        <v>1001465.0730000001</v>
      </c>
      <c r="J2403" s="22">
        <f>F2403*(1+Assumptions!$B$8+IF(D2403="Yes",Assumptions!$C$8,0))</f>
        <v>963314.02260000003</v>
      </c>
    </row>
    <row r="2404" spans="1:10" ht="15">
      <c r="A2404" s="21">
        <v>41131</v>
      </c>
      <c r="B2404" s="21">
        <v>41122</v>
      </c>
      <c r="C2404" s="17">
        <v>80</v>
      </c>
      <c r="D2404" s="17" t="s">
        <v>91</v>
      </c>
      <c r="E2404" s="14">
        <v>523090.32</v>
      </c>
      <c r="F2404" s="14">
        <v>522434.68</v>
      </c>
      <c r="G2404" s="14">
        <v>522434.68</v>
      </c>
      <c r="H2404" s="22">
        <f>F2404*(1+Assumptions!$B$6+IF(D2404="Yes",Assumptions!$C$6,0))</f>
        <v>538107.72039999999</v>
      </c>
      <c r="I2404" s="22">
        <f>F2404*(1+Assumptions!$B$7+IF(D2404="Yes",Assumptions!$C$7,0))</f>
        <v>548556.41399999999</v>
      </c>
      <c r="J2404" s="22">
        <f>F2404*(1+Assumptions!$B$8+IF(D2404="Yes",Assumptions!$C$8,0))</f>
        <v>527659.02679999999</v>
      </c>
    </row>
    <row r="2405" spans="1:10" ht="15">
      <c r="A2405" s="21">
        <v>41131</v>
      </c>
      <c r="B2405" s="21">
        <v>41122</v>
      </c>
      <c r="C2405" s="17">
        <v>81</v>
      </c>
      <c r="D2405" s="17" t="s">
        <v>91</v>
      </c>
      <c r="E2405" s="14">
        <v>718995.36</v>
      </c>
      <c r="F2405" s="14">
        <v>710298.25</v>
      </c>
      <c r="G2405" s="14">
        <v>710298.25</v>
      </c>
      <c r="H2405" s="22">
        <f>F2405*(1+Assumptions!$B$6+IF(D2405="Yes",Assumptions!$C$6,0))</f>
        <v>731607.19750000001</v>
      </c>
      <c r="I2405" s="22">
        <f>F2405*(1+Assumptions!$B$7+IF(D2405="Yes",Assumptions!$C$7,0))</f>
        <v>745813.16249999998</v>
      </c>
      <c r="J2405" s="22">
        <f>F2405*(1+Assumptions!$B$8+IF(D2405="Yes",Assumptions!$C$8,0))</f>
        <v>717401.23250000004</v>
      </c>
    </row>
    <row r="2406" spans="1:10" ht="15">
      <c r="A2406" s="21">
        <v>41131</v>
      </c>
      <c r="B2406" s="21">
        <v>41122</v>
      </c>
      <c r="C2406" s="17">
        <v>82</v>
      </c>
      <c r="D2406" s="17" t="s">
        <v>91</v>
      </c>
      <c r="E2406" s="14">
        <v>693759.8</v>
      </c>
      <c r="F2406" s="14">
        <v>664743.06999999995</v>
      </c>
      <c r="G2406" s="14">
        <v>664743.06999999995</v>
      </c>
      <c r="H2406" s="22">
        <f>F2406*(1+Assumptions!$B$6+IF(D2406="Yes",Assumptions!$C$6,0))</f>
        <v>684685.36209999991</v>
      </c>
      <c r="I2406" s="22">
        <f>F2406*(1+Assumptions!$B$7+IF(D2406="Yes",Assumptions!$C$7,0))</f>
        <v>697980.22349999996</v>
      </c>
      <c r="J2406" s="22">
        <f>F2406*(1+Assumptions!$B$8+IF(D2406="Yes",Assumptions!$C$8,0))</f>
        <v>671390.50069999998</v>
      </c>
    </row>
    <row r="2407" spans="1:10" ht="15">
      <c r="A2407" s="21">
        <v>41131</v>
      </c>
      <c r="B2407" s="21">
        <v>41122</v>
      </c>
      <c r="C2407" s="17">
        <v>83</v>
      </c>
      <c r="D2407" s="17" t="s">
        <v>91</v>
      </c>
      <c r="E2407" s="14">
        <v>144959.29999999999</v>
      </c>
      <c r="F2407" s="14">
        <v>135797.98000000001</v>
      </c>
      <c r="G2407" s="14">
        <v>135797.98000000001</v>
      </c>
      <c r="H2407" s="22">
        <f>F2407*(1+Assumptions!$B$6+IF(D2407="Yes",Assumptions!$C$6,0))</f>
        <v>139871.91940000001</v>
      </c>
      <c r="I2407" s="22">
        <f>F2407*(1+Assumptions!$B$7+IF(D2407="Yes",Assumptions!$C$7,0))</f>
        <v>142587.87900000002</v>
      </c>
      <c r="J2407" s="22">
        <f>F2407*(1+Assumptions!$B$8+IF(D2407="Yes",Assumptions!$C$8,0))</f>
        <v>137155.95980000001</v>
      </c>
    </row>
    <row r="2408" spans="1:10" ht="15">
      <c r="A2408" s="21">
        <v>41131</v>
      </c>
      <c r="B2408" s="21">
        <v>41122</v>
      </c>
      <c r="C2408" s="17">
        <v>85</v>
      </c>
      <c r="D2408" s="17" t="s">
        <v>91</v>
      </c>
      <c r="E2408" s="14">
        <v>91006.03</v>
      </c>
      <c r="F2408" s="14">
        <v>96526.88</v>
      </c>
      <c r="G2408" s="14">
        <v>96526.88</v>
      </c>
      <c r="H2408" s="22">
        <f>F2408*(1+Assumptions!$B$6+IF(D2408="Yes",Assumptions!$C$6,0))</f>
        <v>99422.686400000006</v>
      </c>
      <c r="I2408" s="22">
        <f>F2408*(1+Assumptions!$B$7+IF(D2408="Yes",Assumptions!$C$7,0))</f>
        <v>101353.224</v>
      </c>
      <c r="J2408" s="22">
        <f>F2408*(1+Assumptions!$B$8+IF(D2408="Yes",Assumptions!$C$8,0))</f>
        <v>97492.14880000001</v>
      </c>
    </row>
    <row r="2409" spans="1:10" ht="15">
      <c r="A2409" s="21">
        <v>41131</v>
      </c>
      <c r="B2409" s="21">
        <v>41122</v>
      </c>
      <c r="C2409" s="17">
        <v>87</v>
      </c>
      <c r="D2409" s="17" t="s">
        <v>91</v>
      </c>
      <c r="E2409" s="14">
        <v>729484.39</v>
      </c>
      <c r="F2409" s="14">
        <v>574745.11</v>
      </c>
      <c r="G2409" s="14">
        <v>574745.11</v>
      </c>
      <c r="H2409" s="22">
        <f>F2409*(1+Assumptions!$B$6+IF(D2409="Yes",Assumptions!$C$6,0))</f>
        <v>591987.46329999994</v>
      </c>
      <c r="I2409" s="22">
        <f>F2409*(1+Assumptions!$B$7+IF(D2409="Yes",Assumptions!$C$7,0))</f>
        <v>603482.36549999996</v>
      </c>
      <c r="J2409" s="22">
        <f>F2409*(1+Assumptions!$B$8+IF(D2409="Yes",Assumptions!$C$8,0))</f>
        <v>580492.56109999993</v>
      </c>
    </row>
    <row r="2410" spans="1:10" ht="15">
      <c r="A2410" s="21">
        <v>41131</v>
      </c>
      <c r="B2410" s="21">
        <v>41122</v>
      </c>
      <c r="C2410" s="17">
        <v>90</v>
      </c>
      <c r="D2410" s="17" t="s">
        <v>91</v>
      </c>
      <c r="E2410" s="14">
        <v>2084453.82</v>
      </c>
      <c r="F2410" s="14">
        <v>2085525.03</v>
      </c>
      <c r="G2410" s="14">
        <v>2085525.03</v>
      </c>
      <c r="H2410" s="22">
        <f>F2410*(1+Assumptions!$B$6+IF(D2410="Yes",Assumptions!$C$6,0))</f>
        <v>2148090.7809000001</v>
      </c>
      <c r="I2410" s="22">
        <f>F2410*(1+Assumptions!$B$7+IF(D2410="Yes",Assumptions!$C$7,0))</f>
        <v>2189801.2815</v>
      </c>
      <c r="J2410" s="22">
        <f>F2410*(1+Assumptions!$B$8+IF(D2410="Yes",Assumptions!$C$8,0))</f>
        <v>2106380.2803000002</v>
      </c>
    </row>
    <row r="2411" spans="1:10" ht="15">
      <c r="A2411" s="21">
        <v>41131</v>
      </c>
      <c r="B2411" s="21">
        <v>41122</v>
      </c>
      <c r="C2411" s="17">
        <v>91</v>
      </c>
      <c r="D2411" s="17" t="s">
        <v>91</v>
      </c>
      <c r="E2411" s="14">
        <v>1618352.32</v>
      </c>
      <c r="F2411" s="14">
        <v>1586241.07</v>
      </c>
      <c r="G2411" s="14">
        <v>1586241.07</v>
      </c>
      <c r="H2411" s="22">
        <f>F2411*(1+Assumptions!$B$6+IF(D2411="Yes",Assumptions!$C$6,0))</f>
        <v>1633828.3021000002</v>
      </c>
      <c r="I2411" s="22">
        <f>F2411*(1+Assumptions!$B$7+IF(D2411="Yes",Assumptions!$C$7,0))</f>
        <v>1665553.1235000002</v>
      </c>
      <c r="J2411" s="22">
        <f>F2411*(1+Assumptions!$B$8+IF(D2411="Yes",Assumptions!$C$8,0))</f>
        <v>1602103.4807000002</v>
      </c>
    </row>
    <row r="2412" spans="1:10" ht="15">
      <c r="A2412" s="21">
        <v>41131</v>
      </c>
      <c r="B2412" s="21">
        <v>41122</v>
      </c>
      <c r="C2412" s="17">
        <v>92</v>
      </c>
      <c r="D2412" s="17" t="s">
        <v>91</v>
      </c>
      <c r="E2412" s="14">
        <v>3640675.55</v>
      </c>
      <c r="F2412" s="14">
        <v>3355461.17</v>
      </c>
      <c r="G2412" s="14">
        <v>3355461.17</v>
      </c>
      <c r="H2412" s="22">
        <f>F2412*(1+Assumptions!$B$6+IF(D2412="Yes",Assumptions!$C$6,0))</f>
        <v>3456125.0051000002</v>
      </c>
      <c r="I2412" s="22">
        <f>F2412*(1+Assumptions!$B$7+IF(D2412="Yes",Assumptions!$C$7,0))</f>
        <v>3523234.2285000002</v>
      </c>
      <c r="J2412" s="22">
        <f>F2412*(1+Assumptions!$B$8+IF(D2412="Yes",Assumptions!$C$8,0))</f>
        <v>3389015.7817000002</v>
      </c>
    </row>
    <row r="2413" spans="1:10" ht="15">
      <c r="A2413" s="21">
        <v>41131</v>
      </c>
      <c r="B2413" s="21">
        <v>41122</v>
      </c>
      <c r="C2413" s="17">
        <v>93</v>
      </c>
      <c r="D2413" s="17" t="s">
        <v>91</v>
      </c>
      <c r="E2413" s="14">
        <v>1239357.6599999999</v>
      </c>
      <c r="F2413" s="14">
        <v>1156057.3600000001</v>
      </c>
      <c r="G2413" s="14">
        <v>1156057.3600000001</v>
      </c>
      <c r="H2413" s="22">
        <f>F2413*(1+Assumptions!$B$6+IF(D2413="Yes",Assumptions!$C$6,0))</f>
        <v>1190739.0808000001</v>
      </c>
      <c r="I2413" s="22">
        <f>F2413*(1+Assumptions!$B$7+IF(D2413="Yes",Assumptions!$C$7,0))</f>
        <v>1213860.2280000001</v>
      </c>
      <c r="J2413" s="22">
        <f>F2413*(1+Assumptions!$B$8+IF(D2413="Yes",Assumptions!$C$8,0))</f>
        <v>1167617.9336000001</v>
      </c>
    </row>
    <row r="2414" spans="1:10" ht="15">
      <c r="A2414" s="21">
        <v>41131</v>
      </c>
      <c r="B2414" s="21">
        <v>41122</v>
      </c>
      <c r="C2414" s="17">
        <v>94</v>
      </c>
      <c r="D2414" s="17" t="s">
        <v>91</v>
      </c>
      <c r="E2414" s="14">
        <v>1420613.35</v>
      </c>
      <c r="F2414" s="14">
        <v>1441635.29</v>
      </c>
      <c r="G2414" s="14">
        <v>1441635.29</v>
      </c>
      <c r="H2414" s="22">
        <f>F2414*(1+Assumptions!$B$6+IF(D2414="Yes",Assumptions!$C$6,0))</f>
        <v>1484884.3487</v>
      </c>
      <c r="I2414" s="22">
        <f>F2414*(1+Assumptions!$B$7+IF(D2414="Yes",Assumptions!$C$7,0))</f>
        <v>1513717.0545000001</v>
      </c>
      <c r="J2414" s="22">
        <f>F2414*(1+Assumptions!$B$8+IF(D2414="Yes",Assumptions!$C$8,0))</f>
        <v>1456051.6429000001</v>
      </c>
    </row>
    <row r="2415" spans="1:10" ht="15">
      <c r="A2415" s="21">
        <v>41131</v>
      </c>
      <c r="B2415" s="21">
        <v>41122</v>
      </c>
      <c r="C2415" s="17">
        <v>95</v>
      </c>
      <c r="D2415" s="17" t="s">
        <v>91</v>
      </c>
      <c r="E2415" s="14">
        <v>3476366.05</v>
      </c>
      <c r="F2415" s="14">
        <v>3391257.7</v>
      </c>
      <c r="G2415" s="14">
        <v>3391257.7</v>
      </c>
      <c r="H2415" s="22">
        <f>F2415*(1+Assumptions!$B$6+IF(D2415="Yes",Assumptions!$C$6,0))</f>
        <v>3492995.4310000003</v>
      </c>
      <c r="I2415" s="22">
        <f>F2415*(1+Assumptions!$B$7+IF(D2415="Yes",Assumptions!$C$7,0))</f>
        <v>3560820.5850000004</v>
      </c>
      <c r="J2415" s="22">
        <f>F2415*(1+Assumptions!$B$8+IF(D2415="Yes",Assumptions!$C$8,0))</f>
        <v>3425170.2770000002</v>
      </c>
    </row>
    <row r="2416" spans="1:10" ht="15">
      <c r="A2416" s="21">
        <v>41131</v>
      </c>
      <c r="B2416" s="21">
        <v>41122</v>
      </c>
      <c r="C2416" s="17">
        <v>96</v>
      </c>
      <c r="D2416" s="17" t="s">
        <v>91</v>
      </c>
      <c r="E2416" s="14">
        <v>571711</v>
      </c>
      <c r="F2416" s="14">
        <v>556925.05000000005</v>
      </c>
      <c r="G2416" s="14">
        <v>556925.05000000005</v>
      </c>
      <c r="H2416" s="22">
        <f>F2416*(1+Assumptions!$B$6+IF(D2416="Yes",Assumptions!$C$6,0))</f>
        <v>573632.80150000006</v>
      </c>
      <c r="I2416" s="22">
        <f>F2416*(1+Assumptions!$B$7+IF(D2416="Yes",Assumptions!$C$7,0))</f>
        <v>584771.30250000011</v>
      </c>
      <c r="J2416" s="22">
        <f>F2416*(1+Assumptions!$B$8+IF(D2416="Yes",Assumptions!$C$8,0))</f>
        <v>562494.30050000001</v>
      </c>
    </row>
    <row r="2417" spans="1:10" ht="15">
      <c r="A2417" s="21">
        <v>41131</v>
      </c>
      <c r="B2417" s="21">
        <v>41122</v>
      </c>
      <c r="C2417" s="17">
        <v>97</v>
      </c>
      <c r="D2417" s="17" t="s">
        <v>91</v>
      </c>
      <c r="E2417" s="14">
        <v>683494.44</v>
      </c>
      <c r="F2417" s="14">
        <v>674605.38</v>
      </c>
      <c r="G2417" s="14">
        <v>674605.38</v>
      </c>
      <c r="H2417" s="22">
        <f>F2417*(1+Assumptions!$B$6+IF(D2417="Yes",Assumptions!$C$6,0))</f>
        <v>694843.54139999999</v>
      </c>
      <c r="I2417" s="22">
        <f>F2417*(1+Assumptions!$B$7+IF(D2417="Yes",Assumptions!$C$7,0))</f>
        <v>708335.64900000009</v>
      </c>
      <c r="J2417" s="22">
        <f>F2417*(1+Assumptions!$B$8+IF(D2417="Yes",Assumptions!$C$8,0))</f>
        <v>681351.4338</v>
      </c>
    </row>
    <row r="2418" spans="1:10" ht="15">
      <c r="A2418" s="21">
        <v>41131</v>
      </c>
      <c r="B2418" s="21">
        <v>41122</v>
      </c>
      <c r="C2418" s="17">
        <v>98</v>
      </c>
      <c r="D2418" s="17" t="s">
        <v>91</v>
      </c>
      <c r="E2418" s="14">
        <v>252816.18</v>
      </c>
      <c r="F2418" s="14">
        <v>263032.02</v>
      </c>
      <c r="G2418" s="14">
        <v>263032.02</v>
      </c>
      <c r="H2418" s="22">
        <f>F2418*(1+Assumptions!$B$6+IF(D2418="Yes",Assumptions!$C$6,0))</f>
        <v>270922.98060000001</v>
      </c>
      <c r="I2418" s="22">
        <f>F2418*(1+Assumptions!$B$7+IF(D2418="Yes",Assumptions!$C$7,0))</f>
        <v>276183.62100000004</v>
      </c>
      <c r="J2418" s="22">
        <f>F2418*(1+Assumptions!$B$8+IF(D2418="Yes",Assumptions!$C$8,0))</f>
        <v>265662.34020000004</v>
      </c>
    </row>
    <row r="2419" spans="1:10" ht="15">
      <c r="A2419" s="21">
        <v>41138</v>
      </c>
      <c r="B2419" s="21">
        <v>41122</v>
      </c>
      <c r="C2419" s="17">
        <v>1</v>
      </c>
      <c r="D2419" s="17" t="s">
        <v>91</v>
      </c>
      <c r="E2419" s="14">
        <v>644341.48</v>
      </c>
      <c r="F2419" s="14">
        <v>623716.97</v>
      </c>
      <c r="G2419" s="14">
        <v>623716.97</v>
      </c>
      <c r="H2419" s="22">
        <f>F2419*(1+Assumptions!$B$6+IF(D2419="Yes",Assumptions!$C$6,0))</f>
        <v>642428.4791</v>
      </c>
      <c r="I2419" s="22">
        <f>F2419*(1+Assumptions!$B$7+IF(D2419="Yes",Assumptions!$C$7,0))</f>
        <v>654902.81850000005</v>
      </c>
      <c r="J2419" s="22">
        <f>F2419*(1+Assumptions!$B$8+IF(D2419="Yes",Assumptions!$C$8,0))</f>
        <v>629954.13969999994</v>
      </c>
    </row>
    <row r="2420" spans="1:10" ht="15">
      <c r="A2420" s="21">
        <v>41138</v>
      </c>
      <c r="B2420" s="21">
        <v>41122</v>
      </c>
      <c r="C2420" s="17">
        <v>2</v>
      </c>
      <c r="D2420" s="17" t="s">
        <v>91</v>
      </c>
      <c r="E2420" s="14">
        <v>2113176.6</v>
      </c>
      <c r="F2420" s="14">
        <v>2099590.33</v>
      </c>
      <c r="G2420" s="14">
        <v>2099590.33</v>
      </c>
      <c r="H2420" s="22">
        <f>F2420*(1+Assumptions!$B$6+IF(D2420="Yes",Assumptions!$C$6,0))</f>
        <v>2162578.0399000002</v>
      </c>
      <c r="I2420" s="22">
        <f>F2420*(1+Assumptions!$B$7+IF(D2420="Yes",Assumptions!$C$7,0))</f>
        <v>2204569.8465</v>
      </c>
      <c r="J2420" s="22">
        <f>F2420*(1+Assumptions!$B$8+IF(D2420="Yes",Assumptions!$C$8,0))</f>
        <v>2120586.2333</v>
      </c>
    </row>
    <row r="2421" spans="1:10" ht="15">
      <c r="A2421" s="21">
        <v>41138</v>
      </c>
      <c r="B2421" s="21">
        <v>41122</v>
      </c>
      <c r="C2421" s="17">
        <v>3</v>
      </c>
      <c r="D2421" s="17" t="s">
        <v>91</v>
      </c>
      <c r="E2421" s="14">
        <v>1533531.8699999999</v>
      </c>
      <c r="F2421" s="14">
        <v>1700775.01</v>
      </c>
      <c r="G2421" s="14">
        <v>1700775.01</v>
      </c>
      <c r="H2421" s="22">
        <f>F2421*(1+Assumptions!$B$6+IF(D2421="Yes",Assumptions!$C$6,0))</f>
        <v>1751798.2603</v>
      </c>
      <c r="I2421" s="22">
        <f>F2421*(1+Assumptions!$B$7+IF(D2421="Yes",Assumptions!$C$7,0))</f>
        <v>1785813.7605000001</v>
      </c>
      <c r="J2421" s="22">
        <f>F2421*(1+Assumptions!$B$8+IF(D2421="Yes",Assumptions!$C$8,0))</f>
        <v>1717782.7601000001</v>
      </c>
    </row>
    <row r="2422" spans="1:10" ht="15">
      <c r="A2422" s="21">
        <v>41138</v>
      </c>
      <c r="B2422" s="21">
        <v>41122</v>
      </c>
      <c r="C2422" s="17">
        <v>4</v>
      </c>
      <c r="D2422" s="17" t="s">
        <v>91</v>
      </c>
      <c r="E2422" s="14">
        <v>1243708.03</v>
      </c>
      <c r="F2422" s="14">
        <v>1258303.1000000001</v>
      </c>
      <c r="G2422" s="14">
        <v>1258303.1000000001</v>
      </c>
      <c r="H2422" s="22">
        <f>F2422*(1+Assumptions!$B$6+IF(D2422="Yes",Assumptions!$C$6,0))</f>
        <v>1296052.1930000002</v>
      </c>
      <c r="I2422" s="22">
        <f>F2422*(1+Assumptions!$B$7+IF(D2422="Yes",Assumptions!$C$7,0))</f>
        <v>1321218.2550000001</v>
      </c>
      <c r="J2422" s="22">
        <f>F2422*(1+Assumptions!$B$8+IF(D2422="Yes",Assumptions!$C$8,0))</f>
        <v>1270886.1310000001</v>
      </c>
    </row>
    <row r="2423" spans="1:10" ht="15">
      <c r="A2423" s="21">
        <v>41138</v>
      </c>
      <c r="B2423" s="21">
        <v>41122</v>
      </c>
      <c r="C2423" s="17">
        <v>5</v>
      </c>
      <c r="D2423" s="17" t="s">
        <v>91</v>
      </c>
      <c r="E2423" s="14">
        <v>607943.72</v>
      </c>
      <c r="F2423" s="14">
        <v>686442.37</v>
      </c>
      <c r="G2423" s="14">
        <v>686442.37</v>
      </c>
      <c r="H2423" s="22">
        <f>F2423*(1+Assumptions!$B$6+IF(D2423="Yes",Assumptions!$C$6,0))</f>
        <v>707035.64110000001</v>
      </c>
      <c r="I2423" s="22">
        <f>F2423*(1+Assumptions!$B$7+IF(D2423="Yes",Assumptions!$C$7,0))</f>
        <v>720764.48849999998</v>
      </c>
      <c r="J2423" s="22">
        <f>F2423*(1+Assumptions!$B$8+IF(D2423="Yes",Assumptions!$C$8,0))</f>
        <v>693306.79370000004</v>
      </c>
    </row>
    <row r="2424" spans="1:10" ht="15">
      <c r="A2424" s="21">
        <v>41138</v>
      </c>
      <c r="B2424" s="21">
        <v>41122</v>
      </c>
      <c r="C2424" s="17">
        <v>6</v>
      </c>
      <c r="D2424" s="17" t="s">
        <v>91</v>
      </c>
      <c r="E2424" s="14">
        <v>136312.12</v>
      </c>
      <c r="F2424" s="14">
        <v>153219.43</v>
      </c>
      <c r="G2424" s="14">
        <v>153219.43</v>
      </c>
      <c r="H2424" s="22">
        <f>F2424*(1+Assumptions!$B$6+IF(D2424="Yes",Assumptions!$C$6,0))</f>
        <v>157816.0129</v>
      </c>
      <c r="I2424" s="22">
        <f>F2424*(1+Assumptions!$B$7+IF(D2424="Yes",Assumptions!$C$7,0))</f>
        <v>160880.40150000001</v>
      </c>
      <c r="J2424" s="22">
        <f>F2424*(1+Assumptions!$B$8+IF(D2424="Yes",Assumptions!$C$8,0))</f>
        <v>154751.6243</v>
      </c>
    </row>
    <row r="2425" spans="1:10" ht="15">
      <c r="A2425" s="21">
        <v>41138</v>
      </c>
      <c r="B2425" s="21">
        <v>41122</v>
      </c>
      <c r="C2425" s="17">
        <v>7</v>
      </c>
      <c r="D2425" s="17" t="s">
        <v>91</v>
      </c>
      <c r="E2425" s="14">
        <v>774881.65</v>
      </c>
      <c r="F2425" s="14">
        <v>746320.09</v>
      </c>
      <c r="G2425" s="14">
        <v>746320.09</v>
      </c>
      <c r="H2425" s="22">
        <f>F2425*(1+Assumptions!$B$6+IF(D2425="Yes",Assumptions!$C$6,0))</f>
        <v>768709.69270000001</v>
      </c>
      <c r="I2425" s="22">
        <f>F2425*(1+Assumptions!$B$7+IF(D2425="Yes",Assumptions!$C$7,0))</f>
        <v>783636.09450000001</v>
      </c>
      <c r="J2425" s="22">
        <f>F2425*(1+Assumptions!$B$8+IF(D2425="Yes",Assumptions!$C$8,0))</f>
        <v>753783.29090000002</v>
      </c>
    </row>
    <row r="2426" spans="1:10" ht="15">
      <c r="A2426" s="21">
        <v>41138</v>
      </c>
      <c r="B2426" s="21">
        <v>41122</v>
      </c>
      <c r="C2426" s="17">
        <v>8</v>
      </c>
      <c r="D2426" s="17" t="s">
        <v>91</v>
      </c>
      <c r="E2426" s="14">
        <v>1340867.28</v>
      </c>
      <c r="F2426" s="14">
        <v>1308058.98</v>
      </c>
      <c r="G2426" s="14">
        <v>1308058.98</v>
      </c>
      <c r="H2426" s="22">
        <f>F2426*(1+Assumptions!$B$6+IF(D2426="Yes",Assumptions!$C$6,0))</f>
        <v>1347300.7494000001</v>
      </c>
      <c r="I2426" s="22">
        <f>F2426*(1+Assumptions!$B$7+IF(D2426="Yes",Assumptions!$C$7,0))</f>
        <v>1373461.929</v>
      </c>
      <c r="J2426" s="22">
        <f>F2426*(1+Assumptions!$B$8+IF(D2426="Yes",Assumptions!$C$8,0))</f>
        <v>1321139.5697999999</v>
      </c>
    </row>
    <row r="2427" spans="1:10" ht="15">
      <c r="A2427" s="21">
        <v>41138</v>
      </c>
      <c r="B2427" s="21">
        <v>41122</v>
      </c>
      <c r="C2427" s="17">
        <v>9</v>
      </c>
      <c r="D2427" s="17" t="s">
        <v>91</v>
      </c>
      <c r="E2427" s="14">
        <v>982755.49</v>
      </c>
      <c r="F2427" s="14">
        <v>925355.29</v>
      </c>
      <c r="G2427" s="14">
        <v>925355.29</v>
      </c>
      <c r="H2427" s="22">
        <f>F2427*(1+Assumptions!$B$6+IF(D2427="Yes",Assumptions!$C$6,0))</f>
        <v>953115.94870000007</v>
      </c>
      <c r="I2427" s="22">
        <f>F2427*(1+Assumptions!$B$7+IF(D2427="Yes",Assumptions!$C$7,0))</f>
        <v>971623.05450000009</v>
      </c>
      <c r="J2427" s="22">
        <f>F2427*(1+Assumptions!$B$8+IF(D2427="Yes",Assumptions!$C$8,0))</f>
        <v>934608.84290000005</v>
      </c>
    </row>
    <row r="2428" spans="1:10" ht="15">
      <c r="A2428" s="21">
        <v>41138</v>
      </c>
      <c r="B2428" s="21">
        <v>41122</v>
      </c>
      <c r="C2428" s="17">
        <v>10</v>
      </c>
      <c r="D2428" s="17" t="s">
        <v>91</v>
      </c>
      <c r="E2428" s="14">
        <v>844173.48</v>
      </c>
      <c r="F2428" s="14">
        <v>851592.04</v>
      </c>
      <c r="G2428" s="14">
        <v>851592.04</v>
      </c>
      <c r="H2428" s="22">
        <f>F2428*(1+Assumptions!$B$6+IF(D2428="Yes",Assumptions!$C$6,0))</f>
        <v>877139.8012000001</v>
      </c>
      <c r="I2428" s="22">
        <f>F2428*(1+Assumptions!$B$7+IF(D2428="Yes",Assumptions!$C$7,0))</f>
        <v>894171.64200000011</v>
      </c>
      <c r="J2428" s="22">
        <f>F2428*(1+Assumptions!$B$8+IF(D2428="Yes",Assumptions!$C$8,0))</f>
        <v>860107.9604000001</v>
      </c>
    </row>
    <row r="2429" spans="1:10" ht="15">
      <c r="A2429" s="21">
        <v>41138</v>
      </c>
      <c r="B2429" s="21">
        <v>41122</v>
      </c>
      <c r="C2429" s="17">
        <v>11</v>
      </c>
      <c r="D2429" s="17" t="s">
        <v>91</v>
      </c>
      <c r="E2429" s="14">
        <v>583616.96</v>
      </c>
      <c r="F2429" s="14">
        <v>569814.22</v>
      </c>
      <c r="G2429" s="14">
        <v>569814.22</v>
      </c>
      <c r="H2429" s="22">
        <f>F2429*(1+Assumptions!$B$6+IF(D2429="Yes",Assumptions!$C$6,0))</f>
        <v>586908.64659999998</v>
      </c>
      <c r="I2429" s="22">
        <f>F2429*(1+Assumptions!$B$7+IF(D2429="Yes",Assumptions!$C$7,0))</f>
        <v>598304.93099999998</v>
      </c>
      <c r="J2429" s="22">
        <f>F2429*(1+Assumptions!$B$8+IF(D2429="Yes",Assumptions!$C$8,0))</f>
        <v>575512.36219999997</v>
      </c>
    </row>
    <row r="2430" spans="1:10" ht="15">
      <c r="A2430" s="21">
        <v>41138</v>
      </c>
      <c r="B2430" s="21">
        <v>41122</v>
      </c>
      <c r="C2430" s="17">
        <v>12</v>
      </c>
      <c r="D2430" s="17" t="s">
        <v>91</v>
      </c>
      <c r="E2430" s="14">
        <v>199565.08000000002</v>
      </c>
      <c r="F2430" s="14">
        <v>195326.16</v>
      </c>
      <c r="G2430" s="14">
        <v>195326.16</v>
      </c>
      <c r="H2430" s="22">
        <f>F2430*(1+Assumptions!$B$6+IF(D2430="Yes",Assumptions!$C$6,0))</f>
        <v>201185.9448</v>
      </c>
      <c r="I2430" s="22">
        <f>F2430*(1+Assumptions!$B$7+IF(D2430="Yes",Assumptions!$C$7,0))</f>
        <v>205092.46800000002</v>
      </c>
      <c r="J2430" s="22">
        <f>F2430*(1+Assumptions!$B$8+IF(D2430="Yes",Assumptions!$C$8,0))</f>
        <v>197279.4216</v>
      </c>
    </row>
    <row r="2431" spans="1:10" ht="15">
      <c r="A2431" s="21">
        <v>41138</v>
      </c>
      <c r="B2431" s="21">
        <v>41122</v>
      </c>
      <c r="C2431" s="17">
        <v>13</v>
      </c>
      <c r="D2431" s="17" t="s">
        <v>91</v>
      </c>
      <c r="E2431" s="14">
        <v>1485107.29</v>
      </c>
      <c r="F2431" s="14">
        <v>1465269.31</v>
      </c>
      <c r="G2431" s="14">
        <v>1465269.31</v>
      </c>
      <c r="H2431" s="22">
        <f>F2431*(1+Assumptions!$B$6+IF(D2431="Yes",Assumptions!$C$6,0))</f>
        <v>1509227.3893000002</v>
      </c>
      <c r="I2431" s="22">
        <f>F2431*(1+Assumptions!$B$7+IF(D2431="Yes",Assumptions!$C$7,0))</f>
        <v>1538532.7755000002</v>
      </c>
      <c r="J2431" s="22">
        <f>F2431*(1+Assumptions!$B$8+IF(D2431="Yes",Assumptions!$C$8,0))</f>
        <v>1479922.0031000001</v>
      </c>
    </row>
    <row r="2432" spans="1:10" ht="15">
      <c r="A2432" s="21">
        <v>41138</v>
      </c>
      <c r="B2432" s="21">
        <v>41122</v>
      </c>
      <c r="C2432" s="17">
        <v>14</v>
      </c>
      <c r="D2432" s="17" t="s">
        <v>91</v>
      </c>
      <c r="E2432" s="14">
        <v>646424.43000000005</v>
      </c>
      <c r="F2432" s="14">
        <v>634851.31999999995</v>
      </c>
      <c r="G2432" s="14">
        <v>634851.31999999995</v>
      </c>
      <c r="H2432" s="22">
        <f>F2432*(1+Assumptions!$B$6+IF(D2432="Yes",Assumptions!$C$6,0))</f>
        <v>653896.85959999997</v>
      </c>
      <c r="I2432" s="22">
        <f>F2432*(1+Assumptions!$B$7+IF(D2432="Yes",Assumptions!$C$7,0))</f>
        <v>666593.88599999994</v>
      </c>
      <c r="J2432" s="22">
        <f>F2432*(1+Assumptions!$B$8+IF(D2432="Yes",Assumptions!$C$8,0))</f>
        <v>641199.83319999999</v>
      </c>
    </row>
    <row r="2433" spans="1:10" ht="15">
      <c r="A2433" s="21">
        <v>41138</v>
      </c>
      <c r="B2433" s="21">
        <v>41122</v>
      </c>
      <c r="C2433" s="17">
        <v>16</v>
      </c>
      <c r="D2433" s="17" t="s">
        <v>91</v>
      </c>
      <c r="E2433" s="14">
        <v>533129.17000000004</v>
      </c>
      <c r="F2433" s="14">
        <v>518883.39</v>
      </c>
      <c r="G2433" s="14">
        <v>518883.39</v>
      </c>
      <c r="H2433" s="22">
        <f>F2433*(1+Assumptions!$B$6+IF(D2433="Yes",Assumptions!$C$6,0))</f>
        <v>534449.89170000004</v>
      </c>
      <c r="I2433" s="22">
        <f>F2433*(1+Assumptions!$B$7+IF(D2433="Yes",Assumptions!$C$7,0))</f>
        <v>544827.55950000009</v>
      </c>
      <c r="J2433" s="22">
        <f>F2433*(1+Assumptions!$B$8+IF(D2433="Yes",Assumptions!$C$8,0))</f>
        <v>524072.22390000004</v>
      </c>
    </row>
    <row r="2434" spans="1:10" ht="15">
      <c r="A2434" s="21">
        <v>41138</v>
      </c>
      <c r="B2434" s="21">
        <v>41122</v>
      </c>
      <c r="C2434" s="17">
        <v>17</v>
      </c>
      <c r="D2434" s="17" t="s">
        <v>91</v>
      </c>
      <c r="E2434" s="14">
        <v>460897.94</v>
      </c>
      <c r="F2434" s="14">
        <v>455465.2</v>
      </c>
      <c r="G2434" s="14">
        <v>455465.2</v>
      </c>
      <c r="H2434" s="22">
        <f>F2434*(1+Assumptions!$B$6+IF(D2434="Yes",Assumptions!$C$6,0))</f>
        <v>469129.15600000002</v>
      </c>
      <c r="I2434" s="22">
        <f>F2434*(1+Assumptions!$B$7+IF(D2434="Yes",Assumptions!$C$7,0))</f>
        <v>478238.46</v>
      </c>
      <c r="J2434" s="22">
        <f>F2434*(1+Assumptions!$B$8+IF(D2434="Yes",Assumptions!$C$8,0))</f>
        <v>460019.85200000001</v>
      </c>
    </row>
    <row r="2435" spans="1:10" ht="15">
      <c r="A2435" s="21">
        <v>41138</v>
      </c>
      <c r="B2435" s="21">
        <v>41122</v>
      </c>
      <c r="C2435" s="17">
        <v>18</v>
      </c>
      <c r="D2435" s="17" t="s">
        <v>91</v>
      </c>
      <c r="E2435" s="14">
        <v>2610.54</v>
      </c>
      <c r="F2435" s="14">
        <v>300.37</v>
      </c>
      <c r="G2435" s="14">
        <v>300.37</v>
      </c>
      <c r="H2435" s="22">
        <f>F2435*(1+Assumptions!$B$6+IF(D2435="Yes",Assumptions!$C$6,0))</f>
        <v>309.3811</v>
      </c>
      <c r="I2435" s="22">
        <f>F2435*(1+Assumptions!$B$7+IF(D2435="Yes",Assumptions!$C$7,0))</f>
        <v>315.38850000000002</v>
      </c>
      <c r="J2435" s="22">
        <f>F2435*(1+Assumptions!$B$8+IF(D2435="Yes",Assumptions!$C$8,0))</f>
        <v>303.37369999999999</v>
      </c>
    </row>
    <row r="2436" spans="1:10" ht="15">
      <c r="A2436" s="21">
        <v>41138</v>
      </c>
      <c r="B2436" s="21">
        <v>41122</v>
      </c>
      <c r="C2436" s="17">
        <v>19</v>
      </c>
      <c r="D2436" s="17" t="s">
        <v>91</v>
      </c>
      <c r="E2436" s="14">
        <v>42964.639999999999</v>
      </c>
      <c r="F2436" s="14">
        <v>44340.37</v>
      </c>
      <c r="G2436" s="14">
        <v>44340.37</v>
      </c>
      <c r="H2436" s="22">
        <f>F2436*(1+Assumptions!$B$6+IF(D2436="Yes",Assumptions!$C$6,0))</f>
        <v>45670.581100000003</v>
      </c>
      <c r="I2436" s="22">
        <f>F2436*(1+Assumptions!$B$7+IF(D2436="Yes",Assumptions!$C$7,0))</f>
        <v>46557.388500000008</v>
      </c>
      <c r="J2436" s="22">
        <f>F2436*(1+Assumptions!$B$8+IF(D2436="Yes",Assumptions!$C$8,0))</f>
        <v>44783.773700000005</v>
      </c>
    </row>
    <row r="2437" spans="1:10" ht="15">
      <c r="A2437" s="21">
        <v>41138</v>
      </c>
      <c r="B2437" s="21">
        <v>41122</v>
      </c>
      <c r="C2437" s="17">
        <v>20</v>
      </c>
      <c r="D2437" s="17" t="s">
        <v>91</v>
      </c>
      <c r="E2437" s="14">
        <v>256012.53</v>
      </c>
      <c r="F2437" s="14">
        <v>254605.58</v>
      </c>
      <c r="G2437" s="14">
        <v>254605.58</v>
      </c>
      <c r="H2437" s="22">
        <f>F2437*(1+Assumptions!$B$6+IF(D2437="Yes",Assumptions!$C$6,0))</f>
        <v>262243.74739999999</v>
      </c>
      <c r="I2437" s="22">
        <f>F2437*(1+Assumptions!$B$7+IF(D2437="Yes",Assumptions!$C$7,0))</f>
        <v>267335.859</v>
      </c>
      <c r="J2437" s="22">
        <f>F2437*(1+Assumptions!$B$8+IF(D2437="Yes",Assumptions!$C$8,0))</f>
        <v>257151.63579999999</v>
      </c>
    </row>
    <row r="2438" spans="1:10" ht="15">
      <c r="A2438" s="21">
        <v>41138</v>
      </c>
      <c r="B2438" s="21">
        <v>41122</v>
      </c>
      <c r="C2438" s="17">
        <v>21</v>
      </c>
      <c r="D2438" s="17" t="s">
        <v>91</v>
      </c>
      <c r="E2438" s="14">
        <v>203831.05</v>
      </c>
      <c r="F2438" s="14">
        <v>211643.15</v>
      </c>
      <c r="G2438" s="14">
        <v>211643.15</v>
      </c>
      <c r="H2438" s="22">
        <f>F2438*(1+Assumptions!$B$6+IF(D2438="Yes",Assumptions!$C$6,0))</f>
        <v>217992.44450000001</v>
      </c>
      <c r="I2438" s="22">
        <f>F2438*(1+Assumptions!$B$7+IF(D2438="Yes",Assumptions!$C$7,0))</f>
        <v>222225.3075</v>
      </c>
      <c r="J2438" s="22">
        <f>F2438*(1+Assumptions!$B$8+IF(D2438="Yes",Assumptions!$C$8,0))</f>
        <v>213759.5815</v>
      </c>
    </row>
    <row r="2439" spans="1:10" ht="15">
      <c r="A2439" s="21">
        <v>41138</v>
      </c>
      <c r="B2439" s="21">
        <v>41122</v>
      </c>
      <c r="C2439" s="17">
        <v>22</v>
      </c>
      <c r="D2439" s="17" t="s">
        <v>91</v>
      </c>
      <c r="E2439" s="14">
        <v>455697.54</v>
      </c>
      <c r="F2439" s="14">
        <v>422651.18</v>
      </c>
      <c r="G2439" s="14">
        <v>422651.18</v>
      </c>
      <c r="H2439" s="22">
        <f>F2439*(1+Assumptions!$B$6+IF(D2439="Yes",Assumptions!$C$6,0))</f>
        <v>435330.71539999999</v>
      </c>
      <c r="I2439" s="22">
        <f>F2439*(1+Assumptions!$B$7+IF(D2439="Yes",Assumptions!$C$7,0))</f>
        <v>443783.739</v>
      </c>
      <c r="J2439" s="22">
        <f>F2439*(1+Assumptions!$B$8+IF(D2439="Yes",Assumptions!$C$8,0))</f>
        <v>426877.69179999997</v>
      </c>
    </row>
    <row r="2440" spans="1:10" ht="15">
      <c r="A2440" s="21">
        <v>41138</v>
      </c>
      <c r="B2440" s="21">
        <v>41122</v>
      </c>
      <c r="C2440" s="17">
        <v>23</v>
      </c>
      <c r="D2440" s="17" t="s">
        <v>91</v>
      </c>
      <c r="E2440" s="14">
        <v>976560.16</v>
      </c>
      <c r="F2440" s="14">
        <v>959978.53</v>
      </c>
      <c r="G2440" s="14">
        <v>959978.53</v>
      </c>
      <c r="H2440" s="22">
        <f>F2440*(1+Assumptions!$B$6+IF(D2440="Yes",Assumptions!$C$6,0))</f>
        <v>988777.88590000011</v>
      </c>
      <c r="I2440" s="22">
        <f>F2440*(1+Assumptions!$B$7+IF(D2440="Yes",Assumptions!$C$7,0))</f>
        <v>1007977.4565000001</v>
      </c>
      <c r="J2440" s="22">
        <f>F2440*(1+Assumptions!$B$8+IF(D2440="Yes",Assumptions!$C$8,0))</f>
        <v>969578.31530000002</v>
      </c>
    </row>
    <row r="2441" spans="1:10" ht="15">
      <c r="A2441" s="21">
        <v>41138</v>
      </c>
      <c r="B2441" s="21">
        <v>41122</v>
      </c>
      <c r="C2441" s="17">
        <v>24</v>
      </c>
      <c r="D2441" s="17" t="s">
        <v>91</v>
      </c>
      <c r="E2441" s="14">
        <v>343811.33</v>
      </c>
      <c r="F2441" s="14">
        <v>420325.16</v>
      </c>
      <c r="G2441" s="14">
        <v>420325.16</v>
      </c>
      <c r="H2441" s="22">
        <f>F2441*(1+Assumptions!$B$6+IF(D2441="Yes",Assumptions!$C$6,0))</f>
        <v>432934.91479999997</v>
      </c>
      <c r="I2441" s="22">
        <f>F2441*(1+Assumptions!$B$7+IF(D2441="Yes",Assumptions!$C$7,0))</f>
        <v>441341.41800000001</v>
      </c>
      <c r="J2441" s="22">
        <f>F2441*(1+Assumptions!$B$8+IF(D2441="Yes",Assumptions!$C$8,0))</f>
        <v>424528.41159999999</v>
      </c>
    </row>
    <row r="2442" spans="1:10" ht="15">
      <c r="A2442" s="21">
        <v>41138</v>
      </c>
      <c r="B2442" s="21">
        <v>41122</v>
      </c>
      <c r="C2442" s="17">
        <v>25</v>
      </c>
      <c r="D2442" s="17" t="s">
        <v>91</v>
      </c>
      <c r="E2442" s="14">
        <v>379805.71</v>
      </c>
      <c r="F2442" s="14">
        <v>396728.11</v>
      </c>
      <c r="G2442" s="14">
        <v>396728.11</v>
      </c>
      <c r="H2442" s="22">
        <f>F2442*(1+Assumptions!$B$6+IF(D2442="Yes",Assumptions!$C$6,0))</f>
        <v>408629.95329999999</v>
      </c>
      <c r="I2442" s="22">
        <f>F2442*(1+Assumptions!$B$7+IF(D2442="Yes",Assumptions!$C$7,0))</f>
        <v>416564.51549999998</v>
      </c>
      <c r="J2442" s="22">
        <f>F2442*(1+Assumptions!$B$8+IF(D2442="Yes",Assumptions!$C$8,0))</f>
        <v>400695.39110000001</v>
      </c>
    </row>
    <row r="2443" spans="1:10" ht="15">
      <c r="A2443" s="21">
        <v>41138</v>
      </c>
      <c r="B2443" s="21">
        <v>41122</v>
      </c>
      <c r="C2443" s="17">
        <v>26</v>
      </c>
      <c r="D2443" s="17" t="s">
        <v>91</v>
      </c>
      <c r="E2443" s="14">
        <v>267189.17</v>
      </c>
      <c r="F2443" s="14">
        <v>261281.62</v>
      </c>
      <c r="G2443" s="14">
        <v>261281.62</v>
      </c>
      <c r="H2443" s="22">
        <f>F2443*(1+Assumptions!$B$6+IF(D2443="Yes",Assumptions!$C$6,0))</f>
        <v>269120.0686</v>
      </c>
      <c r="I2443" s="22">
        <f>F2443*(1+Assumptions!$B$7+IF(D2443="Yes",Assumptions!$C$7,0))</f>
        <v>274345.701</v>
      </c>
      <c r="J2443" s="22">
        <f>F2443*(1+Assumptions!$B$8+IF(D2443="Yes",Assumptions!$C$8,0))</f>
        <v>263894.4362</v>
      </c>
    </row>
    <row r="2444" spans="1:10" ht="15">
      <c r="A2444" s="21">
        <v>41138</v>
      </c>
      <c r="B2444" s="21">
        <v>41122</v>
      </c>
      <c r="C2444" s="17">
        <v>27</v>
      </c>
      <c r="D2444" s="17" t="s">
        <v>91</v>
      </c>
      <c r="E2444" s="14">
        <v>59917.11</v>
      </c>
      <c r="F2444" s="14">
        <v>57332.479999999996</v>
      </c>
      <c r="G2444" s="14">
        <v>57332.479999999996</v>
      </c>
      <c r="H2444" s="22">
        <f>F2444*(1+Assumptions!$B$6+IF(D2444="Yes",Assumptions!$C$6,0))</f>
        <v>59052.454399999995</v>
      </c>
      <c r="I2444" s="22">
        <f>F2444*(1+Assumptions!$B$7+IF(D2444="Yes",Assumptions!$C$7,0))</f>
        <v>60199.103999999999</v>
      </c>
      <c r="J2444" s="22">
        <f>F2444*(1+Assumptions!$B$8+IF(D2444="Yes",Assumptions!$C$8,0))</f>
        <v>57905.804799999998</v>
      </c>
    </row>
    <row r="2445" spans="1:10" ht="15">
      <c r="A2445" s="21">
        <v>41138</v>
      </c>
      <c r="B2445" s="21">
        <v>41122</v>
      </c>
      <c r="C2445" s="17">
        <v>28</v>
      </c>
      <c r="D2445" s="17" t="s">
        <v>91</v>
      </c>
      <c r="E2445" s="14">
        <v>14979.73</v>
      </c>
      <c r="F2445" s="14">
        <v>14801.84</v>
      </c>
      <c r="G2445" s="14">
        <v>14801.84</v>
      </c>
      <c r="H2445" s="22">
        <f>F2445*(1+Assumptions!$B$6+IF(D2445="Yes",Assumptions!$C$6,0))</f>
        <v>15245.895200000001</v>
      </c>
      <c r="I2445" s="22">
        <f>F2445*(1+Assumptions!$B$7+IF(D2445="Yes",Assumptions!$C$7,0))</f>
        <v>15541.932000000001</v>
      </c>
      <c r="J2445" s="22">
        <f>F2445*(1+Assumptions!$B$8+IF(D2445="Yes",Assumptions!$C$8,0))</f>
        <v>14949.858400000001</v>
      </c>
    </row>
    <row r="2446" spans="1:10" ht="15">
      <c r="A2446" s="21">
        <v>41138</v>
      </c>
      <c r="B2446" s="21">
        <v>41122</v>
      </c>
      <c r="C2446" s="17">
        <v>29</v>
      </c>
      <c r="D2446" s="17" t="s">
        <v>91</v>
      </c>
      <c r="E2446" s="14">
        <v>211114.99</v>
      </c>
      <c r="F2446" s="14">
        <v>201409.94</v>
      </c>
      <c r="G2446" s="14">
        <v>201409.94</v>
      </c>
      <c r="H2446" s="22">
        <f>F2446*(1+Assumptions!$B$6+IF(D2446="Yes",Assumptions!$C$6,0))</f>
        <v>207452.23820000002</v>
      </c>
      <c r="I2446" s="22">
        <f>F2446*(1+Assumptions!$B$7+IF(D2446="Yes",Assumptions!$C$7,0))</f>
        <v>211480.43700000001</v>
      </c>
      <c r="J2446" s="22">
        <f>F2446*(1+Assumptions!$B$8+IF(D2446="Yes",Assumptions!$C$8,0))</f>
        <v>203424.03940000001</v>
      </c>
    </row>
    <row r="2447" spans="1:10" ht="15">
      <c r="A2447" s="21">
        <v>41138</v>
      </c>
      <c r="B2447" s="21">
        <v>41122</v>
      </c>
      <c r="C2447" s="17">
        <v>30</v>
      </c>
      <c r="D2447" s="17" t="s">
        <v>91</v>
      </c>
      <c r="E2447" s="14">
        <v>159921.22</v>
      </c>
      <c r="F2447" s="14">
        <v>166939.07</v>
      </c>
      <c r="G2447" s="14">
        <v>166939.07</v>
      </c>
      <c r="H2447" s="22">
        <f>F2447*(1+Assumptions!$B$6+IF(D2447="Yes",Assumptions!$C$6,0))</f>
        <v>171947.2421</v>
      </c>
      <c r="I2447" s="22">
        <f>F2447*(1+Assumptions!$B$7+IF(D2447="Yes",Assumptions!$C$7,0))</f>
        <v>175286.02350000001</v>
      </c>
      <c r="J2447" s="22">
        <f>F2447*(1+Assumptions!$B$8+IF(D2447="Yes",Assumptions!$C$8,0))</f>
        <v>168608.4607</v>
      </c>
    </row>
    <row r="2448" spans="1:10" ht="15">
      <c r="A2448" s="21">
        <v>41138</v>
      </c>
      <c r="B2448" s="21">
        <v>41122</v>
      </c>
      <c r="C2448" s="17">
        <v>31</v>
      </c>
      <c r="D2448" s="17" t="s">
        <v>91</v>
      </c>
      <c r="E2448" s="14">
        <v>183293.18</v>
      </c>
      <c r="F2448" s="14">
        <v>228705.51</v>
      </c>
      <c r="G2448" s="14">
        <v>228705.51</v>
      </c>
      <c r="H2448" s="22">
        <f>F2448*(1+Assumptions!$B$6+IF(D2448="Yes",Assumptions!$C$6,0))</f>
        <v>235566.6753</v>
      </c>
      <c r="I2448" s="22">
        <f>F2448*(1+Assumptions!$B$7+IF(D2448="Yes",Assumptions!$C$7,0))</f>
        <v>240140.78550000003</v>
      </c>
      <c r="J2448" s="22">
        <f>F2448*(1+Assumptions!$B$8+IF(D2448="Yes",Assumptions!$C$8,0))</f>
        <v>230992.56510000001</v>
      </c>
    </row>
    <row r="2449" spans="1:10" ht="15">
      <c r="A2449" s="21">
        <v>41138</v>
      </c>
      <c r="B2449" s="21">
        <v>41122</v>
      </c>
      <c r="C2449" s="17">
        <v>32</v>
      </c>
      <c r="D2449" s="17" t="s">
        <v>91</v>
      </c>
      <c r="E2449" s="14">
        <v>236030.04</v>
      </c>
      <c r="F2449" s="14">
        <v>236666.23</v>
      </c>
      <c r="G2449" s="14">
        <v>236666.23</v>
      </c>
      <c r="H2449" s="22">
        <f>F2449*(1+Assumptions!$B$6+IF(D2449="Yes",Assumptions!$C$6,0))</f>
        <v>243766.21690000003</v>
      </c>
      <c r="I2449" s="22">
        <f>F2449*(1+Assumptions!$B$7+IF(D2449="Yes",Assumptions!$C$7,0))</f>
        <v>248499.54150000002</v>
      </c>
      <c r="J2449" s="22">
        <f>F2449*(1+Assumptions!$B$8+IF(D2449="Yes",Assumptions!$C$8,0))</f>
        <v>239032.89230000001</v>
      </c>
    </row>
    <row r="2450" spans="1:10" ht="15">
      <c r="A2450" s="21">
        <v>41138</v>
      </c>
      <c r="B2450" s="21">
        <v>41122</v>
      </c>
      <c r="C2450" s="17">
        <v>33</v>
      </c>
      <c r="D2450" s="17" t="s">
        <v>91</v>
      </c>
      <c r="E2450" s="14">
        <v>337484.85</v>
      </c>
      <c r="F2450" s="14">
        <v>364154.08</v>
      </c>
      <c r="G2450" s="14">
        <v>364154.08</v>
      </c>
      <c r="H2450" s="22">
        <f>F2450*(1+Assumptions!$B$6+IF(D2450="Yes",Assumptions!$C$6,0))</f>
        <v>375078.70240000001</v>
      </c>
      <c r="I2450" s="22">
        <f>F2450*(1+Assumptions!$B$7+IF(D2450="Yes",Assumptions!$C$7,0))</f>
        <v>382361.78400000004</v>
      </c>
      <c r="J2450" s="22">
        <f>F2450*(1+Assumptions!$B$8+IF(D2450="Yes",Assumptions!$C$8,0))</f>
        <v>367795.62080000003</v>
      </c>
    </row>
    <row r="2451" spans="1:10" ht="15">
      <c r="A2451" s="21">
        <v>41138</v>
      </c>
      <c r="B2451" s="21">
        <v>41122</v>
      </c>
      <c r="C2451" s="17">
        <v>34</v>
      </c>
      <c r="D2451" s="17" t="s">
        <v>91</v>
      </c>
      <c r="E2451" s="14">
        <v>552631.65</v>
      </c>
      <c r="F2451" s="14">
        <v>549268.67000000004</v>
      </c>
      <c r="G2451" s="14">
        <v>549268.67000000004</v>
      </c>
      <c r="H2451" s="22">
        <f>F2451*(1+Assumptions!$B$6+IF(D2451="Yes",Assumptions!$C$6,0))</f>
        <v>565746.73010000004</v>
      </c>
      <c r="I2451" s="22">
        <f>F2451*(1+Assumptions!$B$7+IF(D2451="Yes",Assumptions!$C$7,0))</f>
        <v>576732.10350000008</v>
      </c>
      <c r="J2451" s="22">
        <f>F2451*(1+Assumptions!$B$8+IF(D2451="Yes",Assumptions!$C$8,0))</f>
        <v>554761.3567</v>
      </c>
    </row>
    <row r="2452" spans="1:10" ht="15">
      <c r="A2452" s="21">
        <v>41138</v>
      </c>
      <c r="B2452" s="21">
        <v>41122</v>
      </c>
      <c r="C2452" s="17">
        <v>35</v>
      </c>
      <c r="D2452" s="17" t="s">
        <v>91</v>
      </c>
      <c r="E2452" s="14">
        <v>87852.790000000008</v>
      </c>
      <c r="F2452" s="14">
        <v>95737.819999999992</v>
      </c>
      <c r="G2452" s="14">
        <v>95737.819999999992</v>
      </c>
      <c r="H2452" s="22">
        <f>F2452*(1+Assumptions!$B$6+IF(D2452="Yes",Assumptions!$C$6,0))</f>
        <v>98609.954599999997</v>
      </c>
      <c r="I2452" s="22">
        <f>F2452*(1+Assumptions!$B$7+IF(D2452="Yes",Assumptions!$C$7,0))</f>
        <v>100524.711</v>
      </c>
      <c r="J2452" s="22">
        <f>F2452*(1+Assumptions!$B$8+IF(D2452="Yes",Assumptions!$C$8,0))</f>
        <v>96695.198199999999</v>
      </c>
    </row>
    <row r="2453" spans="1:10" ht="15">
      <c r="A2453" s="21">
        <v>41138</v>
      </c>
      <c r="B2453" s="21">
        <v>41122</v>
      </c>
      <c r="C2453" s="17">
        <v>36</v>
      </c>
      <c r="D2453" s="17" t="s">
        <v>91</v>
      </c>
      <c r="E2453" s="14">
        <v>22563.32</v>
      </c>
      <c r="F2453" s="14">
        <v>37316.75</v>
      </c>
      <c r="G2453" s="14">
        <v>37316.75</v>
      </c>
      <c r="H2453" s="22">
        <f>F2453*(1+Assumptions!$B$6+IF(D2453="Yes",Assumptions!$C$6,0))</f>
        <v>38436.252500000002</v>
      </c>
      <c r="I2453" s="22">
        <f>F2453*(1+Assumptions!$B$7+IF(D2453="Yes",Assumptions!$C$7,0))</f>
        <v>39182.587500000001</v>
      </c>
      <c r="J2453" s="22">
        <f>F2453*(1+Assumptions!$B$8+IF(D2453="Yes",Assumptions!$C$8,0))</f>
        <v>37689.917500000003</v>
      </c>
    </row>
    <row r="2454" spans="1:10" ht="15">
      <c r="A2454" s="21">
        <v>41138</v>
      </c>
      <c r="B2454" s="21">
        <v>41122</v>
      </c>
      <c r="C2454" s="17">
        <v>37</v>
      </c>
      <c r="D2454" s="17" t="s">
        <v>91</v>
      </c>
      <c r="E2454" s="14">
        <v>52582.78</v>
      </c>
      <c r="F2454" s="14">
        <v>57443.8</v>
      </c>
      <c r="G2454" s="14">
        <v>57443.8</v>
      </c>
      <c r="H2454" s="22">
        <f>F2454*(1+Assumptions!$B$6+IF(D2454="Yes",Assumptions!$C$6,0))</f>
        <v>59167.114000000001</v>
      </c>
      <c r="I2454" s="22">
        <f>F2454*(1+Assumptions!$B$7+IF(D2454="Yes",Assumptions!$C$7,0))</f>
        <v>60315.990000000005</v>
      </c>
      <c r="J2454" s="22">
        <f>F2454*(1+Assumptions!$B$8+IF(D2454="Yes",Assumptions!$C$8,0))</f>
        <v>58018.238000000005</v>
      </c>
    </row>
    <row r="2455" spans="1:10" ht="15">
      <c r="A2455" s="21">
        <v>41138</v>
      </c>
      <c r="B2455" s="21">
        <v>41122</v>
      </c>
      <c r="C2455" s="17">
        <v>38</v>
      </c>
      <c r="D2455" s="17" t="s">
        <v>91</v>
      </c>
      <c r="E2455" s="14">
        <v>2569776.5499999998</v>
      </c>
      <c r="F2455" s="14">
        <v>2690802.57</v>
      </c>
      <c r="G2455" s="14">
        <v>2690802.57</v>
      </c>
      <c r="H2455" s="22">
        <f>F2455*(1+Assumptions!$B$6+IF(D2455="Yes",Assumptions!$C$6,0))</f>
        <v>2771526.6470999997</v>
      </c>
      <c r="I2455" s="22">
        <f>F2455*(1+Assumptions!$B$7+IF(D2455="Yes",Assumptions!$C$7,0))</f>
        <v>2825342.6984999999</v>
      </c>
      <c r="J2455" s="22">
        <f>F2455*(1+Assumptions!$B$8+IF(D2455="Yes",Assumptions!$C$8,0))</f>
        <v>2717710.5956999999</v>
      </c>
    </row>
    <row r="2456" spans="1:10" ht="15">
      <c r="A2456" s="21">
        <v>41138</v>
      </c>
      <c r="B2456" s="21">
        <v>41122</v>
      </c>
      <c r="C2456" s="17">
        <v>40</v>
      </c>
      <c r="D2456" s="17" t="s">
        <v>91</v>
      </c>
      <c r="E2456" s="14">
        <v>2069145.26</v>
      </c>
      <c r="F2456" s="14">
        <v>1918812.75</v>
      </c>
      <c r="G2456" s="14">
        <v>1918812.75</v>
      </c>
      <c r="H2456" s="22">
        <f>F2456*(1+Assumptions!$B$6+IF(D2456="Yes",Assumptions!$C$6,0))</f>
        <v>1976377.1325000001</v>
      </c>
      <c r="I2456" s="22">
        <f>F2456*(1+Assumptions!$B$7+IF(D2456="Yes",Assumptions!$C$7,0))</f>
        <v>2014753.3875000002</v>
      </c>
      <c r="J2456" s="22">
        <f>F2456*(1+Assumptions!$B$8+IF(D2456="Yes",Assumptions!$C$8,0))</f>
        <v>1938000.8774999999</v>
      </c>
    </row>
    <row r="2457" spans="1:10" ht="15">
      <c r="A2457" s="21">
        <v>41138</v>
      </c>
      <c r="B2457" s="21">
        <v>41122</v>
      </c>
      <c r="C2457" s="17">
        <v>41</v>
      </c>
      <c r="D2457" s="17" t="s">
        <v>91</v>
      </c>
      <c r="E2457" s="14">
        <v>87895.77</v>
      </c>
      <c r="F2457" s="14">
        <v>84082.319999999992</v>
      </c>
      <c r="G2457" s="14">
        <v>84082.319999999992</v>
      </c>
      <c r="H2457" s="22">
        <f>F2457*(1+Assumptions!$B$6+IF(D2457="Yes",Assumptions!$C$6,0))</f>
        <v>86604.789599999989</v>
      </c>
      <c r="I2457" s="22">
        <f>F2457*(1+Assumptions!$B$7+IF(D2457="Yes",Assumptions!$C$7,0))</f>
        <v>88286.436000000002</v>
      </c>
      <c r="J2457" s="22">
        <f>F2457*(1+Assumptions!$B$8+IF(D2457="Yes",Assumptions!$C$8,0))</f>
        <v>84923.143199999991</v>
      </c>
    </row>
    <row r="2458" spans="1:10" ht="15">
      <c r="A2458" s="21">
        <v>41138</v>
      </c>
      <c r="B2458" s="21">
        <v>41122</v>
      </c>
      <c r="C2458" s="17">
        <v>42</v>
      </c>
      <c r="D2458" s="17" t="s">
        <v>91</v>
      </c>
      <c r="E2458" s="14">
        <v>243090.54</v>
      </c>
      <c r="F2458" s="14">
        <v>239750.02</v>
      </c>
      <c r="G2458" s="14">
        <v>239750.02</v>
      </c>
      <c r="H2458" s="22">
        <f>F2458*(1+Assumptions!$B$6+IF(D2458="Yes",Assumptions!$C$6,0))</f>
        <v>246942.52059999999</v>
      </c>
      <c r="I2458" s="22">
        <f>F2458*(1+Assumptions!$B$7+IF(D2458="Yes",Assumptions!$C$7,0))</f>
        <v>251737.52100000001</v>
      </c>
      <c r="J2458" s="22">
        <f>F2458*(1+Assumptions!$B$8+IF(D2458="Yes",Assumptions!$C$8,0))</f>
        <v>242147.5202</v>
      </c>
    </row>
    <row r="2459" spans="1:10" ht="15">
      <c r="A2459" s="21">
        <v>41138</v>
      </c>
      <c r="B2459" s="21">
        <v>41122</v>
      </c>
      <c r="C2459" s="17">
        <v>44</v>
      </c>
      <c r="D2459" s="17" t="s">
        <v>91</v>
      </c>
      <c r="E2459" s="14">
        <v>171311.97</v>
      </c>
      <c r="F2459" s="14">
        <v>156610.54999999999</v>
      </c>
      <c r="G2459" s="14">
        <v>156610.54999999999</v>
      </c>
      <c r="H2459" s="22">
        <f>F2459*(1+Assumptions!$B$6+IF(D2459="Yes",Assumptions!$C$6,0))</f>
        <v>161308.8665</v>
      </c>
      <c r="I2459" s="22">
        <f>F2459*(1+Assumptions!$B$7+IF(D2459="Yes",Assumptions!$C$7,0))</f>
        <v>164441.07749999998</v>
      </c>
      <c r="J2459" s="22">
        <f>F2459*(1+Assumptions!$B$8+IF(D2459="Yes",Assumptions!$C$8,0))</f>
        <v>158176.65549999999</v>
      </c>
    </row>
    <row r="2460" spans="1:10" ht="15">
      <c r="A2460" s="21">
        <v>41138</v>
      </c>
      <c r="B2460" s="21">
        <v>41122</v>
      </c>
      <c r="C2460" s="17">
        <v>45</v>
      </c>
      <c r="D2460" s="17" t="s">
        <v>91</v>
      </c>
      <c r="E2460" s="14">
        <v>40.32</v>
      </c>
      <c r="F2460" s="14">
        <v>69.7</v>
      </c>
      <c r="G2460" s="14">
        <v>69.7</v>
      </c>
      <c r="H2460" s="22">
        <f>F2460*(1+Assumptions!$B$6+IF(D2460="Yes",Assumptions!$C$6,0))</f>
        <v>71.791000000000011</v>
      </c>
      <c r="I2460" s="22">
        <f>F2460*(1+Assumptions!$B$7+IF(D2460="Yes",Assumptions!$C$7,0))</f>
        <v>73.185000000000002</v>
      </c>
      <c r="J2460" s="22">
        <f>F2460*(1+Assumptions!$B$8+IF(D2460="Yes",Assumptions!$C$8,0))</f>
        <v>70.397000000000006</v>
      </c>
    </row>
    <row r="2461" spans="1:10" ht="15">
      <c r="A2461" s="21">
        <v>41138</v>
      </c>
      <c r="B2461" s="21">
        <v>41122</v>
      </c>
      <c r="C2461" s="17">
        <v>46</v>
      </c>
      <c r="D2461" s="17" t="s">
        <v>91</v>
      </c>
      <c r="E2461" s="14">
        <v>886297.2</v>
      </c>
      <c r="F2461" s="14">
        <v>884600.95</v>
      </c>
      <c r="G2461" s="14">
        <v>884600.95</v>
      </c>
      <c r="H2461" s="22">
        <f>F2461*(1+Assumptions!$B$6+IF(D2461="Yes",Assumptions!$C$6,0))</f>
        <v>911138.97849999997</v>
      </c>
      <c r="I2461" s="22">
        <f>F2461*(1+Assumptions!$B$7+IF(D2461="Yes",Assumptions!$C$7,0))</f>
        <v>928830.99749999994</v>
      </c>
      <c r="J2461" s="22">
        <f>F2461*(1+Assumptions!$B$8+IF(D2461="Yes",Assumptions!$C$8,0))</f>
        <v>893446.9595</v>
      </c>
    </row>
    <row r="2462" spans="1:10" ht="15">
      <c r="A2462" s="21">
        <v>41138</v>
      </c>
      <c r="B2462" s="21">
        <v>41122</v>
      </c>
      <c r="C2462" s="17">
        <v>47</v>
      </c>
      <c r="D2462" s="17" t="s">
        <v>91</v>
      </c>
      <c r="E2462" s="14">
        <v>58</v>
      </c>
      <c r="F2462" s="14">
        <v>-198</v>
      </c>
      <c r="G2462" s="14">
        <v>-198</v>
      </c>
      <c r="H2462" s="22">
        <f>F2462*(1+Assumptions!$B$6+IF(D2462="Yes",Assumptions!$C$6,0))</f>
        <v>-203.94</v>
      </c>
      <c r="I2462" s="22">
        <f>F2462*(1+Assumptions!$B$7+IF(D2462="Yes",Assumptions!$C$7,0))</f>
        <v>-207.9</v>
      </c>
      <c r="J2462" s="22">
        <f>F2462*(1+Assumptions!$B$8+IF(D2462="Yes",Assumptions!$C$8,0))</f>
        <v>-199.98</v>
      </c>
    </row>
    <row r="2463" spans="1:10" ht="15">
      <c r="A2463" s="21">
        <v>41138</v>
      </c>
      <c r="B2463" s="21">
        <v>41122</v>
      </c>
      <c r="C2463" s="17">
        <v>48</v>
      </c>
      <c r="D2463" s="17" t="s">
        <v>91</v>
      </c>
      <c r="E2463" s="14">
        <v>24381</v>
      </c>
      <c r="F2463" s="14">
        <v>10419</v>
      </c>
      <c r="G2463" s="14">
        <v>10419</v>
      </c>
      <c r="H2463" s="22">
        <f>F2463*(1+Assumptions!$B$6+IF(D2463="Yes",Assumptions!$C$6,0))</f>
        <v>10731.57</v>
      </c>
      <c r="I2463" s="22">
        <f>F2463*(1+Assumptions!$B$7+IF(D2463="Yes",Assumptions!$C$7,0))</f>
        <v>10939.95</v>
      </c>
      <c r="J2463" s="22">
        <f>F2463*(1+Assumptions!$B$8+IF(D2463="Yes",Assumptions!$C$8,0))</f>
        <v>10523.19</v>
      </c>
    </row>
    <row r="2464" spans="1:10" ht="15">
      <c r="A2464" s="21">
        <v>41138</v>
      </c>
      <c r="B2464" s="21">
        <v>41122</v>
      </c>
      <c r="C2464" s="17">
        <v>49</v>
      </c>
      <c r="D2464" s="17" t="s">
        <v>91</v>
      </c>
      <c r="E2464" s="14">
        <v>286955.63</v>
      </c>
      <c r="F2464" s="14">
        <v>287293.40999999997</v>
      </c>
      <c r="G2464" s="14">
        <v>287293.40999999997</v>
      </c>
      <c r="H2464" s="22">
        <f>F2464*(1+Assumptions!$B$6+IF(D2464="Yes",Assumptions!$C$6,0))</f>
        <v>295912.21229999996</v>
      </c>
      <c r="I2464" s="22">
        <f>F2464*(1+Assumptions!$B$7+IF(D2464="Yes",Assumptions!$C$7,0))</f>
        <v>301658.08049999998</v>
      </c>
      <c r="J2464" s="22">
        <f>F2464*(1+Assumptions!$B$8+IF(D2464="Yes",Assumptions!$C$8,0))</f>
        <v>290166.34409999999</v>
      </c>
    </row>
    <row r="2465" spans="1:10" ht="15">
      <c r="A2465" s="21">
        <v>41138</v>
      </c>
      <c r="B2465" s="21">
        <v>41122</v>
      </c>
      <c r="C2465" s="17">
        <v>50</v>
      </c>
      <c r="D2465" s="17" t="s">
        <v>91</v>
      </c>
      <c r="E2465" s="14">
        <v>34953.5</v>
      </c>
      <c r="F2465" s="14">
        <v>32864.5</v>
      </c>
      <c r="G2465" s="14">
        <v>32864.5</v>
      </c>
      <c r="H2465" s="22">
        <f>F2465*(1+Assumptions!$B$6+IF(D2465="Yes",Assumptions!$C$6,0))</f>
        <v>33850.434999999998</v>
      </c>
      <c r="I2465" s="22">
        <f>F2465*(1+Assumptions!$B$7+IF(D2465="Yes",Assumptions!$C$7,0))</f>
        <v>34507.724999999999</v>
      </c>
      <c r="J2465" s="22">
        <f>F2465*(1+Assumptions!$B$8+IF(D2465="Yes",Assumptions!$C$8,0))</f>
        <v>33193.144999999997</v>
      </c>
    </row>
    <row r="2466" spans="1:10" ht="15">
      <c r="A2466" s="21">
        <v>41138</v>
      </c>
      <c r="B2466" s="21">
        <v>41122</v>
      </c>
      <c r="C2466" s="17">
        <v>51</v>
      </c>
      <c r="D2466" s="17" t="s">
        <v>91</v>
      </c>
      <c r="E2466" s="14">
        <v>1.1599999999999999</v>
      </c>
      <c r="F2466" s="14">
        <v>8.1199999999999992</v>
      </c>
      <c r="G2466" s="14">
        <v>8.1199999999999992</v>
      </c>
      <c r="H2466" s="22">
        <f>F2466*(1+Assumptions!$B$6+IF(D2466="Yes",Assumptions!$C$6,0))</f>
        <v>8.3635999999999999</v>
      </c>
      <c r="I2466" s="22">
        <f>F2466*(1+Assumptions!$B$7+IF(D2466="Yes",Assumptions!$C$7,0))</f>
        <v>8.5259999999999998</v>
      </c>
      <c r="J2466" s="22">
        <f>F2466*(1+Assumptions!$B$8+IF(D2466="Yes",Assumptions!$C$8,0))</f>
        <v>8.2012</v>
      </c>
    </row>
    <row r="2467" spans="1:10" ht="15">
      <c r="A2467" s="21">
        <v>41138</v>
      </c>
      <c r="B2467" s="21">
        <v>41122</v>
      </c>
      <c r="C2467" s="17">
        <v>52</v>
      </c>
      <c r="D2467" s="17" t="s">
        <v>91</v>
      </c>
      <c r="E2467" s="14">
        <v>71106.58</v>
      </c>
      <c r="F2467" s="14">
        <v>75392.73</v>
      </c>
      <c r="G2467" s="14">
        <v>75392.73</v>
      </c>
      <c r="H2467" s="22">
        <f>F2467*(1+Assumptions!$B$6+IF(D2467="Yes",Assumptions!$C$6,0))</f>
        <v>77654.511899999998</v>
      </c>
      <c r="I2467" s="22">
        <f>F2467*(1+Assumptions!$B$7+IF(D2467="Yes",Assumptions!$C$7,0))</f>
        <v>79162.366500000004</v>
      </c>
      <c r="J2467" s="22">
        <f>F2467*(1+Assumptions!$B$8+IF(D2467="Yes",Assumptions!$C$8,0))</f>
        <v>76146.657299999992</v>
      </c>
    </row>
    <row r="2468" spans="1:10" ht="15">
      <c r="A2468" s="21">
        <v>41138</v>
      </c>
      <c r="B2468" s="21">
        <v>41122</v>
      </c>
      <c r="C2468" s="17">
        <v>54</v>
      </c>
      <c r="D2468" s="17" t="s">
        <v>91</v>
      </c>
      <c r="E2468" s="14">
        <v>688.72</v>
      </c>
      <c r="F2468" s="14">
        <v>1689.46</v>
      </c>
      <c r="G2468" s="14">
        <v>1689.46</v>
      </c>
      <c r="H2468" s="22">
        <f>F2468*(1+Assumptions!$B$6+IF(D2468="Yes",Assumptions!$C$6,0))</f>
        <v>1740.1438000000001</v>
      </c>
      <c r="I2468" s="22">
        <f>F2468*(1+Assumptions!$B$7+IF(D2468="Yes",Assumptions!$C$7,0))</f>
        <v>1773.9330000000002</v>
      </c>
      <c r="J2468" s="22">
        <f>F2468*(1+Assumptions!$B$8+IF(D2468="Yes",Assumptions!$C$8,0))</f>
        <v>1706.3546000000001</v>
      </c>
    </row>
    <row r="2469" spans="1:10" ht="15">
      <c r="A2469" s="21">
        <v>41138</v>
      </c>
      <c r="B2469" s="21">
        <v>41122</v>
      </c>
      <c r="C2469" s="17">
        <v>55</v>
      </c>
      <c r="D2469" s="17" t="s">
        <v>91</v>
      </c>
      <c r="E2469" s="14">
        <v>236926.23</v>
      </c>
      <c r="F2469" s="14">
        <v>261877.31</v>
      </c>
      <c r="G2469" s="14">
        <v>261877.31</v>
      </c>
      <c r="H2469" s="22">
        <f>F2469*(1+Assumptions!$B$6+IF(D2469="Yes",Assumptions!$C$6,0))</f>
        <v>269733.62930000003</v>
      </c>
      <c r="I2469" s="22">
        <f>F2469*(1+Assumptions!$B$7+IF(D2469="Yes",Assumptions!$C$7,0))</f>
        <v>274971.17550000001</v>
      </c>
      <c r="J2469" s="22">
        <f>F2469*(1+Assumptions!$B$8+IF(D2469="Yes",Assumptions!$C$8,0))</f>
        <v>264496.08309999999</v>
      </c>
    </row>
    <row r="2470" spans="1:10" ht="15">
      <c r="A2470" s="21">
        <v>41138</v>
      </c>
      <c r="B2470" s="21">
        <v>41122</v>
      </c>
      <c r="C2470" s="17">
        <v>56</v>
      </c>
      <c r="D2470" s="17" t="s">
        <v>91</v>
      </c>
      <c r="E2470" s="14">
        <v>48172.02</v>
      </c>
      <c r="F2470" s="14">
        <v>40762.97</v>
      </c>
      <c r="G2470" s="14">
        <v>40762.97</v>
      </c>
      <c r="H2470" s="22">
        <f>F2470*(1+Assumptions!$B$6+IF(D2470="Yes",Assumptions!$C$6,0))</f>
        <v>41985.859100000001</v>
      </c>
      <c r="I2470" s="22">
        <f>F2470*(1+Assumptions!$B$7+IF(D2470="Yes",Assumptions!$C$7,0))</f>
        <v>42801.118500000004</v>
      </c>
      <c r="J2470" s="22">
        <f>F2470*(1+Assumptions!$B$8+IF(D2470="Yes",Assumptions!$C$8,0))</f>
        <v>41170.599699999999</v>
      </c>
    </row>
    <row r="2471" spans="1:10" ht="15">
      <c r="A2471" s="21">
        <v>41138</v>
      </c>
      <c r="B2471" s="21">
        <v>41122</v>
      </c>
      <c r="C2471" s="17">
        <v>58</v>
      </c>
      <c r="D2471" s="17" t="s">
        <v>91</v>
      </c>
      <c r="E2471" s="14">
        <v>143820.97</v>
      </c>
      <c r="F2471" s="14">
        <v>106625</v>
      </c>
      <c r="G2471" s="14">
        <v>106625</v>
      </c>
      <c r="H2471" s="22">
        <f>F2471*(1+Assumptions!$B$6+IF(D2471="Yes",Assumptions!$C$6,0))</f>
        <v>109823.75</v>
      </c>
      <c r="I2471" s="22">
        <f>F2471*(1+Assumptions!$B$7+IF(D2471="Yes",Assumptions!$C$7,0))</f>
        <v>111956.25</v>
      </c>
      <c r="J2471" s="22">
        <f>F2471*(1+Assumptions!$B$8+IF(D2471="Yes",Assumptions!$C$8,0))</f>
        <v>107691.25</v>
      </c>
    </row>
    <row r="2472" spans="1:10" ht="15">
      <c r="A2472" s="21">
        <v>41138</v>
      </c>
      <c r="B2472" s="21">
        <v>41122</v>
      </c>
      <c r="C2472" s="17">
        <v>59</v>
      </c>
      <c r="D2472" s="17" t="s">
        <v>91</v>
      </c>
      <c r="E2472" s="14">
        <v>8727.08</v>
      </c>
      <c r="F2472" s="14">
        <v>12502.57</v>
      </c>
      <c r="G2472" s="14">
        <v>12502.57</v>
      </c>
      <c r="H2472" s="22">
        <f>F2472*(1+Assumptions!$B$6+IF(D2472="Yes",Assumptions!$C$6,0))</f>
        <v>12877.6471</v>
      </c>
      <c r="I2472" s="22">
        <f>F2472*(1+Assumptions!$B$7+IF(D2472="Yes",Assumptions!$C$7,0))</f>
        <v>13127.6985</v>
      </c>
      <c r="J2472" s="22">
        <f>F2472*(1+Assumptions!$B$8+IF(D2472="Yes",Assumptions!$C$8,0))</f>
        <v>12627.5957</v>
      </c>
    </row>
    <row r="2473" spans="1:10" ht="15">
      <c r="A2473" s="21">
        <v>41138</v>
      </c>
      <c r="B2473" s="21">
        <v>41122</v>
      </c>
      <c r="C2473" s="17">
        <v>60</v>
      </c>
      <c r="D2473" s="17" t="s">
        <v>91</v>
      </c>
      <c r="E2473" s="14">
        <v>12420</v>
      </c>
      <c r="F2473" s="14">
        <v>12564.4</v>
      </c>
      <c r="G2473" s="14">
        <v>12564.4</v>
      </c>
      <c r="H2473" s="22">
        <f>F2473*(1+Assumptions!$B$6+IF(D2473="Yes",Assumptions!$C$6,0))</f>
        <v>12941.332</v>
      </c>
      <c r="I2473" s="22">
        <f>F2473*(1+Assumptions!$B$7+IF(D2473="Yes",Assumptions!$C$7,0))</f>
        <v>13192.62</v>
      </c>
      <c r="J2473" s="22">
        <f>F2473*(1+Assumptions!$B$8+IF(D2473="Yes",Assumptions!$C$8,0))</f>
        <v>12690.044</v>
      </c>
    </row>
    <row r="2474" spans="1:10" ht="15">
      <c r="A2474" s="21">
        <v>41138</v>
      </c>
      <c r="B2474" s="21">
        <v>41122</v>
      </c>
      <c r="C2474" s="17">
        <v>65</v>
      </c>
      <c r="D2474" s="17" t="s">
        <v>91</v>
      </c>
      <c r="E2474" s="14">
        <v>54915.08</v>
      </c>
      <c r="F2474" s="14">
        <v>35848.269999999997</v>
      </c>
      <c r="G2474" s="14">
        <v>35848.269999999997</v>
      </c>
      <c r="H2474" s="22">
        <f>F2474*(1+Assumptions!$B$6+IF(D2474="Yes",Assumptions!$C$6,0))</f>
        <v>36923.718099999998</v>
      </c>
      <c r="I2474" s="22">
        <f>F2474*(1+Assumptions!$B$7+IF(D2474="Yes",Assumptions!$C$7,0))</f>
        <v>37640.683499999999</v>
      </c>
      <c r="J2474" s="22">
        <f>F2474*(1+Assumptions!$B$8+IF(D2474="Yes",Assumptions!$C$8,0))</f>
        <v>36206.752699999997</v>
      </c>
    </row>
    <row r="2475" spans="1:10" ht="15">
      <c r="A2475" s="21">
        <v>41138</v>
      </c>
      <c r="B2475" s="21">
        <v>41122</v>
      </c>
      <c r="C2475" s="17">
        <v>67</v>
      </c>
      <c r="D2475" s="17" t="s">
        <v>91</v>
      </c>
      <c r="E2475" s="14">
        <v>266001.46000000002</v>
      </c>
      <c r="F2475" s="14">
        <v>236712.95999999999</v>
      </c>
      <c r="G2475" s="14">
        <v>236712.95999999999</v>
      </c>
      <c r="H2475" s="22">
        <f>F2475*(1+Assumptions!$B$6+IF(D2475="Yes",Assumptions!$C$6,0))</f>
        <v>243814.34880000001</v>
      </c>
      <c r="I2475" s="22">
        <f>F2475*(1+Assumptions!$B$7+IF(D2475="Yes",Assumptions!$C$7,0))</f>
        <v>248548.60800000001</v>
      </c>
      <c r="J2475" s="22">
        <f>F2475*(1+Assumptions!$B$8+IF(D2475="Yes",Assumptions!$C$8,0))</f>
        <v>239080.08960000001</v>
      </c>
    </row>
    <row r="2476" spans="1:10" ht="15">
      <c r="A2476" s="21">
        <v>41138</v>
      </c>
      <c r="B2476" s="21">
        <v>41122</v>
      </c>
      <c r="C2476" s="17">
        <v>71</v>
      </c>
      <c r="D2476" s="17" t="s">
        <v>91</v>
      </c>
      <c r="E2476" s="14">
        <v>236211.5</v>
      </c>
      <c r="F2476" s="14">
        <v>251007.34</v>
      </c>
      <c r="G2476" s="14">
        <v>251007.34</v>
      </c>
      <c r="H2476" s="22">
        <f>F2476*(1+Assumptions!$B$6+IF(D2476="Yes",Assumptions!$C$6,0))</f>
        <v>258537.56020000001</v>
      </c>
      <c r="I2476" s="22">
        <f>F2476*(1+Assumptions!$B$7+IF(D2476="Yes",Assumptions!$C$7,0))</f>
        <v>263557.70699999999</v>
      </c>
      <c r="J2476" s="22">
        <f>F2476*(1+Assumptions!$B$8+IF(D2476="Yes",Assumptions!$C$8,0))</f>
        <v>253517.41339999999</v>
      </c>
    </row>
    <row r="2477" spans="1:10" ht="15">
      <c r="A2477" s="21">
        <v>41138</v>
      </c>
      <c r="B2477" s="21">
        <v>41122</v>
      </c>
      <c r="C2477" s="17">
        <v>72</v>
      </c>
      <c r="D2477" s="17" t="s">
        <v>91</v>
      </c>
      <c r="E2477" s="14">
        <v>1834522.77</v>
      </c>
      <c r="F2477" s="14">
        <v>1919920.82</v>
      </c>
      <c r="G2477" s="14">
        <v>1919920.82</v>
      </c>
      <c r="H2477" s="22">
        <f>F2477*(1+Assumptions!$B$6+IF(D2477="Yes",Assumptions!$C$6,0))</f>
        <v>1977518.4446</v>
      </c>
      <c r="I2477" s="22">
        <f>F2477*(1+Assumptions!$B$7+IF(D2477="Yes",Assumptions!$C$7,0))</f>
        <v>2015916.8610000003</v>
      </c>
      <c r="J2477" s="22">
        <f>F2477*(1+Assumptions!$B$8+IF(D2477="Yes",Assumptions!$C$8,0))</f>
        <v>1939120.0282000001</v>
      </c>
    </row>
    <row r="2478" spans="1:10" ht="15">
      <c r="A2478" s="21">
        <v>41138</v>
      </c>
      <c r="B2478" s="21">
        <v>41122</v>
      </c>
      <c r="C2478" s="17">
        <v>74</v>
      </c>
      <c r="D2478" s="17" t="s">
        <v>91</v>
      </c>
      <c r="E2478" s="14">
        <v>743791.55999999994</v>
      </c>
      <c r="F2478" s="14">
        <v>743514.98</v>
      </c>
      <c r="G2478" s="14">
        <v>743514.98</v>
      </c>
      <c r="H2478" s="22">
        <f>F2478*(1+Assumptions!$B$6+IF(D2478="Yes",Assumptions!$C$6,0))</f>
        <v>765820.42940000002</v>
      </c>
      <c r="I2478" s="22">
        <f>F2478*(1+Assumptions!$B$7+IF(D2478="Yes",Assumptions!$C$7,0))</f>
        <v>780690.72900000005</v>
      </c>
      <c r="J2478" s="22">
        <f>F2478*(1+Assumptions!$B$8+IF(D2478="Yes",Assumptions!$C$8,0))</f>
        <v>750950.1298</v>
      </c>
    </row>
    <row r="2479" spans="1:10" ht="15">
      <c r="A2479" s="21">
        <v>41138</v>
      </c>
      <c r="B2479" s="21">
        <v>41122</v>
      </c>
      <c r="C2479" s="17">
        <v>79</v>
      </c>
      <c r="D2479" s="17" t="s">
        <v>91</v>
      </c>
      <c r="E2479" s="14">
        <v>962322.98</v>
      </c>
      <c r="F2479" s="14">
        <v>1013437.99</v>
      </c>
      <c r="G2479" s="14">
        <v>1013437.99</v>
      </c>
      <c r="H2479" s="22">
        <f>F2479*(1+Assumptions!$B$6+IF(D2479="Yes",Assumptions!$C$6,0))</f>
        <v>1043841.1297</v>
      </c>
      <c r="I2479" s="22">
        <f>F2479*(1+Assumptions!$B$7+IF(D2479="Yes",Assumptions!$C$7,0))</f>
        <v>1064109.8895</v>
      </c>
      <c r="J2479" s="22">
        <f>F2479*(1+Assumptions!$B$8+IF(D2479="Yes",Assumptions!$C$8,0))</f>
        <v>1023572.3699</v>
      </c>
    </row>
    <row r="2480" spans="1:10" ht="15">
      <c r="A2480" s="21">
        <v>41138</v>
      </c>
      <c r="B2480" s="21">
        <v>41122</v>
      </c>
      <c r="C2480" s="17">
        <v>80</v>
      </c>
      <c r="D2480" s="17" t="s">
        <v>91</v>
      </c>
      <c r="E2480" s="14">
        <v>508079.01</v>
      </c>
      <c r="F2480" s="14">
        <v>502306.79</v>
      </c>
      <c r="G2480" s="14">
        <v>502306.79</v>
      </c>
      <c r="H2480" s="22">
        <f>F2480*(1+Assumptions!$B$6+IF(D2480="Yes",Assumptions!$C$6,0))</f>
        <v>517375.99369999999</v>
      </c>
      <c r="I2480" s="22">
        <f>F2480*(1+Assumptions!$B$7+IF(D2480="Yes",Assumptions!$C$7,0))</f>
        <v>527422.12950000004</v>
      </c>
      <c r="J2480" s="22">
        <f>F2480*(1+Assumptions!$B$8+IF(D2480="Yes",Assumptions!$C$8,0))</f>
        <v>507329.8579</v>
      </c>
    </row>
    <row r="2481" spans="1:10" ht="15">
      <c r="A2481" s="21">
        <v>41138</v>
      </c>
      <c r="B2481" s="21">
        <v>41122</v>
      </c>
      <c r="C2481" s="17">
        <v>81</v>
      </c>
      <c r="D2481" s="17" t="s">
        <v>91</v>
      </c>
      <c r="E2481" s="14">
        <v>702113.32</v>
      </c>
      <c r="F2481" s="14">
        <v>695035.32000000007</v>
      </c>
      <c r="G2481" s="14">
        <v>695035.32000000007</v>
      </c>
      <c r="H2481" s="22">
        <f>F2481*(1+Assumptions!$B$6+IF(D2481="Yes",Assumptions!$C$6,0))</f>
        <v>715886.3796000001</v>
      </c>
      <c r="I2481" s="22">
        <f>F2481*(1+Assumptions!$B$7+IF(D2481="Yes",Assumptions!$C$7,0))</f>
        <v>729787.08600000013</v>
      </c>
      <c r="J2481" s="22">
        <f>F2481*(1+Assumptions!$B$8+IF(D2481="Yes",Assumptions!$C$8,0))</f>
        <v>701985.67320000008</v>
      </c>
    </row>
    <row r="2482" spans="1:10" ht="15">
      <c r="A2482" s="21">
        <v>41138</v>
      </c>
      <c r="B2482" s="21">
        <v>41122</v>
      </c>
      <c r="C2482" s="17">
        <v>82</v>
      </c>
      <c r="D2482" s="17" t="s">
        <v>91</v>
      </c>
      <c r="E2482" s="14">
        <v>706964.92</v>
      </c>
      <c r="F2482" s="14">
        <v>674124.68</v>
      </c>
      <c r="G2482" s="14">
        <v>674124.68</v>
      </c>
      <c r="H2482" s="22">
        <f>F2482*(1+Assumptions!$B$6+IF(D2482="Yes",Assumptions!$C$6,0))</f>
        <v>694348.42040000006</v>
      </c>
      <c r="I2482" s="22">
        <f>F2482*(1+Assumptions!$B$7+IF(D2482="Yes",Assumptions!$C$7,0))</f>
        <v>707830.91400000011</v>
      </c>
      <c r="J2482" s="22">
        <f>F2482*(1+Assumptions!$B$8+IF(D2482="Yes",Assumptions!$C$8,0))</f>
        <v>680865.92680000002</v>
      </c>
    </row>
    <row r="2483" spans="1:10" ht="15">
      <c r="A2483" s="21">
        <v>41138</v>
      </c>
      <c r="B2483" s="21">
        <v>41122</v>
      </c>
      <c r="C2483" s="17">
        <v>83</v>
      </c>
      <c r="D2483" s="17" t="s">
        <v>91</v>
      </c>
      <c r="E2483" s="14">
        <v>134579.36000000002</v>
      </c>
      <c r="F2483" s="14">
        <v>124789.25</v>
      </c>
      <c r="G2483" s="14">
        <v>124789.25</v>
      </c>
      <c r="H2483" s="22">
        <f>F2483*(1+Assumptions!$B$6+IF(D2483="Yes",Assumptions!$C$6,0))</f>
        <v>128532.92750000001</v>
      </c>
      <c r="I2483" s="22">
        <f>F2483*(1+Assumptions!$B$7+IF(D2483="Yes",Assumptions!$C$7,0))</f>
        <v>131028.71250000001</v>
      </c>
      <c r="J2483" s="22">
        <f>F2483*(1+Assumptions!$B$8+IF(D2483="Yes",Assumptions!$C$8,0))</f>
        <v>126037.1425</v>
      </c>
    </row>
    <row r="2484" spans="1:10" ht="15">
      <c r="A2484" s="21">
        <v>41138</v>
      </c>
      <c r="B2484" s="21">
        <v>41122</v>
      </c>
      <c r="C2484" s="17">
        <v>85</v>
      </c>
      <c r="D2484" s="17" t="s">
        <v>91</v>
      </c>
      <c r="E2484" s="14">
        <v>88754.78</v>
      </c>
      <c r="F2484" s="14">
        <v>101775.78</v>
      </c>
      <c r="G2484" s="14">
        <v>101775.78</v>
      </c>
      <c r="H2484" s="22">
        <f>F2484*(1+Assumptions!$B$6+IF(D2484="Yes",Assumptions!$C$6,0))</f>
        <v>104829.0534</v>
      </c>
      <c r="I2484" s="22">
        <f>F2484*(1+Assumptions!$B$7+IF(D2484="Yes",Assumptions!$C$7,0))</f>
        <v>106864.569</v>
      </c>
      <c r="J2484" s="22">
        <f>F2484*(1+Assumptions!$B$8+IF(D2484="Yes",Assumptions!$C$8,0))</f>
        <v>102793.53780000001</v>
      </c>
    </row>
    <row r="2485" spans="1:10" ht="15">
      <c r="A2485" s="21">
        <v>41138</v>
      </c>
      <c r="B2485" s="21">
        <v>41122</v>
      </c>
      <c r="C2485" s="17">
        <v>87</v>
      </c>
      <c r="D2485" s="17" t="s">
        <v>91</v>
      </c>
      <c r="E2485" s="14">
        <v>705295.08</v>
      </c>
      <c r="F2485" s="14">
        <v>583128.46</v>
      </c>
      <c r="G2485" s="14">
        <v>583128.46</v>
      </c>
      <c r="H2485" s="22">
        <f>F2485*(1+Assumptions!$B$6+IF(D2485="Yes",Assumptions!$C$6,0))</f>
        <v>600622.3138</v>
      </c>
      <c r="I2485" s="22">
        <f>F2485*(1+Assumptions!$B$7+IF(D2485="Yes",Assumptions!$C$7,0))</f>
        <v>612284.88300000003</v>
      </c>
      <c r="J2485" s="22">
        <f>F2485*(1+Assumptions!$B$8+IF(D2485="Yes",Assumptions!$C$8,0))</f>
        <v>588959.74459999998</v>
      </c>
    </row>
    <row r="2486" spans="1:10" ht="15">
      <c r="A2486" s="21">
        <v>41138</v>
      </c>
      <c r="B2486" s="21">
        <v>41122</v>
      </c>
      <c r="C2486" s="17">
        <v>90</v>
      </c>
      <c r="D2486" s="17" t="s">
        <v>91</v>
      </c>
      <c r="E2486" s="14">
        <v>2070743.53</v>
      </c>
      <c r="F2486" s="14">
        <v>2072240.8399999999</v>
      </c>
      <c r="G2486" s="14">
        <v>2072240.8399999999</v>
      </c>
      <c r="H2486" s="22">
        <f>F2486*(1+Assumptions!$B$6+IF(D2486="Yes",Assumptions!$C$6,0))</f>
        <v>2134408.0652000001</v>
      </c>
      <c r="I2486" s="22">
        <f>F2486*(1+Assumptions!$B$7+IF(D2486="Yes",Assumptions!$C$7,0))</f>
        <v>2175852.8819999998</v>
      </c>
      <c r="J2486" s="22">
        <f>F2486*(1+Assumptions!$B$8+IF(D2486="Yes",Assumptions!$C$8,0))</f>
        <v>2092963.2483999999</v>
      </c>
    </row>
    <row r="2487" spans="1:10" ht="15">
      <c r="A2487" s="21">
        <v>41138</v>
      </c>
      <c r="B2487" s="21">
        <v>41122</v>
      </c>
      <c r="C2487" s="17">
        <v>91</v>
      </c>
      <c r="D2487" s="17" t="s">
        <v>91</v>
      </c>
      <c r="E2487" s="14">
        <v>1556128.01</v>
      </c>
      <c r="F2487" s="14">
        <v>1502584.7</v>
      </c>
      <c r="G2487" s="14">
        <v>1502584.7</v>
      </c>
      <c r="H2487" s="22">
        <f>F2487*(1+Assumptions!$B$6+IF(D2487="Yes",Assumptions!$C$6,0))</f>
        <v>1547662.2409999999</v>
      </c>
      <c r="I2487" s="22">
        <f>F2487*(1+Assumptions!$B$7+IF(D2487="Yes",Assumptions!$C$7,0))</f>
        <v>1577713.9350000001</v>
      </c>
      <c r="J2487" s="22">
        <f>F2487*(1+Assumptions!$B$8+IF(D2487="Yes",Assumptions!$C$8,0))</f>
        <v>1517610.547</v>
      </c>
    </row>
    <row r="2488" spans="1:10" ht="15">
      <c r="A2488" s="21">
        <v>41138</v>
      </c>
      <c r="B2488" s="21">
        <v>41122</v>
      </c>
      <c r="C2488" s="17">
        <v>92</v>
      </c>
      <c r="D2488" s="17" t="s">
        <v>91</v>
      </c>
      <c r="E2488" s="14">
        <v>3514723.07</v>
      </c>
      <c r="F2488" s="14">
        <v>3271764.85</v>
      </c>
      <c r="G2488" s="14">
        <v>3271764.85</v>
      </c>
      <c r="H2488" s="22">
        <f>F2488*(1+Assumptions!$B$6+IF(D2488="Yes",Assumptions!$C$6,0))</f>
        <v>3369917.7955</v>
      </c>
      <c r="I2488" s="22">
        <f>F2488*(1+Assumptions!$B$7+IF(D2488="Yes",Assumptions!$C$7,0))</f>
        <v>3435353.0925000003</v>
      </c>
      <c r="J2488" s="22">
        <f>F2488*(1+Assumptions!$B$8+IF(D2488="Yes",Assumptions!$C$8,0))</f>
        <v>3304482.4985000002</v>
      </c>
    </row>
    <row r="2489" spans="1:10" ht="15">
      <c r="A2489" s="21">
        <v>41138</v>
      </c>
      <c r="B2489" s="21">
        <v>41122</v>
      </c>
      <c r="C2489" s="17">
        <v>93</v>
      </c>
      <c r="D2489" s="17" t="s">
        <v>91</v>
      </c>
      <c r="E2489" s="14">
        <v>1178681.47</v>
      </c>
      <c r="F2489" s="14">
        <v>1084185.07</v>
      </c>
      <c r="G2489" s="14">
        <v>1084185.07</v>
      </c>
      <c r="H2489" s="22">
        <f>F2489*(1+Assumptions!$B$6+IF(D2489="Yes",Assumptions!$C$6,0))</f>
        <v>1116710.6221</v>
      </c>
      <c r="I2489" s="22">
        <f>F2489*(1+Assumptions!$B$7+IF(D2489="Yes",Assumptions!$C$7,0))</f>
        <v>1138394.3235000002</v>
      </c>
      <c r="J2489" s="22">
        <f>F2489*(1+Assumptions!$B$8+IF(D2489="Yes",Assumptions!$C$8,0))</f>
        <v>1095026.9207000001</v>
      </c>
    </row>
    <row r="2490" spans="1:10" ht="15">
      <c r="A2490" s="21">
        <v>41138</v>
      </c>
      <c r="B2490" s="21">
        <v>41122</v>
      </c>
      <c r="C2490" s="17">
        <v>94</v>
      </c>
      <c r="D2490" s="17" t="s">
        <v>91</v>
      </c>
      <c r="E2490" s="14">
        <v>1371565.89</v>
      </c>
      <c r="F2490" s="14">
        <v>1394339.01</v>
      </c>
      <c r="G2490" s="14">
        <v>1394339.01</v>
      </c>
      <c r="H2490" s="22">
        <f>F2490*(1+Assumptions!$B$6+IF(D2490="Yes",Assumptions!$C$6,0))</f>
        <v>1436169.1803000001</v>
      </c>
      <c r="I2490" s="22">
        <f>F2490*(1+Assumptions!$B$7+IF(D2490="Yes",Assumptions!$C$7,0))</f>
        <v>1464055.9605</v>
      </c>
      <c r="J2490" s="22">
        <f>F2490*(1+Assumptions!$B$8+IF(D2490="Yes",Assumptions!$C$8,0))</f>
        <v>1408282.4001</v>
      </c>
    </row>
    <row r="2491" spans="1:10" ht="15">
      <c r="A2491" s="21">
        <v>41138</v>
      </c>
      <c r="B2491" s="21">
        <v>41122</v>
      </c>
      <c r="C2491" s="17">
        <v>95</v>
      </c>
      <c r="D2491" s="17" t="s">
        <v>91</v>
      </c>
      <c r="E2491" s="14">
        <v>3355095.7399999998</v>
      </c>
      <c r="F2491" s="14">
        <v>3273055.88</v>
      </c>
      <c r="G2491" s="14">
        <v>3273055.88</v>
      </c>
      <c r="H2491" s="22">
        <f>F2491*(1+Assumptions!$B$6+IF(D2491="Yes",Assumptions!$C$6,0))</f>
        <v>3371247.5564000001</v>
      </c>
      <c r="I2491" s="22">
        <f>F2491*(1+Assumptions!$B$7+IF(D2491="Yes",Assumptions!$C$7,0))</f>
        <v>3436708.6740000001</v>
      </c>
      <c r="J2491" s="22">
        <f>F2491*(1+Assumptions!$B$8+IF(D2491="Yes",Assumptions!$C$8,0))</f>
        <v>3305786.4388000001</v>
      </c>
    </row>
    <row r="2492" spans="1:10" ht="15">
      <c r="A2492" s="21">
        <v>41138</v>
      </c>
      <c r="B2492" s="21">
        <v>41122</v>
      </c>
      <c r="C2492" s="17">
        <v>96</v>
      </c>
      <c r="D2492" s="17" t="s">
        <v>91</v>
      </c>
      <c r="E2492" s="14">
        <v>572289.37</v>
      </c>
      <c r="F2492" s="14">
        <v>529442.69999999995</v>
      </c>
      <c r="G2492" s="14">
        <v>529442.69999999995</v>
      </c>
      <c r="H2492" s="22">
        <f>F2492*(1+Assumptions!$B$6+IF(D2492="Yes",Assumptions!$C$6,0))</f>
        <v>545325.98099999991</v>
      </c>
      <c r="I2492" s="22">
        <f>F2492*(1+Assumptions!$B$7+IF(D2492="Yes",Assumptions!$C$7,0))</f>
        <v>555914.83499999996</v>
      </c>
      <c r="J2492" s="22">
        <f>F2492*(1+Assumptions!$B$8+IF(D2492="Yes",Assumptions!$C$8,0))</f>
        <v>534737.12699999998</v>
      </c>
    </row>
    <row r="2493" spans="1:10" ht="15">
      <c r="A2493" s="21">
        <v>41138</v>
      </c>
      <c r="B2493" s="21">
        <v>41122</v>
      </c>
      <c r="C2493" s="17">
        <v>97</v>
      </c>
      <c r="D2493" s="17" t="s">
        <v>91</v>
      </c>
      <c r="E2493" s="14">
        <v>652623.38</v>
      </c>
      <c r="F2493" s="14">
        <v>645711.09</v>
      </c>
      <c r="G2493" s="14">
        <v>645711.09</v>
      </c>
      <c r="H2493" s="22">
        <f>F2493*(1+Assumptions!$B$6+IF(D2493="Yes",Assumptions!$C$6,0))</f>
        <v>665082.4227</v>
      </c>
      <c r="I2493" s="22">
        <f>F2493*(1+Assumptions!$B$7+IF(D2493="Yes",Assumptions!$C$7,0))</f>
        <v>677996.64449999994</v>
      </c>
      <c r="J2493" s="22">
        <f>F2493*(1+Assumptions!$B$8+IF(D2493="Yes",Assumptions!$C$8,0))</f>
        <v>652168.20089999994</v>
      </c>
    </row>
    <row r="2494" spans="1:10" ht="15">
      <c r="A2494" s="21">
        <v>41138</v>
      </c>
      <c r="B2494" s="21">
        <v>41122</v>
      </c>
      <c r="C2494" s="17">
        <v>98</v>
      </c>
      <c r="D2494" s="17" t="s">
        <v>91</v>
      </c>
      <c r="E2494" s="14">
        <v>254398.79</v>
      </c>
      <c r="F2494" s="14">
        <v>256335.6</v>
      </c>
      <c r="G2494" s="14">
        <v>256335.6</v>
      </c>
      <c r="H2494" s="22">
        <f>F2494*(1+Assumptions!$B$6+IF(D2494="Yes",Assumptions!$C$6,0))</f>
        <v>264025.66800000001</v>
      </c>
      <c r="I2494" s="22">
        <f>F2494*(1+Assumptions!$B$7+IF(D2494="Yes",Assumptions!$C$7,0))</f>
        <v>269152.38</v>
      </c>
      <c r="J2494" s="22">
        <f>F2494*(1+Assumptions!$B$8+IF(D2494="Yes",Assumptions!$C$8,0))</f>
        <v>258898.95600000001</v>
      </c>
    </row>
    <row r="2495" spans="1:10" ht="15">
      <c r="A2495" s="21">
        <v>41138</v>
      </c>
      <c r="B2495" s="21">
        <v>41122</v>
      </c>
      <c r="C2495" s="17">
        <v>99</v>
      </c>
      <c r="D2495" s="17" t="s">
        <v>91</v>
      </c>
      <c r="E2495" s="14">
        <v>411.25</v>
      </c>
      <c r="F2495" s="14">
        <v>10512.03</v>
      </c>
      <c r="G2495" s="14">
        <v>10512.03</v>
      </c>
      <c r="H2495" s="22">
        <f>F2495*(1+Assumptions!$B$6+IF(D2495="Yes",Assumptions!$C$6,0))</f>
        <v>10827.3909</v>
      </c>
      <c r="I2495" s="22">
        <f>F2495*(1+Assumptions!$B$7+IF(D2495="Yes",Assumptions!$C$7,0))</f>
        <v>11037.631500000001</v>
      </c>
      <c r="J2495" s="22">
        <f>F2495*(1+Assumptions!$B$8+IF(D2495="Yes",Assumptions!$C$8,0))</f>
        <v>10617.150300000001</v>
      </c>
    </row>
    <row r="2496" spans="1:10" ht="15">
      <c r="A2496" s="21">
        <v>41145</v>
      </c>
      <c r="B2496" s="21">
        <v>41122</v>
      </c>
      <c r="C2496" s="17">
        <v>1</v>
      </c>
      <c r="D2496" s="17" t="s">
        <v>91</v>
      </c>
      <c r="E2496" s="14">
        <v>643308.17000000004</v>
      </c>
      <c r="F2496" s="14">
        <v>625554.64</v>
      </c>
      <c r="G2496" s="14">
        <v>625554.64</v>
      </c>
      <c r="H2496" s="22">
        <f>F2496*(1+Assumptions!$B$6+IF(D2496="Yes",Assumptions!$C$6,0))</f>
        <v>644321.27919999999</v>
      </c>
      <c r="I2496" s="22">
        <f>F2496*(1+Assumptions!$B$7+IF(D2496="Yes",Assumptions!$C$7,0))</f>
        <v>656832.37200000009</v>
      </c>
      <c r="J2496" s="22">
        <f>F2496*(1+Assumptions!$B$8+IF(D2496="Yes",Assumptions!$C$8,0))</f>
        <v>631810.18640000001</v>
      </c>
    </row>
    <row r="2497" spans="1:10" ht="15">
      <c r="A2497" s="21">
        <v>41145</v>
      </c>
      <c r="B2497" s="21">
        <v>41122</v>
      </c>
      <c r="C2497" s="17">
        <v>2</v>
      </c>
      <c r="D2497" s="17" t="s">
        <v>91</v>
      </c>
      <c r="E2497" s="14">
        <v>2130178.25</v>
      </c>
      <c r="F2497" s="14">
        <v>2126825.5099999998</v>
      </c>
      <c r="G2497" s="14">
        <v>2126825.5099999998</v>
      </c>
      <c r="H2497" s="22">
        <f>F2497*(1+Assumptions!$B$6+IF(D2497="Yes",Assumptions!$C$6,0))</f>
        <v>2190630.2752999999</v>
      </c>
      <c r="I2497" s="22">
        <f>F2497*(1+Assumptions!$B$7+IF(D2497="Yes",Assumptions!$C$7,0))</f>
        <v>2233166.7854999998</v>
      </c>
      <c r="J2497" s="22">
        <f>F2497*(1+Assumptions!$B$8+IF(D2497="Yes",Assumptions!$C$8,0))</f>
        <v>2148093.7651</v>
      </c>
    </row>
    <row r="2498" spans="1:10" ht="15">
      <c r="A2498" s="21">
        <v>41145</v>
      </c>
      <c r="B2498" s="21">
        <v>41122</v>
      </c>
      <c r="C2498" s="17">
        <v>3</v>
      </c>
      <c r="D2498" s="17" t="s">
        <v>91</v>
      </c>
      <c r="E2498" s="14">
        <v>1803173.56</v>
      </c>
      <c r="F2498" s="14">
        <v>1816910.19</v>
      </c>
      <c r="G2498" s="14">
        <v>1816910.19</v>
      </c>
      <c r="H2498" s="22">
        <f>F2498*(1+Assumptions!$B$6+IF(D2498="Yes",Assumptions!$C$6,0))</f>
        <v>1871417.4957000001</v>
      </c>
      <c r="I2498" s="22">
        <f>F2498*(1+Assumptions!$B$7+IF(D2498="Yes",Assumptions!$C$7,0))</f>
        <v>1907755.6995000001</v>
      </c>
      <c r="J2498" s="22">
        <f>F2498*(1+Assumptions!$B$8+IF(D2498="Yes",Assumptions!$C$8,0))</f>
        <v>1835079.2919000001</v>
      </c>
    </row>
    <row r="2499" spans="1:10" ht="15">
      <c r="A2499" s="21">
        <v>41145</v>
      </c>
      <c r="B2499" s="21">
        <v>41122</v>
      </c>
      <c r="C2499" s="17">
        <v>4</v>
      </c>
      <c r="D2499" s="17" t="s">
        <v>91</v>
      </c>
      <c r="E2499" s="14">
        <v>1251628.53</v>
      </c>
      <c r="F2499" s="14">
        <v>1296742.01</v>
      </c>
      <c r="G2499" s="14">
        <v>1296742.01</v>
      </c>
      <c r="H2499" s="22">
        <f>F2499*(1+Assumptions!$B$6+IF(D2499="Yes",Assumptions!$C$6,0))</f>
        <v>1335644.2703</v>
      </c>
      <c r="I2499" s="22">
        <f>F2499*(1+Assumptions!$B$7+IF(D2499="Yes",Assumptions!$C$7,0))</f>
        <v>1361579.1105</v>
      </c>
      <c r="J2499" s="22">
        <f>F2499*(1+Assumptions!$B$8+IF(D2499="Yes",Assumptions!$C$8,0))</f>
        <v>1309709.4301</v>
      </c>
    </row>
    <row r="2500" spans="1:10" ht="15">
      <c r="A2500" s="21">
        <v>41145</v>
      </c>
      <c r="B2500" s="21">
        <v>41122</v>
      </c>
      <c r="C2500" s="17">
        <v>5</v>
      </c>
      <c r="D2500" s="17" t="s">
        <v>91</v>
      </c>
      <c r="E2500" s="14">
        <v>904942.7</v>
      </c>
      <c r="F2500" s="14">
        <v>625175.81999999995</v>
      </c>
      <c r="G2500" s="14">
        <v>625175.81999999995</v>
      </c>
      <c r="H2500" s="22">
        <f>F2500*(1+Assumptions!$B$6+IF(D2500="Yes",Assumptions!$C$6,0))</f>
        <v>643931.09459999995</v>
      </c>
      <c r="I2500" s="22">
        <f>F2500*(1+Assumptions!$B$7+IF(D2500="Yes",Assumptions!$C$7,0))</f>
        <v>656434.61099999992</v>
      </c>
      <c r="J2500" s="22">
        <f>F2500*(1+Assumptions!$B$8+IF(D2500="Yes",Assumptions!$C$8,0))</f>
        <v>631427.57819999999</v>
      </c>
    </row>
    <row r="2501" spans="1:10" ht="15">
      <c r="A2501" s="21">
        <v>41145</v>
      </c>
      <c r="B2501" s="21">
        <v>41122</v>
      </c>
      <c r="C2501" s="17">
        <v>6</v>
      </c>
      <c r="D2501" s="17" t="s">
        <v>91</v>
      </c>
      <c r="E2501" s="14">
        <v>119299.87</v>
      </c>
      <c r="F2501" s="14">
        <v>146023.10999999999</v>
      </c>
      <c r="G2501" s="14">
        <v>146023.10999999999</v>
      </c>
      <c r="H2501" s="22">
        <f>F2501*(1+Assumptions!$B$6+IF(D2501="Yes",Assumptions!$C$6,0))</f>
        <v>150403.8033</v>
      </c>
      <c r="I2501" s="22">
        <f>F2501*(1+Assumptions!$B$7+IF(D2501="Yes",Assumptions!$C$7,0))</f>
        <v>153324.26549999998</v>
      </c>
      <c r="J2501" s="22">
        <f>F2501*(1+Assumptions!$B$8+IF(D2501="Yes",Assumptions!$C$8,0))</f>
        <v>147483.34109999999</v>
      </c>
    </row>
    <row r="2502" spans="1:10" ht="15">
      <c r="A2502" s="21">
        <v>41145</v>
      </c>
      <c r="B2502" s="21">
        <v>41122</v>
      </c>
      <c r="C2502" s="17">
        <v>7</v>
      </c>
      <c r="D2502" s="17" t="s">
        <v>91</v>
      </c>
      <c r="E2502" s="14">
        <v>804628.7</v>
      </c>
      <c r="F2502" s="14">
        <v>729271.93</v>
      </c>
      <c r="G2502" s="14">
        <v>729271.93</v>
      </c>
      <c r="H2502" s="22">
        <f>F2502*(1+Assumptions!$B$6+IF(D2502="Yes",Assumptions!$C$6,0))</f>
        <v>751150.08790000004</v>
      </c>
      <c r="I2502" s="22">
        <f>F2502*(1+Assumptions!$B$7+IF(D2502="Yes",Assumptions!$C$7,0))</f>
        <v>765735.52650000004</v>
      </c>
      <c r="J2502" s="22">
        <f>F2502*(1+Assumptions!$B$8+IF(D2502="Yes",Assumptions!$C$8,0))</f>
        <v>736564.64930000005</v>
      </c>
    </row>
    <row r="2503" spans="1:10" ht="15">
      <c r="A2503" s="21">
        <v>41145</v>
      </c>
      <c r="B2503" s="21">
        <v>41122</v>
      </c>
      <c r="C2503" s="17">
        <v>8</v>
      </c>
      <c r="D2503" s="17" t="s">
        <v>91</v>
      </c>
      <c r="E2503" s="14">
        <v>1337941.17</v>
      </c>
      <c r="F2503" s="14">
        <v>1337300.1499999999</v>
      </c>
      <c r="G2503" s="14">
        <v>1337300.1499999999</v>
      </c>
      <c r="H2503" s="22">
        <f>F2503*(1+Assumptions!$B$6+IF(D2503="Yes",Assumptions!$C$6,0))</f>
        <v>1377419.1544999999</v>
      </c>
      <c r="I2503" s="22">
        <f>F2503*(1+Assumptions!$B$7+IF(D2503="Yes",Assumptions!$C$7,0))</f>
        <v>1404165.1575</v>
      </c>
      <c r="J2503" s="22">
        <f>F2503*(1+Assumptions!$B$8+IF(D2503="Yes",Assumptions!$C$8,0))</f>
        <v>1350673.1514999999</v>
      </c>
    </row>
    <row r="2504" spans="1:10" ht="15">
      <c r="A2504" s="21">
        <v>41145</v>
      </c>
      <c r="B2504" s="21">
        <v>41122</v>
      </c>
      <c r="C2504" s="17">
        <v>9</v>
      </c>
      <c r="D2504" s="17" t="s">
        <v>91</v>
      </c>
      <c r="E2504" s="14">
        <v>999145.8</v>
      </c>
      <c r="F2504" s="14">
        <v>1028410.26</v>
      </c>
      <c r="G2504" s="14">
        <v>1028410.26</v>
      </c>
      <c r="H2504" s="22">
        <f>F2504*(1+Assumptions!$B$6+IF(D2504="Yes",Assumptions!$C$6,0))</f>
        <v>1059262.5678000001</v>
      </c>
      <c r="I2504" s="22">
        <f>F2504*(1+Assumptions!$B$7+IF(D2504="Yes",Assumptions!$C$7,0))</f>
        <v>1079830.773</v>
      </c>
      <c r="J2504" s="22">
        <f>F2504*(1+Assumptions!$B$8+IF(D2504="Yes",Assumptions!$C$8,0))</f>
        <v>1038694.3626</v>
      </c>
    </row>
    <row r="2505" spans="1:10" ht="15">
      <c r="A2505" s="21">
        <v>41145</v>
      </c>
      <c r="B2505" s="21">
        <v>41122</v>
      </c>
      <c r="C2505" s="17">
        <v>10</v>
      </c>
      <c r="D2505" s="17" t="s">
        <v>91</v>
      </c>
      <c r="E2505" s="14">
        <v>836283.87</v>
      </c>
      <c r="F2505" s="14">
        <v>855193.2</v>
      </c>
      <c r="G2505" s="14">
        <v>855193.2</v>
      </c>
      <c r="H2505" s="22">
        <f>F2505*(1+Assumptions!$B$6+IF(D2505="Yes",Assumptions!$C$6,0))</f>
        <v>880848.99599999993</v>
      </c>
      <c r="I2505" s="22">
        <f>F2505*(1+Assumptions!$B$7+IF(D2505="Yes",Assumptions!$C$7,0))</f>
        <v>897952.86</v>
      </c>
      <c r="J2505" s="22">
        <f>F2505*(1+Assumptions!$B$8+IF(D2505="Yes",Assumptions!$C$8,0))</f>
        <v>863745.13199999998</v>
      </c>
    </row>
    <row r="2506" spans="1:10" ht="15">
      <c r="A2506" s="21">
        <v>41145</v>
      </c>
      <c r="B2506" s="21">
        <v>41122</v>
      </c>
      <c r="C2506" s="17">
        <v>11</v>
      </c>
      <c r="D2506" s="17" t="s">
        <v>91</v>
      </c>
      <c r="E2506" s="14">
        <v>575560.25</v>
      </c>
      <c r="F2506" s="14">
        <v>610640.75</v>
      </c>
      <c r="G2506" s="14">
        <v>610640.75</v>
      </c>
      <c r="H2506" s="22">
        <f>F2506*(1+Assumptions!$B$6+IF(D2506="Yes",Assumptions!$C$6,0))</f>
        <v>628959.97250000003</v>
      </c>
      <c r="I2506" s="22">
        <f>F2506*(1+Assumptions!$B$7+IF(D2506="Yes",Assumptions!$C$7,0))</f>
        <v>641172.78749999998</v>
      </c>
      <c r="J2506" s="22">
        <f>F2506*(1+Assumptions!$B$8+IF(D2506="Yes",Assumptions!$C$8,0))</f>
        <v>616747.15749999997</v>
      </c>
    </row>
    <row r="2507" spans="1:10" ht="15">
      <c r="A2507" s="21">
        <v>41145</v>
      </c>
      <c r="B2507" s="21">
        <v>41122</v>
      </c>
      <c r="C2507" s="17">
        <v>12</v>
      </c>
      <c r="D2507" s="17" t="s">
        <v>91</v>
      </c>
      <c r="E2507" s="14">
        <v>204415.82</v>
      </c>
      <c r="F2507" s="14">
        <v>202986.23</v>
      </c>
      <c r="G2507" s="14">
        <v>202986.23</v>
      </c>
      <c r="H2507" s="22">
        <f>F2507*(1+Assumptions!$B$6+IF(D2507="Yes",Assumptions!$C$6,0))</f>
        <v>209075.81690000001</v>
      </c>
      <c r="I2507" s="22">
        <f>F2507*(1+Assumptions!$B$7+IF(D2507="Yes",Assumptions!$C$7,0))</f>
        <v>213135.54150000002</v>
      </c>
      <c r="J2507" s="22">
        <f>F2507*(1+Assumptions!$B$8+IF(D2507="Yes",Assumptions!$C$8,0))</f>
        <v>205016.09230000002</v>
      </c>
    </row>
    <row r="2508" spans="1:10" ht="15">
      <c r="A2508" s="21">
        <v>41145</v>
      </c>
      <c r="B2508" s="21">
        <v>41122</v>
      </c>
      <c r="C2508" s="17">
        <v>13</v>
      </c>
      <c r="D2508" s="17" t="s">
        <v>91</v>
      </c>
      <c r="E2508" s="14">
        <v>1495252.16</v>
      </c>
      <c r="F2508" s="14">
        <v>1489255.54</v>
      </c>
      <c r="G2508" s="14">
        <v>1489255.54</v>
      </c>
      <c r="H2508" s="22">
        <f>F2508*(1+Assumptions!$B$6+IF(D2508="Yes",Assumptions!$C$6,0))</f>
        <v>1533933.2062000001</v>
      </c>
      <c r="I2508" s="22">
        <f>F2508*(1+Assumptions!$B$7+IF(D2508="Yes",Assumptions!$C$7,0))</f>
        <v>1563718.317</v>
      </c>
      <c r="J2508" s="22">
        <f>F2508*(1+Assumptions!$B$8+IF(D2508="Yes",Assumptions!$C$8,0))</f>
        <v>1504148.0954</v>
      </c>
    </row>
    <row r="2509" spans="1:10" ht="15">
      <c r="A2509" s="21">
        <v>41145</v>
      </c>
      <c r="B2509" s="21">
        <v>41122</v>
      </c>
      <c r="C2509" s="17">
        <v>14</v>
      </c>
      <c r="D2509" s="17" t="s">
        <v>91</v>
      </c>
      <c r="E2509" s="14">
        <v>643763.77</v>
      </c>
      <c r="F2509" s="14">
        <v>617308.86</v>
      </c>
      <c r="G2509" s="14">
        <v>617308.86</v>
      </c>
      <c r="H2509" s="22">
        <f>F2509*(1+Assumptions!$B$6+IF(D2509="Yes",Assumptions!$C$6,0))</f>
        <v>635828.12580000004</v>
      </c>
      <c r="I2509" s="22">
        <f>F2509*(1+Assumptions!$B$7+IF(D2509="Yes",Assumptions!$C$7,0))</f>
        <v>648174.30299999996</v>
      </c>
      <c r="J2509" s="22">
        <f>F2509*(1+Assumptions!$B$8+IF(D2509="Yes",Assumptions!$C$8,0))</f>
        <v>623481.9486</v>
      </c>
    </row>
    <row r="2510" spans="1:10" ht="15">
      <c r="A2510" s="21">
        <v>41145</v>
      </c>
      <c r="B2510" s="21">
        <v>41122</v>
      </c>
      <c r="C2510" s="17">
        <v>16</v>
      </c>
      <c r="D2510" s="17" t="s">
        <v>91</v>
      </c>
      <c r="E2510" s="14">
        <v>484832.79</v>
      </c>
      <c r="F2510" s="14">
        <v>483473.62</v>
      </c>
      <c r="G2510" s="14">
        <v>483473.62</v>
      </c>
      <c r="H2510" s="22">
        <f>F2510*(1+Assumptions!$B$6+IF(D2510="Yes",Assumptions!$C$6,0))</f>
        <v>497977.82860000001</v>
      </c>
      <c r="I2510" s="22">
        <f>F2510*(1+Assumptions!$B$7+IF(D2510="Yes",Assumptions!$C$7,0))</f>
        <v>507647.30100000004</v>
      </c>
      <c r="J2510" s="22">
        <f>F2510*(1+Assumptions!$B$8+IF(D2510="Yes",Assumptions!$C$8,0))</f>
        <v>488308.35619999998</v>
      </c>
    </row>
    <row r="2511" spans="1:10" ht="15">
      <c r="A2511" s="21">
        <v>41145</v>
      </c>
      <c r="B2511" s="21">
        <v>41122</v>
      </c>
      <c r="C2511" s="17">
        <v>17</v>
      </c>
      <c r="D2511" s="17" t="s">
        <v>91</v>
      </c>
      <c r="E2511" s="14">
        <v>477473.13</v>
      </c>
      <c r="F2511" s="14">
        <v>514032.26</v>
      </c>
      <c r="G2511" s="14">
        <v>514032.26</v>
      </c>
      <c r="H2511" s="22">
        <f>F2511*(1+Assumptions!$B$6+IF(D2511="Yes",Assumptions!$C$6,0))</f>
        <v>529453.22779999999</v>
      </c>
      <c r="I2511" s="22">
        <f>F2511*(1+Assumptions!$B$7+IF(D2511="Yes",Assumptions!$C$7,0))</f>
        <v>539733.87300000002</v>
      </c>
      <c r="J2511" s="22">
        <f>F2511*(1+Assumptions!$B$8+IF(D2511="Yes",Assumptions!$C$8,0))</f>
        <v>519172.58260000002</v>
      </c>
    </row>
    <row r="2512" spans="1:10" ht="15">
      <c r="A2512" s="21">
        <v>41145</v>
      </c>
      <c r="B2512" s="21">
        <v>41122</v>
      </c>
      <c r="C2512" s="17">
        <v>18</v>
      </c>
      <c r="D2512" s="17" t="s">
        <v>91</v>
      </c>
      <c r="E2512" s="14">
        <v>3668.58</v>
      </c>
      <c r="F2512" s="14">
        <v>1148.83</v>
      </c>
      <c r="G2512" s="14">
        <v>1148.83</v>
      </c>
      <c r="H2512" s="22">
        <f>F2512*(1+Assumptions!$B$6+IF(D2512="Yes",Assumptions!$C$6,0))</f>
        <v>1183.2948999999999</v>
      </c>
      <c r="I2512" s="22">
        <f>F2512*(1+Assumptions!$B$7+IF(D2512="Yes",Assumptions!$C$7,0))</f>
        <v>1206.2715000000001</v>
      </c>
      <c r="J2512" s="22">
        <f>F2512*(1+Assumptions!$B$8+IF(D2512="Yes",Assumptions!$C$8,0))</f>
        <v>1160.3182999999999</v>
      </c>
    </row>
    <row r="2513" spans="1:10" ht="15">
      <c r="A2513" s="21">
        <v>41145</v>
      </c>
      <c r="B2513" s="21">
        <v>41122</v>
      </c>
      <c r="C2513" s="17">
        <v>19</v>
      </c>
      <c r="D2513" s="17" t="s">
        <v>91</v>
      </c>
      <c r="E2513" s="14">
        <v>44643.42</v>
      </c>
      <c r="F2513" s="14">
        <v>42077.24</v>
      </c>
      <c r="G2513" s="14">
        <v>42077.24</v>
      </c>
      <c r="H2513" s="22">
        <f>F2513*(1+Assumptions!$B$6+IF(D2513="Yes",Assumptions!$C$6,0))</f>
        <v>43339.557199999996</v>
      </c>
      <c r="I2513" s="22">
        <f>F2513*(1+Assumptions!$B$7+IF(D2513="Yes",Assumptions!$C$7,0))</f>
        <v>44181.101999999999</v>
      </c>
      <c r="J2513" s="22">
        <f>F2513*(1+Assumptions!$B$8+IF(D2513="Yes",Assumptions!$C$8,0))</f>
        <v>42498.0124</v>
      </c>
    </row>
    <row r="2514" spans="1:10" ht="15">
      <c r="A2514" s="21">
        <v>41145</v>
      </c>
      <c r="B2514" s="21">
        <v>41122</v>
      </c>
      <c r="C2514" s="17">
        <v>20</v>
      </c>
      <c r="D2514" s="17" t="s">
        <v>91</v>
      </c>
      <c r="E2514" s="14">
        <v>256178.08</v>
      </c>
      <c r="F2514" s="14">
        <v>241671.79</v>
      </c>
      <c r="G2514" s="14">
        <v>241671.79</v>
      </c>
      <c r="H2514" s="22">
        <f>F2514*(1+Assumptions!$B$6+IF(D2514="Yes",Assumptions!$C$6,0))</f>
        <v>248921.9437</v>
      </c>
      <c r="I2514" s="22">
        <f>F2514*(1+Assumptions!$B$7+IF(D2514="Yes",Assumptions!$C$7,0))</f>
        <v>253755.37950000001</v>
      </c>
      <c r="J2514" s="22">
        <f>F2514*(1+Assumptions!$B$8+IF(D2514="Yes",Assumptions!$C$8,0))</f>
        <v>244088.5079</v>
      </c>
    </row>
    <row r="2515" spans="1:10" ht="15">
      <c r="A2515" s="21">
        <v>41145</v>
      </c>
      <c r="B2515" s="21">
        <v>41122</v>
      </c>
      <c r="C2515" s="17">
        <v>21</v>
      </c>
      <c r="D2515" s="17" t="s">
        <v>91</v>
      </c>
      <c r="E2515" s="14">
        <v>205537.79</v>
      </c>
      <c r="F2515" s="14">
        <v>216273.47</v>
      </c>
      <c r="G2515" s="14">
        <v>216273.47</v>
      </c>
      <c r="H2515" s="22">
        <f>F2515*(1+Assumptions!$B$6+IF(D2515="Yes",Assumptions!$C$6,0))</f>
        <v>222761.6741</v>
      </c>
      <c r="I2515" s="22">
        <f>F2515*(1+Assumptions!$B$7+IF(D2515="Yes",Assumptions!$C$7,0))</f>
        <v>227087.14350000001</v>
      </c>
      <c r="J2515" s="22">
        <f>F2515*(1+Assumptions!$B$8+IF(D2515="Yes",Assumptions!$C$8,0))</f>
        <v>218436.2047</v>
      </c>
    </row>
    <row r="2516" spans="1:10" ht="15">
      <c r="A2516" s="21">
        <v>41145</v>
      </c>
      <c r="B2516" s="21">
        <v>41122</v>
      </c>
      <c r="C2516" s="17">
        <v>22</v>
      </c>
      <c r="D2516" s="17" t="s">
        <v>91</v>
      </c>
      <c r="E2516" s="14">
        <v>452953.51</v>
      </c>
      <c r="F2516" s="14">
        <v>406306.25</v>
      </c>
      <c r="G2516" s="14">
        <v>406306.25</v>
      </c>
      <c r="H2516" s="22">
        <f>F2516*(1+Assumptions!$B$6+IF(D2516="Yes",Assumptions!$C$6,0))</f>
        <v>418495.4375</v>
      </c>
      <c r="I2516" s="22">
        <f>F2516*(1+Assumptions!$B$7+IF(D2516="Yes",Assumptions!$C$7,0))</f>
        <v>426621.5625</v>
      </c>
      <c r="J2516" s="22">
        <f>F2516*(1+Assumptions!$B$8+IF(D2516="Yes",Assumptions!$C$8,0))</f>
        <v>410369.3125</v>
      </c>
    </row>
    <row r="2517" spans="1:10" ht="15">
      <c r="A2517" s="21">
        <v>41145</v>
      </c>
      <c r="B2517" s="21">
        <v>41122</v>
      </c>
      <c r="C2517" s="17">
        <v>23</v>
      </c>
      <c r="D2517" s="17" t="s">
        <v>91</v>
      </c>
      <c r="E2517" s="14">
        <v>1022291.33</v>
      </c>
      <c r="F2517" s="14">
        <v>961897.96</v>
      </c>
      <c r="G2517" s="14">
        <v>961897.96</v>
      </c>
      <c r="H2517" s="22">
        <f>F2517*(1+Assumptions!$B$6+IF(D2517="Yes",Assumptions!$C$6,0))</f>
        <v>990754.89879999997</v>
      </c>
      <c r="I2517" s="22">
        <f>F2517*(1+Assumptions!$B$7+IF(D2517="Yes",Assumptions!$C$7,0))</f>
        <v>1009992.858</v>
      </c>
      <c r="J2517" s="22">
        <f>F2517*(1+Assumptions!$B$8+IF(D2517="Yes",Assumptions!$C$8,0))</f>
        <v>971516.93959999993</v>
      </c>
    </row>
    <row r="2518" spans="1:10" ht="15">
      <c r="A2518" s="21">
        <v>41145</v>
      </c>
      <c r="B2518" s="21">
        <v>41122</v>
      </c>
      <c r="C2518" s="17">
        <v>24</v>
      </c>
      <c r="D2518" s="17" t="s">
        <v>91</v>
      </c>
      <c r="E2518" s="14">
        <v>437292.35</v>
      </c>
      <c r="F2518" s="14">
        <v>413934.75</v>
      </c>
      <c r="G2518" s="14">
        <v>413934.75</v>
      </c>
      <c r="H2518" s="22">
        <f>F2518*(1+Assumptions!$B$6+IF(D2518="Yes",Assumptions!$C$6,0))</f>
        <v>426352.79250000004</v>
      </c>
      <c r="I2518" s="22">
        <f>F2518*(1+Assumptions!$B$7+IF(D2518="Yes",Assumptions!$C$7,0))</f>
        <v>434631.48750000005</v>
      </c>
      <c r="J2518" s="22">
        <f>F2518*(1+Assumptions!$B$8+IF(D2518="Yes",Assumptions!$C$8,0))</f>
        <v>418074.09750000003</v>
      </c>
    </row>
    <row r="2519" spans="1:10" ht="15">
      <c r="A2519" s="21">
        <v>41145</v>
      </c>
      <c r="B2519" s="21">
        <v>41122</v>
      </c>
      <c r="C2519" s="17">
        <v>25</v>
      </c>
      <c r="D2519" s="17" t="s">
        <v>91</v>
      </c>
      <c r="E2519" s="14">
        <v>400952.06</v>
      </c>
      <c r="F2519" s="14">
        <v>409114.60000000003</v>
      </c>
      <c r="G2519" s="14">
        <v>409114.60000000003</v>
      </c>
      <c r="H2519" s="22">
        <f>F2519*(1+Assumptions!$B$6+IF(D2519="Yes",Assumptions!$C$6,0))</f>
        <v>421388.03800000006</v>
      </c>
      <c r="I2519" s="22">
        <f>F2519*(1+Assumptions!$B$7+IF(D2519="Yes",Assumptions!$C$7,0))</f>
        <v>429570.33000000007</v>
      </c>
      <c r="J2519" s="22">
        <f>F2519*(1+Assumptions!$B$8+IF(D2519="Yes",Assumptions!$C$8,0))</f>
        <v>413205.74600000004</v>
      </c>
    </row>
    <row r="2520" spans="1:10" ht="15">
      <c r="A2520" s="21">
        <v>41145</v>
      </c>
      <c r="B2520" s="21">
        <v>41122</v>
      </c>
      <c r="C2520" s="17">
        <v>26</v>
      </c>
      <c r="D2520" s="17" t="s">
        <v>91</v>
      </c>
      <c r="E2520" s="14">
        <v>275163.7</v>
      </c>
      <c r="F2520" s="14">
        <v>253152.44</v>
      </c>
      <c r="G2520" s="14">
        <v>253152.44</v>
      </c>
      <c r="H2520" s="22">
        <f>F2520*(1+Assumptions!$B$6+IF(D2520="Yes",Assumptions!$C$6,0))</f>
        <v>260747.01320000002</v>
      </c>
      <c r="I2520" s="22">
        <f>F2520*(1+Assumptions!$B$7+IF(D2520="Yes",Assumptions!$C$7,0))</f>
        <v>265810.06200000003</v>
      </c>
      <c r="J2520" s="22">
        <f>F2520*(1+Assumptions!$B$8+IF(D2520="Yes",Assumptions!$C$8,0))</f>
        <v>255683.9644</v>
      </c>
    </row>
    <row r="2521" spans="1:10" ht="15">
      <c r="A2521" s="21">
        <v>41145</v>
      </c>
      <c r="B2521" s="21">
        <v>41122</v>
      </c>
      <c r="C2521" s="17">
        <v>27</v>
      </c>
      <c r="D2521" s="17" t="s">
        <v>91</v>
      </c>
      <c r="E2521" s="14">
        <v>65433.15</v>
      </c>
      <c r="F2521" s="14">
        <v>60368.36</v>
      </c>
      <c r="G2521" s="14">
        <v>60368.36</v>
      </c>
      <c r="H2521" s="22">
        <f>F2521*(1+Assumptions!$B$6+IF(D2521="Yes",Assumptions!$C$6,0))</f>
        <v>62179.410800000005</v>
      </c>
      <c r="I2521" s="22">
        <f>F2521*(1+Assumptions!$B$7+IF(D2521="Yes",Assumptions!$C$7,0))</f>
        <v>63386.778000000006</v>
      </c>
      <c r="J2521" s="22">
        <f>F2521*(1+Assumptions!$B$8+IF(D2521="Yes",Assumptions!$C$8,0))</f>
        <v>60972.043600000005</v>
      </c>
    </row>
    <row r="2522" spans="1:10" ht="15">
      <c r="A2522" s="21">
        <v>41145</v>
      </c>
      <c r="B2522" s="21">
        <v>41122</v>
      </c>
      <c r="C2522" s="17">
        <v>28</v>
      </c>
      <c r="D2522" s="17" t="s">
        <v>91</v>
      </c>
      <c r="E2522" s="14">
        <v>15327.89</v>
      </c>
      <c r="F2522" s="14">
        <v>16209.11</v>
      </c>
      <c r="G2522" s="14">
        <v>16209.11</v>
      </c>
      <c r="H2522" s="22">
        <f>F2522*(1+Assumptions!$B$6+IF(D2522="Yes",Assumptions!$C$6,0))</f>
        <v>16695.383300000001</v>
      </c>
      <c r="I2522" s="22">
        <f>F2522*(1+Assumptions!$B$7+IF(D2522="Yes",Assumptions!$C$7,0))</f>
        <v>17019.565500000001</v>
      </c>
      <c r="J2522" s="22">
        <f>F2522*(1+Assumptions!$B$8+IF(D2522="Yes",Assumptions!$C$8,0))</f>
        <v>16371.2011</v>
      </c>
    </row>
    <row r="2523" spans="1:10" ht="15">
      <c r="A2523" s="21">
        <v>41145</v>
      </c>
      <c r="B2523" s="21">
        <v>41122</v>
      </c>
      <c r="C2523" s="17">
        <v>29</v>
      </c>
      <c r="D2523" s="17" t="s">
        <v>91</v>
      </c>
      <c r="E2523" s="14">
        <v>212650.27</v>
      </c>
      <c r="F2523" s="14">
        <v>197991.88</v>
      </c>
      <c r="G2523" s="14">
        <v>197991.88</v>
      </c>
      <c r="H2523" s="22">
        <f>F2523*(1+Assumptions!$B$6+IF(D2523="Yes",Assumptions!$C$6,0))</f>
        <v>203931.63640000002</v>
      </c>
      <c r="I2523" s="22">
        <f>F2523*(1+Assumptions!$B$7+IF(D2523="Yes",Assumptions!$C$7,0))</f>
        <v>207891.47400000002</v>
      </c>
      <c r="J2523" s="22">
        <f>F2523*(1+Assumptions!$B$8+IF(D2523="Yes",Assumptions!$C$8,0))</f>
        <v>199971.79880000002</v>
      </c>
    </row>
    <row r="2524" spans="1:10" ht="15">
      <c r="A2524" s="21">
        <v>41145</v>
      </c>
      <c r="B2524" s="21">
        <v>41122</v>
      </c>
      <c r="C2524" s="17">
        <v>30</v>
      </c>
      <c r="D2524" s="17" t="s">
        <v>91</v>
      </c>
      <c r="E2524" s="14">
        <v>159204.94</v>
      </c>
      <c r="F2524" s="14">
        <v>165007.13</v>
      </c>
      <c r="G2524" s="14">
        <v>165007.13</v>
      </c>
      <c r="H2524" s="22">
        <f>F2524*(1+Assumptions!$B$6+IF(D2524="Yes",Assumptions!$C$6,0))</f>
        <v>169957.34390000001</v>
      </c>
      <c r="I2524" s="22">
        <f>F2524*(1+Assumptions!$B$7+IF(D2524="Yes",Assumptions!$C$7,0))</f>
        <v>173257.4865</v>
      </c>
      <c r="J2524" s="22">
        <f>F2524*(1+Assumptions!$B$8+IF(D2524="Yes",Assumptions!$C$8,0))</f>
        <v>166657.20130000002</v>
      </c>
    </row>
    <row r="2525" spans="1:10" ht="15">
      <c r="A2525" s="21">
        <v>41145</v>
      </c>
      <c r="B2525" s="21">
        <v>41122</v>
      </c>
      <c r="C2525" s="17">
        <v>31</v>
      </c>
      <c r="D2525" s="17" t="s">
        <v>91</v>
      </c>
      <c r="E2525" s="14">
        <v>193192.91</v>
      </c>
      <c r="F2525" s="14">
        <v>220926.73</v>
      </c>
      <c r="G2525" s="14">
        <v>220926.73</v>
      </c>
      <c r="H2525" s="22">
        <f>F2525*(1+Assumptions!$B$6+IF(D2525="Yes",Assumptions!$C$6,0))</f>
        <v>227554.53190000003</v>
      </c>
      <c r="I2525" s="22">
        <f>F2525*(1+Assumptions!$B$7+IF(D2525="Yes",Assumptions!$C$7,0))</f>
        <v>231973.06650000002</v>
      </c>
      <c r="J2525" s="22">
        <f>F2525*(1+Assumptions!$B$8+IF(D2525="Yes",Assumptions!$C$8,0))</f>
        <v>223135.99730000002</v>
      </c>
    </row>
    <row r="2526" spans="1:10" ht="15">
      <c r="A2526" s="21">
        <v>41145</v>
      </c>
      <c r="B2526" s="21">
        <v>41122</v>
      </c>
      <c r="C2526" s="17">
        <v>32</v>
      </c>
      <c r="D2526" s="17" t="s">
        <v>91</v>
      </c>
      <c r="E2526" s="14">
        <v>234559.68</v>
      </c>
      <c r="F2526" s="14">
        <v>238831.96</v>
      </c>
      <c r="G2526" s="14">
        <v>238831.96</v>
      </c>
      <c r="H2526" s="22">
        <f>F2526*(1+Assumptions!$B$6+IF(D2526="Yes",Assumptions!$C$6,0))</f>
        <v>245996.91879999998</v>
      </c>
      <c r="I2526" s="22">
        <f>F2526*(1+Assumptions!$B$7+IF(D2526="Yes",Assumptions!$C$7,0))</f>
        <v>250773.55799999999</v>
      </c>
      <c r="J2526" s="22">
        <f>F2526*(1+Assumptions!$B$8+IF(D2526="Yes",Assumptions!$C$8,0))</f>
        <v>241220.27959999998</v>
      </c>
    </row>
    <row r="2527" spans="1:10" ht="15">
      <c r="A2527" s="21">
        <v>41145</v>
      </c>
      <c r="B2527" s="21">
        <v>41122</v>
      </c>
      <c r="C2527" s="17">
        <v>33</v>
      </c>
      <c r="D2527" s="17" t="s">
        <v>91</v>
      </c>
      <c r="E2527" s="14">
        <v>395587.76</v>
      </c>
      <c r="F2527" s="14">
        <v>356584.92</v>
      </c>
      <c r="G2527" s="14">
        <v>356584.92</v>
      </c>
      <c r="H2527" s="22">
        <f>F2527*(1+Assumptions!$B$6+IF(D2527="Yes",Assumptions!$C$6,0))</f>
        <v>367282.46759999997</v>
      </c>
      <c r="I2527" s="22">
        <f>F2527*(1+Assumptions!$B$7+IF(D2527="Yes",Assumptions!$C$7,0))</f>
        <v>374414.16600000003</v>
      </c>
      <c r="J2527" s="22">
        <f>F2527*(1+Assumptions!$B$8+IF(D2527="Yes",Assumptions!$C$8,0))</f>
        <v>360150.76919999998</v>
      </c>
    </row>
    <row r="2528" spans="1:10" ht="15">
      <c r="A2528" s="21">
        <v>41145</v>
      </c>
      <c r="B2528" s="21">
        <v>41122</v>
      </c>
      <c r="C2528" s="17">
        <v>34</v>
      </c>
      <c r="D2528" s="17" t="s">
        <v>91</v>
      </c>
      <c r="E2528" s="14">
        <v>561525.16</v>
      </c>
      <c r="F2528" s="14">
        <v>523772.14999999997</v>
      </c>
      <c r="G2528" s="14">
        <v>523772.14999999997</v>
      </c>
      <c r="H2528" s="22">
        <f>F2528*(1+Assumptions!$B$6+IF(D2528="Yes",Assumptions!$C$6,0))</f>
        <v>539485.31449999998</v>
      </c>
      <c r="I2528" s="22">
        <f>F2528*(1+Assumptions!$B$7+IF(D2528="Yes",Assumptions!$C$7,0))</f>
        <v>549960.75749999995</v>
      </c>
      <c r="J2528" s="22">
        <f>F2528*(1+Assumptions!$B$8+IF(D2528="Yes",Assumptions!$C$8,0))</f>
        <v>529009.87150000001</v>
      </c>
    </row>
    <row r="2529" spans="1:10" ht="15">
      <c r="A2529" s="21">
        <v>41145</v>
      </c>
      <c r="B2529" s="21">
        <v>41122</v>
      </c>
      <c r="C2529" s="17">
        <v>35</v>
      </c>
      <c r="D2529" s="17" t="s">
        <v>91</v>
      </c>
      <c r="E2529" s="14">
        <v>85341.819999999992</v>
      </c>
      <c r="F2529" s="14">
        <v>98928.93</v>
      </c>
      <c r="G2529" s="14">
        <v>98928.93</v>
      </c>
      <c r="H2529" s="22">
        <f>F2529*(1+Assumptions!$B$6+IF(D2529="Yes",Assumptions!$C$6,0))</f>
        <v>101896.79789999999</v>
      </c>
      <c r="I2529" s="22">
        <f>F2529*(1+Assumptions!$B$7+IF(D2529="Yes",Assumptions!$C$7,0))</f>
        <v>103875.3765</v>
      </c>
      <c r="J2529" s="22">
        <f>F2529*(1+Assumptions!$B$8+IF(D2529="Yes",Assumptions!$C$8,0))</f>
        <v>99918.219299999997</v>
      </c>
    </row>
    <row r="2530" spans="1:10" ht="15">
      <c r="A2530" s="21">
        <v>41145</v>
      </c>
      <c r="B2530" s="21">
        <v>41122</v>
      </c>
      <c r="C2530" s="17">
        <v>36</v>
      </c>
      <c r="D2530" s="17" t="s">
        <v>91</v>
      </c>
      <c r="E2530" s="14">
        <v>20326.759999999998</v>
      </c>
      <c r="F2530" s="14">
        <v>34939.550000000003</v>
      </c>
      <c r="G2530" s="14">
        <v>34939.550000000003</v>
      </c>
      <c r="H2530" s="22">
        <f>F2530*(1+Assumptions!$B$6+IF(D2530="Yes",Assumptions!$C$6,0))</f>
        <v>35987.736500000006</v>
      </c>
      <c r="I2530" s="22">
        <f>F2530*(1+Assumptions!$B$7+IF(D2530="Yes",Assumptions!$C$7,0))</f>
        <v>36686.527500000004</v>
      </c>
      <c r="J2530" s="22">
        <f>F2530*(1+Assumptions!$B$8+IF(D2530="Yes",Assumptions!$C$8,0))</f>
        <v>35288.945500000002</v>
      </c>
    </row>
    <row r="2531" spans="1:10" ht="15">
      <c r="A2531" s="21">
        <v>41145</v>
      </c>
      <c r="B2531" s="21">
        <v>41122</v>
      </c>
      <c r="C2531" s="17">
        <v>37</v>
      </c>
      <c r="D2531" s="17" t="s">
        <v>91</v>
      </c>
      <c r="E2531" s="14">
        <v>50605.38</v>
      </c>
      <c r="F2531" s="14">
        <v>53941.38</v>
      </c>
      <c r="G2531" s="14">
        <v>53941.38</v>
      </c>
      <c r="H2531" s="22">
        <f>F2531*(1+Assumptions!$B$6+IF(D2531="Yes",Assumptions!$C$6,0))</f>
        <v>55559.621399999996</v>
      </c>
      <c r="I2531" s="22">
        <f>F2531*(1+Assumptions!$B$7+IF(D2531="Yes",Assumptions!$C$7,0))</f>
        <v>56638.449000000001</v>
      </c>
      <c r="J2531" s="22">
        <f>F2531*(1+Assumptions!$B$8+IF(D2531="Yes",Assumptions!$C$8,0))</f>
        <v>54480.793799999999</v>
      </c>
    </row>
    <row r="2532" spans="1:10" ht="15">
      <c r="A2532" s="21">
        <v>41145</v>
      </c>
      <c r="B2532" s="21">
        <v>41122</v>
      </c>
      <c r="C2532" s="17">
        <v>38</v>
      </c>
      <c r="D2532" s="17" t="s">
        <v>91</v>
      </c>
      <c r="E2532" s="14">
        <v>2616047.31</v>
      </c>
      <c r="F2532" s="14">
        <v>2652287.37</v>
      </c>
      <c r="G2532" s="14">
        <v>2652287.37</v>
      </c>
      <c r="H2532" s="22">
        <f>F2532*(1+Assumptions!$B$6+IF(D2532="Yes",Assumptions!$C$6,0))</f>
        <v>2731855.9911000002</v>
      </c>
      <c r="I2532" s="22">
        <f>F2532*(1+Assumptions!$B$7+IF(D2532="Yes",Assumptions!$C$7,0))</f>
        <v>2784901.7385000004</v>
      </c>
      <c r="J2532" s="22">
        <f>F2532*(1+Assumptions!$B$8+IF(D2532="Yes",Assumptions!$C$8,0))</f>
        <v>2678810.2437</v>
      </c>
    </row>
    <row r="2533" spans="1:10" ht="15">
      <c r="A2533" s="21">
        <v>41145</v>
      </c>
      <c r="B2533" s="21">
        <v>41122</v>
      </c>
      <c r="C2533" s="17">
        <v>40</v>
      </c>
      <c r="D2533" s="17" t="s">
        <v>91</v>
      </c>
      <c r="E2533" s="14">
        <v>2056524.22</v>
      </c>
      <c r="F2533" s="14">
        <v>1969790.34</v>
      </c>
      <c r="G2533" s="14">
        <v>1969790.34</v>
      </c>
      <c r="H2533" s="22">
        <f>F2533*(1+Assumptions!$B$6+IF(D2533="Yes",Assumptions!$C$6,0))</f>
        <v>2028884.0502000002</v>
      </c>
      <c r="I2533" s="22">
        <f>F2533*(1+Assumptions!$B$7+IF(D2533="Yes",Assumptions!$C$7,0))</f>
        <v>2068279.8570000001</v>
      </c>
      <c r="J2533" s="22">
        <f>F2533*(1+Assumptions!$B$8+IF(D2533="Yes",Assumptions!$C$8,0))</f>
        <v>1989488.2434</v>
      </c>
    </row>
    <row r="2534" spans="1:10" ht="15">
      <c r="A2534" s="21">
        <v>41145</v>
      </c>
      <c r="B2534" s="21">
        <v>41122</v>
      </c>
      <c r="C2534" s="17">
        <v>41</v>
      </c>
      <c r="D2534" s="17" t="s">
        <v>91</v>
      </c>
      <c r="E2534" s="14">
        <v>91951.3</v>
      </c>
      <c r="F2534" s="14">
        <v>85720.89</v>
      </c>
      <c r="G2534" s="14">
        <v>85720.89</v>
      </c>
      <c r="H2534" s="22">
        <f>F2534*(1+Assumptions!$B$6+IF(D2534="Yes",Assumptions!$C$6,0))</f>
        <v>88292.516700000007</v>
      </c>
      <c r="I2534" s="22">
        <f>F2534*(1+Assumptions!$B$7+IF(D2534="Yes",Assumptions!$C$7,0))</f>
        <v>90006.934500000003</v>
      </c>
      <c r="J2534" s="22">
        <f>F2534*(1+Assumptions!$B$8+IF(D2534="Yes",Assumptions!$C$8,0))</f>
        <v>86578.098899999997</v>
      </c>
    </row>
    <row r="2535" spans="1:10" ht="15">
      <c r="A2535" s="21">
        <v>41145</v>
      </c>
      <c r="B2535" s="21">
        <v>41122</v>
      </c>
      <c r="C2535" s="17">
        <v>42</v>
      </c>
      <c r="D2535" s="17" t="s">
        <v>91</v>
      </c>
      <c r="E2535" s="14">
        <v>240219.05</v>
      </c>
      <c r="F2535" s="14">
        <v>234125.72</v>
      </c>
      <c r="G2535" s="14">
        <v>234125.72</v>
      </c>
      <c r="H2535" s="22">
        <f>F2535*(1+Assumptions!$B$6+IF(D2535="Yes",Assumptions!$C$6,0))</f>
        <v>241149.49160000001</v>
      </c>
      <c r="I2535" s="22">
        <f>F2535*(1+Assumptions!$B$7+IF(D2535="Yes",Assumptions!$C$7,0))</f>
        <v>245832.00600000002</v>
      </c>
      <c r="J2535" s="22">
        <f>F2535*(1+Assumptions!$B$8+IF(D2535="Yes",Assumptions!$C$8,0))</f>
        <v>236466.97719999999</v>
      </c>
    </row>
    <row r="2536" spans="1:10" ht="15">
      <c r="A2536" s="21">
        <v>41145</v>
      </c>
      <c r="B2536" s="21">
        <v>41122</v>
      </c>
      <c r="C2536" s="17">
        <v>44</v>
      </c>
      <c r="D2536" s="17" t="s">
        <v>91</v>
      </c>
      <c r="E2536" s="14">
        <v>170676.85</v>
      </c>
      <c r="F2536" s="14">
        <v>156910.16</v>
      </c>
      <c r="G2536" s="14">
        <v>156910.16</v>
      </c>
      <c r="H2536" s="22">
        <f>F2536*(1+Assumptions!$B$6+IF(D2536="Yes",Assumptions!$C$6,0))</f>
        <v>161617.46480000002</v>
      </c>
      <c r="I2536" s="22">
        <f>F2536*(1+Assumptions!$B$7+IF(D2536="Yes",Assumptions!$C$7,0))</f>
        <v>164755.66800000001</v>
      </c>
      <c r="J2536" s="22">
        <f>F2536*(1+Assumptions!$B$8+IF(D2536="Yes",Assumptions!$C$8,0))</f>
        <v>158479.2616</v>
      </c>
    </row>
    <row r="2537" spans="1:10" ht="15">
      <c r="A2537" s="21">
        <v>41145</v>
      </c>
      <c r="B2537" s="21">
        <v>41122</v>
      </c>
      <c r="C2537" s="17">
        <v>45</v>
      </c>
      <c r="D2537" s="17" t="s">
        <v>91</v>
      </c>
      <c r="E2537" s="14">
        <v>16.440000000000001</v>
      </c>
      <c r="F2537" s="14">
        <v>47.79</v>
      </c>
      <c r="G2537" s="14">
        <v>47.79</v>
      </c>
      <c r="H2537" s="22">
        <f>F2537*(1+Assumptions!$B$6+IF(D2537="Yes",Assumptions!$C$6,0))</f>
        <v>49.223700000000001</v>
      </c>
      <c r="I2537" s="22">
        <f>F2537*(1+Assumptions!$B$7+IF(D2537="Yes",Assumptions!$C$7,0))</f>
        <v>50.179500000000004</v>
      </c>
      <c r="J2537" s="22">
        <f>F2537*(1+Assumptions!$B$8+IF(D2537="Yes",Assumptions!$C$8,0))</f>
        <v>48.267899999999997</v>
      </c>
    </row>
    <row r="2538" spans="1:10" ht="15">
      <c r="A2538" s="21">
        <v>41145</v>
      </c>
      <c r="B2538" s="21">
        <v>41122</v>
      </c>
      <c r="C2538" s="17">
        <v>46</v>
      </c>
      <c r="D2538" s="17" t="s">
        <v>91</v>
      </c>
      <c r="E2538" s="14">
        <v>885445.99</v>
      </c>
      <c r="F2538" s="14">
        <v>874299.53</v>
      </c>
      <c r="G2538" s="14">
        <v>874299.53</v>
      </c>
      <c r="H2538" s="22">
        <f>F2538*(1+Assumptions!$B$6+IF(D2538="Yes",Assumptions!$C$6,0))</f>
        <v>900528.5159</v>
      </c>
      <c r="I2538" s="22">
        <f>F2538*(1+Assumptions!$B$7+IF(D2538="Yes",Assumptions!$C$7,0))</f>
        <v>918014.50650000002</v>
      </c>
      <c r="J2538" s="22">
        <f>F2538*(1+Assumptions!$B$8+IF(D2538="Yes",Assumptions!$C$8,0))</f>
        <v>883042.52529999998</v>
      </c>
    </row>
    <row r="2539" spans="1:10" ht="15">
      <c r="A2539" s="21">
        <v>41145</v>
      </c>
      <c r="B2539" s="21">
        <v>41122</v>
      </c>
      <c r="C2539" s="17">
        <v>48</v>
      </c>
      <c r="D2539" s="17" t="s">
        <v>91</v>
      </c>
      <c r="E2539" s="14">
        <v>17245.990000000002</v>
      </c>
      <c r="F2539" s="14">
        <v>12808</v>
      </c>
      <c r="G2539" s="14">
        <v>12808</v>
      </c>
      <c r="H2539" s="22">
        <f>F2539*(1+Assumptions!$B$6+IF(D2539="Yes",Assumptions!$C$6,0))</f>
        <v>13192.24</v>
      </c>
      <c r="I2539" s="22">
        <f>F2539*(1+Assumptions!$B$7+IF(D2539="Yes",Assumptions!$C$7,0))</f>
        <v>13448.400000000001</v>
      </c>
      <c r="J2539" s="22">
        <f>F2539*(1+Assumptions!$B$8+IF(D2539="Yes",Assumptions!$C$8,0))</f>
        <v>12936.08</v>
      </c>
    </row>
    <row r="2540" spans="1:10" ht="15">
      <c r="A2540" s="21">
        <v>41145</v>
      </c>
      <c r="B2540" s="21">
        <v>41122</v>
      </c>
      <c r="C2540" s="17">
        <v>49</v>
      </c>
      <c r="D2540" s="17" t="s">
        <v>91</v>
      </c>
      <c r="E2540" s="14">
        <v>302233.73</v>
      </c>
      <c r="F2540" s="14">
        <v>275438.51</v>
      </c>
      <c r="G2540" s="14">
        <v>275438.51</v>
      </c>
      <c r="H2540" s="22">
        <f>F2540*(1+Assumptions!$B$6+IF(D2540="Yes",Assumptions!$C$6,0))</f>
        <v>283701.66529999999</v>
      </c>
      <c r="I2540" s="22">
        <f>F2540*(1+Assumptions!$B$7+IF(D2540="Yes",Assumptions!$C$7,0))</f>
        <v>289210.43550000002</v>
      </c>
      <c r="J2540" s="22">
        <f>F2540*(1+Assumptions!$B$8+IF(D2540="Yes",Assumptions!$C$8,0))</f>
        <v>278192.89510000002</v>
      </c>
    </row>
    <row r="2541" spans="1:10" ht="15">
      <c r="A2541" s="21">
        <v>41145</v>
      </c>
      <c r="B2541" s="21">
        <v>41122</v>
      </c>
      <c r="C2541" s="17">
        <v>50</v>
      </c>
      <c r="D2541" s="17" t="s">
        <v>91</v>
      </c>
      <c r="E2541" s="14">
        <v>34880</v>
      </c>
      <c r="F2541" s="14">
        <v>33636</v>
      </c>
      <c r="G2541" s="14">
        <v>33636</v>
      </c>
      <c r="H2541" s="22">
        <f>F2541*(1+Assumptions!$B$6+IF(D2541="Yes",Assumptions!$C$6,0))</f>
        <v>34645.08</v>
      </c>
      <c r="I2541" s="22">
        <f>F2541*(1+Assumptions!$B$7+IF(D2541="Yes",Assumptions!$C$7,0))</f>
        <v>35317.800000000003</v>
      </c>
      <c r="J2541" s="22">
        <f>F2541*(1+Assumptions!$B$8+IF(D2541="Yes",Assumptions!$C$8,0))</f>
        <v>33972.36</v>
      </c>
    </row>
    <row r="2542" spans="1:10" ht="15">
      <c r="A2542" s="21">
        <v>41145</v>
      </c>
      <c r="B2542" s="21">
        <v>41122</v>
      </c>
      <c r="C2542" s="17">
        <v>51</v>
      </c>
      <c r="D2542" s="17" t="s">
        <v>91</v>
      </c>
      <c r="E2542" s="14">
        <v>6.32</v>
      </c>
      <c r="F2542" s="14">
        <v>13.8</v>
      </c>
      <c r="G2542" s="14">
        <v>13.8</v>
      </c>
      <c r="H2542" s="22">
        <f>F2542*(1+Assumptions!$B$6+IF(D2542="Yes",Assumptions!$C$6,0))</f>
        <v>14.214</v>
      </c>
      <c r="I2542" s="22">
        <f>F2542*(1+Assumptions!$B$7+IF(D2542="Yes",Assumptions!$C$7,0))</f>
        <v>14.490000000000002</v>
      </c>
      <c r="J2542" s="22">
        <f>F2542*(1+Assumptions!$B$8+IF(D2542="Yes",Assumptions!$C$8,0))</f>
        <v>13.938000000000001</v>
      </c>
    </row>
    <row r="2543" spans="1:10" ht="15">
      <c r="A2543" s="21">
        <v>41145</v>
      </c>
      <c r="B2543" s="21">
        <v>41122</v>
      </c>
      <c r="C2543" s="17">
        <v>52</v>
      </c>
      <c r="D2543" s="17" t="s">
        <v>91</v>
      </c>
      <c r="E2543" s="14">
        <v>73057.06</v>
      </c>
      <c r="F2543" s="14">
        <v>76007.710000000006</v>
      </c>
      <c r="G2543" s="14">
        <v>76007.710000000006</v>
      </c>
      <c r="H2543" s="22">
        <f>F2543*(1+Assumptions!$B$6+IF(D2543="Yes",Assumptions!$C$6,0))</f>
        <v>78287.941300000006</v>
      </c>
      <c r="I2543" s="22">
        <f>F2543*(1+Assumptions!$B$7+IF(D2543="Yes",Assumptions!$C$7,0))</f>
        <v>79808.09550000001</v>
      </c>
      <c r="J2543" s="22">
        <f>F2543*(1+Assumptions!$B$8+IF(D2543="Yes",Assumptions!$C$8,0))</f>
        <v>76767.787100000001</v>
      </c>
    </row>
    <row r="2544" spans="1:10" ht="15">
      <c r="A2544" s="21">
        <v>41145</v>
      </c>
      <c r="B2544" s="21">
        <v>41122</v>
      </c>
      <c r="C2544" s="17">
        <v>54</v>
      </c>
      <c r="D2544" s="17" t="s">
        <v>91</v>
      </c>
      <c r="E2544" s="14">
        <v>1229.42</v>
      </c>
      <c r="F2544" s="14">
        <v>1724.05</v>
      </c>
      <c r="G2544" s="14">
        <v>1724.05</v>
      </c>
      <c r="H2544" s="22">
        <f>F2544*(1+Assumptions!$B$6+IF(D2544="Yes",Assumptions!$C$6,0))</f>
        <v>1775.7715000000001</v>
      </c>
      <c r="I2544" s="22">
        <f>F2544*(1+Assumptions!$B$7+IF(D2544="Yes",Assumptions!$C$7,0))</f>
        <v>1810.2525000000001</v>
      </c>
      <c r="J2544" s="22">
        <f>F2544*(1+Assumptions!$B$8+IF(D2544="Yes",Assumptions!$C$8,0))</f>
        <v>1741.2905000000001</v>
      </c>
    </row>
    <row r="2545" spans="1:10" ht="15">
      <c r="A2545" s="21">
        <v>41145</v>
      </c>
      <c r="B2545" s="21">
        <v>41122</v>
      </c>
      <c r="C2545" s="17">
        <v>55</v>
      </c>
      <c r="D2545" s="17" t="s">
        <v>91</v>
      </c>
      <c r="E2545" s="14">
        <v>227172.33</v>
      </c>
      <c r="F2545" s="14">
        <v>241460.75</v>
      </c>
      <c r="G2545" s="14">
        <v>241460.75</v>
      </c>
      <c r="H2545" s="22">
        <f>F2545*(1+Assumptions!$B$6+IF(D2545="Yes",Assumptions!$C$6,0))</f>
        <v>248704.57250000001</v>
      </c>
      <c r="I2545" s="22">
        <f>F2545*(1+Assumptions!$B$7+IF(D2545="Yes",Assumptions!$C$7,0))</f>
        <v>253533.78750000001</v>
      </c>
      <c r="J2545" s="22">
        <f>F2545*(1+Assumptions!$B$8+IF(D2545="Yes",Assumptions!$C$8,0))</f>
        <v>243875.35750000001</v>
      </c>
    </row>
    <row r="2546" spans="1:10" ht="15">
      <c r="A2546" s="21">
        <v>41145</v>
      </c>
      <c r="B2546" s="21">
        <v>41122</v>
      </c>
      <c r="C2546" s="17">
        <v>56</v>
      </c>
      <c r="D2546" s="17" t="s">
        <v>91</v>
      </c>
      <c r="E2546" s="14">
        <v>57163.27</v>
      </c>
      <c r="F2546" s="14">
        <v>46915.7</v>
      </c>
      <c r="G2546" s="14">
        <v>46915.7</v>
      </c>
      <c r="H2546" s="22">
        <f>F2546*(1+Assumptions!$B$6+IF(D2546="Yes",Assumptions!$C$6,0))</f>
        <v>48323.170999999995</v>
      </c>
      <c r="I2546" s="22">
        <f>F2546*(1+Assumptions!$B$7+IF(D2546="Yes",Assumptions!$C$7,0))</f>
        <v>49261.485000000001</v>
      </c>
      <c r="J2546" s="22">
        <f>F2546*(1+Assumptions!$B$8+IF(D2546="Yes",Assumptions!$C$8,0))</f>
        <v>47384.856999999996</v>
      </c>
    </row>
    <row r="2547" spans="1:10" ht="15">
      <c r="A2547" s="21">
        <v>41145</v>
      </c>
      <c r="B2547" s="21">
        <v>41122</v>
      </c>
      <c r="C2547" s="17">
        <v>58</v>
      </c>
      <c r="D2547" s="17" t="s">
        <v>91</v>
      </c>
      <c r="E2547" s="14">
        <v>127570.94</v>
      </c>
      <c r="F2547" s="14">
        <v>101669.97</v>
      </c>
      <c r="G2547" s="14">
        <v>101669.97</v>
      </c>
      <c r="H2547" s="22">
        <f>F2547*(1+Assumptions!$B$6+IF(D2547="Yes",Assumptions!$C$6,0))</f>
        <v>104720.06910000001</v>
      </c>
      <c r="I2547" s="22">
        <f>F2547*(1+Assumptions!$B$7+IF(D2547="Yes",Assumptions!$C$7,0))</f>
        <v>106753.4685</v>
      </c>
      <c r="J2547" s="22">
        <f>F2547*(1+Assumptions!$B$8+IF(D2547="Yes",Assumptions!$C$8,0))</f>
        <v>102686.6697</v>
      </c>
    </row>
    <row r="2548" spans="1:10" ht="15">
      <c r="A2548" s="21">
        <v>41145</v>
      </c>
      <c r="B2548" s="21">
        <v>41122</v>
      </c>
      <c r="C2548" s="17">
        <v>59</v>
      </c>
      <c r="D2548" s="17" t="s">
        <v>91</v>
      </c>
      <c r="E2548" s="14">
        <v>8437.73</v>
      </c>
      <c r="F2548" s="14">
        <v>10941</v>
      </c>
      <c r="G2548" s="14">
        <v>10941</v>
      </c>
      <c r="H2548" s="22">
        <f>F2548*(1+Assumptions!$B$6+IF(D2548="Yes",Assumptions!$C$6,0))</f>
        <v>11269.23</v>
      </c>
      <c r="I2548" s="22">
        <f>F2548*(1+Assumptions!$B$7+IF(D2548="Yes",Assumptions!$C$7,0))</f>
        <v>11488.050000000001</v>
      </c>
      <c r="J2548" s="22">
        <f>F2548*(1+Assumptions!$B$8+IF(D2548="Yes",Assumptions!$C$8,0))</f>
        <v>11050.41</v>
      </c>
    </row>
    <row r="2549" spans="1:10" ht="15">
      <c r="A2549" s="21">
        <v>41145</v>
      </c>
      <c r="B2549" s="21">
        <v>41122</v>
      </c>
      <c r="C2549" s="17">
        <v>60</v>
      </c>
      <c r="D2549" s="17" t="s">
        <v>91</v>
      </c>
      <c r="E2549" s="14">
        <v>12375</v>
      </c>
      <c r="F2549" s="14">
        <v>12628</v>
      </c>
      <c r="G2549" s="14">
        <v>12628</v>
      </c>
      <c r="H2549" s="22">
        <f>F2549*(1+Assumptions!$B$6+IF(D2549="Yes",Assumptions!$C$6,0))</f>
        <v>13006.84</v>
      </c>
      <c r="I2549" s="22">
        <f>F2549*(1+Assumptions!$B$7+IF(D2549="Yes",Assumptions!$C$7,0))</f>
        <v>13259.400000000001</v>
      </c>
      <c r="J2549" s="22">
        <f>F2549*(1+Assumptions!$B$8+IF(D2549="Yes",Assumptions!$C$8,0))</f>
        <v>12754.28</v>
      </c>
    </row>
    <row r="2550" spans="1:10" ht="15">
      <c r="A2550" s="21">
        <v>41145</v>
      </c>
      <c r="B2550" s="21">
        <v>41122</v>
      </c>
      <c r="C2550" s="17">
        <v>65</v>
      </c>
      <c r="D2550" s="17" t="s">
        <v>91</v>
      </c>
      <c r="E2550" s="14">
        <v>55079.91</v>
      </c>
      <c r="F2550" s="14">
        <v>37753.06</v>
      </c>
      <c r="G2550" s="14">
        <v>37753.06</v>
      </c>
      <c r="H2550" s="22">
        <f>F2550*(1+Assumptions!$B$6+IF(D2550="Yes",Assumptions!$C$6,0))</f>
        <v>38885.6518</v>
      </c>
      <c r="I2550" s="22">
        <f>F2550*(1+Assumptions!$B$7+IF(D2550="Yes",Assumptions!$C$7,0))</f>
        <v>39640.712999999996</v>
      </c>
      <c r="J2550" s="22">
        <f>F2550*(1+Assumptions!$B$8+IF(D2550="Yes",Assumptions!$C$8,0))</f>
        <v>38130.590599999996</v>
      </c>
    </row>
    <row r="2551" spans="1:10" ht="15">
      <c r="A2551" s="21">
        <v>41145</v>
      </c>
      <c r="B2551" s="21">
        <v>41122</v>
      </c>
      <c r="C2551" s="17">
        <v>67</v>
      </c>
      <c r="D2551" s="17" t="s">
        <v>91</v>
      </c>
      <c r="E2551" s="14">
        <v>255893.56</v>
      </c>
      <c r="F2551" s="14">
        <v>231860.63999999998</v>
      </c>
      <c r="G2551" s="14">
        <v>231860.63999999998</v>
      </c>
      <c r="H2551" s="22">
        <f>F2551*(1+Assumptions!$B$6+IF(D2551="Yes",Assumptions!$C$6,0))</f>
        <v>238816.45919999998</v>
      </c>
      <c r="I2551" s="22">
        <f>F2551*(1+Assumptions!$B$7+IF(D2551="Yes",Assumptions!$C$7,0))</f>
        <v>243453.67199999999</v>
      </c>
      <c r="J2551" s="22">
        <f>F2551*(1+Assumptions!$B$8+IF(D2551="Yes",Assumptions!$C$8,0))</f>
        <v>234179.24639999997</v>
      </c>
    </row>
    <row r="2552" spans="1:10" ht="15">
      <c r="A2552" s="21">
        <v>41145</v>
      </c>
      <c r="B2552" s="21">
        <v>41122</v>
      </c>
      <c r="C2552" s="17">
        <v>71</v>
      </c>
      <c r="D2552" s="17" t="s">
        <v>91</v>
      </c>
      <c r="E2552" s="14">
        <v>248145.1</v>
      </c>
      <c r="F2552" s="14">
        <v>243978.23999999999</v>
      </c>
      <c r="G2552" s="14">
        <v>243978.23999999999</v>
      </c>
      <c r="H2552" s="22">
        <f>F2552*(1+Assumptions!$B$6+IF(D2552="Yes",Assumptions!$C$6,0))</f>
        <v>251297.58720000001</v>
      </c>
      <c r="I2552" s="22">
        <f>F2552*(1+Assumptions!$B$7+IF(D2552="Yes",Assumptions!$C$7,0))</f>
        <v>256177.152</v>
      </c>
      <c r="J2552" s="22">
        <f>F2552*(1+Assumptions!$B$8+IF(D2552="Yes",Assumptions!$C$8,0))</f>
        <v>246418.02239999999</v>
      </c>
    </row>
    <row r="2553" spans="1:10" ht="15">
      <c r="A2553" s="21">
        <v>41145</v>
      </c>
      <c r="B2553" s="21">
        <v>41122</v>
      </c>
      <c r="C2553" s="17">
        <v>72</v>
      </c>
      <c r="D2553" s="17" t="s">
        <v>91</v>
      </c>
      <c r="E2553" s="14">
        <v>1839276.91</v>
      </c>
      <c r="F2553" s="14">
        <v>1886285.23</v>
      </c>
      <c r="G2553" s="14">
        <v>1886285.23</v>
      </c>
      <c r="H2553" s="22">
        <f>F2553*(1+Assumptions!$B$6+IF(D2553="Yes",Assumptions!$C$6,0))</f>
        <v>1942873.7868999999</v>
      </c>
      <c r="I2553" s="22">
        <f>F2553*(1+Assumptions!$B$7+IF(D2553="Yes",Assumptions!$C$7,0))</f>
        <v>1980599.4915</v>
      </c>
      <c r="J2553" s="22">
        <f>F2553*(1+Assumptions!$B$8+IF(D2553="Yes",Assumptions!$C$8,0))</f>
        <v>1905148.0822999999</v>
      </c>
    </row>
    <row r="2554" spans="1:10" ht="15">
      <c r="A2554" s="21">
        <v>41145</v>
      </c>
      <c r="B2554" s="21">
        <v>41122</v>
      </c>
      <c r="C2554" s="17">
        <v>74</v>
      </c>
      <c r="D2554" s="17" t="s">
        <v>91</v>
      </c>
      <c r="E2554" s="14">
        <v>769063.04</v>
      </c>
      <c r="F2554" s="14">
        <v>746609.27</v>
      </c>
      <c r="G2554" s="14">
        <v>746609.27</v>
      </c>
      <c r="H2554" s="22">
        <f>F2554*(1+Assumptions!$B$6+IF(D2554="Yes",Assumptions!$C$6,0))</f>
        <v>769007.54810000001</v>
      </c>
      <c r="I2554" s="22">
        <f>F2554*(1+Assumptions!$B$7+IF(D2554="Yes",Assumptions!$C$7,0))</f>
        <v>783939.73350000009</v>
      </c>
      <c r="J2554" s="22">
        <f>F2554*(1+Assumptions!$B$8+IF(D2554="Yes",Assumptions!$C$8,0))</f>
        <v>754075.36270000006</v>
      </c>
    </row>
    <row r="2555" spans="1:10" ht="15">
      <c r="A2555" s="21">
        <v>41145</v>
      </c>
      <c r="B2555" s="21">
        <v>41122</v>
      </c>
      <c r="C2555" s="17">
        <v>79</v>
      </c>
      <c r="D2555" s="17" t="s">
        <v>91</v>
      </c>
      <c r="E2555" s="14">
        <v>952162.23</v>
      </c>
      <c r="F2555" s="14">
        <v>960023.19000000006</v>
      </c>
      <c r="G2555" s="14">
        <v>960023.19000000006</v>
      </c>
      <c r="H2555" s="22">
        <f>F2555*(1+Assumptions!$B$6+IF(D2555="Yes",Assumptions!$C$6,0))</f>
        <v>988823.8857000001</v>
      </c>
      <c r="I2555" s="22">
        <f>F2555*(1+Assumptions!$B$7+IF(D2555="Yes",Assumptions!$C$7,0))</f>
        <v>1008024.3495000001</v>
      </c>
      <c r="J2555" s="22">
        <f>F2555*(1+Assumptions!$B$8+IF(D2555="Yes",Assumptions!$C$8,0))</f>
        <v>969623.42190000007</v>
      </c>
    </row>
    <row r="2556" spans="1:10" ht="15">
      <c r="A2556" s="21">
        <v>41145</v>
      </c>
      <c r="B2556" s="21">
        <v>41122</v>
      </c>
      <c r="C2556" s="17">
        <v>80</v>
      </c>
      <c r="D2556" s="17" t="s">
        <v>91</v>
      </c>
      <c r="E2556" s="14">
        <v>491534.87</v>
      </c>
      <c r="F2556" s="14">
        <v>506066.5</v>
      </c>
      <c r="G2556" s="14">
        <v>506066.5</v>
      </c>
      <c r="H2556" s="22">
        <f>F2556*(1+Assumptions!$B$6+IF(D2556="Yes",Assumptions!$C$6,0))</f>
        <v>521248.495</v>
      </c>
      <c r="I2556" s="22">
        <f>F2556*(1+Assumptions!$B$7+IF(D2556="Yes",Assumptions!$C$7,0))</f>
        <v>531369.82500000007</v>
      </c>
      <c r="J2556" s="22">
        <f>F2556*(1+Assumptions!$B$8+IF(D2556="Yes",Assumptions!$C$8,0))</f>
        <v>511127.16499999998</v>
      </c>
    </row>
    <row r="2557" spans="1:10" ht="15">
      <c r="A2557" s="21">
        <v>41145</v>
      </c>
      <c r="B2557" s="21">
        <v>41122</v>
      </c>
      <c r="C2557" s="17">
        <v>81</v>
      </c>
      <c r="D2557" s="17" t="s">
        <v>91</v>
      </c>
      <c r="E2557" s="14">
        <v>688504.7</v>
      </c>
      <c r="F2557" s="14">
        <v>742322.58</v>
      </c>
      <c r="G2557" s="14">
        <v>742322.58</v>
      </c>
      <c r="H2557" s="22">
        <f>F2557*(1+Assumptions!$B$6+IF(D2557="Yes",Assumptions!$C$6,0))</f>
        <v>764592.2574</v>
      </c>
      <c r="I2557" s="22">
        <f>F2557*(1+Assumptions!$B$7+IF(D2557="Yes",Assumptions!$C$7,0))</f>
        <v>779438.70900000003</v>
      </c>
      <c r="J2557" s="22">
        <f>F2557*(1+Assumptions!$B$8+IF(D2557="Yes",Assumptions!$C$8,0))</f>
        <v>749745.80579999997</v>
      </c>
    </row>
    <row r="2558" spans="1:10" ht="15">
      <c r="A2558" s="21">
        <v>41145</v>
      </c>
      <c r="B2558" s="21">
        <v>41122</v>
      </c>
      <c r="C2558" s="17">
        <v>82</v>
      </c>
      <c r="D2558" s="17" t="s">
        <v>91</v>
      </c>
      <c r="E2558" s="14">
        <v>715918.94000000006</v>
      </c>
      <c r="F2558" s="14">
        <v>759210.45</v>
      </c>
      <c r="G2558" s="14">
        <v>759210.45</v>
      </c>
      <c r="H2558" s="22">
        <f>F2558*(1+Assumptions!$B$6+IF(D2558="Yes",Assumptions!$C$6,0))</f>
        <v>781986.7635</v>
      </c>
      <c r="I2558" s="22">
        <f>F2558*(1+Assumptions!$B$7+IF(D2558="Yes",Assumptions!$C$7,0))</f>
        <v>797170.97250000003</v>
      </c>
      <c r="J2558" s="22">
        <f>F2558*(1+Assumptions!$B$8+IF(D2558="Yes",Assumptions!$C$8,0))</f>
        <v>766802.55449999997</v>
      </c>
    </row>
    <row r="2559" spans="1:10" ht="15">
      <c r="A2559" s="21">
        <v>41145</v>
      </c>
      <c r="B2559" s="21">
        <v>41122</v>
      </c>
      <c r="C2559" s="17">
        <v>83</v>
      </c>
      <c r="D2559" s="17" t="s">
        <v>91</v>
      </c>
      <c r="E2559" s="14">
        <v>121532.12</v>
      </c>
      <c r="F2559" s="14">
        <v>117699.43000000001</v>
      </c>
      <c r="G2559" s="14">
        <v>117699.43000000001</v>
      </c>
      <c r="H2559" s="22">
        <f>F2559*(1+Assumptions!$B$6+IF(D2559="Yes",Assumptions!$C$6,0))</f>
        <v>121230.41290000001</v>
      </c>
      <c r="I2559" s="22">
        <f>F2559*(1+Assumptions!$B$7+IF(D2559="Yes",Assumptions!$C$7,0))</f>
        <v>123584.40150000001</v>
      </c>
      <c r="J2559" s="22">
        <f>F2559*(1+Assumptions!$B$8+IF(D2559="Yes",Assumptions!$C$8,0))</f>
        <v>118876.42430000001</v>
      </c>
    </row>
    <row r="2560" spans="1:10" ht="15">
      <c r="A2560" s="21">
        <v>41145</v>
      </c>
      <c r="B2560" s="21">
        <v>41122</v>
      </c>
      <c r="C2560" s="17">
        <v>85</v>
      </c>
      <c r="D2560" s="17" t="s">
        <v>91</v>
      </c>
      <c r="E2560" s="14">
        <v>90932.25</v>
      </c>
      <c r="F2560" s="14">
        <v>98301.119999999995</v>
      </c>
      <c r="G2560" s="14">
        <v>98301.119999999995</v>
      </c>
      <c r="H2560" s="22">
        <f>F2560*(1+Assumptions!$B$6+IF(D2560="Yes",Assumptions!$C$6,0))</f>
        <v>101250.15359999999</v>
      </c>
      <c r="I2560" s="22">
        <f>F2560*(1+Assumptions!$B$7+IF(D2560="Yes",Assumptions!$C$7,0))</f>
        <v>103216.17600000001</v>
      </c>
      <c r="J2560" s="22">
        <f>F2560*(1+Assumptions!$B$8+IF(D2560="Yes",Assumptions!$C$8,0))</f>
        <v>99284.131200000003</v>
      </c>
    </row>
    <row r="2561" spans="1:10" ht="15">
      <c r="A2561" s="21">
        <v>41145</v>
      </c>
      <c r="B2561" s="21">
        <v>41122</v>
      </c>
      <c r="C2561" s="17">
        <v>87</v>
      </c>
      <c r="D2561" s="17" t="s">
        <v>91</v>
      </c>
      <c r="E2561" s="14">
        <v>683789.81</v>
      </c>
      <c r="F2561" s="14">
        <v>592830.46</v>
      </c>
      <c r="G2561" s="14">
        <v>592830.46</v>
      </c>
      <c r="H2561" s="22">
        <f>F2561*(1+Assumptions!$B$6+IF(D2561="Yes",Assumptions!$C$6,0))</f>
        <v>610615.37379999994</v>
      </c>
      <c r="I2561" s="22">
        <f>F2561*(1+Assumptions!$B$7+IF(D2561="Yes",Assumptions!$C$7,0))</f>
        <v>622471.98300000001</v>
      </c>
      <c r="J2561" s="22">
        <f>F2561*(1+Assumptions!$B$8+IF(D2561="Yes",Assumptions!$C$8,0))</f>
        <v>598758.76459999999</v>
      </c>
    </row>
    <row r="2562" spans="1:10" ht="15">
      <c r="A2562" s="21">
        <v>41145</v>
      </c>
      <c r="B2562" s="21">
        <v>41122</v>
      </c>
      <c r="C2562" s="17">
        <v>90</v>
      </c>
      <c r="D2562" s="17" t="s">
        <v>91</v>
      </c>
      <c r="E2562" s="14">
        <v>2004187.82</v>
      </c>
      <c r="F2562" s="14">
        <v>2121358.2599999998</v>
      </c>
      <c r="G2562" s="14">
        <v>2121358.2599999998</v>
      </c>
      <c r="H2562" s="22">
        <f>F2562*(1+Assumptions!$B$6+IF(D2562="Yes",Assumptions!$C$6,0))</f>
        <v>2184999.0077999998</v>
      </c>
      <c r="I2562" s="22">
        <f>F2562*(1+Assumptions!$B$7+IF(D2562="Yes",Assumptions!$C$7,0))</f>
        <v>2227426.173</v>
      </c>
      <c r="J2562" s="22">
        <f>F2562*(1+Assumptions!$B$8+IF(D2562="Yes",Assumptions!$C$8,0))</f>
        <v>2142571.8425999996</v>
      </c>
    </row>
    <row r="2563" spans="1:10" ht="15">
      <c r="A2563" s="21">
        <v>41145</v>
      </c>
      <c r="B2563" s="21">
        <v>41122</v>
      </c>
      <c r="C2563" s="17">
        <v>91</v>
      </c>
      <c r="D2563" s="17" t="s">
        <v>91</v>
      </c>
      <c r="E2563" s="14">
        <v>1445674.01</v>
      </c>
      <c r="F2563" s="14">
        <v>1453320.77</v>
      </c>
      <c r="G2563" s="14">
        <v>1453320.77</v>
      </c>
      <c r="H2563" s="22">
        <f>F2563*(1+Assumptions!$B$6+IF(D2563="Yes",Assumptions!$C$6,0))</f>
        <v>1496920.3931</v>
      </c>
      <c r="I2563" s="22">
        <f>F2563*(1+Assumptions!$B$7+IF(D2563="Yes",Assumptions!$C$7,0))</f>
        <v>1525986.8085</v>
      </c>
      <c r="J2563" s="22">
        <f>F2563*(1+Assumptions!$B$8+IF(D2563="Yes",Assumptions!$C$8,0))</f>
        <v>1467853.9776999999</v>
      </c>
    </row>
    <row r="2564" spans="1:10" ht="15">
      <c r="A2564" s="21">
        <v>41145</v>
      </c>
      <c r="B2564" s="21">
        <v>41122</v>
      </c>
      <c r="C2564" s="17">
        <v>92</v>
      </c>
      <c r="D2564" s="17" t="s">
        <v>91</v>
      </c>
      <c r="E2564" s="14">
        <v>3374945.23</v>
      </c>
      <c r="F2564" s="14">
        <v>3387528.29</v>
      </c>
      <c r="G2564" s="14">
        <v>3387528.29</v>
      </c>
      <c r="H2564" s="22">
        <f>F2564*(1+Assumptions!$B$6+IF(D2564="Yes",Assumptions!$C$6,0))</f>
        <v>3489154.1387</v>
      </c>
      <c r="I2564" s="22">
        <f>F2564*(1+Assumptions!$B$7+IF(D2564="Yes",Assumptions!$C$7,0))</f>
        <v>3556904.7045</v>
      </c>
      <c r="J2564" s="22">
        <f>F2564*(1+Assumptions!$B$8+IF(D2564="Yes",Assumptions!$C$8,0))</f>
        <v>3421403.5729</v>
      </c>
    </row>
    <row r="2565" spans="1:10" ht="15">
      <c r="A2565" s="21">
        <v>41145</v>
      </c>
      <c r="B2565" s="21">
        <v>41122</v>
      </c>
      <c r="C2565" s="17">
        <v>93</v>
      </c>
      <c r="D2565" s="17" t="s">
        <v>91</v>
      </c>
      <c r="E2565" s="14">
        <v>1069843.31</v>
      </c>
      <c r="F2565" s="14">
        <v>1031338.18</v>
      </c>
      <c r="G2565" s="14">
        <v>1031338.18</v>
      </c>
      <c r="H2565" s="22">
        <f>F2565*(1+Assumptions!$B$6+IF(D2565="Yes",Assumptions!$C$6,0))</f>
        <v>1062278.3254</v>
      </c>
      <c r="I2565" s="22">
        <f>F2565*(1+Assumptions!$B$7+IF(D2565="Yes",Assumptions!$C$7,0))</f>
        <v>1082905.0890000002</v>
      </c>
      <c r="J2565" s="22">
        <f>F2565*(1+Assumptions!$B$8+IF(D2565="Yes",Assumptions!$C$8,0))</f>
        <v>1041651.5618</v>
      </c>
    </row>
    <row r="2566" spans="1:10" ht="15">
      <c r="A2566" s="21">
        <v>41145</v>
      </c>
      <c r="B2566" s="21">
        <v>41122</v>
      </c>
      <c r="C2566" s="17">
        <v>94</v>
      </c>
      <c r="D2566" s="17" t="s">
        <v>91</v>
      </c>
      <c r="E2566" s="14">
        <v>1273579.01</v>
      </c>
      <c r="F2566" s="14">
        <v>1379778.32</v>
      </c>
      <c r="G2566" s="14">
        <v>1379778.32</v>
      </c>
      <c r="H2566" s="22">
        <f>F2566*(1+Assumptions!$B$6+IF(D2566="Yes",Assumptions!$C$6,0))</f>
        <v>1421171.6696000001</v>
      </c>
      <c r="I2566" s="22">
        <f>F2566*(1+Assumptions!$B$7+IF(D2566="Yes",Assumptions!$C$7,0))</f>
        <v>1448767.236</v>
      </c>
      <c r="J2566" s="22">
        <f>F2566*(1+Assumptions!$B$8+IF(D2566="Yes",Assumptions!$C$8,0))</f>
        <v>1393576.1032</v>
      </c>
    </row>
    <row r="2567" spans="1:10" ht="15">
      <c r="A2567" s="21">
        <v>41145</v>
      </c>
      <c r="B2567" s="21">
        <v>41122</v>
      </c>
      <c r="C2567" s="17">
        <v>95</v>
      </c>
      <c r="D2567" s="17" t="s">
        <v>91</v>
      </c>
      <c r="E2567" s="14">
        <v>3222483.33</v>
      </c>
      <c r="F2567" s="14">
        <v>3485900.29</v>
      </c>
      <c r="G2567" s="14">
        <v>3485900.29</v>
      </c>
      <c r="H2567" s="22">
        <f>F2567*(1+Assumptions!$B$6+IF(D2567="Yes",Assumptions!$C$6,0))</f>
        <v>3590477.2987000002</v>
      </c>
      <c r="I2567" s="22">
        <f>F2567*(1+Assumptions!$B$7+IF(D2567="Yes",Assumptions!$C$7,0))</f>
        <v>3660195.3045000001</v>
      </c>
      <c r="J2567" s="22">
        <f>F2567*(1+Assumptions!$B$8+IF(D2567="Yes",Assumptions!$C$8,0))</f>
        <v>3520759.2929000002</v>
      </c>
    </row>
    <row r="2568" spans="1:10" ht="15">
      <c r="A2568" s="21">
        <v>41145</v>
      </c>
      <c r="B2568" s="21">
        <v>41122</v>
      </c>
      <c r="C2568" s="17">
        <v>96</v>
      </c>
      <c r="D2568" s="17" t="s">
        <v>91</v>
      </c>
      <c r="E2568" s="14">
        <v>543154.39</v>
      </c>
      <c r="F2568" s="14">
        <v>527653.49</v>
      </c>
      <c r="G2568" s="14">
        <v>527653.49</v>
      </c>
      <c r="H2568" s="22">
        <f>F2568*(1+Assumptions!$B$6+IF(D2568="Yes",Assumptions!$C$6,0))</f>
        <v>543483.09470000002</v>
      </c>
      <c r="I2568" s="22">
        <f>F2568*(1+Assumptions!$B$7+IF(D2568="Yes",Assumptions!$C$7,0))</f>
        <v>554036.16450000007</v>
      </c>
      <c r="J2568" s="22">
        <f>F2568*(1+Assumptions!$B$8+IF(D2568="Yes",Assumptions!$C$8,0))</f>
        <v>532930.02489999996</v>
      </c>
    </row>
    <row r="2569" spans="1:10" ht="15">
      <c r="A2569" s="21">
        <v>41145</v>
      </c>
      <c r="B2569" s="21">
        <v>41122</v>
      </c>
      <c r="C2569" s="17">
        <v>97</v>
      </c>
      <c r="D2569" s="17" t="s">
        <v>91</v>
      </c>
      <c r="E2569" s="14">
        <v>605241.81000000006</v>
      </c>
      <c r="F2569" s="14">
        <v>646627.5</v>
      </c>
      <c r="G2569" s="14">
        <v>646627.5</v>
      </c>
      <c r="H2569" s="22">
        <f>F2569*(1+Assumptions!$B$6+IF(D2569="Yes",Assumptions!$C$6,0))</f>
        <v>666026.32500000007</v>
      </c>
      <c r="I2569" s="22">
        <f>F2569*(1+Assumptions!$B$7+IF(D2569="Yes",Assumptions!$C$7,0))</f>
        <v>678958.875</v>
      </c>
      <c r="J2569" s="22">
        <f>F2569*(1+Assumptions!$B$8+IF(D2569="Yes",Assumptions!$C$8,0))</f>
        <v>653093.77500000002</v>
      </c>
    </row>
    <row r="2570" spans="1:10" ht="15">
      <c r="A2570" s="21">
        <v>41145</v>
      </c>
      <c r="B2570" s="21">
        <v>41122</v>
      </c>
      <c r="C2570" s="17">
        <v>98</v>
      </c>
      <c r="D2570" s="17" t="s">
        <v>91</v>
      </c>
      <c r="E2570" s="14">
        <v>242719.64</v>
      </c>
      <c r="F2570" s="14">
        <v>250805.44</v>
      </c>
      <c r="G2570" s="14">
        <v>250805.44</v>
      </c>
      <c r="H2570" s="22">
        <f>F2570*(1+Assumptions!$B$6+IF(D2570="Yes",Assumptions!$C$6,0))</f>
        <v>258329.60320000001</v>
      </c>
      <c r="I2570" s="22">
        <f>F2570*(1+Assumptions!$B$7+IF(D2570="Yes",Assumptions!$C$7,0))</f>
        <v>263345.712</v>
      </c>
      <c r="J2570" s="22">
        <f>F2570*(1+Assumptions!$B$8+IF(D2570="Yes",Assumptions!$C$8,0))</f>
        <v>253313.4944</v>
      </c>
    </row>
    <row r="2571" spans="1:10" ht="15">
      <c r="A2571" s="21">
        <v>41145</v>
      </c>
      <c r="B2571" s="21">
        <v>41122</v>
      </c>
      <c r="C2571" s="17">
        <v>99</v>
      </c>
      <c r="D2571" s="17" t="s">
        <v>91</v>
      </c>
      <c r="E2571" s="14">
        <v>3061.19</v>
      </c>
      <c r="F2571" s="14">
        <v>1860</v>
      </c>
      <c r="G2571" s="14">
        <v>1860</v>
      </c>
      <c r="H2571" s="22">
        <f>F2571*(1+Assumptions!$B$6+IF(D2571="Yes",Assumptions!$C$6,0))</f>
        <v>1915.8</v>
      </c>
      <c r="I2571" s="22">
        <f>F2571*(1+Assumptions!$B$7+IF(D2571="Yes",Assumptions!$C$7,0))</f>
        <v>1953</v>
      </c>
      <c r="J2571" s="22">
        <f>F2571*(1+Assumptions!$B$8+IF(D2571="Yes",Assumptions!$C$8,0))</f>
        <v>1878.6</v>
      </c>
    </row>
    <row r="2572" spans="1:10" ht="15">
      <c r="A2572" s="21">
        <v>41152</v>
      </c>
      <c r="B2572" s="21">
        <v>41122</v>
      </c>
      <c r="C2572" s="17">
        <v>1</v>
      </c>
      <c r="D2572" s="17" t="s">
        <v>91</v>
      </c>
      <c r="E2572" s="14">
        <v>649190.54</v>
      </c>
      <c r="F2572" s="14">
        <v>632023.24</v>
      </c>
      <c r="G2572" s="14">
        <v>632023.24</v>
      </c>
      <c r="H2572" s="22">
        <f>F2572*(1+Assumptions!$B$6+IF(D2572="Yes",Assumptions!$C$6,0))</f>
        <v>650983.93720000004</v>
      </c>
      <c r="I2572" s="22">
        <f>F2572*(1+Assumptions!$B$7+IF(D2572="Yes",Assumptions!$C$7,0))</f>
        <v>663624.402</v>
      </c>
      <c r="J2572" s="22">
        <f>F2572*(1+Assumptions!$B$8+IF(D2572="Yes",Assumptions!$C$8,0))</f>
        <v>638343.47239999997</v>
      </c>
    </row>
    <row r="2573" spans="1:10" ht="15">
      <c r="A2573" s="21">
        <v>41152</v>
      </c>
      <c r="B2573" s="21">
        <v>41122</v>
      </c>
      <c r="C2573" s="17">
        <v>2</v>
      </c>
      <c r="D2573" s="17" t="s">
        <v>91</v>
      </c>
      <c r="E2573" s="14">
        <v>2086129.21</v>
      </c>
      <c r="F2573" s="14">
        <v>1997245.33</v>
      </c>
      <c r="G2573" s="14">
        <v>1997245.33</v>
      </c>
      <c r="H2573" s="22">
        <f>F2573*(1+Assumptions!$B$6+IF(D2573="Yes",Assumptions!$C$6,0))</f>
        <v>2057162.6899000001</v>
      </c>
      <c r="I2573" s="22">
        <f>F2573*(1+Assumptions!$B$7+IF(D2573="Yes",Assumptions!$C$7,0))</f>
        <v>2097107.5965000002</v>
      </c>
      <c r="J2573" s="22">
        <f>F2573*(1+Assumptions!$B$8+IF(D2573="Yes",Assumptions!$C$8,0))</f>
        <v>2017217.7833</v>
      </c>
    </row>
    <row r="2574" spans="1:10" ht="15">
      <c r="A2574" s="21">
        <v>41152</v>
      </c>
      <c r="B2574" s="21">
        <v>41122</v>
      </c>
      <c r="C2574" s="17">
        <v>3</v>
      </c>
      <c r="D2574" s="17" t="s">
        <v>91</v>
      </c>
      <c r="E2574" s="14">
        <v>1645308.8</v>
      </c>
      <c r="F2574" s="14">
        <v>1166310.8700000001</v>
      </c>
      <c r="G2574" s="14">
        <v>1166310.8700000001</v>
      </c>
      <c r="H2574" s="22">
        <f>F2574*(1+Assumptions!$B$6+IF(D2574="Yes",Assumptions!$C$6,0))</f>
        <v>1201300.1961000001</v>
      </c>
      <c r="I2574" s="22">
        <f>F2574*(1+Assumptions!$B$7+IF(D2574="Yes",Assumptions!$C$7,0))</f>
        <v>1224626.4135000003</v>
      </c>
      <c r="J2574" s="22">
        <f>F2574*(1+Assumptions!$B$8+IF(D2574="Yes",Assumptions!$C$8,0))</f>
        <v>1177973.9787000001</v>
      </c>
    </row>
    <row r="2575" spans="1:10" ht="15">
      <c r="A2575" s="21">
        <v>41152</v>
      </c>
      <c r="B2575" s="21">
        <v>41122</v>
      </c>
      <c r="C2575" s="17">
        <v>4</v>
      </c>
      <c r="D2575" s="17" t="s">
        <v>91</v>
      </c>
      <c r="E2575" s="14">
        <v>1245850.8</v>
      </c>
      <c r="F2575" s="14">
        <v>1214092.76</v>
      </c>
      <c r="G2575" s="14">
        <v>1214092.76</v>
      </c>
      <c r="H2575" s="22">
        <f>F2575*(1+Assumptions!$B$6+IF(D2575="Yes",Assumptions!$C$6,0))</f>
        <v>1250515.5427999999</v>
      </c>
      <c r="I2575" s="22">
        <f>F2575*(1+Assumptions!$B$7+IF(D2575="Yes",Assumptions!$C$7,0))</f>
        <v>1274797.398</v>
      </c>
      <c r="J2575" s="22">
        <f>F2575*(1+Assumptions!$B$8+IF(D2575="Yes",Assumptions!$C$8,0))</f>
        <v>1226233.6876000001</v>
      </c>
    </row>
    <row r="2576" spans="1:10" ht="15">
      <c r="A2576" s="21">
        <v>41152</v>
      </c>
      <c r="B2576" s="21">
        <v>41122</v>
      </c>
      <c r="C2576" s="17">
        <v>5</v>
      </c>
      <c r="D2576" s="17" t="s">
        <v>91</v>
      </c>
      <c r="E2576" s="14">
        <v>711079.39</v>
      </c>
      <c r="F2576" s="14">
        <v>640810.15</v>
      </c>
      <c r="G2576" s="14">
        <v>640810.15</v>
      </c>
      <c r="H2576" s="22">
        <f>F2576*(1+Assumptions!$B$6+IF(D2576="Yes",Assumptions!$C$6,0))</f>
        <v>660034.45449999999</v>
      </c>
      <c r="I2576" s="22">
        <f>F2576*(1+Assumptions!$B$7+IF(D2576="Yes",Assumptions!$C$7,0))</f>
        <v>672850.65750000009</v>
      </c>
      <c r="J2576" s="22">
        <f>F2576*(1+Assumptions!$B$8+IF(D2576="Yes",Assumptions!$C$8,0))</f>
        <v>647218.25150000001</v>
      </c>
    </row>
    <row r="2577" spans="1:10" ht="15">
      <c r="A2577" s="21">
        <v>41152</v>
      </c>
      <c r="B2577" s="21">
        <v>41122</v>
      </c>
      <c r="C2577" s="17">
        <v>6</v>
      </c>
      <c r="D2577" s="17" t="s">
        <v>91</v>
      </c>
      <c r="E2577" s="14">
        <v>125507.22</v>
      </c>
      <c r="F2577" s="14">
        <v>154348.68</v>
      </c>
      <c r="G2577" s="14">
        <v>154348.68</v>
      </c>
      <c r="H2577" s="22">
        <f>F2577*(1+Assumptions!$B$6+IF(D2577="Yes",Assumptions!$C$6,0))</f>
        <v>158979.1404</v>
      </c>
      <c r="I2577" s="22">
        <f>F2577*(1+Assumptions!$B$7+IF(D2577="Yes",Assumptions!$C$7,0))</f>
        <v>162066.114</v>
      </c>
      <c r="J2577" s="22">
        <f>F2577*(1+Assumptions!$B$8+IF(D2577="Yes",Assumptions!$C$8,0))</f>
        <v>155892.16680000001</v>
      </c>
    </row>
    <row r="2578" spans="1:10" ht="15">
      <c r="A2578" s="21">
        <v>41152</v>
      </c>
      <c r="B2578" s="21">
        <v>41122</v>
      </c>
      <c r="C2578" s="17">
        <v>7</v>
      </c>
      <c r="D2578" s="17" t="s">
        <v>91</v>
      </c>
      <c r="E2578" s="14">
        <v>757331.7</v>
      </c>
      <c r="F2578" s="14">
        <v>736078.64</v>
      </c>
      <c r="G2578" s="14">
        <v>736078.64</v>
      </c>
      <c r="H2578" s="22">
        <f>F2578*(1+Assumptions!$B$6+IF(D2578="Yes",Assumptions!$C$6,0))</f>
        <v>758160.99920000008</v>
      </c>
      <c r="I2578" s="22">
        <f>F2578*(1+Assumptions!$B$7+IF(D2578="Yes",Assumptions!$C$7,0))</f>
        <v>772882.57200000004</v>
      </c>
      <c r="J2578" s="22">
        <f>F2578*(1+Assumptions!$B$8+IF(D2578="Yes",Assumptions!$C$8,0))</f>
        <v>743439.4264</v>
      </c>
    </row>
    <row r="2579" spans="1:10" ht="15">
      <c r="A2579" s="21">
        <v>41152</v>
      </c>
      <c r="B2579" s="21">
        <v>41122</v>
      </c>
      <c r="C2579" s="17">
        <v>8</v>
      </c>
      <c r="D2579" s="17" t="s">
        <v>91</v>
      </c>
      <c r="E2579" s="14">
        <v>1379184.09</v>
      </c>
      <c r="F2579" s="14">
        <v>1299283.3800000001</v>
      </c>
      <c r="G2579" s="14">
        <v>1299283.3800000001</v>
      </c>
      <c r="H2579" s="22">
        <f>F2579*(1+Assumptions!$B$6+IF(D2579="Yes",Assumptions!$C$6,0))</f>
        <v>1338261.8814000001</v>
      </c>
      <c r="I2579" s="22">
        <f>F2579*(1+Assumptions!$B$7+IF(D2579="Yes",Assumptions!$C$7,0))</f>
        <v>1364247.5490000001</v>
      </c>
      <c r="J2579" s="22">
        <f>F2579*(1+Assumptions!$B$8+IF(D2579="Yes",Assumptions!$C$8,0))</f>
        <v>1312276.2138</v>
      </c>
    </row>
    <row r="2580" spans="1:10" ht="15">
      <c r="A2580" s="21">
        <v>41152</v>
      </c>
      <c r="B2580" s="21">
        <v>41122</v>
      </c>
      <c r="C2580" s="17">
        <v>9</v>
      </c>
      <c r="D2580" s="17" t="s">
        <v>91</v>
      </c>
      <c r="E2580" s="14">
        <v>1191803.76</v>
      </c>
      <c r="F2580" s="14">
        <v>1151044.7</v>
      </c>
      <c r="G2580" s="14">
        <v>1151044.7</v>
      </c>
      <c r="H2580" s="22">
        <f>F2580*(1+Assumptions!$B$6+IF(D2580="Yes",Assumptions!$C$6,0))</f>
        <v>1185576.041</v>
      </c>
      <c r="I2580" s="22">
        <f>F2580*(1+Assumptions!$B$7+IF(D2580="Yes",Assumptions!$C$7,0))</f>
        <v>1208596.9350000001</v>
      </c>
      <c r="J2580" s="22">
        <f>F2580*(1+Assumptions!$B$8+IF(D2580="Yes",Assumptions!$C$8,0))</f>
        <v>1162555.1469999999</v>
      </c>
    </row>
    <row r="2581" spans="1:10" ht="15">
      <c r="A2581" s="21">
        <v>41152</v>
      </c>
      <c r="B2581" s="21">
        <v>41122</v>
      </c>
      <c r="C2581" s="17">
        <v>10</v>
      </c>
      <c r="D2581" s="17" t="s">
        <v>91</v>
      </c>
      <c r="E2581" s="14">
        <v>846232.84</v>
      </c>
      <c r="F2581" s="14">
        <v>850170.51</v>
      </c>
      <c r="G2581" s="14">
        <v>850170.51</v>
      </c>
      <c r="H2581" s="22">
        <f>F2581*(1+Assumptions!$B$6+IF(D2581="Yes",Assumptions!$C$6,0))</f>
        <v>875675.62530000007</v>
      </c>
      <c r="I2581" s="22">
        <f>F2581*(1+Assumptions!$B$7+IF(D2581="Yes",Assumptions!$C$7,0))</f>
        <v>892679.0355</v>
      </c>
      <c r="J2581" s="22">
        <f>F2581*(1+Assumptions!$B$8+IF(D2581="Yes",Assumptions!$C$8,0))</f>
        <v>858672.21510000003</v>
      </c>
    </row>
    <row r="2582" spans="1:10" ht="15">
      <c r="A2582" s="21">
        <v>41152</v>
      </c>
      <c r="B2582" s="21">
        <v>41122</v>
      </c>
      <c r="C2582" s="17">
        <v>11</v>
      </c>
      <c r="D2582" s="17" t="s">
        <v>91</v>
      </c>
      <c r="E2582" s="14">
        <v>557724.36</v>
      </c>
      <c r="F2582" s="14">
        <v>574459.97</v>
      </c>
      <c r="G2582" s="14">
        <v>574459.97</v>
      </c>
      <c r="H2582" s="22">
        <f>F2582*(1+Assumptions!$B$6+IF(D2582="Yes",Assumptions!$C$6,0))</f>
        <v>591693.76910000003</v>
      </c>
      <c r="I2582" s="22">
        <f>F2582*(1+Assumptions!$B$7+IF(D2582="Yes",Assumptions!$C$7,0))</f>
        <v>603182.96849999996</v>
      </c>
      <c r="J2582" s="22">
        <f>F2582*(1+Assumptions!$B$8+IF(D2582="Yes",Assumptions!$C$8,0))</f>
        <v>580204.56969999999</v>
      </c>
    </row>
    <row r="2583" spans="1:10" ht="15">
      <c r="A2583" s="21">
        <v>41152</v>
      </c>
      <c r="B2583" s="21">
        <v>41122</v>
      </c>
      <c r="C2583" s="17">
        <v>12</v>
      </c>
      <c r="D2583" s="17" t="s">
        <v>91</v>
      </c>
      <c r="E2583" s="14">
        <v>194846.21</v>
      </c>
      <c r="F2583" s="14">
        <v>195200.82</v>
      </c>
      <c r="G2583" s="14">
        <v>195200.82</v>
      </c>
      <c r="H2583" s="22">
        <f>F2583*(1+Assumptions!$B$6+IF(D2583="Yes",Assumptions!$C$6,0))</f>
        <v>201056.84460000001</v>
      </c>
      <c r="I2583" s="22">
        <f>F2583*(1+Assumptions!$B$7+IF(D2583="Yes",Assumptions!$C$7,0))</f>
        <v>204960.861</v>
      </c>
      <c r="J2583" s="22">
        <f>F2583*(1+Assumptions!$B$8+IF(D2583="Yes",Assumptions!$C$8,0))</f>
        <v>197152.82820000002</v>
      </c>
    </row>
    <row r="2584" spans="1:10" ht="15">
      <c r="A2584" s="21">
        <v>41152</v>
      </c>
      <c r="B2584" s="21">
        <v>41122</v>
      </c>
      <c r="C2584" s="17">
        <v>13</v>
      </c>
      <c r="D2584" s="17" t="s">
        <v>91</v>
      </c>
      <c r="E2584" s="14">
        <v>1477203.8800000001</v>
      </c>
      <c r="F2584" s="14">
        <v>1440919.99</v>
      </c>
      <c r="G2584" s="14">
        <v>1440919.99</v>
      </c>
      <c r="H2584" s="22">
        <f>F2584*(1+Assumptions!$B$6+IF(D2584="Yes",Assumptions!$C$6,0))</f>
        <v>1484147.5897000001</v>
      </c>
      <c r="I2584" s="22">
        <f>F2584*(1+Assumptions!$B$7+IF(D2584="Yes",Assumptions!$C$7,0))</f>
        <v>1512965.9895000001</v>
      </c>
      <c r="J2584" s="22">
        <f>F2584*(1+Assumptions!$B$8+IF(D2584="Yes",Assumptions!$C$8,0))</f>
        <v>1455329.1899000001</v>
      </c>
    </row>
    <row r="2585" spans="1:10" ht="15">
      <c r="A2585" s="21">
        <v>41152</v>
      </c>
      <c r="B2585" s="21">
        <v>41122</v>
      </c>
      <c r="C2585" s="17">
        <v>14</v>
      </c>
      <c r="D2585" s="17" t="s">
        <v>91</v>
      </c>
      <c r="E2585" s="14">
        <v>627018.82999999996</v>
      </c>
      <c r="F2585" s="14">
        <v>571609.68999999994</v>
      </c>
      <c r="G2585" s="14">
        <v>571609.68999999994</v>
      </c>
      <c r="H2585" s="22">
        <f>F2585*(1+Assumptions!$B$6+IF(D2585="Yes",Assumptions!$C$6,0))</f>
        <v>588757.98069999996</v>
      </c>
      <c r="I2585" s="22">
        <f>F2585*(1+Assumptions!$B$7+IF(D2585="Yes",Assumptions!$C$7,0))</f>
        <v>600190.17449999996</v>
      </c>
      <c r="J2585" s="22">
        <f>F2585*(1+Assumptions!$B$8+IF(D2585="Yes",Assumptions!$C$8,0))</f>
        <v>577325.78689999995</v>
      </c>
    </row>
    <row r="2586" spans="1:10" ht="15">
      <c r="A2586" s="21">
        <v>41152</v>
      </c>
      <c r="B2586" s="21">
        <v>41122</v>
      </c>
      <c r="C2586" s="17">
        <v>16</v>
      </c>
      <c r="D2586" s="17" t="s">
        <v>91</v>
      </c>
      <c r="E2586" s="14">
        <v>468494.81</v>
      </c>
      <c r="F2586" s="14">
        <v>452005.35</v>
      </c>
      <c r="G2586" s="14">
        <v>452005.35</v>
      </c>
      <c r="H2586" s="22">
        <f>F2586*(1+Assumptions!$B$6+IF(D2586="Yes",Assumptions!$C$6,0))</f>
        <v>465565.51049999997</v>
      </c>
      <c r="I2586" s="22">
        <f>F2586*(1+Assumptions!$B$7+IF(D2586="Yes",Assumptions!$C$7,0))</f>
        <v>474605.61749999999</v>
      </c>
      <c r="J2586" s="22">
        <f>F2586*(1+Assumptions!$B$8+IF(D2586="Yes",Assumptions!$C$8,0))</f>
        <v>456525.40349999996</v>
      </c>
    </row>
    <row r="2587" spans="1:10" ht="15">
      <c r="A2587" s="21">
        <v>41152</v>
      </c>
      <c r="B2587" s="21">
        <v>41122</v>
      </c>
      <c r="C2587" s="17">
        <v>17</v>
      </c>
      <c r="D2587" s="17" t="s">
        <v>91</v>
      </c>
      <c r="E2587" s="14">
        <v>450884.44</v>
      </c>
      <c r="F2587" s="14">
        <v>436834.05</v>
      </c>
      <c r="G2587" s="14">
        <v>436834.05</v>
      </c>
      <c r="H2587" s="22">
        <f>F2587*(1+Assumptions!$B$6+IF(D2587="Yes",Assumptions!$C$6,0))</f>
        <v>449939.07150000002</v>
      </c>
      <c r="I2587" s="22">
        <f>F2587*(1+Assumptions!$B$7+IF(D2587="Yes",Assumptions!$C$7,0))</f>
        <v>458675.7525</v>
      </c>
      <c r="J2587" s="22">
        <f>F2587*(1+Assumptions!$B$8+IF(D2587="Yes",Assumptions!$C$8,0))</f>
        <v>441202.39049999998</v>
      </c>
    </row>
    <row r="2588" spans="1:10" ht="15">
      <c r="A2588" s="21">
        <v>41152</v>
      </c>
      <c r="B2588" s="21">
        <v>41122</v>
      </c>
      <c r="C2588" s="17">
        <v>18</v>
      </c>
      <c r="D2588" s="17" t="s">
        <v>91</v>
      </c>
      <c r="E2588" s="14">
        <v>8902.2199999999993</v>
      </c>
      <c r="F2588" s="14">
        <v>2430.66</v>
      </c>
      <c r="G2588" s="14">
        <v>2430.66</v>
      </c>
      <c r="H2588" s="22">
        <f>F2588*(1+Assumptions!$B$6+IF(D2588="Yes",Assumptions!$C$6,0))</f>
        <v>2503.5798</v>
      </c>
      <c r="I2588" s="22">
        <f>F2588*(1+Assumptions!$B$7+IF(D2588="Yes",Assumptions!$C$7,0))</f>
        <v>2552.1929999999998</v>
      </c>
      <c r="J2588" s="22">
        <f>F2588*(1+Assumptions!$B$8+IF(D2588="Yes",Assumptions!$C$8,0))</f>
        <v>2454.9665999999997</v>
      </c>
    </row>
    <row r="2589" spans="1:10" ht="15">
      <c r="A2589" s="21">
        <v>41152</v>
      </c>
      <c r="B2589" s="21">
        <v>41122</v>
      </c>
      <c r="C2589" s="17">
        <v>19</v>
      </c>
      <c r="D2589" s="17" t="s">
        <v>91</v>
      </c>
      <c r="E2589" s="14">
        <v>39759.79</v>
      </c>
      <c r="F2589" s="14">
        <v>38969.93</v>
      </c>
      <c r="G2589" s="14">
        <v>38969.93</v>
      </c>
      <c r="H2589" s="22">
        <f>F2589*(1+Assumptions!$B$6+IF(D2589="Yes",Assumptions!$C$6,0))</f>
        <v>40139.027900000001</v>
      </c>
      <c r="I2589" s="22">
        <f>F2589*(1+Assumptions!$B$7+IF(D2589="Yes",Assumptions!$C$7,0))</f>
        <v>40918.426500000001</v>
      </c>
      <c r="J2589" s="22">
        <f>F2589*(1+Assumptions!$B$8+IF(D2589="Yes",Assumptions!$C$8,0))</f>
        <v>39359.629300000001</v>
      </c>
    </row>
    <row r="2590" spans="1:10" ht="15">
      <c r="A2590" s="21">
        <v>41152</v>
      </c>
      <c r="B2590" s="21">
        <v>41122</v>
      </c>
      <c r="C2590" s="17">
        <v>20</v>
      </c>
      <c r="D2590" s="17" t="s">
        <v>91</v>
      </c>
      <c r="E2590" s="14">
        <v>243011.28</v>
      </c>
      <c r="F2590" s="14">
        <v>229024</v>
      </c>
      <c r="G2590" s="14">
        <v>229024</v>
      </c>
      <c r="H2590" s="22">
        <f>F2590*(1+Assumptions!$B$6+IF(D2590="Yes",Assumptions!$C$6,0))</f>
        <v>235894.72</v>
      </c>
      <c r="I2590" s="22">
        <f>F2590*(1+Assumptions!$B$7+IF(D2590="Yes",Assumptions!$C$7,0))</f>
        <v>240475.2</v>
      </c>
      <c r="J2590" s="22">
        <f>F2590*(1+Assumptions!$B$8+IF(D2590="Yes",Assumptions!$C$8,0))</f>
        <v>231314.24</v>
      </c>
    </row>
    <row r="2591" spans="1:10" ht="15">
      <c r="A2591" s="21">
        <v>41152</v>
      </c>
      <c r="B2591" s="21">
        <v>41122</v>
      </c>
      <c r="C2591" s="17">
        <v>21</v>
      </c>
      <c r="D2591" s="17" t="s">
        <v>91</v>
      </c>
      <c r="E2591" s="14">
        <v>208402.33</v>
      </c>
      <c r="F2591" s="14">
        <v>218894.42</v>
      </c>
      <c r="G2591" s="14">
        <v>218894.42</v>
      </c>
      <c r="H2591" s="22">
        <f>F2591*(1+Assumptions!$B$6+IF(D2591="Yes",Assumptions!$C$6,0))</f>
        <v>225461.25260000001</v>
      </c>
      <c r="I2591" s="22">
        <f>F2591*(1+Assumptions!$B$7+IF(D2591="Yes",Assumptions!$C$7,0))</f>
        <v>229839.14100000003</v>
      </c>
      <c r="J2591" s="22">
        <f>F2591*(1+Assumptions!$B$8+IF(D2591="Yes",Assumptions!$C$8,0))</f>
        <v>221083.36420000001</v>
      </c>
    </row>
    <row r="2592" spans="1:10" ht="15">
      <c r="A2592" s="21">
        <v>41152</v>
      </c>
      <c r="B2592" s="21">
        <v>41122</v>
      </c>
      <c r="C2592" s="17">
        <v>22</v>
      </c>
      <c r="D2592" s="17" t="s">
        <v>91</v>
      </c>
      <c r="E2592" s="14">
        <v>433937.45</v>
      </c>
      <c r="F2592" s="14">
        <v>381416.89</v>
      </c>
      <c r="G2592" s="14">
        <v>381416.89</v>
      </c>
      <c r="H2592" s="22">
        <f>F2592*(1+Assumptions!$B$6+IF(D2592="Yes",Assumptions!$C$6,0))</f>
        <v>392859.39670000004</v>
      </c>
      <c r="I2592" s="22">
        <f>F2592*(1+Assumptions!$B$7+IF(D2592="Yes",Assumptions!$C$7,0))</f>
        <v>400487.73450000002</v>
      </c>
      <c r="J2592" s="22">
        <f>F2592*(1+Assumptions!$B$8+IF(D2592="Yes",Assumptions!$C$8,0))</f>
        <v>385231.0589</v>
      </c>
    </row>
    <row r="2593" spans="1:10" ht="15">
      <c r="A2593" s="21">
        <v>41152</v>
      </c>
      <c r="B2593" s="21">
        <v>41122</v>
      </c>
      <c r="C2593" s="17">
        <v>23</v>
      </c>
      <c r="D2593" s="17" t="s">
        <v>91</v>
      </c>
      <c r="E2593" s="14">
        <v>955040.86</v>
      </c>
      <c r="F2593" s="14">
        <v>795171.66</v>
      </c>
      <c r="G2593" s="14">
        <v>795171.66</v>
      </c>
      <c r="H2593" s="22">
        <f>F2593*(1+Assumptions!$B$6+IF(D2593="Yes",Assumptions!$C$6,0))</f>
        <v>819026.80980000005</v>
      </c>
      <c r="I2593" s="22">
        <f>F2593*(1+Assumptions!$B$7+IF(D2593="Yes",Assumptions!$C$7,0))</f>
        <v>834930.24300000002</v>
      </c>
      <c r="J2593" s="22">
        <f>F2593*(1+Assumptions!$B$8+IF(D2593="Yes",Assumptions!$C$8,0))</f>
        <v>803123.37660000008</v>
      </c>
    </row>
    <row r="2594" spans="1:10" ht="15">
      <c r="A2594" s="21">
        <v>41152</v>
      </c>
      <c r="B2594" s="21">
        <v>41122</v>
      </c>
      <c r="C2594" s="17">
        <v>24</v>
      </c>
      <c r="D2594" s="17" t="s">
        <v>91</v>
      </c>
      <c r="E2594" s="14">
        <v>400368.96</v>
      </c>
      <c r="F2594" s="14">
        <v>294404.88</v>
      </c>
      <c r="G2594" s="14">
        <v>294404.88</v>
      </c>
      <c r="H2594" s="22">
        <f>F2594*(1+Assumptions!$B$6+IF(D2594="Yes",Assumptions!$C$6,0))</f>
        <v>303237.02640000003</v>
      </c>
      <c r="I2594" s="22">
        <f>F2594*(1+Assumptions!$B$7+IF(D2594="Yes",Assumptions!$C$7,0))</f>
        <v>309125.12400000001</v>
      </c>
      <c r="J2594" s="22">
        <f>F2594*(1+Assumptions!$B$8+IF(D2594="Yes",Assumptions!$C$8,0))</f>
        <v>297348.92879999999</v>
      </c>
    </row>
    <row r="2595" spans="1:10" ht="15">
      <c r="A2595" s="21">
        <v>41152</v>
      </c>
      <c r="B2595" s="21">
        <v>41122</v>
      </c>
      <c r="C2595" s="17">
        <v>25</v>
      </c>
      <c r="D2595" s="17" t="s">
        <v>91</v>
      </c>
      <c r="E2595" s="14">
        <v>407811.52</v>
      </c>
      <c r="F2595" s="14">
        <v>373054</v>
      </c>
      <c r="G2595" s="14">
        <v>373054</v>
      </c>
      <c r="H2595" s="22">
        <f>F2595*(1+Assumptions!$B$6+IF(D2595="Yes",Assumptions!$C$6,0))</f>
        <v>384245.62</v>
      </c>
      <c r="I2595" s="22">
        <f>F2595*(1+Assumptions!$B$7+IF(D2595="Yes",Assumptions!$C$7,0))</f>
        <v>391706.7</v>
      </c>
      <c r="J2595" s="22">
        <f>F2595*(1+Assumptions!$B$8+IF(D2595="Yes",Assumptions!$C$8,0))</f>
        <v>376784.54</v>
      </c>
    </row>
    <row r="2596" spans="1:10" ht="15">
      <c r="A2596" s="21">
        <v>41152</v>
      </c>
      <c r="B2596" s="21">
        <v>41122</v>
      </c>
      <c r="C2596" s="17">
        <v>26</v>
      </c>
      <c r="D2596" s="17" t="s">
        <v>91</v>
      </c>
      <c r="E2596" s="14">
        <v>263205.08</v>
      </c>
      <c r="F2596" s="14">
        <v>242514.68</v>
      </c>
      <c r="G2596" s="14">
        <v>242514.68</v>
      </c>
      <c r="H2596" s="22">
        <f>F2596*(1+Assumptions!$B$6+IF(D2596="Yes",Assumptions!$C$6,0))</f>
        <v>249790.12039999999</v>
      </c>
      <c r="I2596" s="22">
        <f>F2596*(1+Assumptions!$B$7+IF(D2596="Yes",Assumptions!$C$7,0))</f>
        <v>254640.41399999999</v>
      </c>
      <c r="J2596" s="22">
        <f>F2596*(1+Assumptions!$B$8+IF(D2596="Yes",Assumptions!$C$8,0))</f>
        <v>244939.82679999998</v>
      </c>
    </row>
    <row r="2597" spans="1:10" ht="15">
      <c r="A2597" s="21">
        <v>41152</v>
      </c>
      <c r="B2597" s="21">
        <v>41122</v>
      </c>
      <c r="C2597" s="17">
        <v>27</v>
      </c>
      <c r="D2597" s="17" t="s">
        <v>91</v>
      </c>
      <c r="E2597" s="14">
        <v>62173.22</v>
      </c>
      <c r="F2597" s="14">
        <v>49855.49</v>
      </c>
      <c r="G2597" s="14">
        <v>49855.49</v>
      </c>
      <c r="H2597" s="22">
        <f>F2597*(1+Assumptions!$B$6+IF(D2597="Yes",Assumptions!$C$6,0))</f>
        <v>51351.154699999999</v>
      </c>
      <c r="I2597" s="22">
        <f>F2597*(1+Assumptions!$B$7+IF(D2597="Yes",Assumptions!$C$7,0))</f>
        <v>52348.264499999997</v>
      </c>
      <c r="J2597" s="22">
        <f>F2597*(1+Assumptions!$B$8+IF(D2597="Yes",Assumptions!$C$8,0))</f>
        <v>50354.044900000001</v>
      </c>
    </row>
    <row r="2598" spans="1:10" ht="15">
      <c r="A2598" s="21">
        <v>41152</v>
      </c>
      <c r="B2598" s="21">
        <v>41122</v>
      </c>
      <c r="C2598" s="17">
        <v>28</v>
      </c>
      <c r="D2598" s="17" t="s">
        <v>91</v>
      </c>
      <c r="E2598" s="14">
        <v>15393.37</v>
      </c>
      <c r="F2598" s="14">
        <v>13932.23</v>
      </c>
      <c r="G2598" s="14">
        <v>13932.23</v>
      </c>
      <c r="H2598" s="22">
        <f>F2598*(1+Assumptions!$B$6+IF(D2598="Yes",Assumptions!$C$6,0))</f>
        <v>14350.196900000001</v>
      </c>
      <c r="I2598" s="22">
        <f>F2598*(1+Assumptions!$B$7+IF(D2598="Yes",Assumptions!$C$7,0))</f>
        <v>14628.8415</v>
      </c>
      <c r="J2598" s="22">
        <f>F2598*(1+Assumptions!$B$8+IF(D2598="Yes",Assumptions!$C$8,0))</f>
        <v>14071.552299999999</v>
      </c>
    </row>
    <row r="2599" spans="1:10" ht="15">
      <c r="A2599" s="21">
        <v>41152</v>
      </c>
      <c r="B2599" s="21">
        <v>41122</v>
      </c>
      <c r="C2599" s="17">
        <v>29</v>
      </c>
      <c r="D2599" s="17" t="s">
        <v>91</v>
      </c>
      <c r="E2599" s="14">
        <v>203905.4</v>
      </c>
      <c r="F2599" s="14">
        <v>169366.18</v>
      </c>
      <c r="G2599" s="14">
        <v>169366.18</v>
      </c>
      <c r="H2599" s="22">
        <f>F2599*(1+Assumptions!$B$6+IF(D2599="Yes",Assumptions!$C$6,0))</f>
        <v>174447.1654</v>
      </c>
      <c r="I2599" s="22">
        <f>F2599*(1+Assumptions!$B$7+IF(D2599="Yes",Assumptions!$C$7,0))</f>
        <v>177834.489</v>
      </c>
      <c r="J2599" s="22">
        <f>F2599*(1+Assumptions!$B$8+IF(D2599="Yes",Assumptions!$C$8,0))</f>
        <v>171059.84179999999</v>
      </c>
    </row>
    <row r="2600" spans="1:10" ht="15">
      <c r="A2600" s="21">
        <v>41152</v>
      </c>
      <c r="B2600" s="21">
        <v>41122</v>
      </c>
      <c r="C2600" s="17">
        <v>30</v>
      </c>
      <c r="D2600" s="17" t="s">
        <v>91</v>
      </c>
      <c r="E2600" s="14">
        <v>148475.84</v>
      </c>
      <c r="F2600" s="14">
        <v>137655.89000000001</v>
      </c>
      <c r="G2600" s="14">
        <v>137655.89000000001</v>
      </c>
      <c r="H2600" s="22">
        <f>F2600*(1+Assumptions!$B$6+IF(D2600="Yes",Assumptions!$C$6,0))</f>
        <v>141785.56670000002</v>
      </c>
      <c r="I2600" s="22">
        <f>F2600*(1+Assumptions!$B$7+IF(D2600="Yes",Assumptions!$C$7,0))</f>
        <v>144538.68450000003</v>
      </c>
      <c r="J2600" s="22">
        <f>F2600*(1+Assumptions!$B$8+IF(D2600="Yes",Assumptions!$C$8,0))</f>
        <v>139032.44890000002</v>
      </c>
    </row>
    <row r="2601" spans="1:10" ht="15">
      <c r="A2601" s="21">
        <v>41152</v>
      </c>
      <c r="B2601" s="21">
        <v>41122</v>
      </c>
      <c r="C2601" s="17">
        <v>31</v>
      </c>
      <c r="D2601" s="17" t="s">
        <v>91</v>
      </c>
      <c r="E2601" s="14">
        <v>185110.85</v>
      </c>
      <c r="F2601" s="14">
        <v>149166.38</v>
      </c>
      <c r="G2601" s="14">
        <v>149166.38</v>
      </c>
      <c r="H2601" s="22">
        <f>F2601*(1+Assumptions!$B$6+IF(D2601="Yes",Assumptions!$C$6,0))</f>
        <v>153641.3714</v>
      </c>
      <c r="I2601" s="22">
        <f>F2601*(1+Assumptions!$B$7+IF(D2601="Yes",Assumptions!$C$7,0))</f>
        <v>156624.69900000002</v>
      </c>
      <c r="J2601" s="22">
        <f>F2601*(1+Assumptions!$B$8+IF(D2601="Yes",Assumptions!$C$8,0))</f>
        <v>150658.04380000001</v>
      </c>
    </row>
    <row r="2602" spans="1:10" ht="15">
      <c r="A2602" s="21">
        <v>41152</v>
      </c>
      <c r="B2602" s="21">
        <v>41122</v>
      </c>
      <c r="C2602" s="17">
        <v>32</v>
      </c>
      <c r="D2602" s="17" t="s">
        <v>91</v>
      </c>
      <c r="E2602" s="14">
        <v>236602.75</v>
      </c>
      <c r="F2602" s="14">
        <v>229116.68</v>
      </c>
      <c r="G2602" s="14">
        <v>229116.68</v>
      </c>
      <c r="H2602" s="22">
        <f>F2602*(1+Assumptions!$B$6+IF(D2602="Yes",Assumptions!$C$6,0))</f>
        <v>235990.18040000001</v>
      </c>
      <c r="I2602" s="22">
        <f>F2602*(1+Assumptions!$B$7+IF(D2602="Yes",Assumptions!$C$7,0))</f>
        <v>240572.514</v>
      </c>
      <c r="J2602" s="22">
        <f>F2602*(1+Assumptions!$B$8+IF(D2602="Yes",Assumptions!$C$8,0))</f>
        <v>231407.8468</v>
      </c>
    </row>
    <row r="2603" spans="1:10" ht="15">
      <c r="A2603" s="21">
        <v>41152</v>
      </c>
      <c r="B2603" s="21">
        <v>41122</v>
      </c>
      <c r="C2603" s="17">
        <v>33</v>
      </c>
      <c r="D2603" s="17" t="s">
        <v>91</v>
      </c>
      <c r="E2603" s="14">
        <v>350823.7</v>
      </c>
      <c r="F2603" s="14">
        <v>271957.94</v>
      </c>
      <c r="G2603" s="14">
        <v>271957.94</v>
      </c>
      <c r="H2603" s="22">
        <f>F2603*(1+Assumptions!$B$6+IF(D2603="Yes",Assumptions!$C$6,0))</f>
        <v>280116.67820000002</v>
      </c>
      <c r="I2603" s="22">
        <f>F2603*(1+Assumptions!$B$7+IF(D2603="Yes",Assumptions!$C$7,0))</f>
        <v>285555.837</v>
      </c>
      <c r="J2603" s="22">
        <f>F2603*(1+Assumptions!$B$8+IF(D2603="Yes",Assumptions!$C$8,0))</f>
        <v>274677.51939999999</v>
      </c>
    </row>
    <row r="2604" spans="1:10" ht="15">
      <c r="A2604" s="21">
        <v>41152</v>
      </c>
      <c r="B2604" s="21">
        <v>41122</v>
      </c>
      <c r="C2604" s="17">
        <v>34</v>
      </c>
      <c r="D2604" s="17" t="s">
        <v>91</v>
      </c>
      <c r="E2604" s="14">
        <v>546629.18999999994</v>
      </c>
      <c r="F2604" s="14">
        <v>476529.14</v>
      </c>
      <c r="G2604" s="14">
        <v>476529.14</v>
      </c>
      <c r="H2604" s="22">
        <f>F2604*(1+Assumptions!$B$6+IF(D2604="Yes",Assumptions!$C$6,0))</f>
        <v>490825.01420000003</v>
      </c>
      <c r="I2604" s="22">
        <f>F2604*(1+Assumptions!$B$7+IF(D2604="Yes",Assumptions!$C$7,0))</f>
        <v>500355.59700000001</v>
      </c>
      <c r="J2604" s="22">
        <f>F2604*(1+Assumptions!$B$8+IF(D2604="Yes",Assumptions!$C$8,0))</f>
        <v>481294.4314</v>
      </c>
    </row>
    <row r="2605" spans="1:10" ht="15">
      <c r="A2605" s="21">
        <v>41152</v>
      </c>
      <c r="B2605" s="21">
        <v>41122</v>
      </c>
      <c r="C2605" s="17">
        <v>35</v>
      </c>
      <c r="D2605" s="17" t="s">
        <v>91</v>
      </c>
      <c r="E2605" s="14">
        <v>78291.839999999997</v>
      </c>
      <c r="F2605" s="14">
        <v>94129.99</v>
      </c>
      <c r="G2605" s="14">
        <v>94129.99</v>
      </c>
      <c r="H2605" s="22">
        <f>F2605*(1+Assumptions!$B$6+IF(D2605="Yes",Assumptions!$C$6,0))</f>
        <v>96953.889700000014</v>
      </c>
      <c r="I2605" s="22">
        <f>F2605*(1+Assumptions!$B$7+IF(D2605="Yes",Assumptions!$C$7,0))</f>
        <v>98836.489500000011</v>
      </c>
      <c r="J2605" s="22">
        <f>F2605*(1+Assumptions!$B$8+IF(D2605="Yes",Assumptions!$C$8,0))</f>
        <v>95071.289900000003</v>
      </c>
    </row>
    <row r="2606" spans="1:10" ht="15">
      <c r="A2606" s="21">
        <v>41152</v>
      </c>
      <c r="B2606" s="21">
        <v>41122</v>
      </c>
      <c r="C2606" s="17">
        <v>36</v>
      </c>
      <c r="D2606" s="17" t="s">
        <v>91</v>
      </c>
      <c r="E2606" s="14">
        <v>18834.86</v>
      </c>
      <c r="F2606" s="14">
        <v>30539.91</v>
      </c>
      <c r="G2606" s="14">
        <v>30539.91</v>
      </c>
      <c r="H2606" s="22">
        <f>F2606*(1+Assumptions!$B$6+IF(D2606="Yes",Assumptions!$C$6,0))</f>
        <v>31456.1073</v>
      </c>
      <c r="I2606" s="22">
        <f>F2606*(1+Assumptions!$B$7+IF(D2606="Yes",Assumptions!$C$7,0))</f>
        <v>32066.905500000001</v>
      </c>
      <c r="J2606" s="22">
        <f>F2606*(1+Assumptions!$B$8+IF(D2606="Yes",Assumptions!$C$8,0))</f>
        <v>30845.309099999999</v>
      </c>
    </row>
    <row r="2607" spans="1:10" ht="15">
      <c r="A2607" s="21">
        <v>41152</v>
      </c>
      <c r="B2607" s="21">
        <v>41122</v>
      </c>
      <c r="C2607" s="17">
        <v>37</v>
      </c>
      <c r="D2607" s="17" t="s">
        <v>91</v>
      </c>
      <c r="E2607" s="14">
        <v>50622.1</v>
      </c>
      <c r="F2607" s="14">
        <v>54758.46</v>
      </c>
      <c r="G2607" s="14">
        <v>54758.46</v>
      </c>
      <c r="H2607" s="22">
        <f>F2607*(1+Assumptions!$B$6+IF(D2607="Yes",Assumptions!$C$6,0))</f>
        <v>56401.213799999998</v>
      </c>
      <c r="I2607" s="22">
        <f>F2607*(1+Assumptions!$B$7+IF(D2607="Yes",Assumptions!$C$7,0))</f>
        <v>57496.383000000002</v>
      </c>
      <c r="J2607" s="22">
        <f>F2607*(1+Assumptions!$B$8+IF(D2607="Yes",Assumptions!$C$8,0))</f>
        <v>55306.044600000001</v>
      </c>
    </row>
    <row r="2608" spans="1:10" ht="15">
      <c r="A2608" s="21">
        <v>41152</v>
      </c>
      <c r="B2608" s="21">
        <v>41122</v>
      </c>
      <c r="C2608" s="17">
        <v>38</v>
      </c>
      <c r="D2608" s="17" t="s">
        <v>91</v>
      </c>
      <c r="E2608" s="14">
        <v>2728983.62</v>
      </c>
      <c r="F2608" s="14">
        <v>2772833.91</v>
      </c>
      <c r="G2608" s="14">
        <v>2772833.91</v>
      </c>
      <c r="H2608" s="22">
        <f>F2608*(1+Assumptions!$B$6+IF(D2608="Yes",Assumptions!$C$6,0))</f>
        <v>2856018.9273000001</v>
      </c>
      <c r="I2608" s="22">
        <f>F2608*(1+Assumptions!$B$7+IF(D2608="Yes",Assumptions!$C$7,0))</f>
        <v>2911475.6055000001</v>
      </c>
      <c r="J2608" s="22">
        <f>F2608*(1+Assumptions!$B$8+IF(D2608="Yes",Assumptions!$C$8,0))</f>
        <v>2800562.2491000001</v>
      </c>
    </row>
    <row r="2609" spans="1:10" ht="15">
      <c r="A2609" s="21">
        <v>41152</v>
      </c>
      <c r="B2609" s="21">
        <v>41122</v>
      </c>
      <c r="C2609" s="17">
        <v>40</v>
      </c>
      <c r="D2609" s="17" t="s">
        <v>91</v>
      </c>
      <c r="E2609" s="14">
        <v>2060466.96</v>
      </c>
      <c r="F2609" s="14">
        <v>1909128.6</v>
      </c>
      <c r="G2609" s="14">
        <v>1909128.6</v>
      </c>
      <c r="H2609" s="22">
        <f>F2609*(1+Assumptions!$B$6+IF(D2609="Yes",Assumptions!$C$6,0))</f>
        <v>1966402.4580000001</v>
      </c>
      <c r="I2609" s="22">
        <f>F2609*(1+Assumptions!$B$7+IF(D2609="Yes",Assumptions!$C$7,0))</f>
        <v>2004585.0300000003</v>
      </c>
      <c r="J2609" s="22">
        <f>F2609*(1+Assumptions!$B$8+IF(D2609="Yes",Assumptions!$C$8,0))</f>
        <v>1928219.8860000002</v>
      </c>
    </row>
    <row r="2610" spans="1:10" ht="15">
      <c r="A2610" s="21">
        <v>41152</v>
      </c>
      <c r="B2610" s="21">
        <v>41122</v>
      </c>
      <c r="C2610" s="17">
        <v>41</v>
      </c>
      <c r="D2610" s="17" t="s">
        <v>91</v>
      </c>
      <c r="E2610" s="14">
        <v>109014.8</v>
      </c>
      <c r="F2610" s="14">
        <v>95581.08</v>
      </c>
      <c r="G2610" s="14">
        <v>95581.08</v>
      </c>
      <c r="H2610" s="22">
        <f>F2610*(1+Assumptions!$B$6+IF(D2610="Yes",Assumptions!$C$6,0))</f>
        <v>98448.512400000007</v>
      </c>
      <c r="I2610" s="22">
        <f>F2610*(1+Assumptions!$B$7+IF(D2610="Yes",Assumptions!$C$7,0))</f>
        <v>100360.13400000001</v>
      </c>
      <c r="J2610" s="22">
        <f>F2610*(1+Assumptions!$B$8+IF(D2610="Yes",Assumptions!$C$8,0))</f>
        <v>96536.890800000008</v>
      </c>
    </row>
    <row r="2611" spans="1:10" ht="15">
      <c r="A2611" s="21">
        <v>41152</v>
      </c>
      <c r="B2611" s="21">
        <v>41122</v>
      </c>
      <c r="C2611" s="17">
        <v>42</v>
      </c>
      <c r="D2611" s="17" t="s">
        <v>91</v>
      </c>
      <c r="E2611" s="14">
        <v>243717.87</v>
      </c>
      <c r="F2611" s="14">
        <v>229357.85</v>
      </c>
      <c r="G2611" s="14">
        <v>229357.85</v>
      </c>
      <c r="H2611" s="22">
        <f>F2611*(1+Assumptions!$B$6+IF(D2611="Yes",Assumptions!$C$6,0))</f>
        <v>236238.58550000002</v>
      </c>
      <c r="I2611" s="22">
        <f>F2611*(1+Assumptions!$B$7+IF(D2611="Yes",Assumptions!$C$7,0))</f>
        <v>240825.74250000002</v>
      </c>
      <c r="J2611" s="22">
        <f>F2611*(1+Assumptions!$B$8+IF(D2611="Yes",Assumptions!$C$8,0))</f>
        <v>231651.42850000001</v>
      </c>
    </row>
    <row r="2612" spans="1:10" ht="15">
      <c r="A2612" s="21">
        <v>41152</v>
      </c>
      <c r="B2612" s="21">
        <v>41122</v>
      </c>
      <c r="C2612" s="17">
        <v>44</v>
      </c>
      <c r="D2612" s="17" t="s">
        <v>91</v>
      </c>
      <c r="E2612" s="14">
        <v>164999.66999999998</v>
      </c>
      <c r="F2612" s="14">
        <v>156558.04</v>
      </c>
      <c r="G2612" s="14">
        <v>156558.04</v>
      </c>
      <c r="H2612" s="22">
        <f>F2612*(1+Assumptions!$B$6+IF(D2612="Yes",Assumptions!$C$6,0))</f>
        <v>161254.78120000003</v>
      </c>
      <c r="I2612" s="22">
        <f>F2612*(1+Assumptions!$B$7+IF(D2612="Yes",Assumptions!$C$7,0))</f>
        <v>164385.94200000001</v>
      </c>
      <c r="J2612" s="22">
        <f>F2612*(1+Assumptions!$B$8+IF(D2612="Yes",Assumptions!$C$8,0))</f>
        <v>158123.62040000001</v>
      </c>
    </row>
    <row r="2613" spans="1:10" ht="15">
      <c r="A2613" s="21">
        <v>41152</v>
      </c>
      <c r="B2613" s="21">
        <v>41122</v>
      </c>
      <c r="C2613" s="17">
        <v>45</v>
      </c>
      <c r="D2613" s="17" t="s">
        <v>91</v>
      </c>
      <c r="E2613" s="14">
        <v>74.7</v>
      </c>
      <c r="F2613" s="14">
        <v>87.08</v>
      </c>
      <c r="G2613" s="14">
        <v>87.08</v>
      </c>
      <c r="H2613" s="22">
        <f>F2613*(1+Assumptions!$B$6+IF(D2613="Yes",Assumptions!$C$6,0))</f>
        <v>89.692400000000006</v>
      </c>
      <c r="I2613" s="22">
        <f>F2613*(1+Assumptions!$B$7+IF(D2613="Yes",Assumptions!$C$7,0))</f>
        <v>91.433999999999997</v>
      </c>
      <c r="J2613" s="22">
        <f>F2613*(1+Assumptions!$B$8+IF(D2613="Yes",Assumptions!$C$8,0))</f>
        <v>87.950800000000001</v>
      </c>
    </row>
    <row r="2614" spans="1:10" ht="15">
      <c r="A2614" s="21">
        <v>41152</v>
      </c>
      <c r="B2614" s="21">
        <v>41122</v>
      </c>
      <c r="C2614" s="17">
        <v>46</v>
      </c>
      <c r="D2614" s="17" t="s">
        <v>91</v>
      </c>
      <c r="E2614" s="14">
        <v>855503.63</v>
      </c>
      <c r="F2614" s="14">
        <v>798004.47</v>
      </c>
      <c r="G2614" s="14">
        <v>798004.47</v>
      </c>
      <c r="H2614" s="22">
        <f>F2614*(1+Assumptions!$B$6+IF(D2614="Yes",Assumptions!$C$6,0))</f>
        <v>821944.6041</v>
      </c>
      <c r="I2614" s="22">
        <f>F2614*(1+Assumptions!$B$7+IF(D2614="Yes",Assumptions!$C$7,0))</f>
        <v>837904.69350000005</v>
      </c>
      <c r="J2614" s="22">
        <f>F2614*(1+Assumptions!$B$8+IF(D2614="Yes",Assumptions!$C$8,0))</f>
        <v>805984.51469999994</v>
      </c>
    </row>
    <row r="2615" spans="1:10" ht="15">
      <c r="A2615" s="21">
        <v>41152</v>
      </c>
      <c r="B2615" s="21">
        <v>41122</v>
      </c>
      <c r="C2615" s="17">
        <v>48</v>
      </c>
      <c r="D2615" s="17" t="s">
        <v>91</v>
      </c>
      <c r="E2615" s="14">
        <v>29489</v>
      </c>
      <c r="F2615" s="14">
        <v>19568.990000000002</v>
      </c>
      <c r="G2615" s="14">
        <v>19568.990000000002</v>
      </c>
      <c r="H2615" s="22">
        <f>F2615*(1+Assumptions!$B$6+IF(D2615="Yes",Assumptions!$C$6,0))</f>
        <v>20156.059700000002</v>
      </c>
      <c r="I2615" s="22">
        <f>F2615*(1+Assumptions!$B$7+IF(D2615="Yes",Assumptions!$C$7,0))</f>
        <v>20547.439500000004</v>
      </c>
      <c r="J2615" s="22">
        <f>F2615*(1+Assumptions!$B$8+IF(D2615="Yes",Assumptions!$C$8,0))</f>
        <v>19764.679900000003</v>
      </c>
    </row>
    <row r="2616" spans="1:10" ht="15">
      <c r="A2616" s="21">
        <v>41152</v>
      </c>
      <c r="B2616" s="21">
        <v>41122</v>
      </c>
      <c r="C2616" s="17">
        <v>49</v>
      </c>
      <c r="D2616" s="17" t="s">
        <v>91</v>
      </c>
      <c r="E2616" s="14">
        <v>253974.51</v>
      </c>
      <c r="F2616" s="14">
        <v>262536.58</v>
      </c>
      <c r="G2616" s="14">
        <v>262536.58</v>
      </c>
      <c r="H2616" s="22">
        <f>F2616*(1+Assumptions!$B$6+IF(D2616="Yes",Assumptions!$C$6,0))</f>
        <v>270412.67740000004</v>
      </c>
      <c r="I2616" s="22">
        <f>F2616*(1+Assumptions!$B$7+IF(D2616="Yes",Assumptions!$C$7,0))</f>
        <v>275663.40900000004</v>
      </c>
      <c r="J2616" s="22">
        <f>F2616*(1+Assumptions!$B$8+IF(D2616="Yes",Assumptions!$C$8,0))</f>
        <v>265161.94580000004</v>
      </c>
    </row>
    <row r="2617" spans="1:10" ht="15">
      <c r="A2617" s="21">
        <v>41152</v>
      </c>
      <c r="B2617" s="21">
        <v>41122</v>
      </c>
      <c r="C2617" s="17">
        <v>50</v>
      </c>
      <c r="D2617" s="17" t="s">
        <v>91</v>
      </c>
      <c r="E2617" s="14">
        <v>30642</v>
      </c>
      <c r="F2617" s="14">
        <v>27730</v>
      </c>
      <c r="G2617" s="14">
        <v>27730</v>
      </c>
      <c r="H2617" s="22">
        <f>F2617*(1+Assumptions!$B$6+IF(D2617="Yes",Assumptions!$C$6,0))</f>
        <v>28561.9</v>
      </c>
      <c r="I2617" s="22">
        <f>F2617*(1+Assumptions!$B$7+IF(D2617="Yes",Assumptions!$C$7,0))</f>
        <v>29116.5</v>
      </c>
      <c r="J2617" s="22">
        <f>F2617*(1+Assumptions!$B$8+IF(D2617="Yes",Assumptions!$C$8,0))</f>
        <v>28007.3</v>
      </c>
    </row>
    <row r="2618" spans="1:10" ht="15">
      <c r="A2618" s="21">
        <v>41152</v>
      </c>
      <c r="B2618" s="21">
        <v>41122</v>
      </c>
      <c r="C2618" s="17">
        <v>51</v>
      </c>
      <c r="D2618" s="17" t="s">
        <v>91</v>
      </c>
      <c r="E2618" s="14">
        <v>3.16</v>
      </c>
      <c r="F2618" s="14">
        <v>31.96</v>
      </c>
      <c r="G2618" s="14">
        <v>31.96</v>
      </c>
      <c r="H2618" s="22">
        <f>F2618*(1+Assumptions!$B$6+IF(D2618="Yes",Assumptions!$C$6,0))</f>
        <v>32.918800000000005</v>
      </c>
      <c r="I2618" s="22">
        <f>F2618*(1+Assumptions!$B$7+IF(D2618="Yes",Assumptions!$C$7,0))</f>
        <v>33.558</v>
      </c>
      <c r="J2618" s="22">
        <f>F2618*(1+Assumptions!$B$8+IF(D2618="Yes",Assumptions!$C$8,0))</f>
        <v>32.279600000000002</v>
      </c>
    </row>
    <row r="2619" spans="1:10" ht="15">
      <c r="A2619" s="21">
        <v>41152</v>
      </c>
      <c r="B2619" s="21">
        <v>41122</v>
      </c>
      <c r="C2619" s="17">
        <v>52</v>
      </c>
      <c r="D2619" s="17" t="s">
        <v>91</v>
      </c>
      <c r="E2619" s="14">
        <v>71390.05</v>
      </c>
      <c r="F2619" s="14">
        <v>71287.92</v>
      </c>
      <c r="G2619" s="14">
        <v>71287.92</v>
      </c>
      <c r="H2619" s="22">
        <f>F2619*(1+Assumptions!$B$6+IF(D2619="Yes",Assumptions!$C$6,0))</f>
        <v>73426.5576</v>
      </c>
      <c r="I2619" s="22">
        <f>F2619*(1+Assumptions!$B$7+IF(D2619="Yes",Assumptions!$C$7,0))</f>
        <v>74852.316000000006</v>
      </c>
      <c r="J2619" s="22">
        <f>F2619*(1+Assumptions!$B$8+IF(D2619="Yes",Assumptions!$C$8,0))</f>
        <v>72000.799199999994</v>
      </c>
    </row>
    <row r="2620" spans="1:10" ht="15">
      <c r="A2620" s="21">
        <v>41152</v>
      </c>
      <c r="B2620" s="21">
        <v>41122</v>
      </c>
      <c r="C2620" s="17">
        <v>54</v>
      </c>
      <c r="D2620" s="17" t="s">
        <v>91</v>
      </c>
      <c r="E2620" s="14">
        <v>1028.8</v>
      </c>
      <c r="F2620" s="14">
        <v>1207.05</v>
      </c>
      <c r="G2620" s="14">
        <v>1207.05</v>
      </c>
      <c r="H2620" s="22">
        <f>F2620*(1+Assumptions!$B$6+IF(D2620="Yes",Assumptions!$C$6,0))</f>
        <v>1243.2615000000001</v>
      </c>
      <c r="I2620" s="22">
        <f>F2620*(1+Assumptions!$B$7+IF(D2620="Yes",Assumptions!$C$7,0))</f>
        <v>1267.4024999999999</v>
      </c>
      <c r="J2620" s="22">
        <f>F2620*(1+Assumptions!$B$8+IF(D2620="Yes",Assumptions!$C$8,0))</f>
        <v>1219.1205</v>
      </c>
    </row>
    <row r="2621" spans="1:10" ht="15">
      <c r="A2621" s="21">
        <v>41152</v>
      </c>
      <c r="B2621" s="21">
        <v>41122</v>
      </c>
      <c r="C2621" s="17">
        <v>55</v>
      </c>
      <c r="D2621" s="17" t="s">
        <v>91</v>
      </c>
      <c r="E2621" s="14">
        <v>334337.28999999998</v>
      </c>
      <c r="F2621" s="14">
        <v>355286.78</v>
      </c>
      <c r="G2621" s="14">
        <v>355286.78</v>
      </c>
      <c r="H2621" s="22">
        <f>F2621*(1+Assumptions!$B$6+IF(D2621="Yes",Assumptions!$C$6,0))</f>
        <v>365945.38340000005</v>
      </c>
      <c r="I2621" s="22">
        <f>F2621*(1+Assumptions!$B$7+IF(D2621="Yes",Assumptions!$C$7,0))</f>
        <v>373051.11900000006</v>
      </c>
      <c r="J2621" s="22">
        <f>F2621*(1+Assumptions!$B$8+IF(D2621="Yes",Assumptions!$C$8,0))</f>
        <v>358839.64780000004</v>
      </c>
    </row>
    <row r="2622" spans="1:10" ht="15">
      <c r="A2622" s="21">
        <v>41152</v>
      </c>
      <c r="B2622" s="21">
        <v>41122</v>
      </c>
      <c r="C2622" s="17">
        <v>56</v>
      </c>
      <c r="D2622" s="17" t="s">
        <v>91</v>
      </c>
      <c r="E2622" s="14">
        <v>57819.19</v>
      </c>
      <c r="F2622" s="14">
        <v>51137.33</v>
      </c>
      <c r="G2622" s="14">
        <v>51137.33</v>
      </c>
      <c r="H2622" s="22">
        <f>F2622*(1+Assumptions!$B$6+IF(D2622="Yes",Assumptions!$C$6,0))</f>
        <v>52671.4499</v>
      </c>
      <c r="I2622" s="22">
        <f>F2622*(1+Assumptions!$B$7+IF(D2622="Yes",Assumptions!$C$7,0))</f>
        <v>53694.196500000005</v>
      </c>
      <c r="J2622" s="22">
        <f>F2622*(1+Assumptions!$B$8+IF(D2622="Yes",Assumptions!$C$8,0))</f>
        <v>51648.703300000001</v>
      </c>
    </row>
    <row r="2623" spans="1:10" ht="15">
      <c r="A2623" s="21">
        <v>41152</v>
      </c>
      <c r="B2623" s="21">
        <v>41122</v>
      </c>
      <c r="C2623" s="17">
        <v>58</v>
      </c>
      <c r="D2623" s="17" t="s">
        <v>91</v>
      </c>
      <c r="E2623" s="14">
        <v>134085.97</v>
      </c>
      <c r="F2623" s="14">
        <v>96772.5</v>
      </c>
      <c r="G2623" s="14">
        <v>96772.5</v>
      </c>
      <c r="H2623" s="22">
        <f>F2623*(1+Assumptions!$B$6+IF(D2623="Yes",Assumptions!$C$6,0))</f>
        <v>99675.675000000003</v>
      </c>
      <c r="I2623" s="22">
        <f>F2623*(1+Assumptions!$B$7+IF(D2623="Yes",Assumptions!$C$7,0))</f>
        <v>101611.125</v>
      </c>
      <c r="J2623" s="22">
        <f>F2623*(1+Assumptions!$B$8+IF(D2623="Yes",Assumptions!$C$8,0))</f>
        <v>97740.225000000006</v>
      </c>
    </row>
    <row r="2624" spans="1:10" ht="15">
      <c r="A2624" s="21">
        <v>41152</v>
      </c>
      <c r="B2624" s="21">
        <v>41122</v>
      </c>
      <c r="C2624" s="17">
        <v>59</v>
      </c>
      <c r="D2624" s="17" t="s">
        <v>91</v>
      </c>
      <c r="E2624" s="14">
        <v>8916.43</v>
      </c>
      <c r="F2624" s="14">
        <v>11067.31</v>
      </c>
      <c r="G2624" s="14">
        <v>11067.31</v>
      </c>
      <c r="H2624" s="22">
        <f>F2624*(1+Assumptions!$B$6+IF(D2624="Yes",Assumptions!$C$6,0))</f>
        <v>11399.329299999999</v>
      </c>
      <c r="I2624" s="22">
        <f>F2624*(1+Assumptions!$B$7+IF(D2624="Yes",Assumptions!$C$7,0))</f>
        <v>11620.675499999999</v>
      </c>
      <c r="J2624" s="22">
        <f>F2624*(1+Assumptions!$B$8+IF(D2624="Yes",Assumptions!$C$8,0))</f>
        <v>11177.983099999999</v>
      </c>
    </row>
    <row r="2625" spans="1:10" ht="15">
      <c r="A2625" s="21">
        <v>41152</v>
      </c>
      <c r="B2625" s="21">
        <v>41122</v>
      </c>
      <c r="C2625" s="17">
        <v>60</v>
      </c>
      <c r="D2625" s="17" t="s">
        <v>91</v>
      </c>
      <c r="E2625" s="14">
        <v>14148</v>
      </c>
      <c r="F2625" s="14">
        <v>14405.6</v>
      </c>
      <c r="G2625" s="14">
        <v>14405.6</v>
      </c>
      <c r="H2625" s="22">
        <f>F2625*(1+Assumptions!$B$6+IF(D2625="Yes",Assumptions!$C$6,0))</f>
        <v>14837.768</v>
      </c>
      <c r="I2625" s="22">
        <f>F2625*(1+Assumptions!$B$7+IF(D2625="Yes",Assumptions!$C$7,0))</f>
        <v>15125.880000000001</v>
      </c>
      <c r="J2625" s="22">
        <f>F2625*(1+Assumptions!$B$8+IF(D2625="Yes",Assumptions!$C$8,0))</f>
        <v>14549.656000000001</v>
      </c>
    </row>
    <row r="2626" spans="1:10" ht="15">
      <c r="A2626" s="21">
        <v>41152</v>
      </c>
      <c r="B2626" s="21">
        <v>41122</v>
      </c>
      <c r="C2626" s="17">
        <v>65</v>
      </c>
      <c r="D2626" s="17" t="s">
        <v>91</v>
      </c>
      <c r="E2626" s="14">
        <v>57095.38</v>
      </c>
      <c r="F2626" s="14">
        <v>39706.74</v>
      </c>
      <c r="G2626" s="14">
        <v>39706.74</v>
      </c>
      <c r="H2626" s="22">
        <f>F2626*(1+Assumptions!$B$6+IF(D2626="Yes",Assumptions!$C$6,0))</f>
        <v>40897.942199999998</v>
      </c>
      <c r="I2626" s="22">
        <f>F2626*(1+Assumptions!$B$7+IF(D2626="Yes",Assumptions!$C$7,0))</f>
        <v>41692.076999999997</v>
      </c>
      <c r="J2626" s="22">
        <f>F2626*(1+Assumptions!$B$8+IF(D2626="Yes",Assumptions!$C$8,0))</f>
        <v>40103.807399999998</v>
      </c>
    </row>
    <row r="2627" spans="1:10" ht="15">
      <c r="A2627" s="21">
        <v>41152</v>
      </c>
      <c r="B2627" s="21">
        <v>41122</v>
      </c>
      <c r="C2627" s="17">
        <v>67</v>
      </c>
      <c r="D2627" s="17" t="s">
        <v>91</v>
      </c>
      <c r="E2627" s="14">
        <v>241561.79</v>
      </c>
      <c r="F2627" s="14">
        <v>225259.27</v>
      </c>
      <c r="G2627" s="14">
        <v>225259.27</v>
      </c>
      <c r="H2627" s="22">
        <f>F2627*(1+Assumptions!$B$6+IF(D2627="Yes",Assumptions!$C$6,0))</f>
        <v>232017.04809999999</v>
      </c>
      <c r="I2627" s="22">
        <f>F2627*(1+Assumptions!$B$7+IF(D2627="Yes",Assumptions!$C$7,0))</f>
        <v>236522.2335</v>
      </c>
      <c r="J2627" s="22">
        <f>F2627*(1+Assumptions!$B$8+IF(D2627="Yes",Assumptions!$C$8,0))</f>
        <v>227511.8627</v>
      </c>
    </row>
    <row r="2628" spans="1:10" ht="15">
      <c r="A2628" s="21">
        <v>41152</v>
      </c>
      <c r="B2628" s="21">
        <v>41122</v>
      </c>
      <c r="C2628" s="17">
        <v>71</v>
      </c>
      <c r="D2628" s="17" t="s">
        <v>91</v>
      </c>
      <c r="E2628" s="14">
        <v>228375.61000000002</v>
      </c>
      <c r="F2628" s="14">
        <v>220473.5</v>
      </c>
      <c r="G2628" s="14">
        <v>220473.5</v>
      </c>
      <c r="H2628" s="22">
        <f>F2628*(1+Assumptions!$B$6+IF(D2628="Yes",Assumptions!$C$6,0))</f>
        <v>227087.70500000002</v>
      </c>
      <c r="I2628" s="22">
        <f>F2628*(1+Assumptions!$B$7+IF(D2628="Yes",Assumptions!$C$7,0))</f>
        <v>231497.17500000002</v>
      </c>
      <c r="J2628" s="22">
        <f>F2628*(1+Assumptions!$B$8+IF(D2628="Yes",Assumptions!$C$8,0))</f>
        <v>222678.23500000002</v>
      </c>
    </row>
    <row r="2629" spans="1:10" ht="15">
      <c r="A2629" s="21">
        <v>41152</v>
      </c>
      <c r="B2629" s="21">
        <v>41122</v>
      </c>
      <c r="C2629" s="17">
        <v>72</v>
      </c>
      <c r="D2629" s="17" t="s">
        <v>91</v>
      </c>
      <c r="E2629" s="14">
        <v>1811727.57</v>
      </c>
      <c r="F2629" s="14">
        <v>1858389.12</v>
      </c>
      <c r="G2629" s="14">
        <v>1858389.12</v>
      </c>
      <c r="H2629" s="22">
        <f>F2629*(1+Assumptions!$B$6+IF(D2629="Yes",Assumptions!$C$6,0))</f>
        <v>1914140.7936000002</v>
      </c>
      <c r="I2629" s="22">
        <f>F2629*(1+Assumptions!$B$7+IF(D2629="Yes",Assumptions!$C$7,0))</f>
        <v>1951308.5760000001</v>
      </c>
      <c r="J2629" s="22">
        <f>F2629*(1+Assumptions!$B$8+IF(D2629="Yes",Assumptions!$C$8,0))</f>
        <v>1876973.0112000001</v>
      </c>
    </row>
    <row r="2630" spans="1:10" ht="15">
      <c r="A2630" s="21">
        <v>41152</v>
      </c>
      <c r="B2630" s="21">
        <v>41122</v>
      </c>
      <c r="C2630" s="17">
        <v>74</v>
      </c>
      <c r="D2630" s="17" t="s">
        <v>91</v>
      </c>
      <c r="E2630" s="14">
        <v>666803.55000000005</v>
      </c>
      <c r="F2630" s="14">
        <v>670353.62</v>
      </c>
      <c r="G2630" s="14">
        <v>670353.62</v>
      </c>
      <c r="H2630" s="22">
        <f>F2630*(1+Assumptions!$B$6+IF(D2630="Yes",Assumptions!$C$6,0))</f>
        <v>690464.22860000003</v>
      </c>
      <c r="I2630" s="22">
        <f>F2630*(1+Assumptions!$B$7+IF(D2630="Yes",Assumptions!$C$7,0))</f>
        <v>703871.30099999998</v>
      </c>
      <c r="J2630" s="22">
        <f>F2630*(1+Assumptions!$B$8+IF(D2630="Yes",Assumptions!$C$8,0))</f>
        <v>677057.15619999997</v>
      </c>
    </row>
    <row r="2631" spans="1:10" ht="15">
      <c r="A2631" s="21">
        <v>41152</v>
      </c>
      <c r="B2631" s="21">
        <v>41122</v>
      </c>
      <c r="C2631" s="17">
        <v>79</v>
      </c>
      <c r="D2631" s="17" t="s">
        <v>91</v>
      </c>
      <c r="E2631" s="14">
        <v>946700.65</v>
      </c>
      <c r="F2631" s="14">
        <v>995149.63</v>
      </c>
      <c r="G2631" s="14">
        <v>995149.63</v>
      </c>
      <c r="H2631" s="22">
        <f>F2631*(1+Assumptions!$B$6+IF(D2631="Yes",Assumptions!$C$6,0))</f>
        <v>1025004.1189</v>
      </c>
      <c r="I2631" s="22">
        <f>F2631*(1+Assumptions!$B$7+IF(D2631="Yes",Assumptions!$C$7,0))</f>
        <v>1044907.1115</v>
      </c>
      <c r="J2631" s="22">
        <f>F2631*(1+Assumptions!$B$8+IF(D2631="Yes",Assumptions!$C$8,0))</f>
        <v>1005101.1263</v>
      </c>
    </row>
    <row r="2632" spans="1:10" ht="15">
      <c r="A2632" s="21">
        <v>41152</v>
      </c>
      <c r="B2632" s="21">
        <v>41122</v>
      </c>
      <c r="C2632" s="17">
        <v>80</v>
      </c>
      <c r="D2632" s="17" t="s">
        <v>91</v>
      </c>
      <c r="E2632" s="14">
        <v>494810.43</v>
      </c>
      <c r="F2632" s="14">
        <v>490482.74</v>
      </c>
      <c r="G2632" s="14">
        <v>490482.74</v>
      </c>
      <c r="H2632" s="22">
        <f>F2632*(1+Assumptions!$B$6+IF(D2632="Yes",Assumptions!$C$6,0))</f>
        <v>505197.22220000002</v>
      </c>
      <c r="I2632" s="22">
        <f>F2632*(1+Assumptions!$B$7+IF(D2632="Yes",Assumptions!$C$7,0))</f>
        <v>515006.87700000004</v>
      </c>
      <c r="J2632" s="22">
        <f>F2632*(1+Assumptions!$B$8+IF(D2632="Yes",Assumptions!$C$8,0))</f>
        <v>495387.5674</v>
      </c>
    </row>
    <row r="2633" spans="1:10" ht="15">
      <c r="A2633" s="21">
        <v>41152</v>
      </c>
      <c r="B2633" s="21">
        <v>41122</v>
      </c>
      <c r="C2633" s="17">
        <v>81</v>
      </c>
      <c r="D2633" s="17" t="s">
        <v>91</v>
      </c>
      <c r="E2633" s="14">
        <v>704173.1</v>
      </c>
      <c r="F2633" s="14">
        <v>701007.5</v>
      </c>
      <c r="G2633" s="14">
        <v>701007.5</v>
      </c>
      <c r="H2633" s="22">
        <f>F2633*(1+Assumptions!$B$6+IF(D2633="Yes",Assumptions!$C$6,0))</f>
        <v>722037.72499999998</v>
      </c>
      <c r="I2633" s="22">
        <f>F2633*(1+Assumptions!$B$7+IF(D2633="Yes",Assumptions!$C$7,0))</f>
        <v>736057.875</v>
      </c>
      <c r="J2633" s="22">
        <f>F2633*(1+Assumptions!$B$8+IF(D2633="Yes",Assumptions!$C$8,0))</f>
        <v>708017.57499999995</v>
      </c>
    </row>
    <row r="2634" spans="1:10" ht="15">
      <c r="A2634" s="21">
        <v>41152</v>
      </c>
      <c r="B2634" s="21">
        <v>41122</v>
      </c>
      <c r="C2634" s="17">
        <v>82</v>
      </c>
      <c r="D2634" s="17" t="s">
        <v>91</v>
      </c>
      <c r="E2634" s="14">
        <v>708101.69</v>
      </c>
      <c r="F2634" s="14">
        <v>691753.69000000006</v>
      </c>
      <c r="G2634" s="14">
        <v>691753.69000000006</v>
      </c>
      <c r="H2634" s="22">
        <f>F2634*(1+Assumptions!$B$6+IF(D2634="Yes",Assumptions!$C$6,0))</f>
        <v>712506.30070000014</v>
      </c>
      <c r="I2634" s="22">
        <f>F2634*(1+Assumptions!$B$7+IF(D2634="Yes",Assumptions!$C$7,0))</f>
        <v>726341.37450000015</v>
      </c>
      <c r="J2634" s="22">
        <f>F2634*(1+Assumptions!$B$8+IF(D2634="Yes",Assumptions!$C$8,0))</f>
        <v>698671.22690000013</v>
      </c>
    </row>
    <row r="2635" spans="1:10" ht="15">
      <c r="A2635" s="21">
        <v>41152</v>
      </c>
      <c r="B2635" s="21">
        <v>41122</v>
      </c>
      <c r="C2635" s="17">
        <v>83</v>
      </c>
      <c r="D2635" s="17" t="s">
        <v>91</v>
      </c>
      <c r="E2635" s="14">
        <v>116938.89</v>
      </c>
      <c r="F2635" s="14">
        <v>120085.65</v>
      </c>
      <c r="G2635" s="14">
        <v>120085.65</v>
      </c>
      <c r="H2635" s="22">
        <f>F2635*(1+Assumptions!$B$6+IF(D2635="Yes",Assumptions!$C$6,0))</f>
        <v>123688.21949999999</v>
      </c>
      <c r="I2635" s="22">
        <f>F2635*(1+Assumptions!$B$7+IF(D2635="Yes",Assumptions!$C$7,0))</f>
        <v>126089.9325</v>
      </c>
      <c r="J2635" s="22">
        <f>F2635*(1+Assumptions!$B$8+IF(D2635="Yes",Assumptions!$C$8,0))</f>
        <v>121286.50649999999</v>
      </c>
    </row>
    <row r="2636" spans="1:10" ht="15">
      <c r="A2636" s="21">
        <v>41152</v>
      </c>
      <c r="B2636" s="21">
        <v>41122</v>
      </c>
      <c r="C2636" s="17">
        <v>85</v>
      </c>
      <c r="D2636" s="17" t="s">
        <v>91</v>
      </c>
      <c r="E2636" s="14">
        <v>84471.93</v>
      </c>
      <c r="F2636" s="14">
        <v>89561.22</v>
      </c>
      <c r="G2636" s="14">
        <v>89561.22</v>
      </c>
      <c r="H2636" s="22">
        <f>F2636*(1+Assumptions!$B$6+IF(D2636="Yes",Assumptions!$C$6,0))</f>
        <v>92248.056600000011</v>
      </c>
      <c r="I2636" s="22">
        <f>F2636*(1+Assumptions!$B$7+IF(D2636="Yes",Assumptions!$C$7,0))</f>
        <v>94039.281000000003</v>
      </c>
      <c r="J2636" s="22">
        <f>F2636*(1+Assumptions!$B$8+IF(D2636="Yes",Assumptions!$C$8,0))</f>
        <v>90456.832200000004</v>
      </c>
    </row>
    <row r="2637" spans="1:10" ht="15">
      <c r="A2637" s="21">
        <v>41152</v>
      </c>
      <c r="B2637" s="21">
        <v>41122</v>
      </c>
      <c r="C2637" s="17">
        <v>87</v>
      </c>
      <c r="D2637" s="17" t="s">
        <v>91</v>
      </c>
      <c r="E2637" s="14">
        <v>757180.37</v>
      </c>
      <c r="F2637" s="14">
        <v>678016.61</v>
      </c>
      <c r="G2637" s="14">
        <v>678016.61</v>
      </c>
      <c r="H2637" s="22">
        <f>F2637*(1+Assumptions!$B$6+IF(D2637="Yes",Assumptions!$C$6,0))</f>
        <v>698357.10829999996</v>
      </c>
      <c r="I2637" s="22">
        <f>F2637*(1+Assumptions!$B$7+IF(D2637="Yes",Assumptions!$C$7,0))</f>
        <v>711917.44050000003</v>
      </c>
      <c r="J2637" s="22">
        <f>F2637*(1+Assumptions!$B$8+IF(D2637="Yes",Assumptions!$C$8,0))</f>
        <v>684796.77610000002</v>
      </c>
    </row>
    <row r="2638" spans="1:10" ht="15">
      <c r="A2638" s="21">
        <v>41152</v>
      </c>
      <c r="B2638" s="21">
        <v>41122</v>
      </c>
      <c r="C2638" s="17">
        <v>90</v>
      </c>
      <c r="D2638" s="17" t="s">
        <v>91</v>
      </c>
      <c r="E2638" s="14">
        <v>2025645.22</v>
      </c>
      <c r="F2638" s="14">
        <v>2075743.06</v>
      </c>
      <c r="G2638" s="14">
        <v>2075743.06</v>
      </c>
      <c r="H2638" s="22">
        <f>F2638*(1+Assumptions!$B$6+IF(D2638="Yes",Assumptions!$C$6,0))</f>
        <v>2138015.3518000003</v>
      </c>
      <c r="I2638" s="22">
        <f>F2638*(1+Assumptions!$B$7+IF(D2638="Yes",Assumptions!$C$7,0))</f>
        <v>2179530.213</v>
      </c>
      <c r="J2638" s="22">
        <f>F2638*(1+Assumptions!$B$8+IF(D2638="Yes",Assumptions!$C$8,0))</f>
        <v>2096500.4906000001</v>
      </c>
    </row>
    <row r="2639" spans="1:10" ht="15">
      <c r="A2639" s="21">
        <v>41152</v>
      </c>
      <c r="B2639" s="21">
        <v>41122</v>
      </c>
      <c r="C2639" s="17">
        <v>91</v>
      </c>
      <c r="D2639" s="17" t="s">
        <v>91</v>
      </c>
      <c r="E2639" s="14">
        <v>1415292.58</v>
      </c>
      <c r="F2639" s="14">
        <v>1438199.73</v>
      </c>
      <c r="G2639" s="14">
        <v>1438199.73</v>
      </c>
      <c r="H2639" s="22">
        <f>F2639*(1+Assumptions!$B$6+IF(D2639="Yes",Assumptions!$C$6,0))</f>
        <v>1481345.7219</v>
      </c>
      <c r="I2639" s="22">
        <f>F2639*(1+Assumptions!$B$7+IF(D2639="Yes",Assumptions!$C$7,0))</f>
        <v>1510109.7165000001</v>
      </c>
      <c r="J2639" s="22">
        <f>F2639*(1+Assumptions!$B$8+IF(D2639="Yes",Assumptions!$C$8,0))</f>
        <v>1452581.7272999999</v>
      </c>
    </row>
    <row r="2640" spans="1:10" ht="15">
      <c r="A2640" s="21">
        <v>41152</v>
      </c>
      <c r="B2640" s="21">
        <v>41122</v>
      </c>
      <c r="C2640" s="17">
        <v>92</v>
      </c>
      <c r="D2640" s="17" t="s">
        <v>91</v>
      </c>
      <c r="E2640" s="14">
        <v>3347357.3</v>
      </c>
      <c r="F2640" s="14">
        <v>3254316.76</v>
      </c>
      <c r="G2640" s="14">
        <v>3254316.76</v>
      </c>
      <c r="H2640" s="22">
        <f>F2640*(1+Assumptions!$B$6+IF(D2640="Yes",Assumptions!$C$6,0))</f>
        <v>3351946.2627999997</v>
      </c>
      <c r="I2640" s="22">
        <f>F2640*(1+Assumptions!$B$7+IF(D2640="Yes",Assumptions!$C$7,0))</f>
        <v>3417032.5979999998</v>
      </c>
      <c r="J2640" s="22">
        <f>F2640*(1+Assumptions!$B$8+IF(D2640="Yes",Assumptions!$C$8,0))</f>
        <v>3286859.9275999996</v>
      </c>
    </row>
    <row r="2641" spans="1:10" ht="15">
      <c r="A2641" s="21">
        <v>41152</v>
      </c>
      <c r="B2641" s="21">
        <v>41122</v>
      </c>
      <c r="C2641" s="17">
        <v>93</v>
      </c>
      <c r="D2641" s="17" t="s">
        <v>91</v>
      </c>
      <c r="E2641" s="14">
        <v>1095403.82</v>
      </c>
      <c r="F2641" s="14">
        <v>1089829.0900000001</v>
      </c>
      <c r="G2641" s="14">
        <v>1089829.0900000001</v>
      </c>
      <c r="H2641" s="22">
        <f>F2641*(1+Assumptions!$B$6+IF(D2641="Yes",Assumptions!$C$6,0))</f>
        <v>1122523.9627</v>
      </c>
      <c r="I2641" s="22">
        <f>F2641*(1+Assumptions!$B$7+IF(D2641="Yes",Assumptions!$C$7,0))</f>
        <v>1144320.5445000001</v>
      </c>
      <c r="J2641" s="22">
        <f>F2641*(1+Assumptions!$B$8+IF(D2641="Yes",Assumptions!$C$8,0))</f>
        <v>1100727.3809</v>
      </c>
    </row>
    <row r="2642" spans="1:10" ht="15">
      <c r="A2642" s="21">
        <v>41152</v>
      </c>
      <c r="B2642" s="21">
        <v>41122</v>
      </c>
      <c r="C2642" s="17">
        <v>94</v>
      </c>
      <c r="D2642" s="17" t="s">
        <v>91</v>
      </c>
      <c r="E2642" s="14">
        <v>1294474.1400000001</v>
      </c>
      <c r="F2642" s="14">
        <v>1326434.07</v>
      </c>
      <c r="G2642" s="14">
        <v>1326434.07</v>
      </c>
      <c r="H2642" s="22">
        <f>F2642*(1+Assumptions!$B$6+IF(D2642="Yes",Assumptions!$C$6,0))</f>
        <v>1366227.0921</v>
      </c>
      <c r="I2642" s="22">
        <f>F2642*(1+Assumptions!$B$7+IF(D2642="Yes",Assumptions!$C$7,0))</f>
        <v>1392755.7735000001</v>
      </c>
      <c r="J2642" s="22">
        <f>F2642*(1+Assumptions!$B$8+IF(D2642="Yes",Assumptions!$C$8,0))</f>
        <v>1339698.4107000001</v>
      </c>
    </row>
    <row r="2643" spans="1:10" ht="15">
      <c r="A2643" s="21">
        <v>41152</v>
      </c>
      <c r="B2643" s="21">
        <v>41122</v>
      </c>
      <c r="C2643" s="17">
        <v>95</v>
      </c>
      <c r="D2643" s="17" t="s">
        <v>91</v>
      </c>
      <c r="E2643" s="14">
        <v>3299120.93</v>
      </c>
      <c r="F2643" s="14">
        <v>3309862.94</v>
      </c>
      <c r="G2643" s="14">
        <v>3309862.94</v>
      </c>
      <c r="H2643" s="22">
        <f>F2643*(1+Assumptions!$B$6+IF(D2643="Yes",Assumptions!$C$6,0))</f>
        <v>3409158.8281999999</v>
      </c>
      <c r="I2643" s="22">
        <f>F2643*(1+Assumptions!$B$7+IF(D2643="Yes",Assumptions!$C$7,0))</f>
        <v>3475356.0870000003</v>
      </c>
      <c r="J2643" s="22">
        <f>F2643*(1+Assumptions!$B$8+IF(D2643="Yes",Assumptions!$C$8,0))</f>
        <v>3342961.5693999999</v>
      </c>
    </row>
    <row r="2644" spans="1:10" ht="15">
      <c r="A2644" s="21">
        <v>41152</v>
      </c>
      <c r="B2644" s="21">
        <v>41122</v>
      </c>
      <c r="C2644" s="17">
        <v>96</v>
      </c>
      <c r="D2644" s="17" t="s">
        <v>91</v>
      </c>
      <c r="E2644" s="14">
        <v>586301.1</v>
      </c>
      <c r="F2644" s="14">
        <v>558843.61</v>
      </c>
      <c r="G2644" s="14">
        <v>558843.61</v>
      </c>
      <c r="H2644" s="22">
        <f>F2644*(1+Assumptions!$B$6+IF(D2644="Yes",Assumptions!$C$6,0))</f>
        <v>575608.91830000002</v>
      </c>
      <c r="I2644" s="22">
        <f>F2644*(1+Assumptions!$B$7+IF(D2644="Yes",Assumptions!$C$7,0))</f>
        <v>586785.7905</v>
      </c>
      <c r="J2644" s="22">
        <f>F2644*(1+Assumptions!$B$8+IF(D2644="Yes",Assumptions!$C$8,0))</f>
        <v>564432.04610000004</v>
      </c>
    </row>
    <row r="2645" spans="1:10" ht="15">
      <c r="A2645" s="21">
        <v>41152</v>
      </c>
      <c r="B2645" s="21">
        <v>41122</v>
      </c>
      <c r="C2645" s="17">
        <v>97</v>
      </c>
      <c r="D2645" s="17" t="s">
        <v>91</v>
      </c>
      <c r="E2645" s="14">
        <v>637786.02</v>
      </c>
      <c r="F2645" s="14">
        <v>658684.76</v>
      </c>
      <c r="G2645" s="14">
        <v>658684.76</v>
      </c>
      <c r="H2645" s="22">
        <f>F2645*(1+Assumptions!$B$6+IF(D2645="Yes",Assumptions!$C$6,0))</f>
        <v>678445.30280000006</v>
      </c>
      <c r="I2645" s="22">
        <f>F2645*(1+Assumptions!$B$7+IF(D2645="Yes",Assumptions!$C$7,0))</f>
        <v>691618.99800000002</v>
      </c>
      <c r="J2645" s="22">
        <f>F2645*(1+Assumptions!$B$8+IF(D2645="Yes",Assumptions!$C$8,0))</f>
        <v>665271.60759999999</v>
      </c>
    </row>
    <row r="2646" spans="1:10" ht="15">
      <c r="A2646" s="21">
        <v>41152</v>
      </c>
      <c r="B2646" s="21">
        <v>41122</v>
      </c>
      <c r="C2646" s="17">
        <v>98</v>
      </c>
      <c r="D2646" s="17" t="s">
        <v>91</v>
      </c>
      <c r="E2646" s="14">
        <v>239608.98</v>
      </c>
      <c r="F2646" s="14">
        <v>245659.89</v>
      </c>
      <c r="G2646" s="14">
        <v>245659.89</v>
      </c>
      <c r="H2646" s="22">
        <f>F2646*(1+Assumptions!$B$6+IF(D2646="Yes",Assumptions!$C$6,0))</f>
        <v>253029.68670000002</v>
      </c>
      <c r="I2646" s="22">
        <f>F2646*(1+Assumptions!$B$7+IF(D2646="Yes",Assumptions!$C$7,0))</f>
        <v>257942.88450000001</v>
      </c>
      <c r="J2646" s="22">
        <f>F2646*(1+Assumptions!$B$8+IF(D2646="Yes",Assumptions!$C$8,0))</f>
        <v>248116.48890000003</v>
      </c>
    </row>
    <row r="2647" spans="1:10" ht="15">
      <c r="A2647" s="21">
        <v>41152</v>
      </c>
      <c r="B2647" s="21">
        <v>41122</v>
      </c>
      <c r="C2647" s="17">
        <v>99</v>
      </c>
      <c r="D2647" s="17" t="s">
        <v>91</v>
      </c>
      <c r="E2647" s="14">
        <v>611.04999999999995</v>
      </c>
      <c r="F2647" s="14">
        <v>2580.04</v>
      </c>
      <c r="G2647" s="14">
        <v>2580.04</v>
      </c>
      <c r="H2647" s="22">
        <f>F2647*(1+Assumptions!$B$6+IF(D2647="Yes",Assumptions!$C$6,0))</f>
        <v>2657.4412000000002</v>
      </c>
      <c r="I2647" s="22">
        <f>F2647*(1+Assumptions!$B$7+IF(D2647="Yes",Assumptions!$C$7,0))</f>
        <v>2709.0419999999999</v>
      </c>
      <c r="J2647" s="22">
        <f>F2647*(1+Assumptions!$B$8+IF(D2647="Yes",Assumptions!$C$8,0))</f>
        <v>2605.8404</v>
      </c>
    </row>
    <row r="2648" spans="1:10" ht="15">
      <c r="A2648" s="21">
        <v>41159</v>
      </c>
      <c r="B2648" s="21">
        <v>41153</v>
      </c>
      <c r="C2648" s="17">
        <v>1</v>
      </c>
      <c r="D2648" s="17" t="s">
        <v>94</v>
      </c>
      <c r="E2648" s="14">
        <v>700311.48</v>
      </c>
      <c r="F2648" s="14">
        <v>685912.02</v>
      </c>
      <c r="G2648" s="14">
        <v>685912.02</v>
      </c>
      <c r="H2648" s="22">
        <f>F2648*(1+Assumptions!$B$6+IF(D2648="Yes",Assumptions!$C$6,0))</f>
        <v>706489.38060000003</v>
      </c>
      <c r="I2648" s="22">
        <f>F2648*(1+Assumptions!$B$7+IF(D2648="Yes",Assumptions!$C$7,0))</f>
        <v>727066.74120000005</v>
      </c>
      <c r="J2648" s="22">
        <f>F2648*(1+Assumptions!$B$8+IF(D2648="Yes",Assumptions!$C$8,0))</f>
        <v>685912.02</v>
      </c>
    </row>
    <row r="2649" spans="1:10" ht="15">
      <c r="A2649" s="21">
        <v>41159</v>
      </c>
      <c r="B2649" s="21">
        <v>41153</v>
      </c>
      <c r="C2649" s="17">
        <v>2</v>
      </c>
      <c r="D2649" s="17" t="s">
        <v>94</v>
      </c>
      <c r="E2649" s="14">
        <v>2076768.16</v>
      </c>
      <c r="F2649" s="14">
        <v>2037339.92</v>
      </c>
      <c r="G2649" s="14">
        <v>2037339.92</v>
      </c>
      <c r="H2649" s="22">
        <f>F2649*(1+Assumptions!$B$6+IF(D2649="Yes",Assumptions!$C$6,0))</f>
        <v>2098460.1176</v>
      </c>
      <c r="I2649" s="22">
        <f>F2649*(1+Assumptions!$B$7+IF(D2649="Yes",Assumptions!$C$7,0))</f>
        <v>2159580.3152000001</v>
      </c>
      <c r="J2649" s="22">
        <f>F2649*(1+Assumptions!$B$8+IF(D2649="Yes",Assumptions!$C$8,0))</f>
        <v>2037339.92</v>
      </c>
    </row>
    <row r="2650" spans="1:10" ht="15">
      <c r="A2650" s="21">
        <v>41159</v>
      </c>
      <c r="B2650" s="21">
        <v>41153</v>
      </c>
      <c r="C2650" s="17">
        <v>3</v>
      </c>
      <c r="D2650" s="17" t="s">
        <v>94</v>
      </c>
      <c r="E2650" s="14">
        <v>1024883.4299999999</v>
      </c>
      <c r="F2650" s="14">
        <v>885746.05999999994</v>
      </c>
      <c r="G2650" s="14">
        <v>885746.05999999994</v>
      </c>
      <c r="H2650" s="22">
        <f>F2650*(1+Assumptions!$B$6+IF(D2650="Yes",Assumptions!$C$6,0))</f>
        <v>912318.44179999991</v>
      </c>
      <c r="I2650" s="22">
        <f>F2650*(1+Assumptions!$B$7+IF(D2650="Yes",Assumptions!$C$7,0))</f>
        <v>938890.8236</v>
      </c>
      <c r="J2650" s="22">
        <f>F2650*(1+Assumptions!$B$8+IF(D2650="Yes",Assumptions!$C$8,0))</f>
        <v>885746.05999999994</v>
      </c>
    </row>
    <row r="2651" spans="1:10" ht="15">
      <c r="A2651" s="21">
        <v>41159</v>
      </c>
      <c r="B2651" s="21">
        <v>41153</v>
      </c>
      <c r="C2651" s="17">
        <v>4</v>
      </c>
      <c r="D2651" s="17" t="s">
        <v>94</v>
      </c>
      <c r="E2651" s="14">
        <v>1291517.23</v>
      </c>
      <c r="F2651" s="14">
        <v>1238491.24</v>
      </c>
      <c r="G2651" s="14">
        <v>1238491.24</v>
      </c>
      <c r="H2651" s="22">
        <f>F2651*(1+Assumptions!$B$6+IF(D2651="Yes",Assumptions!$C$6,0))</f>
        <v>1275645.9772000001</v>
      </c>
      <c r="I2651" s="22">
        <f>F2651*(1+Assumptions!$B$7+IF(D2651="Yes",Assumptions!$C$7,0))</f>
        <v>1312800.7144000002</v>
      </c>
      <c r="J2651" s="22">
        <f>F2651*(1+Assumptions!$B$8+IF(D2651="Yes",Assumptions!$C$8,0))</f>
        <v>1238491.24</v>
      </c>
    </row>
    <row r="2652" spans="1:10" ht="15">
      <c r="A2652" s="21">
        <v>41159</v>
      </c>
      <c r="B2652" s="21">
        <v>41153</v>
      </c>
      <c r="C2652" s="17">
        <v>5</v>
      </c>
      <c r="D2652" s="17" t="s">
        <v>94</v>
      </c>
      <c r="E2652" s="14">
        <v>657423.35</v>
      </c>
      <c r="F2652" s="14">
        <v>669680.63</v>
      </c>
      <c r="G2652" s="14">
        <v>669680.63</v>
      </c>
      <c r="H2652" s="22">
        <f>F2652*(1+Assumptions!$B$6+IF(D2652="Yes",Assumptions!$C$6,0))</f>
        <v>689771.04890000005</v>
      </c>
      <c r="I2652" s="22">
        <f>F2652*(1+Assumptions!$B$7+IF(D2652="Yes",Assumptions!$C$7,0))</f>
        <v>709861.46779999998</v>
      </c>
      <c r="J2652" s="22">
        <f>F2652*(1+Assumptions!$B$8+IF(D2652="Yes",Assumptions!$C$8,0))</f>
        <v>669680.63</v>
      </c>
    </row>
    <row r="2653" spans="1:10" ht="15">
      <c r="A2653" s="21">
        <v>41159</v>
      </c>
      <c r="B2653" s="21">
        <v>41153</v>
      </c>
      <c r="C2653" s="17">
        <v>6</v>
      </c>
      <c r="D2653" s="17" t="s">
        <v>94</v>
      </c>
      <c r="E2653" s="14">
        <v>129360.91</v>
      </c>
      <c r="F2653" s="14">
        <v>152085.21</v>
      </c>
      <c r="G2653" s="14">
        <v>152085.21</v>
      </c>
      <c r="H2653" s="22">
        <f>F2653*(1+Assumptions!$B$6+IF(D2653="Yes",Assumptions!$C$6,0))</f>
        <v>156647.76629999999</v>
      </c>
      <c r="I2653" s="22">
        <f>F2653*(1+Assumptions!$B$7+IF(D2653="Yes",Assumptions!$C$7,0))</f>
        <v>161210.32259999998</v>
      </c>
      <c r="J2653" s="22">
        <f>F2653*(1+Assumptions!$B$8+IF(D2653="Yes",Assumptions!$C$8,0))</f>
        <v>152085.21</v>
      </c>
    </row>
    <row r="2654" spans="1:10" ht="15">
      <c r="A2654" s="21">
        <v>41159</v>
      </c>
      <c r="B2654" s="21">
        <v>41153</v>
      </c>
      <c r="C2654" s="17">
        <v>7</v>
      </c>
      <c r="D2654" s="17" t="s">
        <v>94</v>
      </c>
      <c r="E2654" s="14">
        <v>806026.16</v>
      </c>
      <c r="F2654" s="14">
        <v>773236.46</v>
      </c>
      <c r="G2654" s="14">
        <v>773236.46</v>
      </c>
      <c r="H2654" s="22">
        <f>F2654*(1+Assumptions!$B$6+IF(D2654="Yes",Assumptions!$C$6,0))</f>
        <v>796433.55379999999</v>
      </c>
      <c r="I2654" s="22">
        <f>F2654*(1+Assumptions!$B$7+IF(D2654="Yes",Assumptions!$C$7,0))</f>
        <v>819630.64760000003</v>
      </c>
      <c r="J2654" s="22">
        <f>F2654*(1+Assumptions!$B$8+IF(D2654="Yes",Assumptions!$C$8,0))</f>
        <v>773236.46</v>
      </c>
    </row>
    <row r="2655" spans="1:10" ht="15">
      <c r="A2655" s="21">
        <v>41159</v>
      </c>
      <c r="B2655" s="21">
        <v>41153</v>
      </c>
      <c r="C2655" s="17">
        <v>8</v>
      </c>
      <c r="D2655" s="17" t="s">
        <v>94</v>
      </c>
      <c r="E2655" s="14">
        <v>1395911.22</v>
      </c>
      <c r="F2655" s="14">
        <v>1341687.76</v>
      </c>
      <c r="G2655" s="14">
        <v>1341687.76</v>
      </c>
      <c r="H2655" s="22">
        <f>F2655*(1+Assumptions!$B$6+IF(D2655="Yes",Assumptions!$C$6,0))</f>
        <v>1381938.3928</v>
      </c>
      <c r="I2655" s="22">
        <f>F2655*(1+Assumptions!$B$7+IF(D2655="Yes",Assumptions!$C$7,0))</f>
        <v>1422189.0256000001</v>
      </c>
      <c r="J2655" s="22">
        <f>F2655*(1+Assumptions!$B$8+IF(D2655="Yes",Assumptions!$C$8,0))</f>
        <v>1341687.76</v>
      </c>
    </row>
    <row r="2656" spans="1:10" ht="15">
      <c r="A2656" s="21">
        <v>41159</v>
      </c>
      <c r="B2656" s="21">
        <v>41153</v>
      </c>
      <c r="C2656" s="17">
        <v>9</v>
      </c>
      <c r="D2656" s="17" t="s">
        <v>94</v>
      </c>
      <c r="E2656" s="14">
        <v>1155035.57</v>
      </c>
      <c r="F2656" s="14">
        <v>1073496.03</v>
      </c>
      <c r="G2656" s="14">
        <v>1073496.03</v>
      </c>
      <c r="H2656" s="22">
        <f>F2656*(1+Assumptions!$B$6+IF(D2656="Yes",Assumptions!$C$6,0))</f>
        <v>1105700.9109</v>
      </c>
      <c r="I2656" s="22">
        <f>F2656*(1+Assumptions!$B$7+IF(D2656="Yes",Assumptions!$C$7,0))</f>
        <v>1137905.7918</v>
      </c>
      <c r="J2656" s="22">
        <f>F2656*(1+Assumptions!$B$8+IF(D2656="Yes",Assumptions!$C$8,0))</f>
        <v>1073496.03</v>
      </c>
    </row>
    <row r="2657" spans="1:10" ht="15">
      <c r="A2657" s="21">
        <v>41159</v>
      </c>
      <c r="B2657" s="21">
        <v>41153</v>
      </c>
      <c r="C2657" s="17">
        <v>10</v>
      </c>
      <c r="D2657" s="17" t="s">
        <v>94</v>
      </c>
      <c r="E2657" s="14">
        <v>840462.07000000007</v>
      </c>
      <c r="F2657" s="14">
        <v>859094.49</v>
      </c>
      <c r="G2657" s="14">
        <v>859094.49</v>
      </c>
      <c r="H2657" s="22">
        <f>F2657*(1+Assumptions!$B$6+IF(D2657="Yes",Assumptions!$C$6,0))</f>
        <v>884867.3247</v>
      </c>
      <c r="I2657" s="22">
        <f>F2657*(1+Assumptions!$B$7+IF(D2657="Yes",Assumptions!$C$7,0))</f>
        <v>910640.1594</v>
      </c>
      <c r="J2657" s="22">
        <f>F2657*(1+Assumptions!$B$8+IF(D2657="Yes",Assumptions!$C$8,0))</f>
        <v>859094.49</v>
      </c>
    </row>
    <row r="2658" spans="1:10" ht="15">
      <c r="A2658" s="21">
        <v>41159</v>
      </c>
      <c r="B2658" s="21">
        <v>41153</v>
      </c>
      <c r="C2658" s="17">
        <v>11</v>
      </c>
      <c r="D2658" s="17" t="s">
        <v>94</v>
      </c>
      <c r="E2658" s="14">
        <v>599444.68999999994</v>
      </c>
      <c r="F2658" s="14">
        <v>572144.13</v>
      </c>
      <c r="G2658" s="14">
        <v>572144.13</v>
      </c>
      <c r="H2658" s="22">
        <f>F2658*(1+Assumptions!$B$6+IF(D2658="Yes",Assumptions!$C$6,0))</f>
        <v>589308.45389999996</v>
      </c>
      <c r="I2658" s="22">
        <f>F2658*(1+Assumptions!$B$7+IF(D2658="Yes",Assumptions!$C$7,0))</f>
        <v>606472.77780000004</v>
      </c>
      <c r="J2658" s="22">
        <f>F2658*(1+Assumptions!$B$8+IF(D2658="Yes",Assumptions!$C$8,0))</f>
        <v>572144.13</v>
      </c>
    </row>
    <row r="2659" spans="1:10" ht="15">
      <c r="A2659" s="21">
        <v>41159</v>
      </c>
      <c r="B2659" s="21">
        <v>41153</v>
      </c>
      <c r="C2659" s="17">
        <v>12</v>
      </c>
      <c r="D2659" s="17" t="s">
        <v>94</v>
      </c>
      <c r="E2659" s="14">
        <v>200824.33000000002</v>
      </c>
      <c r="F2659" s="14">
        <v>206841.5</v>
      </c>
      <c r="G2659" s="14">
        <v>206841.5</v>
      </c>
      <c r="H2659" s="22">
        <f>F2659*(1+Assumptions!$B$6+IF(D2659="Yes",Assumptions!$C$6,0))</f>
        <v>213046.745</v>
      </c>
      <c r="I2659" s="22">
        <f>F2659*(1+Assumptions!$B$7+IF(D2659="Yes",Assumptions!$C$7,0))</f>
        <v>219251.99000000002</v>
      </c>
      <c r="J2659" s="22">
        <f>F2659*(1+Assumptions!$B$8+IF(D2659="Yes",Assumptions!$C$8,0))</f>
        <v>206841.5</v>
      </c>
    </row>
    <row r="2660" spans="1:10" ht="15">
      <c r="A2660" s="21">
        <v>41159</v>
      </c>
      <c r="B2660" s="21">
        <v>41153</v>
      </c>
      <c r="C2660" s="17">
        <v>13</v>
      </c>
      <c r="D2660" s="17" t="s">
        <v>94</v>
      </c>
      <c r="E2660" s="14">
        <v>1549379.81</v>
      </c>
      <c r="F2660" s="14">
        <v>1492465.09</v>
      </c>
      <c r="G2660" s="14">
        <v>1492465.09</v>
      </c>
      <c r="H2660" s="22">
        <f>F2660*(1+Assumptions!$B$6+IF(D2660="Yes",Assumptions!$C$6,0))</f>
        <v>1537239.0427000001</v>
      </c>
      <c r="I2660" s="22">
        <f>F2660*(1+Assumptions!$B$7+IF(D2660="Yes",Assumptions!$C$7,0))</f>
        <v>1582012.9954000001</v>
      </c>
      <c r="J2660" s="22">
        <f>F2660*(1+Assumptions!$B$8+IF(D2660="Yes",Assumptions!$C$8,0))</f>
        <v>1492465.09</v>
      </c>
    </row>
    <row r="2661" spans="1:10" ht="15">
      <c r="A2661" s="21">
        <v>41159</v>
      </c>
      <c r="B2661" s="21">
        <v>41153</v>
      </c>
      <c r="C2661" s="17">
        <v>14</v>
      </c>
      <c r="D2661" s="17" t="s">
        <v>94</v>
      </c>
      <c r="E2661" s="14">
        <v>661169.29</v>
      </c>
      <c r="F2661" s="14">
        <v>632063.21</v>
      </c>
      <c r="G2661" s="14">
        <v>632063.21</v>
      </c>
      <c r="H2661" s="22">
        <f>F2661*(1+Assumptions!$B$6+IF(D2661="Yes",Assumptions!$C$6,0))</f>
        <v>651025.10629999998</v>
      </c>
      <c r="I2661" s="22">
        <f>F2661*(1+Assumptions!$B$7+IF(D2661="Yes",Assumptions!$C$7,0))</f>
        <v>669987.00260000001</v>
      </c>
      <c r="J2661" s="22">
        <f>F2661*(1+Assumptions!$B$8+IF(D2661="Yes",Assumptions!$C$8,0))</f>
        <v>632063.21</v>
      </c>
    </row>
    <row r="2662" spans="1:10" ht="15">
      <c r="A2662" s="21">
        <v>41159</v>
      </c>
      <c r="B2662" s="21">
        <v>41153</v>
      </c>
      <c r="C2662" s="17">
        <v>16</v>
      </c>
      <c r="D2662" s="17" t="s">
        <v>94</v>
      </c>
      <c r="E2662" s="14">
        <v>488995.15</v>
      </c>
      <c r="F2662" s="14">
        <v>460630.24</v>
      </c>
      <c r="G2662" s="14">
        <v>460630.24</v>
      </c>
      <c r="H2662" s="22">
        <f>F2662*(1+Assumptions!$B$6+IF(D2662="Yes",Assumptions!$C$6,0))</f>
        <v>474449.14720000001</v>
      </c>
      <c r="I2662" s="22">
        <f>F2662*(1+Assumptions!$B$7+IF(D2662="Yes",Assumptions!$C$7,0))</f>
        <v>488268.05440000002</v>
      </c>
      <c r="J2662" s="22">
        <f>F2662*(1+Assumptions!$B$8+IF(D2662="Yes",Assumptions!$C$8,0))</f>
        <v>460630.24</v>
      </c>
    </row>
    <row r="2663" spans="1:10" ht="15">
      <c r="A2663" s="21">
        <v>41159</v>
      </c>
      <c r="B2663" s="21">
        <v>41153</v>
      </c>
      <c r="C2663" s="17">
        <v>17</v>
      </c>
      <c r="D2663" s="17" t="s">
        <v>94</v>
      </c>
      <c r="E2663" s="14">
        <v>466850.27</v>
      </c>
      <c r="F2663" s="14">
        <v>458721.35</v>
      </c>
      <c r="G2663" s="14">
        <v>458721.35</v>
      </c>
      <c r="H2663" s="22">
        <f>F2663*(1+Assumptions!$B$6+IF(D2663="Yes",Assumptions!$C$6,0))</f>
        <v>472482.99050000001</v>
      </c>
      <c r="I2663" s="22">
        <f>F2663*(1+Assumptions!$B$7+IF(D2663="Yes",Assumptions!$C$7,0))</f>
        <v>486244.63099999999</v>
      </c>
      <c r="J2663" s="22">
        <f>F2663*(1+Assumptions!$B$8+IF(D2663="Yes",Assumptions!$C$8,0))</f>
        <v>458721.35</v>
      </c>
    </row>
    <row r="2664" spans="1:10" ht="15">
      <c r="A2664" s="21">
        <v>41159</v>
      </c>
      <c r="B2664" s="21">
        <v>41153</v>
      </c>
      <c r="C2664" s="17">
        <v>18</v>
      </c>
      <c r="D2664" s="17" t="s">
        <v>94</v>
      </c>
      <c r="E2664" s="14">
        <v>19770.830000000002</v>
      </c>
      <c r="F2664" s="14">
        <v>8760.9699999999993</v>
      </c>
      <c r="G2664" s="14">
        <v>8760.9699999999993</v>
      </c>
      <c r="H2664" s="22">
        <f>F2664*(1+Assumptions!$B$6+IF(D2664="Yes",Assumptions!$C$6,0))</f>
        <v>9023.7991000000002</v>
      </c>
      <c r="I2664" s="22">
        <f>F2664*(1+Assumptions!$B$7+IF(D2664="Yes",Assumptions!$C$7,0))</f>
        <v>9286.6281999999992</v>
      </c>
      <c r="J2664" s="22">
        <f>F2664*(1+Assumptions!$B$8+IF(D2664="Yes",Assumptions!$C$8,0))</f>
        <v>8760.9699999999993</v>
      </c>
    </row>
    <row r="2665" spans="1:10" ht="15">
      <c r="A2665" s="21">
        <v>41159</v>
      </c>
      <c r="B2665" s="21">
        <v>41153</v>
      </c>
      <c r="C2665" s="17">
        <v>19</v>
      </c>
      <c r="D2665" s="17" t="s">
        <v>94</v>
      </c>
      <c r="E2665" s="14">
        <v>41848.79</v>
      </c>
      <c r="F2665" s="14">
        <v>46173.02</v>
      </c>
      <c r="G2665" s="14">
        <v>46173.02</v>
      </c>
      <c r="H2665" s="22">
        <f>F2665*(1+Assumptions!$B$6+IF(D2665="Yes",Assumptions!$C$6,0))</f>
        <v>47558.210599999999</v>
      </c>
      <c r="I2665" s="22">
        <f>F2665*(1+Assumptions!$B$7+IF(D2665="Yes",Assumptions!$C$7,0))</f>
        <v>48943.4012</v>
      </c>
      <c r="J2665" s="22">
        <f>F2665*(1+Assumptions!$B$8+IF(D2665="Yes",Assumptions!$C$8,0))</f>
        <v>46173.02</v>
      </c>
    </row>
    <row r="2666" spans="1:10" ht="15">
      <c r="A2666" s="21">
        <v>41159</v>
      </c>
      <c r="B2666" s="21">
        <v>41153</v>
      </c>
      <c r="C2666" s="17">
        <v>20</v>
      </c>
      <c r="D2666" s="17" t="s">
        <v>94</v>
      </c>
      <c r="E2666" s="14">
        <v>258154.3</v>
      </c>
      <c r="F2666" s="14">
        <v>243975.17</v>
      </c>
      <c r="G2666" s="14">
        <v>243975.17</v>
      </c>
      <c r="H2666" s="22">
        <f>F2666*(1+Assumptions!$B$6+IF(D2666="Yes",Assumptions!$C$6,0))</f>
        <v>251294.42510000002</v>
      </c>
      <c r="I2666" s="22">
        <f>F2666*(1+Assumptions!$B$7+IF(D2666="Yes",Assumptions!$C$7,0))</f>
        <v>258613.68020000003</v>
      </c>
      <c r="J2666" s="22">
        <f>F2666*(1+Assumptions!$B$8+IF(D2666="Yes",Assumptions!$C$8,0))</f>
        <v>243975.17</v>
      </c>
    </row>
    <row r="2667" spans="1:10" ht="15">
      <c r="A2667" s="21">
        <v>41159</v>
      </c>
      <c r="B2667" s="21">
        <v>41153</v>
      </c>
      <c r="C2667" s="17">
        <v>21</v>
      </c>
      <c r="D2667" s="17" t="s">
        <v>94</v>
      </c>
      <c r="E2667" s="14">
        <v>212511.74</v>
      </c>
      <c r="F2667" s="14">
        <v>211398.61</v>
      </c>
      <c r="G2667" s="14">
        <v>211398.61</v>
      </c>
      <c r="H2667" s="22">
        <f>F2667*(1+Assumptions!$B$6+IF(D2667="Yes",Assumptions!$C$6,0))</f>
        <v>217740.56829999998</v>
      </c>
      <c r="I2667" s="22">
        <f>F2667*(1+Assumptions!$B$7+IF(D2667="Yes",Assumptions!$C$7,0))</f>
        <v>224082.52659999998</v>
      </c>
      <c r="J2667" s="22">
        <f>F2667*(1+Assumptions!$B$8+IF(D2667="Yes",Assumptions!$C$8,0))</f>
        <v>211398.61</v>
      </c>
    </row>
    <row r="2668" spans="1:10" ht="15">
      <c r="A2668" s="21">
        <v>41159</v>
      </c>
      <c r="B2668" s="21">
        <v>41153</v>
      </c>
      <c r="C2668" s="17">
        <v>22</v>
      </c>
      <c r="D2668" s="17" t="s">
        <v>94</v>
      </c>
      <c r="E2668" s="14">
        <v>455290.51</v>
      </c>
      <c r="F2668" s="14">
        <v>427908.09</v>
      </c>
      <c r="G2668" s="14">
        <v>427908.09</v>
      </c>
      <c r="H2668" s="22">
        <f>F2668*(1+Assumptions!$B$6+IF(D2668="Yes",Assumptions!$C$6,0))</f>
        <v>440745.33270000003</v>
      </c>
      <c r="I2668" s="22">
        <f>F2668*(1+Assumptions!$B$7+IF(D2668="Yes",Assumptions!$C$7,0))</f>
        <v>453582.57540000003</v>
      </c>
      <c r="J2668" s="22">
        <f>F2668*(1+Assumptions!$B$8+IF(D2668="Yes",Assumptions!$C$8,0))</f>
        <v>427908.09</v>
      </c>
    </row>
    <row r="2669" spans="1:10" ht="15">
      <c r="A2669" s="21">
        <v>41159</v>
      </c>
      <c r="B2669" s="21">
        <v>41153</v>
      </c>
      <c r="C2669" s="17">
        <v>23</v>
      </c>
      <c r="D2669" s="17" t="s">
        <v>94</v>
      </c>
      <c r="E2669" s="14">
        <v>863270</v>
      </c>
      <c r="F2669" s="14">
        <v>861523.39</v>
      </c>
      <c r="G2669" s="14">
        <v>861523.39</v>
      </c>
      <c r="H2669" s="22">
        <f>F2669*(1+Assumptions!$B$6+IF(D2669="Yes",Assumptions!$C$6,0))</f>
        <v>887369.09169999999</v>
      </c>
      <c r="I2669" s="22">
        <f>F2669*(1+Assumptions!$B$7+IF(D2669="Yes",Assumptions!$C$7,0))</f>
        <v>913214.79340000008</v>
      </c>
      <c r="J2669" s="22">
        <f>F2669*(1+Assumptions!$B$8+IF(D2669="Yes",Assumptions!$C$8,0))</f>
        <v>861523.39</v>
      </c>
    </row>
    <row r="2670" spans="1:10" ht="15">
      <c r="A2670" s="21">
        <v>41159</v>
      </c>
      <c r="B2670" s="21">
        <v>41153</v>
      </c>
      <c r="C2670" s="17">
        <v>24</v>
      </c>
      <c r="D2670" s="17" t="s">
        <v>94</v>
      </c>
      <c r="E2670" s="14">
        <v>274085.69</v>
      </c>
      <c r="F2670" s="14">
        <v>263406.93</v>
      </c>
      <c r="G2670" s="14">
        <v>263406.93</v>
      </c>
      <c r="H2670" s="22">
        <f>F2670*(1+Assumptions!$B$6+IF(D2670="Yes",Assumptions!$C$6,0))</f>
        <v>271309.13789999997</v>
      </c>
      <c r="I2670" s="22">
        <f>F2670*(1+Assumptions!$B$7+IF(D2670="Yes",Assumptions!$C$7,0))</f>
        <v>279211.34580000001</v>
      </c>
      <c r="J2670" s="22">
        <f>F2670*(1+Assumptions!$B$8+IF(D2670="Yes",Assumptions!$C$8,0))</f>
        <v>263406.93</v>
      </c>
    </row>
    <row r="2671" spans="1:10" ht="15">
      <c r="A2671" s="21">
        <v>41159</v>
      </c>
      <c r="B2671" s="21">
        <v>41153</v>
      </c>
      <c r="C2671" s="17">
        <v>25</v>
      </c>
      <c r="D2671" s="17" t="s">
        <v>94</v>
      </c>
      <c r="E2671" s="14">
        <v>375612.83</v>
      </c>
      <c r="F2671" s="14">
        <v>396639.98</v>
      </c>
      <c r="G2671" s="14">
        <v>396639.98</v>
      </c>
      <c r="H2671" s="22">
        <f>F2671*(1+Assumptions!$B$6+IF(D2671="Yes",Assumptions!$C$6,0))</f>
        <v>408539.17939999996</v>
      </c>
      <c r="I2671" s="22">
        <f>F2671*(1+Assumptions!$B$7+IF(D2671="Yes",Assumptions!$C$7,0))</f>
        <v>420438.37880000001</v>
      </c>
      <c r="J2671" s="22">
        <f>F2671*(1+Assumptions!$B$8+IF(D2671="Yes",Assumptions!$C$8,0))</f>
        <v>396639.98</v>
      </c>
    </row>
    <row r="2672" spans="1:10" ht="15">
      <c r="A2672" s="21">
        <v>41159</v>
      </c>
      <c r="B2672" s="21">
        <v>41153</v>
      </c>
      <c r="C2672" s="17">
        <v>26</v>
      </c>
      <c r="D2672" s="17" t="s">
        <v>94</v>
      </c>
      <c r="E2672" s="14">
        <v>269385.21000000002</v>
      </c>
      <c r="F2672" s="14">
        <v>296063.78999999998</v>
      </c>
      <c r="G2672" s="14">
        <v>296063.78999999998</v>
      </c>
      <c r="H2672" s="22">
        <f>F2672*(1+Assumptions!$B$6+IF(D2672="Yes",Assumptions!$C$6,0))</f>
        <v>304945.70370000001</v>
      </c>
      <c r="I2672" s="22">
        <f>F2672*(1+Assumptions!$B$7+IF(D2672="Yes",Assumptions!$C$7,0))</f>
        <v>313827.61739999999</v>
      </c>
      <c r="J2672" s="22">
        <f>F2672*(1+Assumptions!$B$8+IF(D2672="Yes",Assumptions!$C$8,0))</f>
        <v>296063.78999999998</v>
      </c>
    </row>
    <row r="2673" spans="1:10" ht="15">
      <c r="A2673" s="21">
        <v>41159</v>
      </c>
      <c r="B2673" s="21">
        <v>41153</v>
      </c>
      <c r="C2673" s="17">
        <v>27</v>
      </c>
      <c r="D2673" s="17" t="s">
        <v>94</v>
      </c>
      <c r="E2673" s="14">
        <v>55914.590000000004</v>
      </c>
      <c r="F2673" s="14">
        <v>53704.5</v>
      </c>
      <c r="G2673" s="14">
        <v>53704.5</v>
      </c>
      <c r="H2673" s="22">
        <f>F2673*(1+Assumptions!$B$6+IF(D2673="Yes",Assumptions!$C$6,0))</f>
        <v>55315.635000000002</v>
      </c>
      <c r="I2673" s="22">
        <f>F2673*(1+Assumptions!$B$7+IF(D2673="Yes",Assumptions!$C$7,0))</f>
        <v>56926.770000000004</v>
      </c>
      <c r="J2673" s="22">
        <f>F2673*(1+Assumptions!$B$8+IF(D2673="Yes",Assumptions!$C$8,0))</f>
        <v>53704.5</v>
      </c>
    </row>
    <row r="2674" spans="1:10" ht="15">
      <c r="A2674" s="21">
        <v>41159</v>
      </c>
      <c r="B2674" s="21">
        <v>41153</v>
      </c>
      <c r="C2674" s="17">
        <v>28</v>
      </c>
      <c r="D2674" s="17" t="s">
        <v>94</v>
      </c>
      <c r="E2674" s="14">
        <v>16249.73</v>
      </c>
      <c r="F2674" s="14">
        <v>18871.45</v>
      </c>
      <c r="G2674" s="14">
        <v>18871.45</v>
      </c>
      <c r="H2674" s="22">
        <f>F2674*(1+Assumptions!$B$6+IF(D2674="Yes",Assumptions!$C$6,0))</f>
        <v>19437.593500000003</v>
      </c>
      <c r="I2674" s="22">
        <f>F2674*(1+Assumptions!$B$7+IF(D2674="Yes",Assumptions!$C$7,0))</f>
        <v>20003.737000000001</v>
      </c>
      <c r="J2674" s="22">
        <f>F2674*(1+Assumptions!$B$8+IF(D2674="Yes",Assumptions!$C$8,0))</f>
        <v>18871.45</v>
      </c>
    </row>
    <row r="2675" spans="1:10" ht="15">
      <c r="A2675" s="21">
        <v>41159</v>
      </c>
      <c r="B2675" s="21">
        <v>41153</v>
      </c>
      <c r="C2675" s="17">
        <v>29</v>
      </c>
      <c r="D2675" s="17" t="s">
        <v>94</v>
      </c>
      <c r="E2675" s="14">
        <v>194055.34</v>
      </c>
      <c r="F2675" s="14">
        <v>185944.58</v>
      </c>
      <c r="G2675" s="14">
        <v>185944.58</v>
      </c>
      <c r="H2675" s="22">
        <f>F2675*(1+Assumptions!$B$6+IF(D2675="Yes",Assumptions!$C$6,0))</f>
        <v>191522.91740000001</v>
      </c>
      <c r="I2675" s="22">
        <f>F2675*(1+Assumptions!$B$7+IF(D2675="Yes",Assumptions!$C$7,0))</f>
        <v>197101.2548</v>
      </c>
      <c r="J2675" s="22">
        <f>F2675*(1+Assumptions!$B$8+IF(D2675="Yes",Assumptions!$C$8,0))</f>
        <v>185944.58</v>
      </c>
    </row>
    <row r="2676" spans="1:10" ht="15">
      <c r="A2676" s="21">
        <v>41159</v>
      </c>
      <c r="B2676" s="21">
        <v>41153</v>
      </c>
      <c r="C2676" s="17">
        <v>30</v>
      </c>
      <c r="D2676" s="17" t="s">
        <v>94</v>
      </c>
      <c r="E2676" s="14">
        <v>141734.57</v>
      </c>
      <c r="F2676" s="14">
        <v>145394.20000000001</v>
      </c>
      <c r="G2676" s="14">
        <v>145394.20000000001</v>
      </c>
      <c r="H2676" s="22">
        <f>F2676*(1+Assumptions!$B$6+IF(D2676="Yes",Assumptions!$C$6,0))</f>
        <v>149756.02600000001</v>
      </c>
      <c r="I2676" s="22">
        <f>F2676*(1+Assumptions!$B$7+IF(D2676="Yes",Assumptions!$C$7,0))</f>
        <v>154117.85200000001</v>
      </c>
      <c r="J2676" s="22">
        <f>F2676*(1+Assumptions!$B$8+IF(D2676="Yes",Assumptions!$C$8,0))</f>
        <v>145394.20000000001</v>
      </c>
    </row>
    <row r="2677" spans="1:10" ht="15">
      <c r="A2677" s="21">
        <v>41159</v>
      </c>
      <c r="B2677" s="21">
        <v>41153</v>
      </c>
      <c r="C2677" s="17">
        <v>31</v>
      </c>
      <c r="D2677" s="17" t="s">
        <v>94</v>
      </c>
      <c r="E2677" s="14">
        <v>123945.38</v>
      </c>
      <c r="F2677" s="14">
        <v>132071.28</v>
      </c>
      <c r="G2677" s="14">
        <v>132071.28</v>
      </c>
      <c r="H2677" s="22">
        <f>F2677*(1+Assumptions!$B$6+IF(D2677="Yes",Assumptions!$C$6,0))</f>
        <v>136033.4184</v>
      </c>
      <c r="I2677" s="22">
        <f>F2677*(1+Assumptions!$B$7+IF(D2677="Yes",Assumptions!$C$7,0))</f>
        <v>139995.55680000002</v>
      </c>
      <c r="J2677" s="22">
        <f>F2677*(1+Assumptions!$B$8+IF(D2677="Yes",Assumptions!$C$8,0))</f>
        <v>132071.28</v>
      </c>
    </row>
    <row r="2678" spans="1:10" ht="15">
      <c r="A2678" s="21">
        <v>41159</v>
      </c>
      <c r="B2678" s="21">
        <v>41153</v>
      </c>
      <c r="C2678" s="17">
        <v>32</v>
      </c>
      <c r="D2678" s="17" t="s">
        <v>94</v>
      </c>
      <c r="E2678" s="14">
        <v>234680.02</v>
      </c>
      <c r="F2678" s="14">
        <v>238032.51</v>
      </c>
      <c r="G2678" s="14">
        <v>238032.51</v>
      </c>
      <c r="H2678" s="22">
        <f>F2678*(1+Assumptions!$B$6+IF(D2678="Yes",Assumptions!$C$6,0))</f>
        <v>245173.48530000003</v>
      </c>
      <c r="I2678" s="22">
        <f>F2678*(1+Assumptions!$B$7+IF(D2678="Yes",Assumptions!$C$7,0))</f>
        <v>252314.46060000002</v>
      </c>
      <c r="J2678" s="22">
        <f>F2678*(1+Assumptions!$B$8+IF(D2678="Yes",Assumptions!$C$8,0))</f>
        <v>238032.51</v>
      </c>
    </row>
    <row r="2679" spans="1:10" ht="15">
      <c r="A2679" s="21">
        <v>41159</v>
      </c>
      <c r="B2679" s="21">
        <v>41153</v>
      </c>
      <c r="C2679" s="17">
        <v>33</v>
      </c>
      <c r="D2679" s="17" t="s">
        <v>94</v>
      </c>
      <c r="E2679" s="14">
        <v>256861.99</v>
      </c>
      <c r="F2679" s="14">
        <v>266767.23</v>
      </c>
      <c r="G2679" s="14">
        <v>266767.23</v>
      </c>
      <c r="H2679" s="22">
        <f>F2679*(1+Assumptions!$B$6+IF(D2679="Yes",Assumptions!$C$6,0))</f>
        <v>274770.24689999997</v>
      </c>
      <c r="I2679" s="22">
        <f>F2679*(1+Assumptions!$B$7+IF(D2679="Yes",Assumptions!$C$7,0))</f>
        <v>282773.26380000002</v>
      </c>
      <c r="J2679" s="22">
        <f>F2679*(1+Assumptions!$B$8+IF(D2679="Yes",Assumptions!$C$8,0))</f>
        <v>266767.23</v>
      </c>
    </row>
    <row r="2680" spans="1:10" ht="15">
      <c r="A2680" s="21">
        <v>41159</v>
      </c>
      <c r="B2680" s="21">
        <v>41153</v>
      </c>
      <c r="C2680" s="17">
        <v>34</v>
      </c>
      <c r="D2680" s="17" t="s">
        <v>94</v>
      </c>
      <c r="E2680" s="14">
        <v>520732.94</v>
      </c>
      <c r="F2680" s="14">
        <v>515425.16</v>
      </c>
      <c r="G2680" s="14">
        <v>515425.16</v>
      </c>
      <c r="H2680" s="22">
        <f>F2680*(1+Assumptions!$B$6+IF(D2680="Yes",Assumptions!$C$6,0))</f>
        <v>530887.91480000003</v>
      </c>
      <c r="I2680" s="22">
        <f>F2680*(1+Assumptions!$B$7+IF(D2680="Yes",Assumptions!$C$7,0))</f>
        <v>546350.66960000002</v>
      </c>
      <c r="J2680" s="22">
        <f>F2680*(1+Assumptions!$B$8+IF(D2680="Yes",Assumptions!$C$8,0))</f>
        <v>515425.16</v>
      </c>
    </row>
    <row r="2681" spans="1:10" ht="15">
      <c r="A2681" s="21">
        <v>41159</v>
      </c>
      <c r="B2681" s="21">
        <v>41153</v>
      </c>
      <c r="C2681" s="17">
        <v>35</v>
      </c>
      <c r="D2681" s="17" t="s">
        <v>94</v>
      </c>
      <c r="E2681" s="14">
        <v>78663.17</v>
      </c>
      <c r="F2681" s="14">
        <v>102012.01</v>
      </c>
      <c r="G2681" s="14">
        <v>102012.01</v>
      </c>
      <c r="H2681" s="22">
        <f>F2681*(1+Assumptions!$B$6+IF(D2681="Yes",Assumptions!$C$6,0))</f>
        <v>105072.3703</v>
      </c>
      <c r="I2681" s="22">
        <f>F2681*(1+Assumptions!$B$7+IF(D2681="Yes",Assumptions!$C$7,0))</f>
        <v>108132.7306</v>
      </c>
      <c r="J2681" s="22">
        <f>F2681*(1+Assumptions!$B$8+IF(D2681="Yes",Assumptions!$C$8,0))</f>
        <v>102012.01</v>
      </c>
    </row>
    <row r="2682" spans="1:10" ht="15">
      <c r="A2682" s="21">
        <v>41159</v>
      </c>
      <c r="B2682" s="21">
        <v>41153</v>
      </c>
      <c r="C2682" s="17">
        <v>36</v>
      </c>
      <c r="D2682" s="17" t="s">
        <v>94</v>
      </c>
      <c r="E2682" s="14">
        <v>22076.77</v>
      </c>
      <c r="F2682" s="14">
        <v>42016.43</v>
      </c>
      <c r="G2682" s="14">
        <v>42016.43</v>
      </c>
      <c r="H2682" s="22">
        <f>F2682*(1+Assumptions!$B$6+IF(D2682="Yes",Assumptions!$C$6,0))</f>
        <v>43276.922900000005</v>
      </c>
      <c r="I2682" s="22">
        <f>F2682*(1+Assumptions!$B$7+IF(D2682="Yes",Assumptions!$C$7,0))</f>
        <v>44537.415800000002</v>
      </c>
      <c r="J2682" s="22">
        <f>F2682*(1+Assumptions!$B$8+IF(D2682="Yes",Assumptions!$C$8,0))</f>
        <v>42016.43</v>
      </c>
    </row>
    <row r="2683" spans="1:10" ht="15">
      <c r="A2683" s="21">
        <v>41159</v>
      </c>
      <c r="B2683" s="21">
        <v>41153</v>
      </c>
      <c r="C2683" s="17">
        <v>37</v>
      </c>
      <c r="D2683" s="17" t="s">
        <v>94</v>
      </c>
      <c r="E2683" s="14">
        <v>50016.86</v>
      </c>
      <c r="F2683" s="14">
        <v>53529.26</v>
      </c>
      <c r="G2683" s="14">
        <v>53529.26</v>
      </c>
      <c r="H2683" s="22">
        <f>F2683*(1+Assumptions!$B$6+IF(D2683="Yes",Assumptions!$C$6,0))</f>
        <v>55135.137800000004</v>
      </c>
      <c r="I2683" s="22">
        <f>F2683*(1+Assumptions!$B$7+IF(D2683="Yes",Assumptions!$C$7,0))</f>
        <v>56741.015600000006</v>
      </c>
      <c r="J2683" s="22">
        <f>F2683*(1+Assumptions!$B$8+IF(D2683="Yes",Assumptions!$C$8,0))</f>
        <v>53529.26</v>
      </c>
    </row>
    <row r="2684" spans="1:10" ht="15">
      <c r="A2684" s="21">
        <v>41159</v>
      </c>
      <c r="B2684" s="21">
        <v>41153</v>
      </c>
      <c r="C2684" s="17">
        <v>38</v>
      </c>
      <c r="D2684" s="17" t="s">
        <v>94</v>
      </c>
      <c r="E2684" s="14">
        <v>2624917.0699999998</v>
      </c>
      <c r="F2684" s="14">
        <v>2602305.4500000002</v>
      </c>
      <c r="G2684" s="14">
        <v>2602305.4500000002</v>
      </c>
      <c r="H2684" s="22">
        <f>F2684*(1+Assumptions!$B$6+IF(D2684="Yes",Assumptions!$C$6,0))</f>
        <v>2680374.6135000004</v>
      </c>
      <c r="I2684" s="22">
        <f>F2684*(1+Assumptions!$B$7+IF(D2684="Yes",Assumptions!$C$7,0))</f>
        <v>2758443.7770000002</v>
      </c>
      <c r="J2684" s="22">
        <f>F2684*(1+Assumptions!$B$8+IF(D2684="Yes",Assumptions!$C$8,0))</f>
        <v>2602305.4500000002</v>
      </c>
    </row>
    <row r="2685" spans="1:10" ht="15">
      <c r="A2685" s="21">
        <v>41159</v>
      </c>
      <c r="B2685" s="21">
        <v>41153</v>
      </c>
      <c r="C2685" s="17">
        <v>40</v>
      </c>
      <c r="D2685" s="17" t="s">
        <v>94</v>
      </c>
      <c r="E2685" s="14">
        <v>2148970.89</v>
      </c>
      <c r="F2685" s="14">
        <v>1979136.95</v>
      </c>
      <c r="G2685" s="14">
        <v>1979136.95</v>
      </c>
      <c r="H2685" s="22">
        <f>F2685*(1+Assumptions!$B$6+IF(D2685="Yes",Assumptions!$C$6,0))</f>
        <v>2038511.0585</v>
      </c>
      <c r="I2685" s="22">
        <f>F2685*(1+Assumptions!$B$7+IF(D2685="Yes",Assumptions!$C$7,0))</f>
        <v>2097885.1669999999</v>
      </c>
      <c r="J2685" s="22">
        <f>F2685*(1+Assumptions!$B$8+IF(D2685="Yes",Assumptions!$C$8,0))</f>
        <v>1979136.95</v>
      </c>
    </row>
    <row r="2686" spans="1:10" ht="15">
      <c r="A2686" s="21">
        <v>41159</v>
      </c>
      <c r="B2686" s="21">
        <v>41153</v>
      </c>
      <c r="C2686" s="17">
        <v>41</v>
      </c>
      <c r="D2686" s="17" t="s">
        <v>94</v>
      </c>
      <c r="E2686" s="14">
        <v>118007.71</v>
      </c>
      <c r="F2686" s="14">
        <v>113855.67999999999</v>
      </c>
      <c r="G2686" s="14">
        <v>113855.67999999999</v>
      </c>
      <c r="H2686" s="22">
        <f>F2686*(1+Assumptions!$B$6+IF(D2686="Yes",Assumptions!$C$6,0))</f>
        <v>117271.3504</v>
      </c>
      <c r="I2686" s="22">
        <f>F2686*(1+Assumptions!$B$7+IF(D2686="Yes",Assumptions!$C$7,0))</f>
        <v>120687.0208</v>
      </c>
      <c r="J2686" s="22">
        <f>F2686*(1+Assumptions!$B$8+IF(D2686="Yes",Assumptions!$C$8,0))</f>
        <v>113855.67999999999</v>
      </c>
    </row>
    <row r="2687" spans="1:10" ht="15">
      <c r="A2687" s="21">
        <v>41159</v>
      </c>
      <c r="B2687" s="21">
        <v>41153</v>
      </c>
      <c r="C2687" s="17">
        <v>42</v>
      </c>
      <c r="D2687" s="17" t="s">
        <v>94</v>
      </c>
      <c r="E2687" s="14">
        <v>244179.32</v>
      </c>
      <c r="F2687" s="14">
        <v>250509.11</v>
      </c>
      <c r="G2687" s="14">
        <v>250509.11</v>
      </c>
      <c r="H2687" s="22">
        <f>F2687*(1+Assumptions!$B$6+IF(D2687="Yes",Assumptions!$C$6,0))</f>
        <v>258024.38329999999</v>
      </c>
      <c r="I2687" s="22">
        <f>F2687*(1+Assumptions!$B$7+IF(D2687="Yes",Assumptions!$C$7,0))</f>
        <v>265539.65659999999</v>
      </c>
      <c r="J2687" s="22">
        <f>F2687*(1+Assumptions!$B$8+IF(D2687="Yes",Assumptions!$C$8,0))</f>
        <v>250509.11</v>
      </c>
    </row>
    <row r="2688" spans="1:10" ht="15">
      <c r="A2688" s="21">
        <v>41159</v>
      </c>
      <c r="B2688" s="21">
        <v>41153</v>
      </c>
      <c r="C2688" s="17">
        <v>44</v>
      </c>
      <c r="D2688" s="17" t="s">
        <v>94</v>
      </c>
      <c r="E2688" s="14">
        <v>171712.08</v>
      </c>
      <c r="F2688" s="14">
        <v>168253.16</v>
      </c>
      <c r="G2688" s="14">
        <v>168253.16</v>
      </c>
      <c r="H2688" s="22">
        <f>F2688*(1+Assumptions!$B$6+IF(D2688="Yes",Assumptions!$C$6,0))</f>
        <v>173300.7548</v>
      </c>
      <c r="I2688" s="22">
        <f>F2688*(1+Assumptions!$B$7+IF(D2688="Yes",Assumptions!$C$7,0))</f>
        <v>178348.34960000002</v>
      </c>
      <c r="J2688" s="22">
        <f>F2688*(1+Assumptions!$B$8+IF(D2688="Yes",Assumptions!$C$8,0))</f>
        <v>168253.16</v>
      </c>
    </row>
    <row r="2689" spans="1:10" ht="15">
      <c r="A2689" s="21">
        <v>41159</v>
      </c>
      <c r="B2689" s="21">
        <v>41153</v>
      </c>
      <c r="C2689" s="17">
        <v>45</v>
      </c>
      <c r="D2689" s="17" t="s">
        <v>94</v>
      </c>
      <c r="E2689" s="14">
        <v>117.92999999999999</v>
      </c>
      <c r="F2689" s="14">
        <v>41.82</v>
      </c>
      <c r="G2689" s="14">
        <v>41.82</v>
      </c>
      <c r="H2689" s="22">
        <f>F2689*(1+Assumptions!$B$6+IF(D2689="Yes",Assumptions!$C$6,0))</f>
        <v>43.074600000000004</v>
      </c>
      <c r="I2689" s="22">
        <f>F2689*(1+Assumptions!$B$7+IF(D2689="Yes",Assumptions!$C$7,0))</f>
        <v>44.3292</v>
      </c>
      <c r="J2689" s="22">
        <f>F2689*(1+Assumptions!$B$8+IF(D2689="Yes",Assumptions!$C$8,0))</f>
        <v>41.82</v>
      </c>
    </row>
    <row r="2690" spans="1:10" ht="15">
      <c r="A2690" s="21">
        <v>41159</v>
      </c>
      <c r="B2690" s="21">
        <v>41153</v>
      </c>
      <c r="C2690" s="17">
        <v>46</v>
      </c>
      <c r="D2690" s="17" t="s">
        <v>94</v>
      </c>
      <c r="E2690" s="14">
        <v>837038.33</v>
      </c>
      <c r="F2690" s="14">
        <v>820743.3</v>
      </c>
      <c r="G2690" s="14">
        <v>820743.3</v>
      </c>
      <c r="H2690" s="22">
        <f>F2690*(1+Assumptions!$B$6+IF(D2690="Yes",Assumptions!$C$6,0))</f>
        <v>845365.59900000005</v>
      </c>
      <c r="I2690" s="22">
        <f>F2690*(1+Assumptions!$B$7+IF(D2690="Yes",Assumptions!$C$7,0))</f>
        <v>869987.89800000004</v>
      </c>
      <c r="J2690" s="22">
        <f>F2690*(1+Assumptions!$B$8+IF(D2690="Yes",Assumptions!$C$8,0))</f>
        <v>820743.3</v>
      </c>
    </row>
    <row r="2691" spans="1:10" ht="15">
      <c r="A2691" s="21">
        <v>41159</v>
      </c>
      <c r="B2691" s="21">
        <v>41153</v>
      </c>
      <c r="C2691" s="17">
        <v>48</v>
      </c>
      <c r="D2691" s="17" t="s">
        <v>94</v>
      </c>
      <c r="E2691" s="14">
        <v>34076</v>
      </c>
      <c r="F2691" s="14">
        <v>18207</v>
      </c>
      <c r="G2691" s="14">
        <v>18207</v>
      </c>
      <c r="H2691" s="22">
        <f>F2691*(1+Assumptions!$B$6+IF(D2691="Yes",Assumptions!$C$6,0))</f>
        <v>18753.21</v>
      </c>
      <c r="I2691" s="22">
        <f>F2691*(1+Assumptions!$B$7+IF(D2691="Yes",Assumptions!$C$7,0))</f>
        <v>19299.420000000002</v>
      </c>
      <c r="J2691" s="22">
        <f>F2691*(1+Assumptions!$B$8+IF(D2691="Yes",Assumptions!$C$8,0))</f>
        <v>18207</v>
      </c>
    </row>
    <row r="2692" spans="1:10" ht="15">
      <c r="A2692" s="21">
        <v>41159</v>
      </c>
      <c r="B2692" s="21">
        <v>41153</v>
      </c>
      <c r="C2692" s="17">
        <v>49</v>
      </c>
      <c r="D2692" s="17" t="s">
        <v>94</v>
      </c>
      <c r="E2692" s="14">
        <v>221284.01</v>
      </c>
      <c r="F2692" s="14">
        <v>228560.58</v>
      </c>
      <c r="G2692" s="14">
        <v>228560.58</v>
      </c>
      <c r="H2692" s="22">
        <f>F2692*(1+Assumptions!$B$6+IF(D2692="Yes",Assumptions!$C$6,0))</f>
        <v>235417.39739999999</v>
      </c>
      <c r="I2692" s="22">
        <f>F2692*(1+Assumptions!$B$7+IF(D2692="Yes",Assumptions!$C$7,0))</f>
        <v>242274.21479999999</v>
      </c>
      <c r="J2692" s="22">
        <f>F2692*(1+Assumptions!$B$8+IF(D2692="Yes",Assumptions!$C$8,0))</f>
        <v>228560.58</v>
      </c>
    </row>
    <row r="2693" spans="1:10" ht="15">
      <c r="A2693" s="21">
        <v>41159</v>
      </c>
      <c r="B2693" s="21">
        <v>41153</v>
      </c>
      <c r="C2693" s="17">
        <v>50</v>
      </c>
      <c r="D2693" s="17" t="s">
        <v>94</v>
      </c>
      <c r="E2693" s="14">
        <v>25057</v>
      </c>
      <c r="F2693" s="14">
        <v>25486.36</v>
      </c>
      <c r="G2693" s="14">
        <v>25486.36</v>
      </c>
      <c r="H2693" s="22">
        <f>F2693*(1+Assumptions!$B$6+IF(D2693="Yes",Assumptions!$C$6,0))</f>
        <v>26250.950800000002</v>
      </c>
      <c r="I2693" s="22">
        <f>F2693*(1+Assumptions!$B$7+IF(D2693="Yes",Assumptions!$C$7,0))</f>
        <v>27015.5416</v>
      </c>
      <c r="J2693" s="22">
        <f>F2693*(1+Assumptions!$B$8+IF(D2693="Yes",Assumptions!$C$8,0))</f>
        <v>25486.36</v>
      </c>
    </row>
    <row r="2694" spans="1:10" ht="15">
      <c r="A2694" s="21">
        <v>41159</v>
      </c>
      <c r="B2694" s="21">
        <v>41153</v>
      </c>
      <c r="C2694" s="17">
        <v>51</v>
      </c>
      <c r="D2694" s="17" t="s">
        <v>94</v>
      </c>
      <c r="E2694" s="14">
        <v>12.04</v>
      </c>
      <c r="F2694" s="14">
        <v>31.96</v>
      </c>
      <c r="G2694" s="14">
        <v>31.96</v>
      </c>
      <c r="H2694" s="22">
        <f>F2694*(1+Assumptions!$B$6+IF(D2694="Yes",Assumptions!$C$6,0))</f>
        <v>32.918800000000005</v>
      </c>
      <c r="I2694" s="22">
        <f>F2694*(1+Assumptions!$B$7+IF(D2694="Yes",Assumptions!$C$7,0))</f>
        <v>33.877600000000001</v>
      </c>
      <c r="J2694" s="22">
        <f>F2694*(1+Assumptions!$B$8+IF(D2694="Yes",Assumptions!$C$8,0))</f>
        <v>31.96</v>
      </c>
    </row>
    <row r="2695" spans="1:10" ht="15">
      <c r="A2695" s="21">
        <v>41159</v>
      </c>
      <c r="B2695" s="21">
        <v>41153</v>
      </c>
      <c r="C2695" s="17">
        <v>52</v>
      </c>
      <c r="D2695" s="17" t="s">
        <v>94</v>
      </c>
      <c r="E2695" s="14">
        <v>76472.33</v>
      </c>
      <c r="F2695" s="14">
        <v>88253.04</v>
      </c>
      <c r="G2695" s="14">
        <v>88253.04</v>
      </c>
      <c r="H2695" s="22">
        <f>F2695*(1+Assumptions!$B$6+IF(D2695="Yes",Assumptions!$C$6,0))</f>
        <v>90900.631199999989</v>
      </c>
      <c r="I2695" s="22">
        <f>F2695*(1+Assumptions!$B$7+IF(D2695="Yes",Assumptions!$C$7,0))</f>
        <v>93548.222399999999</v>
      </c>
      <c r="J2695" s="22">
        <f>F2695*(1+Assumptions!$B$8+IF(D2695="Yes",Assumptions!$C$8,0))</f>
        <v>88253.04</v>
      </c>
    </row>
    <row r="2696" spans="1:10" ht="15">
      <c r="A2696" s="21">
        <v>41159</v>
      </c>
      <c r="B2696" s="21">
        <v>41153</v>
      </c>
      <c r="C2696" s="17">
        <v>54</v>
      </c>
      <c r="D2696" s="17" t="s">
        <v>94</v>
      </c>
      <c r="E2696" s="14">
        <v>769.26</v>
      </c>
      <c r="F2696" s="14">
        <v>1692.26</v>
      </c>
      <c r="G2696" s="14">
        <v>1692.26</v>
      </c>
      <c r="H2696" s="22">
        <f>F2696*(1+Assumptions!$B$6+IF(D2696="Yes",Assumptions!$C$6,0))</f>
        <v>1743.0278000000001</v>
      </c>
      <c r="I2696" s="22">
        <f>F2696*(1+Assumptions!$B$7+IF(D2696="Yes",Assumptions!$C$7,0))</f>
        <v>1793.7956000000001</v>
      </c>
      <c r="J2696" s="22">
        <f>F2696*(1+Assumptions!$B$8+IF(D2696="Yes",Assumptions!$C$8,0))</f>
        <v>1692.26</v>
      </c>
    </row>
    <row r="2697" spans="1:10" ht="15">
      <c r="A2697" s="21">
        <v>41159</v>
      </c>
      <c r="B2697" s="21">
        <v>41153</v>
      </c>
      <c r="C2697" s="17">
        <v>55</v>
      </c>
      <c r="D2697" s="17" t="s">
        <v>94</v>
      </c>
      <c r="E2697" s="14">
        <v>265482.49</v>
      </c>
      <c r="F2697" s="14">
        <v>328515.62</v>
      </c>
      <c r="G2697" s="14">
        <v>328515.62</v>
      </c>
      <c r="H2697" s="22">
        <f>F2697*(1+Assumptions!$B$6+IF(D2697="Yes",Assumptions!$C$6,0))</f>
        <v>338371.08860000002</v>
      </c>
      <c r="I2697" s="22">
        <f>F2697*(1+Assumptions!$B$7+IF(D2697="Yes",Assumptions!$C$7,0))</f>
        <v>348226.55720000004</v>
      </c>
      <c r="J2697" s="22">
        <f>F2697*(1+Assumptions!$B$8+IF(D2697="Yes",Assumptions!$C$8,0))</f>
        <v>328515.62</v>
      </c>
    </row>
    <row r="2698" spans="1:10" ht="15">
      <c r="A2698" s="21">
        <v>41159</v>
      </c>
      <c r="B2698" s="21">
        <v>41153</v>
      </c>
      <c r="C2698" s="17">
        <v>56</v>
      </c>
      <c r="D2698" s="17" t="s">
        <v>94</v>
      </c>
      <c r="E2698" s="14">
        <v>70198.710000000006</v>
      </c>
      <c r="F2698" s="14">
        <v>65397.68</v>
      </c>
      <c r="G2698" s="14">
        <v>65397.68</v>
      </c>
      <c r="H2698" s="22">
        <f>F2698*(1+Assumptions!$B$6+IF(D2698="Yes",Assumptions!$C$6,0))</f>
        <v>67359.610400000005</v>
      </c>
      <c r="I2698" s="22">
        <f>F2698*(1+Assumptions!$B$7+IF(D2698="Yes",Assumptions!$C$7,0))</f>
        <v>69321.540800000002</v>
      </c>
      <c r="J2698" s="22">
        <f>F2698*(1+Assumptions!$B$8+IF(D2698="Yes",Assumptions!$C$8,0))</f>
        <v>65397.68</v>
      </c>
    </row>
    <row r="2699" spans="1:10" ht="15">
      <c r="A2699" s="21">
        <v>41159</v>
      </c>
      <c r="B2699" s="21">
        <v>41153</v>
      </c>
      <c r="C2699" s="17">
        <v>58</v>
      </c>
      <c r="D2699" s="17" t="s">
        <v>94</v>
      </c>
      <c r="E2699" s="14">
        <v>124245</v>
      </c>
      <c r="F2699" s="14">
        <v>112415</v>
      </c>
      <c r="G2699" s="14">
        <v>112415</v>
      </c>
      <c r="H2699" s="22">
        <f>F2699*(1+Assumptions!$B$6+IF(D2699="Yes",Assumptions!$C$6,0))</f>
        <v>115787.45</v>
      </c>
      <c r="I2699" s="22">
        <f>F2699*(1+Assumptions!$B$7+IF(D2699="Yes",Assumptions!$C$7,0))</f>
        <v>119159.90000000001</v>
      </c>
      <c r="J2699" s="22">
        <f>F2699*(1+Assumptions!$B$8+IF(D2699="Yes",Assumptions!$C$8,0))</f>
        <v>112415</v>
      </c>
    </row>
    <row r="2700" spans="1:10" ht="15">
      <c r="A2700" s="21">
        <v>41159</v>
      </c>
      <c r="B2700" s="21">
        <v>41153</v>
      </c>
      <c r="C2700" s="17">
        <v>59</v>
      </c>
      <c r="D2700" s="17" t="s">
        <v>94</v>
      </c>
      <c r="E2700" s="14">
        <v>8021.5</v>
      </c>
      <c r="F2700" s="14">
        <v>11058.19</v>
      </c>
      <c r="G2700" s="14">
        <v>11058.19</v>
      </c>
      <c r="H2700" s="22">
        <f>F2700*(1+Assumptions!$B$6+IF(D2700="Yes",Assumptions!$C$6,0))</f>
        <v>11389.9357</v>
      </c>
      <c r="I2700" s="22">
        <f>F2700*(1+Assumptions!$B$7+IF(D2700="Yes",Assumptions!$C$7,0))</f>
        <v>11721.681400000001</v>
      </c>
      <c r="J2700" s="22">
        <f>F2700*(1+Assumptions!$B$8+IF(D2700="Yes",Assumptions!$C$8,0))</f>
        <v>11058.19</v>
      </c>
    </row>
    <row r="2701" spans="1:10" ht="15">
      <c r="A2701" s="21">
        <v>41159</v>
      </c>
      <c r="B2701" s="21">
        <v>41153</v>
      </c>
      <c r="C2701" s="17">
        <v>60</v>
      </c>
      <c r="D2701" s="17" t="s">
        <v>94</v>
      </c>
      <c r="E2701" s="14">
        <v>14444</v>
      </c>
      <c r="F2701" s="14">
        <v>13367.2</v>
      </c>
      <c r="G2701" s="14">
        <v>13367.2</v>
      </c>
      <c r="H2701" s="22">
        <f>F2701*(1+Assumptions!$B$6+IF(D2701="Yes",Assumptions!$C$6,0))</f>
        <v>13768.216</v>
      </c>
      <c r="I2701" s="22">
        <f>F2701*(1+Assumptions!$B$7+IF(D2701="Yes",Assumptions!$C$7,0))</f>
        <v>14169.232000000002</v>
      </c>
      <c r="J2701" s="22">
        <f>F2701*(1+Assumptions!$B$8+IF(D2701="Yes",Assumptions!$C$8,0))</f>
        <v>13367.2</v>
      </c>
    </row>
    <row r="2702" spans="1:10" ht="15">
      <c r="A2702" s="21">
        <v>41159</v>
      </c>
      <c r="B2702" s="21">
        <v>41153</v>
      </c>
      <c r="C2702" s="17">
        <v>65</v>
      </c>
      <c r="D2702" s="17" t="s">
        <v>94</v>
      </c>
      <c r="E2702" s="14">
        <v>54501.68</v>
      </c>
      <c r="F2702" s="14">
        <v>35450.32</v>
      </c>
      <c r="G2702" s="14">
        <v>35450.32</v>
      </c>
      <c r="H2702" s="22">
        <f>F2702*(1+Assumptions!$B$6+IF(D2702="Yes",Assumptions!$C$6,0))</f>
        <v>36513.829599999997</v>
      </c>
      <c r="I2702" s="22">
        <f>F2702*(1+Assumptions!$B$7+IF(D2702="Yes",Assumptions!$C$7,0))</f>
        <v>37577.339200000002</v>
      </c>
      <c r="J2702" s="22">
        <f>F2702*(1+Assumptions!$B$8+IF(D2702="Yes",Assumptions!$C$8,0))</f>
        <v>35450.32</v>
      </c>
    </row>
    <row r="2703" spans="1:10" ht="15">
      <c r="A2703" s="21">
        <v>41159</v>
      </c>
      <c r="B2703" s="21">
        <v>41153</v>
      </c>
      <c r="C2703" s="17">
        <v>67</v>
      </c>
      <c r="D2703" s="17" t="s">
        <v>94</v>
      </c>
      <c r="E2703" s="14">
        <v>255146.68</v>
      </c>
      <c r="F2703" s="14">
        <v>250080.52</v>
      </c>
      <c r="G2703" s="14">
        <v>250080.52</v>
      </c>
      <c r="H2703" s="22">
        <f>F2703*(1+Assumptions!$B$6+IF(D2703="Yes",Assumptions!$C$6,0))</f>
        <v>257582.9356</v>
      </c>
      <c r="I2703" s="22">
        <f>F2703*(1+Assumptions!$B$7+IF(D2703="Yes",Assumptions!$C$7,0))</f>
        <v>265085.35119999998</v>
      </c>
      <c r="J2703" s="22">
        <f>F2703*(1+Assumptions!$B$8+IF(D2703="Yes",Assumptions!$C$8,0))</f>
        <v>250080.52</v>
      </c>
    </row>
    <row r="2704" spans="1:10" ht="15">
      <c r="A2704" s="21">
        <v>41159</v>
      </c>
      <c r="B2704" s="21">
        <v>41153</v>
      </c>
      <c r="C2704" s="17">
        <v>71</v>
      </c>
      <c r="D2704" s="17" t="s">
        <v>94</v>
      </c>
      <c r="E2704" s="14">
        <v>224661.82</v>
      </c>
      <c r="F2704" s="14">
        <v>232435.15</v>
      </c>
      <c r="G2704" s="14">
        <v>232435.15</v>
      </c>
      <c r="H2704" s="22">
        <f>F2704*(1+Assumptions!$B$6+IF(D2704="Yes",Assumptions!$C$6,0))</f>
        <v>239408.20449999999</v>
      </c>
      <c r="I2704" s="22">
        <f>F2704*(1+Assumptions!$B$7+IF(D2704="Yes",Assumptions!$C$7,0))</f>
        <v>246381.25900000002</v>
      </c>
      <c r="J2704" s="22">
        <f>F2704*(1+Assumptions!$B$8+IF(D2704="Yes",Assumptions!$C$8,0))</f>
        <v>232435.15</v>
      </c>
    </row>
    <row r="2705" spans="1:10" ht="15">
      <c r="A2705" s="21">
        <v>41159</v>
      </c>
      <c r="B2705" s="21">
        <v>41153</v>
      </c>
      <c r="C2705" s="17">
        <v>72</v>
      </c>
      <c r="D2705" s="17" t="s">
        <v>94</v>
      </c>
      <c r="E2705" s="14">
        <v>1875992.55</v>
      </c>
      <c r="F2705" s="14">
        <v>1851735.8</v>
      </c>
      <c r="G2705" s="14">
        <v>1851735.8</v>
      </c>
      <c r="H2705" s="22">
        <f>F2705*(1+Assumptions!$B$6+IF(D2705="Yes",Assumptions!$C$6,0))</f>
        <v>1907287.8740000001</v>
      </c>
      <c r="I2705" s="22">
        <f>F2705*(1+Assumptions!$B$7+IF(D2705="Yes",Assumptions!$C$7,0))</f>
        <v>1962839.9480000001</v>
      </c>
      <c r="J2705" s="22">
        <f>F2705*(1+Assumptions!$B$8+IF(D2705="Yes",Assumptions!$C$8,0))</f>
        <v>1851735.8</v>
      </c>
    </row>
    <row r="2706" spans="1:10" ht="15">
      <c r="A2706" s="21">
        <v>41159</v>
      </c>
      <c r="B2706" s="21">
        <v>41153</v>
      </c>
      <c r="C2706" s="17">
        <v>74</v>
      </c>
      <c r="D2706" s="17" t="s">
        <v>94</v>
      </c>
      <c r="E2706" s="14">
        <v>713343.4</v>
      </c>
      <c r="F2706" s="14">
        <v>706211.37</v>
      </c>
      <c r="G2706" s="14">
        <v>706211.37</v>
      </c>
      <c r="H2706" s="22">
        <f>F2706*(1+Assumptions!$B$6+IF(D2706="Yes",Assumptions!$C$6,0))</f>
        <v>727397.71109999996</v>
      </c>
      <c r="I2706" s="22">
        <f>F2706*(1+Assumptions!$B$7+IF(D2706="Yes",Assumptions!$C$7,0))</f>
        <v>748584.05220000003</v>
      </c>
      <c r="J2706" s="22">
        <f>F2706*(1+Assumptions!$B$8+IF(D2706="Yes",Assumptions!$C$8,0))</f>
        <v>706211.37</v>
      </c>
    </row>
    <row r="2707" spans="1:10" ht="15">
      <c r="A2707" s="21">
        <v>41159</v>
      </c>
      <c r="B2707" s="21">
        <v>41153</v>
      </c>
      <c r="C2707" s="17">
        <v>79</v>
      </c>
      <c r="D2707" s="17" t="s">
        <v>94</v>
      </c>
      <c r="E2707" s="14">
        <v>1082494.26</v>
      </c>
      <c r="F2707" s="14">
        <v>996724.7</v>
      </c>
      <c r="G2707" s="14">
        <v>996724.7</v>
      </c>
      <c r="H2707" s="22">
        <f>F2707*(1+Assumptions!$B$6+IF(D2707="Yes",Assumptions!$C$6,0))</f>
        <v>1026626.441</v>
      </c>
      <c r="I2707" s="22">
        <f>F2707*(1+Assumptions!$B$7+IF(D2707="Yes",Assumptions!$C$7,0))</f>
        <v>1056528.182</v>
      </c>
      <c r="J2707" s="22">
        <f>F2707*(1+Assumptions!$B$8+IF(D2707="Yes",Assumptions!$C$8,0))</f>
        <v>996724.7</v>
      </c>
    </row>
    <row r="2708" spans="1:10" ht="15">
      <c r="A2708" s="21">
        <v>41159</v>
      </c>
      <c r="B2708" s="21">
        <v>41153</v>
      </c>
      <c r="C2708" s="17">
        <v>80</v>
      </c>
      <c r="D2708" s="17" t="s">
        <v>94</v>
      </c>
      <c r="E2708" s="14">
        <v>526566.03</v>
      </c>
      <c r="F2708" s="14">
        <v>538041.93000000005</v>
      </c>
      <c r="G2708" s="14">
        <v>538041.93000000005</v>
      </c>
      <c r="H2708" s="22">
        <f>F2708*(1+Assumptions!$B$6+IF(D2708="Yes",Assumptions!$C$6,0))</f>
        <v>554183.18790000002</v>
      </c>
      <c r="I2708" s="22">
        <f>F2708*(1+Assumptions!$B$7+IF(D2708="Yes",Assumptions!$C$7,0))</f>
        <v>570324.4458000001</v>
      </c>
      <c r="J2708" s="22">
        <f>F2708*(1+Assumptions!$B$8+IF(D2708="Yes",Assumptions!$C$8,0))</f>
        <v>538041.93000000005</v>
      </c>
    </row>
    <row r="2709" spans="1:10" ht="15">
      <c r="A2709" s="21">
        <v>41159</v>
      </c>
      <c r="B2709" s="21">
        <v>41153</v>
      </c>
      <c r="C2709" s="17">
        <v>81</v>
      </c>
      <c r="D2709" s="17" t="s">
        <v>94</v>
      </c>
      <c r="E2709" s="14">
        <v>756675.71</v>
      </c>
      <c r="F2709" s="14">
        <v>739299.31</v>
      </c>
      <c r="G2709" s="14">
        <v>739299.31</v>
      </c>
      <c r="H2709" s="22">
        <f>F2709*(1+Assumptions!$B$6+IF(D2709="Yes",Assumptions!$C$6,0))</f>
        <v>761478.28930000006</v>
      </c>
      <c r="I2709" s="22">
        <f>F2709*(1+Assumptions!$B$7+IF(D2709="Yes",Assumptions!$C$7,0))</f>
        <v>783657.26860000007</v>
      </c>
      <c r="J2709" s="22">
        <f>F2709*(1+Assumptions!$B$8+IF(D2709="Yes",Assumptions!$C$8,0))</f>
        <v>739299.31</v>
      </c>
    </row>
    <row r="2710" spans="1:10" ht="15">
      <c r="A2710" s="21">
        <v>41159</v>
      </c>
      <c r="B2710" s="21">
        <v>41153</v>
      </c>
      <c r="C2710" s="17">
        <v>82</v>
      </c>
      <c r="D2710" s="17" t="s">
        <v>94</v>
      </c>
      <c r="E2710" s="14">
        <v>706044.21</v>
      </c>
      <c r="F2710" s="14">
        <v>658457.21</v>
      </c>
      <c r="G2710" s="14">
        <v>658457.21</v>
      </c>
      <c r="H2710" s="22">
        <f>F2710*(1+Assumptions!$B$6+IF(D2710="Yes",Assumptions!$C$6,0))</f>
        <v>678210.92629999993</v>
      </c>
      <c r="I2710" s="22">
        <f>F2710*(1+Assumptions!$B$7+IF(D2710="Yes",Assumptions!$C$7,0))</f>
        <v>697964.64260000002</v>
      </c>
      <c r="J2710" s="22">
        <f>F2710*(1+Assumptions!$B$8+IF(D2710="Yes",Assumptions!$C$8,0))</f>
        <v>658457.21</v>
      </c>
    </row>
    <row r="2711" spans="1:10" ht="15">
      <c r="A2711" s="21">
        <v>41159</v>
      </c>
      <c r="B2711" s="21">
        <v>41153</v>
      </c>
      <c r="C2711" s="17">
        <v>83</v>
      </c>
      <c r="D2711" s="17" t="s">
        <v>94</v>
      </c>
      <c r="E2711" s="14">
        <v>153112.48000000001</v>
      </c>
      <c r="F2711" s="14">
        <v>143312.91</v>
      </c>
      <c r="G2711" s="14">
        <v>143312.91</v>
      </c>
      <c r="H2711" s="22">
        <f>F2711*(1+Assumptions!$B$6+IF(D2711="Yes",Assumptions!$C$6,0))</f>
        <v>147612.29730000001</v>
      </c>
      <c r="I2711" s="22">
        <f>F2711*(1+Assumptions!$B$7+IF(D2711="Yes",Assumptions!$C$7,0))</f>
        <v>151911.68460000001</v>
      </c>
      <c r="J2711" s="22">
        <f>F2711*(1+Assumptions!$B$8+IF(D2711="Yes",Assumptions!$C$8,0))</f>
        <v>143312.91</v>
      </c>
    </row>
    <row r="2712" spans="1:10" ht="15">
      <c r="A2712" s="21">
        <v>41159</v>
      </c>
      <c r="B2712" s="21">
        <v>41153</v>
      </c>
      <c r="C2712" s="17">
        <v>85</v>
      </c>
      <c r="D2712" s="17" t="s">
        <v>94</v>
      </c>
      <c r="E2712" s="14">
        <v>82710.66</v>
      </c>
      <c r="F2712" s="14">
        <v>87577.94</v>
      </c>
      <c r="G2712" s="14">
        <v>87577.94</v>
      </c>
      <c r="H2712" s="22">
        <f>F2712*(1+Assumptions!$B$6+IF(D2712="Yes",Assumptions!$C$6,0))</f>
        <v>90205.278200000001</v>
      </c>
      <c r="I2712" s="22">
        <f>F2712*(1+Assumptions!$B$7+IF(D2712="Yes",Assumptions!$C$7,0))</f>
        <v>92832.616400000014</v>
      </c>
      <c r="J2712" s="22">
        <f>F2712*(1+Assumptions!$B$8+IF(D2712="Yes",Assumptions!$C$8,0))</f>
        <v>87577.94</v>
      </c>
    </row>
    <row r="2713" spans="1:10" ht="15">
      <c r="A2713" s="21">
        <v>41159</v>
      </c>
      <c r="B2713" s="21">
        <v>41153</v>
      </c>
      <c r="C2713" s="17">
        <v>87</v>
      </c>
      <c r="D2713" s="17" t="s">
        <v>94</v>
      </c>
      <c r="E2713" s="14">
        <v>751418.85</v>
      </c>
      <c r="F2713" s="14">
        <v>616030.94999999995</v>
      </c>
      <c r="G2713" s="14">
        <v>616030.94999999995</v>
      </c>
      <c r="H2713" s="22">
        <f>F2713*(1+Assumptions!$B$6+IF(D2713="Yes",Assumptions!$C$6,0))</f>
        <v>634511.87849999999</v>
      </c>
      <c r="I2713" s="22">
        <f>F2713*(1+Assumptions!$B$7+IF(D2713="Yes",Assumptions!$C$7,0))</f>
        <v>652992.80700000003</v>
      </c>
      <c r="J2713" s="22">
        <f>F2713*(1+Assumptions!$B$8+IF(D2713="Yes",Assumptions!$C$8,0))</f>
        <v>616030.94999999995</v>
      </c>
    </row>
    <row r="2714" spans="1:10" ht="15">
      <c r="A2714" s="21">
        <v>41159</v>
      </c>
      <c r="B2714" s="21">
        <v>41153</v>
      </c>
      <c r="C2714" s="17">
        <v>90</v>
      </c>
      <c r="D2714" s="17" t="s">
        <v>94</v>
      </c>
      <c r="E2714" s="14">
        <v>2245065.54</v>
      </c>
      <c r="F2714" s="14">
        <v>2228404.2200000002</v>
      </c>
      <c r="G2714" s="14">
        <v>2228404.2200000002</v>
      </c>
      <c r="H2714" s="22">
        <f>F2714*(1+Assumptions!$B$6+IF(D2714="Yes",Assumptions!$C$6,0))</f>
        <v>2295256.3466000003</v>
      </c>
      <c r="I2714" s="22">
        <f>F2714*(1+Assumptions!$B$7+IF(D2714="Yes",Assumptions!$C$7,0))</f>
        <v>2362108.4732000004</v>
      </c>
      <c r="J2714" s="22">
        <f>F2714*(1+Assumptions!$B$8+IF(D2714="Yes",Assumptions!$C$8,0))</f>
        <v>2228404.2200000002</v>
      </c>
    </row>
    <row r="2715" spans="1:10" ht="15">
      <c r="A2715" s="21">
        <v>41159</v>
      </c>
      <c r="B2715" s="21">
        <v>41153</v>
      </c>
      <c r="C2715" s="17">
        <v>91</v>
      </c>
      <c r="D2715" s="17" t="s">
        <v>94</v>
      </c>
      <c r="E2715" s="14">
        <v>1665468.1</v>
      </c>
      <c r="F2715" s="14">
        <v>1615742.58</v>
      </c>
      <c r="G2715" s="14">
        <v>1615742.58</v>
      </c>
      <c r="H2715" s="22">
        <f>F2715*(1+Assumptions!$B$6+IF(D2715="Yes",Assumptions!$C$6,0))</f>
        <v>1664214.8574000001</v>
      </c>
      <c r="I2715" s="22">
        <f>F2715*(1+Assumptions!$B$7+IF(D2715="Yes",Assumptions!$C$7,0))</f>
        <v>1712687.1348000001</v>
      </c>
      <c r="J2715" s="22">
        <f>F2715*(1+Assumptions!$B$8+IF(D2715="Yes",Assumptions!$C$8,0))</f>
        <v>1615742.58</v>
      </c>
    </row>
    <row r="2716" spans="1:10" ht="15">
      <c r="A2716" s="21">
        <v>41159</v>
      </c>
      <c r="B2716" s="21">
        <v>41153</v>
      </c>
      <c r="C2716" s="17">
        <v>92</v>
      </c>
      <c r="D2716" s="17" t="s">
        <v>94</v>
      </c>
      <c r="E2716" s="14">
        <v>3888167.02</v>
      </c>
      <c r="F2716" s="14">
        <v>3655352.59</v>
      </c>
      <c r="G2716" s="14">
        <v>3655352.59</v>
      </c>
      <c r="H2716" s="22">
        <f>F2716*(1+Assumptions!$B$6+IF(D2716="Yes",Assumptions!$C$6,0))</f>
        <v>3765013.1677000001</v>
      </c>
      <c r="I2716" s="22">
        <f>F2716*(1+Assumptions!$B$7+IF(D2716="Yes",Assumptions!$C$7,0))</f>
        <v>3874673.7453999999</v>
      </c>
      <c r="J2716" s="22">
        <f>F2716*(1+Assumptions!$B$8+IF(D2716="Yes",Assumptions!$C$8,0))</f>
        <v>3655352.59</v>
      </c>
    </row>
    <row r="2717" spans="1:10" ht="15">
      <c r="A2717" s="21">
        <v>41159</v>
      </c>
      <c r="B2717" s="21">
        <v>41153</v>
      </c>
      <c r="C2717" s="17">
        <v>93</v>
      </c>
      <c r="D2717" s="17" t="s">
        <v>94</v>
      </c>
      <c r="E2717" s="14">
        <v>1355885.97</v>
      </c>
      <c r="F2717" s="14">
        <v>1280793.32</v>
      </c>
      <c r="G2717" s="14">
        <v>1280793.32</v>
      </c>
      <c r="H2717" s="22">
        <f>F2717*(1+Assumptions!$B$6+IF(D2717="Yes",Assumptions!$C$6,0))</f>
        <v>1319217.1196000001</v>
      </c>
      <c r="I2717" s="22">
        <f>F2717*(1+Assumptions!$B$7+IF(D2717="Yes",Assumptions!$C$7,0))</f>
        <v>1357640.9192000001</v>
      </c>
      <c r="J2717" s="22">
        <f>F2717*(1+Assumptions!$B$8+IF(D2717="Yes",Assumptions!$C$8,0))</f>
        <v>1280793.32</v>
      </c>
    </row>
    <row r="2718" spans="1:10" ht="15">
      <c r="A2718" s="21">
        <v>41159</v>
      </c>
      <c r="B2718" s="21">
        <v>41153</v>
      </c>
      <c r="C2718" s="17">
        <v>94</v>
      </c>
      <c r="D2718" s="17" t="s">
        <v>94</v>
      </c>
      <c r="E2718" s="14">
        <v>1368565.29</v>
      </c>
      <c r="F2718" s="14">
        <v>1360856.65</v>
      </c>
      <c r="G2718" s="14">
        <v>1360856.65</v>
      </c>
      <c r="H2718" s="22">
        <f>F2718*(1+Assumptions!$B$6+IF(D2718="Yes",Assumptions!$C$6,0))</f>
        <v>1401682.3495</v>
      </c>
      <c r="I2718" s="22">
        <f>F2718*(1+Assumptions!$B$7+IF(D2718="Yes",Assumptions!$C$7,0))</f>
        <v>1442508.0489999999</v>
      </c>
      <c r="J2718" s="22">
        <f>F2718*(1+Assumptions!$B$8+IF(D2718="Yes",Assumptions!$C$8,0))</f>
        <v>1360856.65</v>
      </c>
    </row>
    <row r="2719" spans="1:10" ht="15">
      <c r="A2719" s="21">
        <v>41159</v>
      </c>
      <c r="B2719" s="21">
        <v>41153</v>
      </c>
      <c r="C2719" s="17">
        <v>95</v>
      </c>
      <c r="D2719" s="17" t="s">
        <v>94</v>
      </c>
      <c r="E2719" s="14">
        <v>3504054.6</v>
      </c>
      <c r="F2719" s="14">
        <v>3343593.5100000002</v>
      </c>
      <c r="G2719" s="14">
        <v>3343593.5100000002</v>
      </c>
      <c r="H2719" s="22">
        <f>F2719*(1+Assumptions!$B$6+IF(D2719="Yes",Assumptions!$C$6,0))</f>
        <v>3443901.3153000004</v>
      </c>
      <c r="I2719" s="22">
        <f>F2719*(1+Assumptions!$B$7+IF(D2719="Yes",Assumptions!$C$7,0))</f>
        <v>3544209.1206000005</v>
      </c>
      <c r="J2719" s="22">
        <f>F2719*(1+Assumptions!$B$8+IF(D2719="Yes",Assumptions!$C$8,0))</f>
        <v>3343593.5100000002</v>
      </c>
    </row>
    <row r="2720" spans="1:10" ht="15">
      <c r="A2720" s="21">
        <v>41159</v>
      </c>
      <c r="B2720" s="21">
        <v>41153</v>
      </c>
      <c r="C2720" s="17">
        <v>96</v>
      </c>
      <c r="D2720" s="17" t="s">
        <v>94</v>
      </c>
      <c r="E2720" s="14">
        <v>606426.68000000005</v>
      </c>
      <c r="F2720" s="14">
        <v>566081.23</v>
      </c>
      <c r="G2720" s="14">
        <v>566081.23</v>
      </c>
      <c r="H2720" s="22">
        <f>F2720*(1+Assumptions!$B$6+IF(D2720="Yes",Assumptions!$C$6,0))</f>
        <v>583063.66689999995</v>
      </c>
      <c r="I2720" s="22">
        <f>F2720*(1+Assumptions!$B$7+IF(D2720="Yes",Assumptions!$C$7,0))</f>
        <v>600046.10380000004</v>
      </c>
      <c r="J2720" s="22">
        <f>F2720*(1+Assumptions!$B$8+IF(D2720="Yes",Assumptions!$C$8,0))</f>
        <v>566081.23</v>
      </c>
    </row>
    <row r="2721" spans="1:10" ht="15">
      <c r="A2721" s="21">
        <v>41159</v>
      </c>
      <c r="B2721" s="21">
        <v>41153</v>
      </c>
      <c r="C2721" s="17">
        <v>97</v>
      </c>
      <c r="D2721" s="17" t="s">
        <v>94</v>
      </c>
      <c r="E2721" s="14">
        <v>728687.96</v>
      </c>
      <c r="F2721" s="14">
        <v>706243.8</v>
      </c>
      <c r="G2721" s="14">
        <v>706243.8</v>
      </c>
      <c r="H2721" s="22">
        <f>F2721*(1+Assumptions!$B$6+IF(D2721="Yes",Assumptions!$C$6,0))</f>
        <v>727431.11400000006</v>
      </c>
      <c r="I2721" s="22">
        <f>F2721*(1+Assumptions!$B$7+IF(D2721="Yes",Assumptions!$C$7,0))</f>
        <v>748618.42800000007</v>
      </c>
      <c r="J2721" s="22">
        <f>F2721*(1+Assumptions!$B$8+IF(D2721="Yes",Assumptions!$C$8,0))</f>
        <v>706243.8</v>
      </c>
    </row>
    <row r="2722" spans="1:10" ht="15">
      <c r="A2722" s="21">
        <v>41159</v>
      </c>
      <c r="B2722" s="21">
        <v>41153</v>
      </c>
      <c r="C2722" s="17">
        <v>98</v>
      </c>
      <c r="D2722" s="17" t="s">
        <v>94</v>
      </c>
      <c r="E2722" s="14">
        <v>254839.22</v>
      </c>
      <c r="F2722" s="14">
        <v>268598.26</v>
      </c>
      <c r="G2722" s="14">
        <v>268598.26</v>
      </c>
      <c r="H2722" s="22">
        <f>F2722*(1+Assumptions!$B$6+IF(D2722="Yes",Assumptions!$C$6,0))</f>
        <v>276656.20780000003</v>
      </c>
      <c r="I2722" s="22">
        <f>F2722*(1+Assumptions!$B$7+IF(D2722="Yes",Assumptions!$C$7,0))</f>
        <v>284714.1556</v>
      </c>
      <c r="J2722" s="22">
        <f>F2722*(1+Assumptions!$B$8+IF(D2722="Yes",Assumptions!$C$8,0))</f>
        <v>268598.26</v>
      </c>
    </row>
    <row r="2723" spans="1:10" ht="15">
      <c r="A2723" s="21">
        <v>41159</v>
      </c>
      <c r="B2723" s="21">
        <v>41153</v>
      </c>
      <c r="C2723" s="17">
        <v>99</v>
      </c>
      <c r="D2723" s="17" t="s">
        <v>94</v>
      </c>
      <c r="E2723" s="14">
        <v>213.83</v>
      </c>
      <c r="F2723" s="14">
        <v>1700</v>
      </c>
      <c r="G2723" s="14">
        <v>1700</v>
      </c>
      <c r="H2723" s="22">
        <f>F2723*(1+Assumptions!$B$6+IF(D2723="Yes",Assumptions!$C$6,0))</f>
        <v>1751</v>
      </c>
      <c r="I2723" s="22">
        <f>F2723*(1+Assumptions!$B$7+IF(D2723="Yes",Assumptions!$C$7,0))</f>
        <v>1802</v>
      </c>
      <c r="J2723" s="22">
        <f>F2723*(1+Assumptions!$B$8+IF(D2723="Yes",Assumptions!$C$8,0))</f>
        <v>1700</v>
      </c>
    </row>
    <row r="2724" spans="1:10" ht="15">
      <c r="A2724" s="21">
        <v>41166</v>
      </c>
      <c r="B2724" s="21">
        <v>41153</v>
      </c>
      <c r="C2724" s="17">
        <v>1</v>
      </c>
      <c r="D2724" s="17" t="s">
        <v>91</v>
      </c>
      <c r="E2724" s="14">
        <v>727323.11</v>
      </c>
      <c r="F2724" s="14">
        <v>715780.44</v>
      </c>
      <c r="G2724" s="14">
        <v>715780.44</v>
      </c>
      <c r="H2724" s="22">
        <f>F2724*(1+Assumptions!$B$6+IF(D2724="Yes",Assumptions!$C$6,0))</f>
        <v>737253.85320000001</v>
      </c>
      <c r="I2724" s="22">
        <f>F2724*(1+Assumptions!$B$7+IF(D2724="Yes",Assumptions!$C$7,0))</f>
        <v>751569.46199999994</v>
      </c>
      <c r="J2724" s="22">
        <f>F2724*(1+Assumptions!$B$8+IF(D2724="Yes",Assumptions!$C$8,0))</f>
        <v>722938.24439999997</v>
      </c>
    </row>
    <row r="2725" spans="1:10" ht="15">
      <c r="A2725" s="21">
        <v>41166</v>
      </c>
      <c r="B2725" s="21">
        <v>41153</v>
      </c>
      <c r="C2725" s="17">
        <v>2</v>
      </c>
      <c r="D2725" s="17" t="s">
        <v>91</v>
      </c>
      <c r="E2725" s="14">
        <v>1896324.58</v>
      </c>
      <c r="F2725" s="14">
        <v>1903111.42</v>
      </c>
      <c r="G2725" s="14">
        <v>1903111.42</v>
      </c>
      <c r="H2725" s="22">
        <f>F2725*(1+Assumptions!$B$6+IF(D2725="Yes",Assumptions!$C$6,0))</f>
        <v>1960204.7626</v>
      </c>
      <c r="I2725" s="22">
        <f>F2725*(1+Assumptions!$B$7+IF(D2725="Yes",Assumptions!$C$7,0))</f>
        <v>1998266.9909999999</v>
      </c>
      <c r="J2725" s="22">
        <f>F2725*(1+Assumptions!$B$8+IF(D2725="Yes",Assumptions!$C$8,0))</f>
        <v>1922142.5341999999</v>
      </c>
    </row>
    <row r="2726" spans="1:10" ht="15">
      <c r="A2726" s="21">
        <v>41166</v>
      </c>
      <c r="B2726" s="21">
        <v>41153</v>
      </c>
      <c r="C2726" s="17">
        <v>3</v>
      </c>
      <c r="D2726" s="17" t="s">
        <v>91</v>
      </c>
      <c r="E2726" s="14">
        <v>562621.87</v>
      </c>
      <c r="F2726" s="14">
        <v>532911.61</v>
      </c>
      <c r="G2726" s="14">
        <v>532911.61</v>
      </c>
      <c r="H2726" s="22">
        <f>F2726*(1+Assumptions!$B$6+IF(D2726="Yes",Assumptions!$C$6,0))</f>
        <v>548898.95830000006</v>
      </c>
      <c r="I2726" s="22">
        <f>F2726*(1+Assumptions!$B$7+IF(D2726="Yes",Assumptions!$C$7,0))</f>
        <v>559557.19050000003</v>
      </c>
      <c r="J2726" s="22">
        <f>F2726*(1+Assumptions!$B$8+IF(D2726="Yes",Assumptions!$C$8,0))</f>
        <v>538240.72609999997</v>
      </c>
    </row>
    <row r="2727" spans="1:10" ht="15">
      <c r="A2727" s="21">
        <v>41166</v>
      </c>
      <c r="B2727" s="21">
        <v>41153</v>
      </c>
      <c r="C2727" s="17">
        <v>4</v>
      </c>
      <c r="D2727" s="17" t="s">
        <v>91</v>
      </c>
      <c r="E2727" s="14">
        <v>1140553.42</v>
      </c>
      <c r="F2727" s="14">
        <v>1149468.25</v>
      </c>
      <c r="G2727" s="14">
        <v>1149468.25</v>
      </c>
      <c r="H2727" s="22">
        <f>F2727*(1+Assumptions!$B$6+IF(D2727="Yes",Assumptions!$C$6,0))</f>
        <v>1183952.2975000001</v>
      </c>
      <c r="I2727" s="22">
        <f>F2727*(1+Assumptions!$B$7+IF(D2727="Yes",Assumptions!$C$7,0))</f>
        <v>1206941.6625000001</v>
      </c>
      <c r="J2727" s="22">
        <f>F2727*(1+Assumptions!$B$8+IF(D2727="Yes",Assumptions!$C$8,0))</f>
        <v>1160962.9325000001</v>
      </c>
    </row>
    <row r="2728" spans="1:10" ht="15">
      <c r="A2728" s="21">
        <v>41166</v>
      </c>
      <c r="B2728" s="21">
        <v>41153</v>
      </c>
      <c r="C2728" s="17">
        <v>5</v>
      </c>
      <c r="D2728" s="17" t="s">
        <v>91</v>
      </c>
      <c r="E2728" s="14">
        <v>689356.54</v>
      </c>
      <c r="F2728" s="14">
        <v>777722.27</v>
      </c>
      <c r="G2728" s="14">
        <v>777722.27</v>
      </c>
      <c r="H2728" s="22">
        <f>F2728*(1+Assumptions!$B$6+IF(D2728="Yes",Assumptions!$C$6,0))</f>
        <v>801053.93810000003</v>
      </c>
      <c r="I2728" s="22">
        <f>F2728*(1+Assumptions!$B$7+IF(D2728="Yes",Assumptions!$C$7,0))</f>
        <v>816608.3835</v>
      </c>
      <c r="J2728" s="22">
        <f>F2728*(1+Assumptions!$B$8+IF(D2728="Yes",Assumptions!$C$8,0))</f>
        <v>785499.49270000006</v>
      </c>
    </row>
    <row r="2729" spans="1:10" ht="15">
      <c r="A2729" s="21">
        <v>41166</v>
      </c>
      <c r="B2729" s="21">
        <v>41153</v>
      </c>
      <c r="C2729" s="17">
        <v>6</v>
      </c>
      <c r="D2729" s="17" t="s">
        <v>91</v>
      </c>
      <c r="E2729" s="14">
        <v>128442.64</v>
      </c>
      <c r="F2729" s="14">
        <v>147496.47</v>
      </c>
      <c r="G2729" s="14">
        <v>147496.47</v>
      </c>
      <c r="H2729" s="22">
        <f>F2729*(1+Assumptions!$B$6+IF(D2729="Yes",Assumptions!$C$6,0))</f>
        <v>151921.36410000001</v>
      </c>
      <c r="I2729" s="22">
        <f>F2729*(1+Assumptions!$B$7+IF(D2729="Yes",Assumptions!$C$7,0))</f>
        <v>154871.2935</v>
      </c>
      <c r="J2729" s="22">
        <f>F2729*(1+Assumptions!$B$8+IF(D2729="Yes",Assumptions!$C$8,0))</f>
        <v>148971.43470000001</v>
      </c>
    </row>
    <row r="2730" spans="1:10" ht="15">
      <c r="A2730" s="21">
        <v>41166</v>
      </c>
      <c r="B2730" s="21">
        <v>41153</v>
      </c>
      <c r="C2730" s="17">
        <v>7</v>
      </c>
      <c r="D2730" s="17" t="s">
        <v>91</v>
      </c>
      <c r="E2730" s="14">
        <v>758992.7</v>
      </c>
      <c r="F2730" s="14">
        <v>708365</v>
      </c>
      <c r="G2730" s="14">
        <v>708365</v>
      </c>
      <c r="H2730" s="22">
        <f>F2730*(1+Assumptions!$B$6+IF(D2730="Yes",Assumptions!$C$6,0))</f>
        <v>729615.95000000007</v>
      </c>
      <c r="I2730" s="22">
        <f>F2730*(1+Assumptions!$B$7+IF(D2730="Yes",Assumptions!$C$7,0))</f>
        <v>743783.25</v>
      </c>
      <c r="J2730" s="22">
        <f>F2730*(1+Assumptions!$B$8+IF(D2730="Yes",Assumptions!$C$8,0))</f>
        <v>715448.65</v>
      </c>
    </row>
    <row r="2731" spans="1:10" ht="15">
      <c r="A2731" s="21">
        <v>41166</v>
      </c>
      <c r="B2731" s="21">
        <v>41153</v>
      </c>
      <c r="C2731" s="17">
        <v>8</v>
      </c>
      <c r="D2731" s="17" t="s">
        <v>91</v>
      </c>
      <c r="E2731" s="14">
        <v>1357089.21</v>
      </c>
      <c r="F2731" s="14">
        <v>1314721.43</v>
      </c>
      <c r="G2731" s="14">
        <v>1314721.43</v>
      </c>
      <c r="H2731" s="22">
        <f>F2731*(1+Assumptions!$B$6+IF(D2731="Yes",Assumptions!$C$6,0))</f>
        <v>1354163.0729</v>
      </c>
      <c r="I2731" s="22">
        <f>F2731*(1+Assumptions!$B$7+IF(D2731="Yes",Assumptions!$C$7,0))</f>
        <v>1380457.5015</v>
      </c>
      <c r="J2731" s="22">
        <f>F2731*(1+Assumptions!$B$8+IF(D2731="Yes",Assumptions!$C$8,0))</f>
        <v>1327868.6443</v>
      </c>
    </row>
    <row r="2732" spans="1:10" ht="15">
      <c r="A2732" s="21">
        <v>41166</v>
      </c>
      <c r="B2732" s="21">
        <v>41153</v>
      </c>
      <c r="C2732" s="17">
        <v>9</v>
      </c>
      <c r="D2732" s="17" t="s">
        <v>91</v>
      </c>
      <c r="E2732" s="14">
        <v>949315.94</v>
      </c>
      <c r="F2732" s="14">
        <v>883859.20000000007</v>
      </c>
      <c r="G2732" s="14">
        <v>883859.20000000007</v>
      </c>
      <c r="H2732" s="22">
        <f>F2732*(1+Assumptions!$B$6+IF(D2732="Yes",Assumptions!$C$6,0))</f>
        <v>910374.97600000014</v>
      </c>
      <c r="I2732" s="22">
        <f>F2732*(1+Assumptions!$B$7+IF(D2732="Yes",Assumptions!$C$7,0))</f>
        <v>928052.16000000015</v>
      </c>
      <c r="J2732" s="22">
        <f>F2732*(1+Assumptions!$B$8+IF(D2732="Yes",Assumptions!$C$8,0))</f>
        <v>892697.79200000013</v>
      </c>
    </row>
    <row r="2733" spans="1:10" ht="15">
      <c r="A2733" s="21">
        <v>41166</v>
      </c>
      <c r="B2733" s="21">
        <v>41153</v>
      </c>
      <c r="C2733" s="17">
        <v>10</v>
      </c>
      <c r="D2733" s="17" t="s">
        <v>91</v>
      </c>
      <c r="E2733" s="14">
        <v>800324.55999999994</v>
      </c>
      <c r="F2733" s="14">
        <v>800809.69</v>
      </c>
      <c r="G2733" s="14">
        <v>800809.69</v>
      </c>
      <c r="H2733" s="22">
        <f>F2733*(1+Assumptions!$B$6+IF(D2733="Yes",Assumptions!$C$6,0))</f>
        <v>824833.98069999996</v>
      </c>
      <c r="I2733" s="22">
        <f>F2733*(1+Assumptions!$B$7+IF(D2733="Yes",Assumptions!$C$7,0))</f>
        <v>840850.17449999996</v>
      </c>
      <c r="J2733" s="22">
        <f>F2733*(1+Assumptions!$B$8+IF(D2733="Yes",Assumptions!$C$8,0))</f>
        <v>808817.78689999995</v>
      </c>
    </row>
    <row r="2734" spans="1:10" ht="15">
      <c r="A2734" s="21">
        <v>41166</v>
      </c>
      <c r="B2734" s="21">
        <v>41153</v>
      </c>
      <c r="C2734" s="17">
        <v>11</v>
      </c>
      <c r="D2734" s="17" t="s">
        <v>91</v>
      </c>
      <c r="E2734" s="14">
        <v>488170.48</v>
      </c>
      <c r="F2734" s="14">
        <v>495824.45</v>
      </c>
      <c r="G2734" s="14">
        <v>495824.45</v>
      </c>
      <c r="H2734" s="22">
        <f>F2734*(1+Assumptions!$B$6+IF(D2734="Yes",Assumptions!$C$6,0))</f>
        <v>510699.18350000004</v>
      </c>
      <c r="I2734" s="22">
        <f>F2734*(1+Assumptions!$B$7+IF(D2734="Yes",Assumptions!$C$7,0))</f>
        <v>520615.67250000004</v>
      </c>
      <c r="J2734" s="22">
        <f>F2734*(1+Assumptions!$B$8+IF(D2734="Yes",Assumptions!$C$8,0))</f>
        <v>500782.69450000004</v>
      </c>
    </row>
    <row r="2735" spans="1:10" ht="15">
      <c r="A2735" s="21">
        <v>41166</v>
      </c>
      <c r="B2735" s="21">
        <v>41153</v>
      </c>
      <c r="C2735" s="17">
        <v>12</v>
      </c>
      <c r="D2735" s="17" t="s">
        <v>91</v>
      </c>
      <c r="E2735" s="14">
        <v>181029.54</v>
      </c>
      <c r="F2735" s="14">
        <v>192284.54</v>
      </c>
      <c r="G2735" s="14">
        <v>192284.54</v>
      </c>
      <c r="H2735" s="22">
        <f>F2735*(1+Assumptions!$B$6+IF(D2735="Yes",Assumptions!$C$6,0))</f>
        <v>198053.07620000001</v>
      </c>
      <c r="I2735" s="22">
        <f>F2735*(1+Assumptions!$B$7+IF(D2735="Yes",Assumptions!$C$7,0))</f>
        <v>201898.76700000002</v>
      </c>
      <c r="J2735" s="22">
        <f>F2735*(1+Assumptions!$B$8+IF(D2735="Yes",Assumptions!$C$8,0))</f>
        <v>194207.3854</v>
      </c>
    </row>
    <row r="2736" spans="1:10" ht="15">
      <c r="A2736" s="21">
        <v>41166</v>
      </c>
      <c r="B2736" s="21">
        <v>41153</v>
      </c>
      <c r="C2736" s="17">
        <v>13</v>
      </c>
      <c r="D2736" s="17" t="s">
        <v>91</v>
      </c>
      <c r="E2736" s="14">
        <v>1394992.51</v>
      </c>
      <c r="F2736" s="14">
        <v>1404332.76</v>
      </c>
      <c r="G2736" s="14">
        <v>1404332.76</v>
      </c>
      <c r="H2736" s="22">
        <f>F2736*(1+Assumptions!$B$6+IF(D2736="Yes",Assumptions!$C$6,0))</f>
        <v>1446462.7428000001</v>
      </c>
      <c r="I2736" s="22">
        <f>F2736*(1+Assumptions!$B$7+IF(D2736="Yes",Assumptions!$C$7,0))</f>
        <v>1474549.398</v>
      </c>
      <c r="J2736" s="22">
        <f>F2736*(1+Assumptions!$B$8+IF(D2736="Yes",Assumptions!$C$8,0))</f>
        <v>1418376.0876</v>
      </c>
    </row>
    <row r="2737" spans="1:10" ht="15">
      <c r="A2737" s="21">
        <v>41166</v>
      </c>
      <c r="B2737" s="21">
        <v>41153</v>
      </c>
      <c r="C2737" s="17">
        <v>14</v>
      </c>
      <c r="D2737" s="17" t="s">
        <v>91</v>
      </c>
      <c r="E2737" s="14">
        <v>581493.82999999996</v>
      </c>
      <c r="F2737" s="14">
        <v>549424.18999999994</v>
      </c>
      <c r="G2737" s="14">
        <v>549424.18999999994</v>
      </c>
      <c r="H2737" s="22">
        <f>F2737*(1+Assumptions!$B$6+IF(D2737="Yes",Assumptions!$C$6,0))</f>
        <v>565906.91570000001</v>
      </c>
      <c r="I2737" s="22">
        <f>F2737*(1+Assumptions!$B$7+IF(D2737="Yes",Assumptions!$C$7,0))</f>
        <v>576895.39949999994</v>
      </c>
      <c r="J2737" s="22">
        <f>F2737*(1+Assumptions!$B$8+IF(D2737="Yes",Assumptions!$C$8,0))</f>
        <v>554918.43189999997</v>
      </c>
    </row>
    <row r="2738" spans="1:10" ht="15">
      <c r="A2738" s="21">
        <v>41166</v>
      </c>
      <c r="B2738" s="21">
        <v>41153</v>
      </c>
      <c r="C2738" s="17">
        <v>16</v>
      </c>
      <c r="D2738" s="17" t="s">
        <v>91</v>
      </c>
      <c r="E2738" s="14">
        <v>332335.48</v>
      </c>
      <c r="F2738" s="14">
        <v>351637.58999999997</v>
      </c>
      <c r="G2738" s="14">
        <v>351637.58999999997</v>
      </c>
      <c r="H2738" s="22">
        <f>F2738*(1+Assumptions!$B$6+IF(D2738="Yes",Assumptions!$C$6,0))</f>
        <v>362186.71769999998</v>
      </c>
      <c r="I2738" s="22">
        <f>F2738*(1+Assumptions!$B$7+IF(D2738="Yes",Assumptions!$C$7,0))</f>
        <v>369219.46950000001</v>
      </c>
      <c r="J2738" s="22">
        <f>F2738*(1+Assumptions!$B$8+IF(D2738="Yes",Assumptions!$C$8,0))</f>
        <v>355153.96589999995</v>
      </c>
    </row>
    <row r="2739" spans="1:10" ht="15">
      <c r="A2739" s="21">
        <v>41166</v>
      </c>
      <c r="B2739" s="21">
        <v>41153</v>
      </c>
      <c r="C2739" s="17">
        <v>17</v>
      </c>
      <c r="D2739" s="17" t="s">
        <v>91</v>
      </c>
      <c r="E2739" s="14">
        <v>421446.83</v>
      </c>
      <c r="F2739" s="14">
        <v>412271.77</v>
      </c>
      <c r="G2739" s="14">
        <v>412271.77</v>
      </c>
      <c r="H2739" s="22">
        <f>F2739*(1+Assumptions!$B$6+IF(D2739="Yes",Assumptions!$C$6,0))</f>
        <v>424639.92310000001</v>
      </c>
      <c r="I2739" s="22">
        <f>F2739*(1+Assumptions!$B$7+IF(D2739="Yes",Assumptions!$C$7,0))</f>
        <v>432885.35850000003</v>
      </c>
      <c r="J2739" s="22">
        <f>F2739*(1+Assumptions!$B$8+IF(D2739="Yes",Assumptions!$C$8,0))</f>
        <v>416394.4877</v>
      </c>
    </row>
    <row r="2740" spans="1:10" ht="15">
      <c r="A2740" s="21">
        <v>41166</v>
      </c>
      <c r="B2740" s="21">
        <v>41153</v>
      </c>
      <c r="C2740" s="17">
        <v>18</v>
      </c>
      <c r="D2740" s="17" t="s">
        <v>91</v>
      </c>
      <c r="E2740" s="14">
        <v>51121.97</v>
      </c>
      <c r="F2740" s="14">
        <v>71431.97</v>
      </c>
      <c r="G2740" s="14">
        <v>71431.97</v>
      </c>
      <c r="H2740" s="22">
        <f>F2740*(1+Assumptions!$B$6+IF(D2740="Yes",Assumptions!$C$6,0))</f>
        <v>73574.929100000008</v>
      </c>
      <c r="I2740" s="22">
        <f>F2740*(1+Assumptions!$B$7+IF(D2740="Yes",Assumptions!$C$7,0))</f>
        <v>75003.568500000008</v>
      </c>
      <c r="J2740" s="22">
        <f>F2740*(1+Assumptions!$B$8+IF(D2740="Yes",Assumptions!$C$8,0))</f>
        <v>72146.289700000008</v>
      </c>
    </row>
    <row r="2741" spans="1:10" ht="15">
      <c r="A2741" s="21">
        <v>41166</v>
      </c>
      <c r="B2741" s="21">
        <v>41153</v>
      </c>
      <c r="C2741" s="17">
        <v>19</v>
      </c>
      <c r="D2741" s="17" t="s">
        <v>91</v>
      </c>
      <c r="E2741" s="14">
        <v>43206.55</v>
      </c>
      <c r="F2741" s="14">
        <v>47108.74</v>
      </c>
      <c r="G2741" s="14">
        <v>47108.74</v>
      </c>
      <c r="H2741" s="22">
        <f>F2741*(1+Assumptions!$B$6+IF(D2741="Yes",Assumptions!$C$6,0))</f>
        <v>48522.002200000003</v>
      </c>
      <c r="I2741" s="22">
        <f>F2741*(1+Assumptions!$B$7+IF(D2741="Yes",Assumptions!$C$7,0))</f>
        <v>49464.177000000003</v>
      </c>
      <c r="J2741" s="22">
        <f>F2741*(1+Assumptions!$B$8+IF(D2741="Yes",Assumptions!$C$8,0))</f>
        <v>47579.827400000002</v>
      </c>
    </row>
    <row r="2742" spans="1:10" ht="15">
      <c r="A2742" s="21">
        <v>41166</v>
      </c>
      <c r="B2742" s="21">
        <v>41153</v>
      </c>
      <c r="C2742" s="17">
        <v>20</v>
      </c>
      <c r="D2742" s="17" t="s">
        <v>91</v>
      </c>
      <c r="E2742" s="14">
        <v>207287.76</v>
      </c>
      <c r="F2742" s="14">
        <v>202186.77</v>
      </c>
      <c r="G2742" s="14">
        <v>202186.77</v>
      </c>
      <c r="H2742" s="22">
        <f>F2742*(1+Assumptions!$B$6+IF(D2742="Yes",Assumptions!$C$6,0))</f>
        <v>208252.3731</v>
      </c>
      <c r="I2742" s="22">
        <f>F2742*(1+Assumptions!$B$7+IF(D2742="Yes",Assumptions!$C$7,0))</f>
        <v>212296.1085</v>
      </c>
      <c r="J2742" s="22">
        <f>F2742*(1+Assumptions!$B$8+IF(D2742="Yes",Assumptions!$C$8,0))</f>
        <v>204208.63769999999</v>
      </c>
    </row>
    <row r="2743" spans="1:10" ht="15">
      <c r="A2743" s="21">
        <v>41166</v>
      </c>
      <c r="B2743" s="21">
        <v>41153</v>
      </c>
      <c r="C2743" s="17">
        <v>21</v>
      </c>
      <c r="D2743" s="17" t="s">
        <v>91</v>
      </c>
      <c r="E2743" s="14">
        <v>196583.92</v>
      </c>
      <c r="F2743" s="14">
        <v>205044.04</v>
      </c>
      <c r="G2743" s="14">
        <v>205044.04</v>
      </c>
      <c r="H2743" s="22">
        <f>F2743*(1+Assumptions!$B$6+IF(D2743="Yes",Assumptions!$C$6,0))</f>
        <v>211195.36120000001</v>
      </c>
      <c r="I2743" s="22">
        <f>F2743*(1+Assumptions!$B$7+IF(D2743="Yes",Assumptions!$C$7,0))</f>
        <v>215296.24200000003</v>
      </c>
      <c r="J2743" s="22">
        <f>F2743*(1+Assumptions!$B$8+IF(D2743="Yes",Assumptions!$C$8,0))</f>
        <v>207094.4804</v>
      </c>
    </row>
    <row r="2744" spans="1:10" ht="15">
      <c r="A2744" s="21">
        <v>41166</v>
      </c>
      <c r="B2744" s="21">
        <v>41153</v>
      </c>
      <c r="C2744" s="17">
        <v>22</v>
      </c>
      <c r="D2744" s="17" t="s">
        <v>91</v>
      </c>
      <c r="E2744" s="14">
        <v>393592.32000000001</v>
      </c>
      <c r="F2744" s="14">
        <v>384842.52</v>
      </c>
      <c r="G2744" s="14">
        <v>384842.52</v>
      </c>
      <c r="H2744" s="22">
        <f>F2744*(1+Assumptions!$B$6+IF(D2744="Yes",Assumptions!$C$6,0))</f>
        <v>396387.79560000001</v>
      </c>
      <c r="I2744" s="22">
        <f>F2744*(1+Assumptions!$B$7+IF(D2744="Yes",Assumptions!$C$7,0))</f>
        <v>404084.64600000001</v>
      </c>
      <c r="J2744" s="22">
        <f>F2744*(1+Assumptions!$B$8+IF(D2744="Yes",Assumptions!$C$8,0))</f>
        <v>388690.94520000002</v>
      </c>
    </row>
    <row r="2745" spans="1:10" ht="15">
      <c r="A2745" s="21">
        <v>41166</v>
      </c>
      <c r="B2745" s="21">
        <v>41153</v>
      </c>
      <c r="C2745" s="17">
        <v>23</v>
      </c>
      <c r="D2745" s="17" t="s">
        <v>91</v>
      </c>
      <c r="E2745" s="14">
        <v>791516.39</v>
      </c>
      <c r="F2745" s="14">
        <v>782953.62</v>
      </c>
      <c r="G2745" s="14">
        <v>782953.62</v>
      </c>
      <c r="H2745" s="22">
        <f>F2745*(1+Assumptions!$B$6+IF(D2745="Yes",Assumptions!$C$6,0))</f>
        <v>806442.22860000003</v>
      </c>
      <c r="I2745" s="22">
        <f>F2745*(1+Assumptions!$B$7+IF(D2745="Yes",Assumptions!$C$7,0))</f>
        <v>822101.30099999998</v>
      </c>
      <c r="J2745" s="22">
        <f>F2745*(1+Assumptions!$B$8+IF(D2745="Yes",Assumptions!$C$8,0))</f>
        <v>790783.15619999997</v>
      </c>
    </row>
    <row r="2746" spans="1:10" ht="15">
      <c r="A2746" s="21">
        <v>41166</v>
      </c>
      <c r="B2746" s="21">
        <v>41153</v>
      </c>
      <c r="C2746" s="17">
        <v>24</v>
      </c>
      <c r="D2746" s="17" t="s">
        <v>91</v>
      </c>
      <c r="E2746" s="14">
        <v>195034.64</v>
      </c>
      <c r="F2746" s="14">
        <v>186735.66</v>
      </c>
      <c r="G2746" s="14">
        <v>186735.66</v>
      </c>
      <c r="H2746" s="22">
        <f>F2746*(1+Assumptions!$B$6+IF(D2746="Yes",Assumptions!$C$6,0))</f>
        <v>192337.7298</v>
      </c>
      <c r="I2746" s="22">
        <f>F2746*(1+Assumptions!$B$7+IF(D2746="Yes",Assumptions!$C$7,0))</f>
        <v>196072.443</v>
      </c>
      <c r="J2746" s="22">
        <f>F2746*(1+Assumptions!$B$8+IF(D2746="Yes",Assumptions!$C$8,0))</f>
        <v>188603.0166</v>
      </c>
    </row>
    <row r="2747" spans="1:10" ht="15">
      <c r="A2747" s="21">
        <v>41166</v>
      </c>
      <c r="B2747" s="21">
        <v>41153</v>
      </c>
      <c r="C2747" s="17">
        <v>25</v>
      </c>
      <c r="D2747" s="17" t="s">
        <v>91</v>
      </c>
      <c r="E2747" s="14">
        <v>346333.25</v>
      </c>
      <c r="F2747" s="14">
        <v>358176.92</v>
      </c>
      <c r="G2747" s="14">
        <v>358176.92</v>
      </c>
      <c r="H2747" s="22">
        <f>F2747*(1+Assumptions!$B$6+IF(D2747="Yes",Assumptions!$C$6,0))</f>
        <v>368922.22759999998</v>
      </c>
      <c r="I2747" s="22">
        <f>F2747*(1+Assumptions!$B$7+IF(D2747="Yes",Assumptions!$C$7,0))</f>
        <v>376085.766</v>
      </c>
      <c r="J2747" s="22">
        <f>F2747*(1+Assumptions!$B$8+IF(D2747="Yes",Assumptions!$C$8,0))</f>
        <v>361758.68919999996</v>
      </c>
    </row>
    <row r="2748" spans="1:10" ht="15">
      <c r="A2748" s="21">
        <v>41166</v>
      </c>
      <c r="B2748" s="21">
        <v>41153</v>
      </c>
      <c r="C2748" s="17">
        <v>26</v>
      </c>
      <c r="D2748" s="17" t="s">
        <v>91</v>
      </c>
      <c r="E2748" s="14">
        <v>319404.3</v>
      </c>
      <c r="F2748" s="14">
        <v>301165.19</v>
      </c>
      <c r="G2748" s="14">
        <v>301165.19</v>
      </c>
      <c r="H2748" s="22">
        <f>F2748*(1+Assumptions!$B$6+IF(D2748="Yes",Assumptions!$C$6,0))</f>
        <v>310200.14569999999</v>
      </c>
      <c r="I2748" s="22">
        <f>F2748*(1+Assumptions!$B$7+IF(D2748="Yes",Assumptions!$C$7,0))</f>
        <v>316223.44949999999</v>
      </c>
      <c r="J2748" s="22">
        <f>F2748*(1+Assumptions!$B$8+IF(D2748="Yes",Assumptions!$C$8,0))</f>
        <v>304176.8419</v>
      </c>
    </row>
    <row r="2749" spans="1:10" ht="15">
      <c r="A2749" s="21">
        <v>41166</v>
      </c>
      <c r="B2749" s="21">
        <v>41153</v>
      </c>
      <c r="C2749" s="17">
        <v>27</v>
      </c>
      <c r="D2749" s="17" t="s">
        <v>91</v>
      </c>
      <c r="E2749" s="14">
        <v>50002.36</v>
      </c>
      <c r="F2749" s="14">
        <v>48693.25</v>
      </c>
      <c r="G2749" s="14">
        <v>48693.25</v>
      </c>
      <c r="H2749" s="22">
        <f>F2749*(1+Assumptions!$B$6+IF(D2749="Yes",Assumptions!$C$6,0))</f>
        <v>50154.047500000001</v>
      </c>
      <c r="I2749" s="22">
        <f>F2749*(1+Assumptions!$B$7+IF(D2749="Yes",Assumptions!$C$7,0))</f>
        <v>51127.912499999999</v>
      </c>
      <c r="J2749" s="22">
        <f>F2749*(1+Assumptions!$B$8+IF(D2749="Yes",Assumptions!$C$8,0))</f>
        <v>49180.182500000003</v>
      </c>
    </row>
    <row r="2750" spans="1:10" ht="15">
      <c r="A2750" s="21">
        <v>41166</v>
      </c>
      <c r="B2750" s="21">
        <v>41153</v>
      </c>
      <c r="C2750" s="17">
        <v>28</v>
      </c>
      <c r="D2750" s="17" t="s">
        <v>91</v>
      </c>
      <c r="E2750" s="14">
        <v>17566.95</v>
      </c>
      <c r="F2750" s="14">
        <v>19987.36</v>
      </c>
      <c r="G2750" s="14">
        <v>19987.36</v>
      </c>
      <c r="H2750" s="22">
        <f>F2750*(1+Assumptions!$B$6+IF(D2750="Yes",Assumptions!$C$6,0))</f>
        <v>20586.980800000001</v>
      </c>
      <c r="I2750" s="22">
        <f>F2750*(1+Assumptions!$B$7+IF(D2750="Yes",Assumptions!$C$7,0))</f>
        <v>20986.728000000003</v>
      </c>
      <c r="J2750" s="22">
        <f>F2750*(1+Assumptions!$B$8+IF(D2750="Yes",Assumptions!$C$8,0))</f>
        <v>20187.2336</v>
      </c>
    </row>
    <row r="2751" spans="1:10" ht="15">
      <c r="A2751" s="21">
        <v>41166</v>
      </c>
      <c r="B2751" s="21">
        <v>41153</v>
      </c>
      <c r="C2751" s="17">
        <v>29</v>
      </c>
      <c r="D2751" s="17" t="s">
        <v>91</v>
      </c>
      <c r="E2751" s="14">
        <v>177208.05</v>
      </c>
      <c r="F2751" s="14">
        <v>168441.1</v>
      </c>
      <c r="G2751" s="14">
        <v>168441.1</v>
      </c>
      <c r="H2751" s="22">
        <f>F2751*(1+Assumptions!$B$6+IF(D2751="Yes",Assumptions!$C$6,0))</f>
        <v>173494.33300000001</v>
      </c>
      <c r="I2751" s="22">
        <f>F2751*(1+Assumptions!$B$7+IF(D2751="Yes",Assumptions!$C$7,0))</f>
        <v>176863.15500000003</v>
      </c>
      <c r="J2751" s="22">
        <f>F2751*(1+Assumptions!$B$8+IF(D2751="Yes",Assumptions!$C$8,0))</f>
        <v>170125.511</v>
      </c>
    </row>
    <row r="2752" spans="1:10" ht="15">
      <c r="A2752" s="21">
        <v>41166</v>
      </c>
      <c r="B2752" s="21">
        <v>41153</v>
      </c>
      <c r="C2752" s="17">
        <v>30</v>
      </c>
      <c r="D2752" s="17" t="s">
        <v>91</v>
      </c>
      <c r="E2752" s="14">
        <v>119952.42</v>
      </c>
      <c r="F2752" s="14">
        <v>126606.22</v>
      </c>
      <c r="G2752" s="14">
        <v>126606.22</v>
      </c>
      <c r="H2752" s="22">
        <f>F2752*(1+Assumptions!$B$6+IF(D2752="Yes",Assumptions!$C$6,0))</f>
        <v>130404.4066</v>
      </c>
      <c r="I2752" s="22">
        <f>F2752*(1+Assumptions!$B$7+IF(D2752="Yes",Assumptions!$C$7,0))</f>
        <v>132936.53100000002</v>
      </c>
      <c r="J2752" s="22">
        <f>F2752*(1+Assumptions!$B$8+IF(D2752="Yes",Assumptions!$C$8,0))</f>
        <v>127872.2822</v>
      </c>
    </row>
    <row r="2753" spans="1:10" ht="15">
      <c r="A2753" s="21">
        <v>41166</v>
      </c>
      <c r="B2753" s="21">
        <v>41153</v>
      </c>
      <c r="C2753" s="17">
        <v>31</v>
      </c>
      <c r="D2753" s="17" t="s">
        <v>91</v>
      </c>
      <c r="E2753" s="14">
        <v>82576.38</v>
      </c>
      <c r="F2753" s="14">
        <v>85299.28</v>
      </c>
      <c r="G2753" s="14">
        <v>85299.28</v>
      </c>
      <c r="H2753" s="22">
        <f>F2753*(1+Assumptions!$B$6+IF(D2753="Yes",Assumptions!$C$6,0))</f>
        <v>87858.258400000006</v>
      </c>
      <c r="I2753" s="22">
        <f>F2753*(1+Assumptions!$B$7+IF(D2753="Yes",Assumptions!$C$7,0))</f>
        <v>89564.244000000006</v>
      </c>
      <c r="J2753" s="22">
        <f>F2753*(1+Assumptions!$B$8+IF(D2753="Yes",Assumptions!$C$8,0))</f>
        <v>86152.272800000006</v>
      </c>
    </row>
    <row r="2754" spans="1:10" ht="15">
      <c r="A2754" s="21">
        <v>41166</v>
      </c>
      <c r="B2754" s="21">
        <v>41153</v>
      </c>
      <c r="C2754" s="17">
        <v>32</v>
      </c>
      <c r="D2754" s="17" t="s">
        <v>91</v>
      </c>
      <c r="E2754" s="14">
        <v>219771.87</v>
      </c>
      <c r="F2754" s="14">
        <v>220127.26</v>
      </c>
      <c r="G2754" s="14">
        <v>220127.26</v>
      </c>
      <c r="H2754" s="22">
        <f>F2754*(1+Assumptions!$B$6+IF(D2754="Yes",Assumptions!$C$6,0))</f>
        <v>226731.07780000003</v>
      </c>
      <c r="I2754" s="22">
        <f>F2754*(1+Assumptions!$B$7+IF(D2754="Yes",Assumptions!$C$7,0))</f>
        <v>231133.62300000002</v>
      </c>
      <c r="J2754" s="22">
        <f>F2754*(1+Assumptions!$B$8+IF(D2754="Yes",Assumptions!$C$8,0))</f>
        <v>222328.53260000001</v>
      </c>
    </row>
    <row r="2755" spans="1:10" ht="15">
      <c r="A2755" s="21">
        <v>41166</v>
      </c>
      <c r="B2755" s="21">
        <v>41153</v>
      </c>
      <c r="C2755" s="17">
        <v>33</v>
      </c>
      <c r="D2755" s="17" t="s">
        <v>91</v>
      </c>
      <c r="E2755" s="14">
        <v>194535.79</v>
      </c>
      <c r="F2755" s="14">
        <v>204385.03</v>
      </c>
      <c r="G2755" s="14">
        <v>204385.03</v>
      </c>
      <c r="H2755" s="22">
        <f>F2755*(1+Assumptions!$B$6+IF(D2755="Yes",Assumptions!$C$6,0))</f>
        <v>210516.5809</v>
      </c>
      <c r="I2755" s="22">
        <f>F2755*(1+Assumptions!$B$7+IF(D2755="Yes",Assumptions!$C$7,0))</f>
        <v>214604.28150000001</v>
      </c>
      <c r="J2755" s="22">
        <f>F2755*(1+Assumptions!$B$8+IF(D2755="Yes",Assumptions!$C$8,0))</f>
        <v>206428.88029999999</v>
      </c>
    </row>
    <row r="2756" spans="1:10" ht="15">
      <c r="A2756" s="21">
        <v>41166</v>
      </c>
      <c r="B2756" s="21">
        <v>41153</v>
      </c>
      <c r="C2756" s="17">
        <v>34</v>
      </c>
      <c r="D2756" s="17" t="s">
        <v>91</v>
      </c>
      <c r="E2756" s="14">
        <v>485364.77999999997</v>
      </c>
      <c r="F2756" s="14">
        <v>481989.92</v>
      </c>
      <c r="G2756" s="14">
        <v>481989.92</v>
      </c>
      <c r="H2756" s="22">
        <f>F2756*(1+Assumptions!$B$6+IF(D2756="Yes",Assumptions!$C$6,0))</f>
        <v>496449.6176</v>
      </c>
      <c r="I2756" s="22">
        <f>F2756*(1+Assumptions!$B$7+IF(D2756="Yes",Assumptions!$C$7,0))</f>
        <v>506089.41600000003</v>
      </c>
      <c r="J2756" s="22">
        <f>F2756*(1+Assumptions!$B$8+IF(D2756="Yes",Assumptions!$C$8,0))</f>
        <v>486809.81919999997</v>
      </c>
    </row>
    <row r="2757" spans="1:10" ht="15">
      <c r="A2757" s="21">
        <v>41166</v>
      </c>
      <c r="B2757" s="21">
        <v>41153</v>
      </c>
      <c r="C2757" s="17">
        <v>35</v>
      </c>
      <c r="D2757" s="17" t="s">
        <v>91</v>
      </c>
      <c r="E2757" s="14">
        <v>80906.709999999992</v>
      </c>
      <c r="F2757" s="14">
        <v>101705.06</v>
      </c>
      <c r="G2757" s="14">
        <v>101705.06</v>
      </c>
      <c r="H2757" s="22">
        <f>F2757*(1+Assumptions!$B$6+IF(D2757="Yes",Assumptions!$C$6,0))</f>
        <v>104756.2118</v>
      </c>
      <c r="I2757" s="22">
        <f>F2757*(1+Assumptions!$B$7+IF(D2757="Yes",Assumptions!$C$7,0))</f>
        <v>106790.31300000001</v>
      </c>
      <c r="J2757" s="22">
        <f>F2757*(1+Assumptions!$B$8+IF(D2757="Yes",Assumptions!$C$8,0))</f>
        <v>102722.1106</v>
      </c>
    </row>
    <row r="2758" spans="1:10" ht="15">
      <c r="A2758" s="21">
        <v>41166</v>
      </c>
      <c r="B2758" s="21">
        <v>41153</v>
      </c>
      <c r="C2758" s="17">
        <v>36</v>
      </c>
      <c r="D2758" s="17" t="s">
        <v>91</v>
      </c>
      <c r="E2758" s="14">
        <v>31111.040000000001</v>
      </c>
      <c r="F2758" s="14">
        <v>40142.120000000003</v>
      </c>
      <c r="G2758" s="14">
        <v>40142.120000000003</v>
      </c>
      <c r="H2758" s="22">
        <f>F2758*(1+Assumptions!$B$6+IF(D2758="Yes",Assumptions!$C$6,0))</f>
        <v>41346.383600000001</v>
      </c>
      <c r="I2758" s="22">
        <f>F2758*(1+Assumptions!$B$7+IF(D2758="Yes",Assumptions!$C$7,0))</f>
        <v>42149.226000000002</v>
      </c>
      <c r="J2758" s="22">
        <f>F2758*(1+Assumptions!$B$8+IF(D2758="Yes",Assumptions!$C$8,0))</f>
        <v>40543.5412</v>
      </c>
    </row>
    <row r="2759" spans="1:10" ht="15">
      <c r="A2759" s="21">
        <v>41166</v>
      </c>
      <c r="B2759" s="21">
        <v>41153</v>
      </c>
      <c r="C2759" s="17">
        <v>37</v>
      </c>
      <c r="D2759" s="17" t="s">
        <v>91</v>
      </c>
      <c r="E2759" s="14">
        <v>49596.99</v>
      </c>
      <c r="F2759" s="14">
        <v>53313.4</v>
      </c>
      <c r="G2759" s="14">
        <v>53313.4</v>
      </c>
      <c r="H2759" s="22">
        <f>F2759*(1+Assumptions!$B$6+IF(D2759="Yes",Assumptions!$C$6,0))</f>
        <v>54912.802000000003</v>
      </c>
      <c r="I2759" s="22">
        <f>F2759*(1+Assumptions!$B$7+IF(D2759="Yes",Assumptions!$C$7,0))</f>
        <v>55979.070000000007</v>
      </c>
      <c r="J2759" s="22">
        <f>F2759*(1+Assumptions!$B$8+IF(D2759="Yes",Assumptions!$C$8,0))</f>
        <v>53846.534</v>
      </c>
    </row>
    <row r="2760" spans="1:10" ht="15">
      <c r="A2760" s="21">
        <v>41166</v>
      </c>
      <c r="B2760" s="21">
        <v>41153</v>
      </c>
      <c r="C2760" s="17">
        <v>38</v>
      </c>
      <c r="D2760" s="17" t="s">
        <v>91</v>
      </c>
      <c r="E2760" s="14">
        <v>2751215.46</v>
      </c>
      <c r="F2760" s="14">
        <v>2818436.64</v>
      </c>
      <c r="G2760" s="14">
        <v>2818436.64</v>
      </c>
      <c r="H2760" s="22">
        <f>F2760*(1+Assumptions!$B$6+IF(D2760="Yes",Assumptions!$C$6,0))</f>
        <v>2902989.7392000002</v>
      </c>
      <c r="I2760" s="22">
        <f>F2760*(1+Assumptions!$B$7+IF(D2760="Yes",Assumptions!$C$7,0))</f>
        <v>2959358.4720000001</v>
      </c>
      <c r="J2760" s="22">
        <f>F2760*(1+Assumptions!$B$8+IF(D2760="Yes",Assumptions!$C$8,0))</f>
        <v>2846621.0064000003</v>
      </c>
    </row>
    <row r="2761" spans="1:10" ht="15">
      <c r="A2761" s="21">
        <v>41166</v>
      </c>
      <c r="B2761" s="21">
        <v>41153</v>
      </c>
      <c r="C2761" s="17">
        <v>40</v>
      </c>
      <c r="D2761" s="17" t="s">
        <v>91</v>
      </c>
      <c r="E2761" s="14">
        <v>2056519.27</v>
      </c>
      <c r="F2761" s="14">
        <v>1952183.68</v>
      </c>
      <c r="G2761" s="14">
        <v>1952183.68</v>
      </c>
      <c r="H2761" s="22">
        <f>F2761*(1+Assumptions!$B$6+IF(D2761="Yes",Assumptions!$C$6,0))</f>
        <v>2010749.1904</v>
      </c>
      <c r="I2761" s="22">
        <f>F2761*(1+Assumptions!$B$7+IF(D2761="Yes",Assumptions!$C$7,0))</f>
        <v>2049792.8640000001</v>
      </c>
      <c r="J2761" s="22">
        <f>F2761*(1+Assumptions!$B$8+IF(D2761="Yes",Assumptions!$C$8,0))</f>
        <v>1971705.5167999999</v>
      </c>
    </row>
    <row r="2762" spans="1:10" ht="15">
      <c r="A2762" s="21">
        <v>41166</v>
      </c>
      <c r="B2762" s="21">
        <v>41153</v>
      </c>
      <c r="C2762" s="17">
        <v>41</v>
      </c>
      <c r="D2762" s="17" t="s">
        <v>91</v>
      </c>
      <c r="E2762" s="14">
        <v>127262.44</v>
      </c>
      <c r="F2762" s="14">
        <v>121755.68</v>
      </c>
      <c r="G2762" s="14">
        <v>121755.68</v>
      </c>
      <c r="H2762" s="22">
        <f>F2762*(1+Assumptions!$B$6+IF(D2762="Yes",Assumptions!$C$6,0))</f>
        <v>125408.3504</v>
      </c>
      <c r="I2762" s="22">
        <f>F2762*(1+Assumptions!$B$7+IF(D2762="Yes",Assumptions!$C$7,0))</f>
        <v>127843.46399999999</v>
      </c>
      <c r="J2762" s="22">
        <f>F2762*(1+Assumptions!$B$8+IF(D2762="Yes",Assumptions!$C$8,0))</f>
        <v>122973.2368</v>
      </c>
    </row>
    <row r="2763" spans="1:10" ht="15">
      <c r="A2763" s="21">
        <v>41166</v>
      </c>
      <c r="B2763" s="21">
        <v>41153</v>
      </c>
      <c r="C2763" s="17">
        <v>42</v>
      </c>
      <c r="D2763" s="17" t="s">
        <v>91</v>
      </c>
      <c r="E2763" s="14">
        <v>239051.95</v>
      </c>
      <c r="F2763" s="14">
        <v>237213.74</v>
      </c>
      <c r="G2763" s="14">
        <v>237213.74</v>
      </c>
      <c r="H2763" s="22">
        <f>F2763*(1+Assumptions!$B$6+IF(D2763="Yes",Assumptions!$C$6,0))</f>
        <v>244330.15219999998</v>
      </c>
      <c r="I2763" s="22">
        <f>F2763*(1+Assumptions!$B$7+IF(D2763="Yes",Assumptions!$C$7,0))</f>
        <v>249074.427</v>
      </c>
      <c r="J2763" s="22">
        <f>F2763*(1+Assumptions!$B$8+IF(D2763="Yes",Assumptions!$C$8,0))</f>
        <v>239585.8774</v>
      </c>
    </row>
    <row r="2764" spans="1:10" ht="15">
      <c r="A2764" s="21">
        <v>41166</v>
      </c>
      <c r="B2764" s="21">
        <v>41153</v>
      </c>
      <c r="C2764" s="17">
        <v>44</v>
      </c>
      <c r="D2764" s="17" t="s">
        <v>91</v>
      </c>
      <c r="E2764" s="14">
        <v>175933.66</v>
      </c>
      <c r="F2764" s="14">
        <v>170076.12</v>
      </c>
      <c r="G2764" s="14">
        <v>170076.12</v>
      </c>
      <c r="H2764" s="22">
        <f>F2764*(1+Assumptions!$B$6+IF(D2764="Yes",Assumptions!$C$6,0))</f>
        <v>175178.40359999999</v>
      </c>
      <c r="I2764" s="22">
        <f>F2764*(1+Assumptions!$B$7+IF(D2764="Yes",Assumptions!$C$7,0))</f>
        <v>178579.92600000001</v>
      </c>
      <c r="J2764" s="22">
        <f>F2764*(1+Assumptions!$B$8+IF(D2764="Yes",Assumptions!$C$8,0))</f>
        <v>171776.8812</v>
      </c>
    </row>
    <row r="2765" spans="1:10" ht="15">
      <c r="A2765" s="21">
        <v>41166</v>
      </c>
      <c r="B2765" s="21">
        <v>41153</v>
      </c>
      <c r="C2765" s="17">
        <v>45</v>
      </c>
      <c r="D2765" s="17" t="s">
        <v>91</v>
      </c>
      <c r="E2765" s="14">
        <v>62.699999999999996</v>
      </c>
      <c r="F2765" s="14">
        <v>41.79</v>
      </c>
      <c r="G2765" s="14">
        <v>41.79</v>
      </c>
      <c r="H2765" s="22">
        <f>F2765*(1+Assumptions!$B$6+IF(D2765="Yes",Assumptions!$C$6,0))</f>
        <v>43.043700000000001</v>
      </c>
      <c r="I2765" s="22">
        <f>F2765*(1+Assumptions!$B$7+IF(D2765="Yes",Assumptions!$C$7,0))</f>
        <v>43.8795</v>
      </c>
      <c r="J2765" s="22">
        <f>F2765*(1+Assumptions!$B$8+IF(D2765="Yes",Assumptions!$C$8,0))</f>
        <v>42.207900000000002</v>
      </c>
    </row>
    <row r="2766" spans="1:10" ht="15">
      <c r="A2766" s="21">
        <v>41166</v>
      </c>
      <c r="B2766" s="21">
        <v>41153</v>
      </c>
      <c r="C2766" s="17">
        <v>46</v>
      </c>
      <c r="D2766" s="17" t="s">
        <v>91</v>
      </c>
      <c r="E2766" s="14">
        <v>788536.05999999994</v>
      </c>
      <c r="F2766" s="14">
        <v>767312.96</v>
      </c>
      <c r="G2766" s="14">
        <v>767312.96</v>
      </c>
      <c r="H2766" s="22">
        <f>F2766*(1+Assumptions!$B$6+IF(D2766="Yes",Assumptions!$C$6,0))</f>
        <v>790332.34880000004</v>
      </c>
      <c r="I2766" s="22">
        <f>F2766*(1+Assumptions!$B$7+IF(D2766="Yes",Assumptions!$C$7,0))</f>
        <v>805678.60800000001</v>
      </c>
      <c r="J2766" s="22">
        <f>F2766*(1+Assumptions!$B$8+IF(D2766="Yes",Assumptions!$C$8,0))</f>
        <v>774986.08959999995</v>
      </c>
    </row>
    <row r="2767" spans="1:10" ht="15">
      <c r="A2767" s="21">
        <v>41166</v>
      </c>
      <c r="B2767" s="21">
        <v>41153</v>
      </c>
      <c r="C2767" s="17">
        <v>48</v>
      </c>
      <c r="D2767" s="17" t="s">
        <v>91</v>
      </c>
      <c r="E2767" s="14">
        <v>22644</v>
      </c>
      <c r="F2767" s="14">
        <v>13633</v>
      </c>
      <c r="G2767" s="14">
        <v>13633</v>
      </c>
      <c r="H2767" s="22">
        <f>F2767*(1+Assumptions!$B$6+IF(D2767="Yes",Assumptions!$C$6,0))</f>
        <v>14041.99</v>
      </c>
      <c r="I2767" s="22">
        <f>F2767*(1+Assumptions!$B$7+IF(D2767="Yes",Assumptions!$C$7,0))</f>
        <v>14314.650000000001</v>
      </c>
      <c r="J2767" s="22">
        <f>F2767*(1+Assumptions!$B$8+IF(D2767="Yes",Assumptions!$C$8,0))</f>
        <v>13769.33</v>
      </c>
    </row>
    <row r="2768" spans="1:10" ht="15">
      <c r="A2768" s="21">
        <v>41166</v>
      </c>
      <c r="B2768" s="21">
        <v>41153</v>
      </c>
      <c r="C2768" s="17">
        <v>49</v>
      </c>
      <c r="D2768" s="17" t="s">
        <v>91</v>
      </c>
      <c r="E2768" s="14">
        <v>254677.48</v>
      </c>
      <c r="F2768" s="14">
        <v>265196.21000000002</v>
      </c>
      <c r="G2768" s="14">
        <v>265196.21000000002</v>
      </c>
      <c r="H2768" s="22">
        <f>F2768*(1+Assumptions!$B$6+IF(D2768="Yes",Assumptions!$C$6,0))</f>
        <v>273152.09630000003</v>
      </c>
      <c r="I2768" s="22">
        <f>F2768*(1+Assumptions!$B$7+IF(D2768="Yes",Assumptions!$C$7,0))</f>
        <v>278456.02050000004</v>
      </c>
      <c r="J2768" s="22">
        <f>F2768*(1+Assumptions!$B$8+IF(D2768="Yes",Assumptions!$C$8,0))</f>
        <v>267848.17210000003</v>
      </c>
    </row>
    <row r="2769" spans="1:10" ht="15">
      <c r="A2769" s="21">
        <v>41166</v>
      </c>
      <c r="B2769" s="21">
        <v>41153</v>
      </c>
      <c r="C2769" s="17">
        <v>50</v>
      </c>
      <c r="D2769" s="17" t="s">
        <v>91</v>
      </c>
      <c r="E2769" s="14">
        <v>30153</v>
      </c>
      <c r="F2769" s="14">
        <v>30369.5</v>
      </c>
      <c r="G2769" s="14">
        <v>30369.5</v>
      </c>
      <c r="H2769" s="22">
        <f>F2769*(1+Assumptions!$B$6+IF(D2769="Yes",Assumptions!$C$6,0))</f>
        <v>31280.584999999999</v>
      </c>
      <c r="I2769" s="22">
        <f>F2769*(1+Assumptions!$B$7+IF(D2769="Yes",Assumptions!$C$7,0))</f>
        <v>31887.975000000002</v>
      </c>
      <c r="J2769" s="22">
        <f>F2769*(1+Assumptions!$B$8+IF(D2769="Yes",Assumptions!$C$8,0))</f>
        <v>30673.195</v>
      </c>
    </row>
    <row r="2770" spans="1:10" ht="15">
      <c r="A2770" s="21">
        <v>41166</v>
      </c>
      <c r="B2770" s="21">
        <v>41153</v>
      </c>
      <c r="C2770" s="17">
        <v>51</v>
      </c>
      <c r="D2770" s="17" t="s">
        <v>91</v>
      </c>
      <c r="E2770" s="14">
        <v>9.48</v>
      </c>
      <c r="F2770" s="14">
        <v>5.92</v>
      </c>
      <c r="G2770" s="14">
        <v>5.92</v>
      </c>
      <c r="H2770" s="22">
        <f>F2770*(1+Assumptions!$B$6+IF(D2770="Yes",Assumptions!$C$6,0))</f>
        <v>6.0975999999999999</v>
      </c>
      <c r="I2770" s="22">
        <f>F2770*(1+Assumptions!$B$7+IF(D2770="Yes",Assumptions!$C$7,0))</f>
        <v>6.2160000000000002</v>
      </c>
      <c r="J2770" s="22">
        <f>F2770*(1+Assumptions!$B$8+IF(D2770="Yes",Assumptions!$C$8,0))</f>
        <v>5.9791999999999996</v>
      </c>
    </row>
    <row r="2771" spans="1:10" ht="15">
      <c r="A2771" s="21">
        <v>41166</v>
      </c>
      <c r="B2771" s="21">
        <v>41153</v>
      </c>
      <c r="C2771" s="17">
        <v>52</v>
      </c>
      <c r="D2771" s="17" t="s">
        <v>91</v>
      </c>
      <c r="E2771" s="14">
        <v>76213.759999999995</v>
      </c>
      <c r="F2771" s="14">
        <v>87478.51</v>
      </c>
      <c r="G2771" s="14">
        <v>87478.51</v>
      </c>
      <c r="H2771" s="22">
        <f>F2771*(1+Assumptions!$B$6+IF(D2771="Yes",Assumptions!$C$6,0))</f>
        <v>90102.86529999999</v>
      </c>
      <c r="I2771" s="22">
        <f>F2771*(1+Assumptions!$B$7+IF(D2771="Yes",Assumptions!$C$7,0))</f>
        <v>91852.435499999992</v>
      </c>
      <c r="J2771" s="22">
        <f>F2771*(1+Assumptions!$B$8+IF(D2771="Yes",Assumptions!$C$8,0))</f>
        <v>88353.295099999988</v>
      </c>
    </row>
    <row r="2772" spans="1:10" ht="15">
      <c r="A2772" s="21">
        <v>41166</v>
      </c>
      <c r="B2772" s="21">
        <v>41153</v>
      </c>
      <c r="C2772" s="17">
        <v>54</v>
      </c>
      <c r="D2772" s="17" t="s">
        <v>91</v>
      </c>
      <c r="E2772" s="14">
        <v>763.87</v>
      </c>
      <c r="F2772" s="14">
        <v>1330.94</v>
      </c>
      <c r="G2772" s="14">
        <v>1330.94</v>
      </c>
      <c r="H2772" s="22">
        <f>F2772*(1+Assumptions!$B$6+IF(D2772="Yes",Assumptions!$C$6,0))</f>
        <v>1370.8682000000001</v>
      </c>
      <c r="I2772" s="22">
        <f>F2772*(1+Assumptions!$B$7+IF(D2772="Yes",Assumptions!$C$7,0))</f>
        <v>1397.4870000000001</v>
      </c>
      <c r="J2772" s="22">
        <f>F2772*(1+Assumptions!$B$8+IF(D2772="Yes",Assumptions!$C$8,0))</f>
        <v>1344.2494000000002</v>
      </c>
    </row>
    <row r="2773" spans="1:10" ht="15">
      <c r="A2773" s="21">
        <v>41166</v>
      </c>
      <c r="B2773" s="21">
        <v>41153</v>
      </c>
      <c r="C2773" s="17">
        <v>55</v>
      </c>
      <c r="D2773" s="17" t="s">
        <v>91</v>
      </c>
      <c r="E2773" s="14">
        <v>234960.88</v>
      </c>
      <c r="F2773" s="14">
        <v>278837.01</v>
      </c>
      <c r="G2773" s="14">
        <v>278837.01</v>
      </c>
      <c r="H2773" s="22">
        <f>F2773*(1+Assumptions!$B$6+IF(D2773="Yes",Assumptions!$C$6,0))</f>
        <v>287202.12030000001</v>
      </c>
      <c r="I2773" s="22">
        <f>F2773*(1+Assumptions!$B$7+IF(D2773="Yes",Assumptions!$C$7,0))</f>
        <v>292778.86050000001</v>
      </c>
      <c r="J2773" s="22">
        <f>F2773*(1+Assumptions!$B$8+IF(D2773="Yes",Assumptions!$C$8,0))</f>
        <v>281625.38010000001</v>
      </c>
    </row>
    <row r="2774" spans="1:10" ht="15">
      <c r="A2774" s="21">
        <v>41166</v>
      </c>
      <c r="B2774" s="21">
        <v>41153</v>
      </c>
      <c r="C2774" s="17">
        <v>56</v>
      </c>
      <c r="D2774" s="17" t="s">
        <v>91</v>
      </c>
      <c r="E2774" s="14">
        <v>75205.89</v>
      </c>
      <c r="F2774" s="14">
        <v>68298.63</v>
      </c>
      <c r="G2774" s="14">
        <v>68298.63</v>
      </c>
      <c r="H2774" s="22">
        <f>F2774*(1+Assumptions!$B$6+IF(D2774="Yes",Assumptions!$C$6,0))</f>
        <v>70347.588900000002</v>
      </c>
      <c r="I2774" s="22">
        <f>F2774*(1+Assumptions!$B$7+IF(D2774="Yes",Assumptions!$C$7,0))</f>
        <v>71713.561500000011</v>
      </c>
      <c r="J2774" s="22">
        <f>F2774*(1+Assumptions!$B$8+IF(D2774="Yes",Assumptions!$C$8,0))</f>
        <v>68981.616300000009</v>
      </c>
    </row>
    <row r="2775" spans="1:10" ht="15">
      <c r="A2775" s="21">
        <v>41166</v>
      </c>
      <c r="B2775" s="21">
        <v>41153</v>
      </c>
      <c r="C2775" s="17">
        <v>58</v>
      </c>
      <c r="D2775" s="17" t="s">
        <v>91</v>
      </c>
      <c r="E2775" s="14">
        <v>114277.7</v>
      </c>
      <c r="F2775" s="14">
        <v>92648.97</v>
      </c>
      <c r="G2775" s="14">
        <v>92648.97</v>
      </c>
      <c r="H2775" s="22">
        <f>F2775*(1+Assumptions!$B$6+IF(D2775="Yes",Assumptions!$C$6,0))</f>
        <v>95428.439100000003</v>
      </c>
      <c r="I2775" s="22">
        <f>F2775*(1+Assumptions!$B$7+IF(D2775="Yes",Assumptions!$C$7,0))</f>
        <v>97281.4185</v>
      </c>
      <c r="J2775" s="22">
        <f>F2775*(1+Assumptions!$B$8+IF(D2775="Yes",Assumptions!$C$8,0))</f>
        <v>93575.459700000007</v>
      </c>
    </row>
    <row r="2776" spans="1:10" ht="15">
      <c r="A2776" s="21">
        <v>41166</v>
      </c>
      <c r="B2776" s="21">
        <v>41153</v>
      </c>
      <c r="C2776" s="17">
        <v>59</v>
      </c>
      <c r="D2776" s="17" t="s">
        <v>91</v>
      </c>
      <c r="E2776" s="14">
        <v>7613.46</v>
      </c>
      <c r="F2776" s="14">
        <v>10436.629999999999</v>
      </c>
      <c r="G2776" s="14">
        <v>10436.629999999999</v>
      </c>
      <c r="H2776" s="22">
        <f>F2776*(1+Assumptions!$B$6+IF(D2776="Yes",Assumptions!$C$6,0))</f>
        <v>10749.7289</v>
      </c>
      <c r="I2776" s="22">
        <f>F2776*(1+Assumptions!$B$7+IF(D2776="Yes",Assumptions!$C$7,0))</f>
        <v>10958.461499999999</v>
      </c>
      <c r="J2776" s="22">
        <f>F2776*(1+Assumptions!$B$8+IF(D2776="Yes",Assumptions!$C$8,0))</f>
        <v>10540.996299999999</v>
      </c>
    </row>
    <row r="2777" spans="1:10" ht="15">
      <c r="A2777" s="21">
        <v>41166</v>
      </c>
      <c r="B2777" s="21">
        <v>41153</v>
      </c>
      <c r="C2777" s="17">
        <v>60</v>
      </c>
      <c r="D2777" s="17" t="s">
        <v>91</v>
      </c>
      <c r="E2777" s="14">
        <v>13653</v>
      </c>
      <c r="F2777" s="14">
        <v>12326.8</v>
      </c>
      <c r="G2777" s="14">
        <v>12326.8</v>
      </c>
      <c r="H2777" s="22">
        <f>F2777*(1+Assumptions!$B$6+IF(D2777="Yes",Assumptions!$C$6,0))</f>
        <v>12696.603999999999</v>
      </c>
      <c r="I2777" s="22">
        <f>F2777*(1+Assumptions!$B$7+IF(D2777="Yes",Assumptions!$C$7,0))</f>
        <v>12943.14</v>
      </c>
      <c r="J2777" s="22">
        <f>F2777*(1+Assumptions!$B$8+IF(D2777="Yes",Assumptions!$C$8,0))</f>
        <v>12450.067999999999</v>
      </c>
    </row>
    <row r="2778" spans="1:10" ht="15">
      <c r="A2778" s="21">
        <v>41166</v>
      </c>
      <c r="B2778" s="21">
        <v>41153</v>
      </c>
      <c r="C2778" s="17">
        <v>65</v>
      </c>
      <c r="D2778" s="17" t="s">
        <v>91</v>
      </c>
      <c r="E2778" s="14">
        <v>52034.55</v>
      </c>
      <c r="F2778" s="14">
        <v>33914.67</v>
      </c>
      <c r="G2778" s="14">
        <v>33914.67</v>
      </c>
      <c r="H2778" s="22">
        <f>F2778*(1+Assumptions!$B$6+IF(D2778="Yes",Assumptions!$C$6,0))</f>
        <v>34932.110099999998</v>
      </c>
      <c r="I2778" s="22">
        <f>F2778*(1+Assumptions!$B$7+IF(D2778="Yes",Assumptions!$C$7,0))</f>
        <v>35610.4035</v>
      </c>
      <c r="J2778" s="22">
        <f>F2778*(1+Assumptions!$B$8+IF(D2778="Yes",Assumptions!$C$8,0))</f>
        <v>34253.816699999996</v>
      </c>
    </row>
    <row r="2779" spans="1:10" ht="15">
      <c r="A2779" s="21">
        <v>41166</v>
      </c>
      <c r="B2779" s="21">
        <v>41153</v>
      </c>
      <c r="C2779" s="17">
        <v>67</v>
      </c>
      <c r="D2779" s="17" t="s">
        <v>91</v>
      </c>
      <c r="E2779" s="14">
        <v>269371.05</v>
      </c>
      <c r="F2779" s="14">
        <v>261526.38</v>
      </c>
      <c r="G2779" s="14">
        <v>261526.38</v>
      </c>
      <c r="H2779" s="22">
        <f>F2779*(1+Assumptions!$B$6+IF(D2779="Yes",Assumptions!$C$6,0))</f>
        <v>269372.17139999999</v>
      </c>
      <c r="I2779" s="22">
        <f>F2779*(1+Assumptions!$B$7+IF(D2779="Yes",Assumptions!$C$7,0))</f>
        <v>274602.69900000002</v>
      </c>
      <c r="J2779" s="22">
        <f>F2779*(1+Assumptions!$B$8+IF(D2779="Yes",Assumptions!$C$8,0))</f>
        <v>264141.64380000002</v>
      </c>
    </row>
    <row r="2780" spans="1:10" ht="15">
      <c r="A2780" s="21">
        <v>41166</v>
      </c>
      <c r="B2780" s="21">
        <v>41153</v>
      </c>
      <c r="C2780" s="17">
        <v>71</v>
      </c>
      <c r="D2780" s="17" t="s">
        <v>91</v>
      </c>
      <c r="E2780" s="14">
        <v>183337.87</v>
      </c>
      <c r="F2780" s="14">
        <v>189184.23</v>
      </c>
      <c r="G2780" s="14">
        <v>189184.23</v>
      </c>
      <c r="H2780" s="22">
        <f>F2780*(1+Assumptions!$B$6+IF(D2780="Yes",Assumptions!$C$6,0))</f>
        <v>194859.75690000001</v>
      </c>
      <c r="I2780" s="22">
        <f>F2780*(1+Assumptions!$B$7+IF(D2780="Yes",Assumptions!$C$7,0))</f>
        <v>198643.44150000002</v>
      </c>
      <c r="J2780" s="22">
        <f>F2780*(1+Assumptions!$B$8+IF(D2780="Yes",Assumptions!$C$8,0))</f>
        <v>191076.0723</v>
      </c>
    </row>
    <row r="2781" spans="1:10" ht="15">
      <c r="A2781" s="21">
        <v>41166</v>
      </c>
      <c r="B2781" s="21">
        <v>41153</v>
      </c>
      <c r="C2781" s="17">
        <v>72</v>
      </c>
      <c r="D2781" s="17" t="s">
        <v>91</v>
      </c>
      <c r="E2781" s="14">
        <v>1799019.17</v>
      </c>
      <c r="F2781" s="14">
        <v>1779078.16</v>
      </c>
      <c r="G2781" s="14">
        <v>1779078.16</v>
      </c>
      <c r="H2781" s="22">
        <f>F2781*(1+Assumptions!$B$6+IF(D2781="Yes",Assumptions!$C$6,0))</f>
        <v>1832450.5048</v>
      </c>
      <c r="I2781" s="22">
        <f>F2781*(1+Assumptions!$B$7+IF(D2781="Yes",Assumptions!$C$7,0))</f>
        <v>1868032.068</v>
      </c>
      <c r="J2781" s="22">
        <f>F2781*(1+Assumptions!$B$8+IF(D2781="Yes",Assumptions!$C$8,0))</f>
        <v>1796868.9416</v>
      </c>
    </row>
    <row r="2782" spans="1:10" ht="15">
      <c r="A2782" s="21">
        <v>41166</v>
      </c>
      <c r="B2782" s="21">
        <v>41153</v>
      </c>
      <c r="C2782" s="17">
        <v>74</v>
      </c>
      <c r="D2782" s="17" t="s">
        <v>91</v>
      </c>
      <c r="E2782" s="14">
        <v>581893.68000000005</v>
      </c>
      <c r="F2782" s="14">
        <v>592009.43000000005</v>
      </c>
      <c r="G2782" s="14">
        <v>592009.43000000005</v>
      </c>
      <c r="H2782" s="22">
        <f>F2782*(1+Assumptions!$B$6+IF(D2782="Yes",Assumptions!$C$6,0))</f>
        <v>609769.71290000004</v>
      </c>
      <c r="I2782" s="22">
        <f>F2782*(1+Assumptions!$B$7+IF(D2782="Yes",Assumptions!$C$7,0))</f>
        <v>621609.90150000004</v>
      </c>
      <c r="J2782" s="22">
        <f>F2782*(1+Assumptions!$B$8+IF(D2782="Yes",Assumptions!$C$8,0))</f>
        <v>597929.52430000005</v>
      </c>
    </row>
    <row r="2783" spans="1:10" ht="15">
      <c r="A2783" s="21">
        <v>41166</v>
      </c>
      <c r="B2783" s="21">
        <v>41153</v>
      </c>
      <c r="C2783" s="17">
        <v>79</v>
      </c>
      <c r="D2783" s="17" t="s">
        <v>91</v>
      </c>
      <c r="E2783" s="14">
        <v>936640.12</v>
      </c>
      <c r="F2783" s="14">
        <v>937139.64</v>
      </c>
      <c r="G2783" s="14">
        <v>937139.64</v>
      </c>
      <c r="H2783" s="22">
        <f>F2783*(1+Assumptions!$B$6+IF(D2783="Yes",Assumptions!$C$6,0))</f>
        <v>965253.82920000004</v>
      </c>
      <c r="I2783" s="22">
        <f>F2783*(1+Assumptions!$B$7+IF(D2783="Yes",Assumptions!$C$7,0))</f>
        <v>983996.62200000009</v>
      </c>
      <c r="J2783" s="22">
        <f>F2783*(1+Assumptions!$B$8+IF(D2783="Yes",Assumptions!$C$8,0))</f>
        <v>946511.03639999998</v>
      </c>
    </row>
    <row r="2784" spans="1:10" ht="15">
      <c r="A2784" s="21">
        <v>41166</v>
      </c>
      <c r="B2784" s="21">
        <v>41153</v>
      </c>
      <c r="C2784" s="17">
        <v>80</v>
      </c>
      <c r="D2784" s="17" t="s">
        <v>91</v>
      </c>
      <c r="E2784" s="14">
        <v>499943.66</v>
      </c>
      <c r="F2784" s="14">
        <v>516469.91</v>
      </c>
      <c r="G2784" s="14">
        <v>516469.91</v>
      </c>
      <c r="H2784" s="22">
        <f>F2784*(1+Assumptions!$B$6+IF(D2784="Yes",Assumptions!$C$6,0))</f>
        <v>531964.00729999994</v>
      </c>
      <c r="I2784" s="22">
        <f>F2784*(1+Assumptions!$B$7+IF(D2784="Yes",Assumptions!$C$7,0))</f>
        <v>542293.40549999999</v>
      </c>
      <c r="J2784" s="22">
        <f>F2784*(1+Assumptions!$B$8+IF(D2784="Yes",Assumptions!$C$8,0))</f>
        <v>521634.6091</v>
      </c>
    </row>
    <row r="2785" spans="1:10" ht="15">
      <c r="A2785" s="21">
        <v>41166</v>
      </c>
      <c r="B2785" s="21">
        <v>41153</v>
      </c>
      <c r="C2785" s="17">
        <v>81</v>
      </c>
      <c r="D2785" s="17" t="s">
        <v>91</v>
      </c>
      <c r="E2785" s="14">
        <v>693876.75</v>
      </c>
      <c r="F2785" s="14">
        <v>694685.42999999993</v>
      </c>
      <c r="G2785" s="14">
        <v>694685.42999999993</v>
      </c>
      <c r="H2785" s="22">
        <f>F2785*(1+Assumptions!$B$6+IF(D2785="Yes",Assumptions!$C$6,0))</f>
        <v>715525.99289999995</v>
      </c>
      <c r="I2785" s="22">
        <f>F2785*(1+Assumptions!$B$7+IF(D2785="Yes",Assumptions!$C$7,0))</f>
        <v>729419.70149999997</v>
      </c>
      <c r="J2785" s="22">
        <f>F2785*(1+Assumptions!$B$8+IF(D2785="Yes",Assumptions!$C$8,0))</f>
        <v>701632.28429999994</v>
      </c>
    </row>
    <row r="2786" spans="1:10" ht="15">
      <c r="A2786" s="21">
        <v>41166</v>
      </c>
      <c r="B2786" s="21">
        <v>41153</v>
      </c>
      <c r="C2786" s="17">
        <v>82</v>
      </c>
      <c r="D2786" s="17" t="s">
        <v>91</v>
      </c>
      <c r="E2786" s="14">
        <v>656705.63</v>
      </c>
      <c r="F2786" s="14">
        <v>626481.06999999995</v>
      </c>
      <c r="G2786" s="14">
        <v>626481.06999999995</v>
      </c>
      <c r="H2786" s="22">
        <f>F2786*(1+Assumptions!$B$6+IF(D2786="Yes",Assumptions!$C$6,0))</f>
        <v>645275.50209999993</v>
      </c>
      <c r="I2786" s="22">
        <f>F2786*(1+Assumptions!$B$7+IF(D2786="Yes",Assumptions!$C$7,0))</f>
        <v>657805.12349999999</v>
      </c>
      <c r="J2786" s="22">
        <f>F2786*(1+Assumptions!$B$8+IF(D2786="Yes",Assumptions!$C$8,0))</f>
        <v>632745.88069999998</v>
      </c>
    </row>
    <row r="2787" spans="1:10" ht="15">
      <c r="A2787" s="21">
        <v>41166</v>
      </c>
      <c r="B2787" s="21">
        <v>41153</v>
      </c>
      <c r="C2787" s="17">
        <v>83</v>
      </c>
      <c r="D2787" s="17" t="s">
        <v>91</v>
      </c>
      <c r="E2787" s="14">
        <v>131697.70000000001</v>
      </c>
      <c r="F2787" s="14">
        <v>125154.62</v>
      </c>
      <c r="G2787" s="14">
        <v>125154.62</v>
      </c>
      <c r="H2787" s="22">
        <f>F2787*(1+Assumptions!$B$6+IF(D2787="Yes",Assumptions!$C$6,0))</f>
        <v>128909.2586</v>
      </c>
      <c r="I2787" s="22">
        <f>F2787*(1+Assumptions!$B$7+IF(D2787="Yes",Assumptions!$C$7,0))</f>
        <v>131412.351</v>
      </c>
      <c r="J2787" s="22">
        <f>F2787*(1+Assumptions!$B$8+IF(D2787="Yes",Assumptions!$C$8,0))</f>
        <v>126406.16619999999</v>
      </c>
    </row>
    <row r="2788" spans="1:10" ht="15">
      <c r="A2788" s="21">
        <v>41166</v>
      </c>
      <c r="B2788" s="21">
        <v>41153</v>
      </c>
      <c r="C2788" s="17">
        <v>85</v>
      </c>
      <c r="D2788" s="17" t="s">
        <v>91</v>
      </c>
      <c r="E2788" s="14">
        <v>79328.17</v>
      </c>
      <c r="F2788" s="14">
        <v>90490.4</v>
      </c>
      <c r="G2788" s="14">
        <v>90490.4</v>
      </c>
      <c r="H2788" s="22">
        <f>F2788*(1+Assumptions!$B$6+IF(D2788="Yes",Assumptions!$C$6,0))</f>
        <v>93205.111999999994</v>
      </c>
      <c r="I2788" s="22">
        <f>F2788*(1+Assumptions!$B$7+IF(D2788="Yes",Assumptions!$C$7,0))</f>
        <v>95014.92</v>
      </c>
      <c r="J2788" s="22">
        <f>F2788*(1+Assumptions!$B$8+IF(D2788="Yes",Assumptions!$C$8,0))</f>
        <v>91395.303999999989</v>
      </c>
    </row>
    <row r="2789" spans="1:10" ht="15">
      <c r="A2789" s="21">
        <v>41166</v>
      </c>
      <c r="B2789" s="21">
        <v>41153</v>
      </c>
      <c r="C2789" s="17">
        <v>87</v>
      </c>
      <c r="D2789" s="17" t="s">
        <v>91</v>
      </c>
      <c r="E2789" s="14">
        <v>664330.72</v>
      </c>
      <c r="F2789" s="14">
        <v>571880.91</v>
      </c>
      <c r="G2789" s="14">
        <v>571880.91</v>
      </c>
      <c r="H2789" s="22">
        <f>F2789*(1+Assumptions!$B$6+IF(D2789="Yes",Assumptions!$C$6,0))</f>
        <v>589037.33730000001</v>
      </c>
      <c r="I2789" s="22">
        <f>F2789*(1+Assumptions!$B$7+IF(D2789="Yes",Assumptions!$C$7,0))</f>
        <v>600474.95550000004</v>
      </c>
      <c r="J2789" s="22">
        <f>F2789*(1+Assumptions!$B$8+IF(D2789="Yes",Assumptions!$C$8,0))</f>
        <v>577599.71909999999</v>
      </c>
    </row>
    <row r="2790" spans="1:10" ht="15">
      <c r="A2790" s="21">
        <v>41166</v>
      </c>
      <c r="B2790" s="21">
        <v>41153</v>
      </c>
      <c r="C2790" s="17">
        <v>90</v>
      </c>
      <c r="D2790" s="17" t="s">
        <v>91</v>
      </c>
      <c r="E2790" s="14">
        <v>2078970.32</v>
      </c>
      <c r="F2790" s="14">
        <v>2119764.5100000002</v>
      </c>
      <c r="G2790" s="14">
        <v>2119764.5100000002</v>
      </c>
      <c r="H2790" s="22">
        <f>F2790*(1+Assumptions!$B$6+IF(D2790="Yes",Assumptions!$C$6,0))</f>
        <v>2183357.4453000003</v>
      </c>
      <c r="I2790" s="22">
        <f>F2790*(1+Assumptions!$B$7+IF(D2790="Yes",Assumptions!$C$7,0))</f>
        <v>2225752.7355000004</v>
      </c>
      <c r="J2790" s="22">
        <f>F2790*(1+Assumptions!$B$8+IF(D2790="Yes",Assumptions!$C$8,0))</f>
        <v>2140962.1551000001</v>
      </c>
    </row>
    <row r="2791" spans="1:10" ht="15">
      <c r="A2791" s="21">
        <v>41166</v>
      </c>
      <c r="B2791" s="21">
        <v>41153</v>
      </c>
      <c r="C2791" s="17">
        <v>91</v>
      </c>
      <c r="D2791" s="17" t="s">
        <v>91</v>
      </c>
      <c r="E2791" s="14">
        <v>1539336.82</v>
      </c>
      <c r="F2791" s="14">
        <v>1539665.76</v>
      </c>
      <c r="G2791" s="14">
        <v>1539665.76</v>
      </c>
      <c r="H2791" s="22">
        <f>F2791*(1+Assumptions!$B$6+IF(D2791="Yes",Assumptions!$C$6,0))</f>
        <v>1585855.7328000001</v>
      </c>
      <c r="I2791" s="22">
        <f>F2791*(1+Assumptions!$B$7+IF(D2791="Yes",Assumptions!$C$7,0))</f>
        <v>1616649.0480000002</v>
      </c>
      <c r="J2791" s="22">
        <f>F2791*(1+Assumptions!$B$8+IF(D2791="Yes",Assumptions!$C$8,0))</f>
        <v>1555062.4176</v>
      </c>
    </row>
    <row r="2792" spans="1:10" ht="15">
      <c r="A2792" s="21">
        <v>41166</v>
      </c>
      <c r="B2792" s="21">
        <v>41153</v>
      </c>
      <c r="C2792" s="17">
        <v>92</v>
      </c>
      <c r="D2792" s="17" t="s">
        <v>91</v>
      </c>
      <c r="E2792" s="14">
        <v>3558737.24</v>
      </c>
      <c r="F2792" s="14">
        <v>3398824.24</v>
      </c>
      <c r="G2792" s="14">
        <v>3398824.24</v>
      </c>
      <c r="H2792" s="22">
        <f>F2792*(1+Assumptions!$B$6+IF(D2792="Yes",Assumptions!$C$6,0))</f>
        <v>3500788.9672000003</v>
      </c>
      <c r="I2792" s="22">
        <f>F2792*(1+Assumptions!$B$7+IF(D2792="Yes",Assumptions!$C$7,0))</f>
        <v>3568765.4520000005</v>
      </c>
      <c r="J2792" s="22">
        <f>F2792*(1+Assumptions!$B$8+IF(D2792="Yes",Assumptions!$C$8,0))</f>
        <v>3432812.4824000001</v>
      </c>
    </row>
    <row r="2793" spans="1:10" ht="15">
      <c r="A2793" s="21">
        <v>41166</v>
      </c>
      <c r="B2793" s="21">
        <v>41153</v>
      </c>
      <c r="C2793" s="17">
        <v>93</v>
      </c>
      <c r="D2793" s="17" t="s">
        <v>91</v>
      </c>
      <c r="E2793" s="14">
        <v>1181507.28</v>
      </c>
      <c r="F2793" s="14">
        <v>1131188.3999999999</v>
      </c>
      <c r="G2793" s="14">
        <v>1131188.3999999999</v>
      </c>
      <c r="H2793" s="22">
        <f>F2793*(1+Assumptions!$B$6+IF(D2793="Yes",Assumptions!$C$6,0))</f>
        <v>1165124.0519999999</v>
      </c>
      <c r="I2793" s="22">
        <f>F2793*(1+Assumptions!$B$7+IF(D2793="Yes",Assumptions!$C$7,0))</f>
        <v>1187747.82</v>
      </c>
      <c r="J2793" s="22">
        <f>F2793*(1+Assumptions!$B$8+IF(D2793="Yes",Assumptions!$C$8,0))</f>
        <v>1142500.284</v>
      </c>
    </row>
    <row r="2794" spans="1:10" ht="15">
      <c r="A2794" s="21">
        <v>41166</v>
      </c>
      <c r="B2794" s="21">
        <v>41153</v>
      </c>
      <c r="C2794" s="17">
        <v>94</v>
      </c>
      <c r="D2794" s="17" t="s">
        <v>91</v>
      </c>
      <c r="E2794" s="14">
        <v>1271801.1100000001</v>
      </c>
      <c r="F2794" s="14">
        <v>1262762.75</v>
      </c>
      <c r="G2794" s="14">
        <v>1262762.75</v>
      </c>
      <c r="H2794" s="22">
        <f>F2794*(1+Assumptions!$B$6+IF(D2794="Yes",Assumptions!$C$6,0))</f>
        <v>1300645.6325000001</v>
      </c>
      <c r="I2794" s="22">
        <f>F2794*(1+Assumptions!$B$7+IF(D2794="Yes",Assumptions!$C$7,0))</f>
        <v>1325900.8875</v>
      </c>
      <c r="J2794" s="22">
        <f>F2794*(1+Assumptions!$B$8+IF(D2794="Yes",Assumptions!$C$8,0))</f>
        <v>1275390.3774999999</v>
      </c>
    </row>
    <row r="2795" spans="1:10" ht="15">
      <c r="A2795" s="21">
        <v>41166</v>
      </c>
      <c r="B2795" s="21">
        <v>41153</v>
      </c>
      <c r="C2795" s="17">
        <v>95</v>
      </c>
      <c r="D2795" s="17" t="s">
        <v>91</v>
      </c>
      <c r="E2795" s="14">
        <v>3164634.8</v>
      </c>
      <c r="F2795" s="14">
        <v>3151942.42</v>
      </c>
      <c r="G2795" s="14">
        <v>3151942.42</v>
      </c>
      <c r="H2795" s="22">
        <f>F2795*(1+Assumptions!$B$6+IF(D2795="Yes",Assumptions!$C$6,0))</f>
        <v>3246500.6926000002</v>
      </c>
      <c r="I2795" s="22">
        <f>F2795*(1+Assumptions!$B$7+IF(D2795="Yes",Assumptions!$C$7,0))</f>
        <v>3309539.5410000002</v>
      </c>
      <c r="J2795" s="22">
        <f>F2795*(1+Assumptions!$B$8+IF(D2795="Yes",Assumptions!$C$8,0))</f>
        <v>3183461.8442000002</v>
      </c>
    </row>
    <row r="2796" spans="1:10" ht="15">
      <c r="A2796" s="21">
        <v>41166</v>
      </c>
      <c r="B2796" s="21">
        <v>41153</v>
      </c>
      <c r="C2796" s="17">
        <v>96</v>
      </c>
      <c r="D2796" s="17" t="s">
        <v>91</v>
      </c>
      <c r="E2796" s="14">
        <v>516406.53</v>
      </c>
      <c r="F2796" s="14">
        <v>505065.92</v>
      </c>
      <c r="G2796" s="14">
        <v>505065.92</v>
      </c>
      <c r="H2796" s="22">
        <f>F2796*(1+Assumptions!$B$6+IF(D2796="Yes",Assumptions!$C$6,0))</f>
        <v>520217.89760000003</v>
      </c>
      <c r="I2796" s="22">
        <f>F2796*(1+Assumptions!$B$7+IF(D2796="Yes",Assumptions!$C$7,0))</f>
        <v>530319.21600000001</v>
      </c>
      <c r="J2796" s="22">
        <f>F2796*(1+Assumptions!$B$8+IF(D2796="Yes",Assumptions!$C$8,0))</f>
        <v>510116.57919999998</v>
      </c>
    </row>
    <row r="2797" spans="1:10" ht="15">
      <c r="A2797" s="21">
        <v>41166</v>
      </c>
      <c r="B2797" s="21">
        <v>41153</v>
      </c>
      <c r="C2797" s="17">
        <v>97</v>
      </c>
      <c r="D2797" s="17" t="s">
        <v>91</v>
      </c>
      <c r="E2797" s="14">
        <v>656064</v>
      </c>
      <c r="F2797" s="14">
        <v>640893.19999999995</v>
      </c>
      <c r="G2797" s="14">
        <v>640893.19999999995</v>
      </c>
      <c r="H2797" s="22">
        <f>F2797*(1+Assumptions!$B$6+IF(D2797="Yes",Assumptions!$C$6,0))</f>
        <v>660119.99599999993</v>
      </c>
      <c r="I2797" s="22">
        <f>F2797*(1+Assumptions!$B$7+IF(D2797="Yes",Assumptions!$C$7,0))</f>
        <v>672937.86</v>
      </c>
      <c r="J2797" s="22">
        <f>F2797*(1+Assumptions!$B$8+IF(D2797="Yes",Assumptions!$C$8,0))</f>
        <v>647302.13199999998</v>
      </c>
    </row>
    <row r="2798" spans="1:10" ht="15">
      <c r="A2798" s="21">
        <v>41166</v>
      </c>
      <c r="B2798" s="21">
        <v>41153</v>
      </c>
      <c r="C2798" s="17">
        <v>98</v>
      </c>
      <c r="D2798" s="17" t="s">
        <v>91</v>
      </c>
      <c r="E2798" s="14">
        <v>258401.42</v>
      </c>
      <c r="F2798" s="14">
        <v>262350.03999999998</v>
      </c>
      <c r="G2798" s="14">
        <v>262350.03999999998</v>
      </c>
      <c r="H2798" s="22">
        <f>F2798*(1+Assumptions!$B$6+IF(D2798="Yes",Assumptions!$C$6,0))</f>
        <v>270220.54119999998</v>
      </c>
      <c r="I2798" s="22">
        <f>F2798*(1+Assumptions!$B$7+IF(D2798="Yes",Assumptions!$C$7,0))</f>
        <v>275467.54200000002</v>
      </c>
      <c r="J2798" s="22">
        <f>F2798*(1+Assumptions!$B$8+IF(D2798="Yes",Assumptions!$C$8,0))</f>
        <v>264973.5404</v>
      </c>
    </row>
    <row r="2799" spans="1:10" ht="15">
      <c r="A2799" s="21">
        <v>41166</v>
      </c>
      <c r="B2799" s="21">
        <v>41153</v>
      </c>
      <c r="C2799" s="17">
        <v>99</v>
      </c>
      <c r="D2799" s="17" t="s">
        <v>91</v>
      </c>
      <c r="E2799" s="14">
        <v>0.14000000000000001</v>
      </c>
      <c r="F2799" s="14">
        <v>-29.97</v>
      </c>
      <c r="G2799" s="14">
        <v>-29.97</v>
      </c>
      <c r="H2799" s="22">
        <f>F2799*(1+Assumptions!$B$6+IF(D2799="Yes",Assumptions!$C$6,0))</f>
        <v>-30.8691</v>
      </c>
      <c r="I2799" s="22">
        <f>F2799*(1+Assumptions!$B$7+IF(D2799="Yes",Assumptions!$C$7,0))</f>
        <v>-31.468499999999999</v>
      </c>
      <c r="J2799" s="22">
        <f>F2799*(1+Assumptions!$B$8+IF(D2799="Yes",Assumptions!$C$8,0))</f>
        <v>-30.2697</v>
      </c>
    </row>
    <row r="2800" spans="1:10" ht="15">
      <c r="A2800" s="21">
        <v>41173</v>
      </c>
      <c r="B2800" s="21">
        <v>41153</v>
      </c>
      <c r="C2800" s="17">
        <v>1</v>
      </c>
      <c r="D2800" s="17" t="s">
        <v>91</v>
      </c>
      <c r="E2800" s="14">
        <v>740105.84</v>
      </c>
      <c r="F2800" s="14">
        <v>734213.45</v>
      </c>
      <c r="G2800" s="14">
        <v>734213.45</v>
      </c>
      <c r="H2800" s="22">
        <f>F2800*(1+Assumptions!$B$6+IF(D2800="Yes",Assumptions!$C$6,0))</f>
        <v>756239.85349999997</v>
      </c>
      <c r="I2800" s="22">
        <f>F2800*(1+Assumptions!$B$7+IF(D2800="Yes",Assumptions!$C$7,0))</f>
        <v>770924.12249999994</v>
      </c>
      <c r="J2800" s="22">
        <f>F2800*(1+Assumptions!$B$8+IF(D2800="Yes",Assumptions!$C$8,0))</f>
        <v>741555.5845</v>
      </c>
    </row>
    <row r="2801" spans="1:10" ht="15">
      <c r="A2801" s="21">
        <v>41173</v>
      </c>
      <c r="B2801" s="21">
        <v>41153</v>
      </c>
      <c r="C2801" s="17">
        <v>2</v>
      </c>
      <c r="D2801" s="17" t="s">
        <v>91</v>
      </c>
      <c r="E2801" s="14">
        <v>1891218.64</v>
      </c>
      <c r="F2801" s="14">
        <v>1876513.1800000002</v>
      </c>
      <c r="G2801" s="14">
        <v>1876513.1800000002</v>
      </c>
      <c r="H2801" s="22">
        <f>F2801*(1+Assumptions!$B$6+IF(D2801="Yes",Assumptions!$C$6,0))</f>
        <v>1932808.5754000002</v>
      </c>
      <c r="I2801" s="22">
        <f>F2801*(1+Assumptions!$B$7+IF(D2801="Yes",Assumptions!$C$7,0))</f>
        <v>1970338.8390000002</v>
      </c>
      <c r="J2801" s="22">
        <f>F2801*(1+Assumptions!$B$8+IF(D2801="Yes",Assumptions!$C$8,0))</f>
        <v>1895278.3118000003</v>
      </c>
    </row>
    <row r="2802" spans="1:10" ht="15">
      <c r="A2802" s="21">
        <v>41173</v>
      </c>
      <c r="B2802" s="21">
        <v>41153</v>
      </c>
      <c r="C2802" s="17">
        <v>3</v>
      </c>
      <c r="D2802" s="17" t="s">
        <v>91</v>
      </c>
      <c r="E2802" s="14">
        <v>409312.09</v>
      </c>
      <c r="F2802" s="14">
        <v>400737.60000000003</v>
      </c>
      <c r="G2802" s="14">
        <v>400737.60000000003</v>
      </c>
      <c r="H2802" s="22">
        <f>F2802*(1+Assumptions!$B$6+IF(D2802="Yes",Assumptions!$C$6,0))</f>
        <v>412759.72800000006</v>
      </c>
      <c r="I2802" s="22">
        <f>F2802*(1+Assumptions!$B$7+IF(D2802="Yes",Assumptions!$C$7,0))</f>
        <v>420774.48000000004</v>
      </c>
      <c r="J2802" s="22">
        <f>F2802*(1+Assumptions!$B$8+IF(D2802="Yes",Assumptions!$C$8,0))</f>
        <v>404744.97600000002</v>
      </c>
    </row>
    <row r="2803" spans="1:10" ht="15">
      <c r="A2803" s="21">
        <v>41173</v>
      </c>
      <c r="B2803" s="21">
        <v>41153</v>
      </c>
      <c r="C2803" s="17">
        <v>4</v>
      </c>
      <c r="D2803" s="17" t="s">
        <v>91</v>
      </c>
      <c r="E2803" s="14">
        <v>1131506.47</v>
      </c>
      <c r="F2803" s="14">
        <v>1114860.8700000001</v>
      </c>
      <c r="G2803" s="14">
        <v>1114860.8700000001</v>
      </c>
      <c r="H2803" s="22">
        <f>F2803*(1+Assumptions!$B$6+IF(D2803="Yes",Assumptions!$C$6,0))</f>
        <v>1148306.6961000001</v>
      </c>
      <c r="I2803" s="22">
        <f>F2803*(1+Assumptions!$B$7+IF(D2803="Yes",Assumptions!$C$7,0))</f>
        <v>1170603.9135000003</v>
      </c>
      <c r="J2803" s="22">
        <f>F2803*(1+Assumptions!$B$8+IF(D2803="Yes",Assumptions!$C$8,0))</f>
        <v>1126009.4787000001</v>
      </c>
    </row>
    <row r="2804" spans="1:10" ht="15">
      <c r="A2804" s="21">
        <v>41173</v>
      </c>
      <c r="B2804" s="21">
        <v>41153</v>
      </c>
      <c r="C2804" s="17">
        <v>5</v>
      </c>
      <c r="D2804" s="17" t="s">
        <v>91</v>
      </c>
      <c r="E2804" s="14">
        <v>716140.77</v>
      </c>
      <c r="F2804" s="14">
        <v>778915.15</v>
      </c>
      <c r="G2804" s="14">
        <v>778915.15</v>
      </c>
      <c r="H2804" s="22">
        <f>F2804*(1+Assumptions!$B$6+IF(D2804="Yes",Assumptions!$C$6,0))</f>
        <v>802282.60450000002</v>
      </c>
      <c r="I2804" s="22">
        <f>F2804*(1+Assumptions!$B$7+IF(D2804="Yes",Assumptions!$C$7,0))</f>
        <v>817860.90750000009</v>
      </c>
      <c r="J2804" s="22">
        <f>F2804*(1+Assumptions!$B$8+IF(D2804="Yes",Assumptions!$C$8,0))</f>
        <v>786704.30150000006</v>
      </c>
    </row>
    <row r="2805" spans="1:10" ht="15">
      <c r="A2805" s="21">
        <v>41173</v>
      </c>
      <c r="B2805" s="21">
        <v>41153</v>
      </c>
      <c r="C2805" s="17">
        <v>6</v>
      </c>
      <c r="D2805" s="17" t="s">
        <v>91</v>
      </c>
      <c r="E2805" s="14">
        <v>139965.15</v>
      </c>
      <c r="F2805" s="14">
        <v>131452.20000000001</v>
      </c>
      <c r="G2805" s="14">
        <v>131452.20000000001</v>
      </c>
      <c r="H2805" s="22">
        <f>F2805*(1+Assumptions!$B$6+IF(D2805="Yes",Assumptions!$C$6,0))</f>
        <v>135395.766</v>
      </c>
      <c r="I2805" s="22">
        <f>F2805*(1+Assumptions!$B$7+IF(D2805="Yes",Assumptions!$C$7,0))</f>
        <v>138024.81000000003</v>
      </c>
      <c r="J2805" s="22">
        <f>F2805*(1+Assumptions!$B$8+IF(D2805="Yes",Assumptions!$C$8,0))</f>
        <v>132766.72200000001</v>
      </c>
    </row>
    <row r="2806" spans="1:10" ht="15">
      <c r="A2806" s="21">
        <v>41173</v>
      </c>
      <c r="B2806" s="21">
        <v>41153</v>
      </c>
      <c r="C2806" s="17">
        <v>7</v>
      </c>
      <c r="D2806" s="17" t="s">
        <v>91</v>
      </c>
      <c r="E2806" s="14">
        <v>940908.43</v>
      </c>
      <c r="F2806" s="14">
        <v>700475.6</v>
      </c>
      <c r="G2806" s="14">
        <v>700475.6</v>
      </c>
      <c r="H2806" s="22">
        <f>F2806*(1+Assumptions!$B$6+IF(D2806="Yes",Assumptions!$C$6,0))</f>
        <v>721489.86800000002</v>
      </c>
      <c r="I2806" s="22">
        <f>F2806*(1+Assumptions!$B$7+IF(D2806="Yes",Assumptions!$C$7,0))</f>
        <v>735499.38</v>
      </c>
      <c r="J2806" s="22">
        <f>F2806*(1+Assumptions!$B$8+IF(D2806="Yes",Assumptions!$C$8,0))</f>
        <v>707480.35600000003</v>
      </c>
    </row>
    <row r="2807" spans="1:10" ht="15">
      <c r="A2807" s="21">
        <v>41173</v>
      </c>
      <c r="B2807" s="21">
        <v>41153</v>
      </c>
      <c r="C2807" s="17">
        <v>8</v>
      </c>
      <c r="D2807" s="17" t="s">
        <v>91</v>
      </c>
      <c r="E2807" s="14">
        <v>1355012.29</v>
      </c>
      <c r="F2807" s="14">
        <v>1318152.72</v>
      </c>
      <c r="G2807" s="14">
        <v>1318152.72</v>
      </c>
      <c r="H2807" s="22">
        <f>F2807*(1+Assumptions!$B$6+IF(D2807="Yes",Assumptions!$C$6,0))</f>
        <v>1357697.3016000001</v>
      </c>
      <c r="I2807" s="22">
        <f>F2807*(1+Assumptions!$B$7+IF(D2807="Yes",Assumptions!$C$7,0))</f>
        <v>1384060.3560000001</v>
      </c>
      <c r="J2807" s="22">
        <f>F2807*(1+Assumptions!$B$8+IF(D2807="Yes",Assumptions!$C$8,0))</f>
        <v>1331334.2472000001</v>
      </c>
    </row>
    <row r="2808" spans="1:10" ht="15">
      <c r="A2808" s="21">
        <v>41173</v>
      </c>
      <c r="B2808" s="21">
        <v>41153</v>
      </c>
      <c r="C2808" s="17">
        <v>9</v>
      </c>
      <c r="D2808" s="17" t="s">
        <v>91</v>
      </c>
      <c r="E2808" s="14">
        <v>941106.69000000006</v>
      </c>
      <c r="F2808" s="14">
        <v>876942.49</v>
      </c>
      <c r="G2808" s="14">
        <v>876942.49</v>
      </c>
      <c r="H2808" s="22">
        <f>F2808*(1+Assumptions!$B$6+IF(D2808="Yes",Assumptions!$C$6,0))</f>
        <v>903250.76470000006</v>
      </c>
      <c r="I2808" s="22">
        <f>F2808*(1+Assumptions!$B$7+IF(D2808="Yes",Assumptions!$C$7,0))</f>
        <v>920789.61450000003</v>
      </c>
      <c r="J2808" s="22">
        <f>F2808*(1+Assumptions!$B$8+IF(D2808="Yes",Assumptions!$C$8,0))</f>
        <v>885711.91489999997</v>
      </c>
    </row>
    <row r="2809" spans="1:10" ht="15">
      <c r="A2809" s="21">
        <v>41173</v>
      </c>
      <c r="B2809" s="21">
        <v>41153</v>
      </c>
      <c r="C2809" s="17">
        <v>10</v>
      </c>
      <c r="D2809" s="17" t="s">
        <v>91</v>
      </c>
      <c r="E2809" s="14">
        <v>782355.09</v>
      </c>
      <c r="F2809" s="14">
        <v>796406.77</v>
      </c>
      <c r="G2809" s="14">
        <v>796406.77</v>
      </c>
      <c r="H2809" s="22">
        <f>F2809*(1+Assumptions!$B$6+IF(D2809="Yes",Assumptions!$C$6,0))</f>
        <v>820298.97310000006</v>
      </c>
      <c r="I2809" s="22">
        <f>F2809*(1+Assumptions!$B$7+IF(D2809="Yes",Assumptions!$C$7,0))</f>
        <v>836227.10850000009</v>
      </c>
      <c r="J2809" s="22">
        <f>F2809*(1+Assumptions!$B$8+IF(D2809="Yes",Assumptions!$C$8,0))</f>
        <v>804370.83770000003</v>
      </c>
    </row>
    <row r="2810" spans="1:10" ht="15">
      <c r="A2810" s="21">
        <v>41173</v>
      </c>
      <c r="B2810" s="21">
        <v>41153</v>
      </c>
      <c r="C2810" s="17">
        <v>11</v>
      </c>
      <c r="D2810" s="17" t="s">
        <v>91</v>
      </c>
      <c r="E2810" s="14">
        <v>481483.65</v>
      </c>
      <c r="F2810" s="14">
        <v>497912.62</v>
      </c>
      <c r="G2810" s="14">
        <v>497912.62</v>
      </c>
      <c r="H2810" s="22">
        <f>F2810*(1+Assumptions!$B$6+IF(D2810="Yes",Assumptions!$C$6,0))</f>
        <v>512849.99859999999</v>
      </c>
      <c r="I2810" s="22">
        <f>F2810*(1+Assumptions!$B$7+IF(D2810="Yes",Assumptions!$C$7,0))</f>
        <v>522808.25099999999</v>
      </c>
      <c r="J2810" s="22">
        <f>F2810*(1+Assumptions!$B$8+IF(D2810="Yes",Assumptions!$C$8,0))</f>
        <v>502891.74619999999</v>
      </c>
    </row>
    <row r="2811" spans="1:10" ht="15">
      <c r="A2811" s="21">
        <v>41173</v>
      </c>
      <c r="B2811" s="21">
        <v>41153</v>
      </c>
      <c r="C2811" s="17">
        <v>12</v>
      </c>
      <c r="D2811" s="17" t="s">
        <v>91</v>
      </c>
      <c r="E2811" s="14">
        <v>184364.24</v>
      </c>
      <c r="F2811" s="14">
        <v>185200.2</v>
      </c>
      <c r="G2811" s="14">
        <v>185200.2</v>
      </c>
      <c r="H2811" s="22">
        <f>F2811*(1+Assumptions!$B$6+IF(D2811="Yes",Assumptions!$C$6,0))</f>
        <v>190756.20600000001</v>
      </c>
      <c r="I2811" s="22">
        <f>F2811*(1+Assumptions!$B$7+IF(D2811="Yes",Assumptions!$C$7,0))</f>
        <v>194460.21000000002</v>
      </c>
      <c r="J2811" s="22">
        <f>F2811*(1+Assumptions!$B$8+IF(D2811="Yes",Assumptions!$C$8,0))</f>
        <v>187052.20200000002</v>
      </c>
    </row>
    <row r="2812" spans="1:10" ht="15">
      <c r="A2812" s="21">
        <v>41173</v>
      </c>
      <c r="B2812" s="21">
        <v>41153</v>
      </c>
      <c r="C2812" s="17">
        <v>13</v>
      </c>
      <c r="D2812" s="17" t="s">
        <v>91</v>
      </c>
      <c r="E2812" s="14">
        <v>1392126.65</v>
      </c>
      <c r="F2812" s="14">
        <v>1378641.95</v>
      </c>
      <c r="G2812" s="14">
        <v>1378641.95</v>
      </c>
      <c r="H2812" s="22">
        <f>F2812*(1+Assumptions!$B$6+IF(D2812="Yes",Assumptions!$C$6,0))</f>
        <v>1420001.2084999999</v>
      </c>
      <c r="I2812" s="22">
        <f>F2812*(1+Assumptions!$B$7+IF(D2812="Yes",Assumptions!$C$7,0))</f>
        <v>1447574.0475000001</v>
      </c>
      <c r="J2812" s="22">
        <f>F2812*(1+Assumptions!$B$8+IF(D2812="Yes",Assumptions!$C$8,0))</f>
        <v>1392428.3695</v>
      </c>
    </row>
    <row r="2813" spans="1:10" ht="15">
      <c r="A2813" s="21">
        <v>41173</v>
      </c>
      <c r="B2813" s="21">
        <v>41153</v>
      </c>
      <c r="C2813" s="17">
        <v>14</v>
      </c>
      <c r="D2813" s="17" t="s">
        <v>91</v>
      </c>
      <c r="E2813" s="14">
        <v>595118.80000000005</v>
      </c>
      <c r="F2813" s="14">
        <v>547695.72</v>
      </c>
      <c r="G2813" s="14">
        <v>547695.72</v>
      </c>
      <c r="H2813" s="22">
        <f>F2813*(1+Assumptions!$B$6+IF(D2813="Yes",Assumptions!$C$6,0))</f>
        <v>564126.59160000004</v>
      </c>
      <c r="I2813" s="22">
        <f>F2813*(1+Assumptions!$B$7+IF(D2813="Yes",Assumptions!$C$7,0))</f>
        <v>575080.50600000005</v>
      </c>
      <c r="J2813" s="22">
        <f>F2813*(1+Assumptions!$B$8+IF(D2813="Yes",Assumptions!$C$8,0))</f>
        <v>553172.67720000003</v>
      </c>
    </row>
    <row r="2814" spans="1:10" ht="15">
      <c r="A2814" s="21">
        <v>41173</v>
      </c>
      <c r="B2814" s="21">
        <v>41153</v>
      </c>
      <c r="C2814" s="17">
        <v>16</v>
      </c>
      <c r="D2814" s="17" t="s">
        <v>91</v>
      </c>
      <c r="E2814" s="14">
        <v>310017.84999999998</v>
      </c>
      <c r="F2814" s="14">
        <v>311008.65000000002</v>
      </c>
      <c r="G2814" s="14">
        <v>311008.65000000002</v>
      </c>
      <c r="H2814" s="22">
        <f>F2814*(1+Assumptions!$B$6+IF(D2814="Yes",Assumptions!$C$6,0))</f>
        <v>320338.90950000001</v>
      </c>
      <c r="I2814" s="22">
        <f>F2814*(1+Assumptions!$B$7+IF(D2814="Yes",Assumptions!$C$7,0))</f>
        <v>326559.08250000002</v>
      </c>
      <c r="J2814" s="22">
        <f>F2814*(1+Assumptions!$B$8+IF(D2814="Yes",Assumptions!$C$8,0))</f>
        <v>314118.7365</v>
      </c>
    </row>
    <row r="2815" spans="1:10" ht="15">
      <c r="A2815" s="21">
        <v>41173</v>
      </c>
      <c r="B2815" s="21">
        <v>41153</v>
      </c>
      <c r="C2815" s="17">
        <v>17</v>
      </c>
      <c r="D2815" s="17" t="s">
        <v>91</v>
      </c>
      <c r="E2815" s="14">
        <v>430022.5</v>
      </c>
      <c r="F2815" s="14">
        <v>423091.9</v>
      </c>
      <c r="G2815" s="14">
        <v>423091.9</v>
      </c>
      <c r="H2815" s="22">
        <f>F2815*(1+Assumptions!$B$6+IF(D2815="Yes",Assumptions!$C$6,0))</f>
        <v>435784.65700000001</v>
      </c>
      <c r="I2815" s="22">
        <f>F2815*(1+Assumptions!$B$7+IF(D2815="Yes",Assumptions!$C$7,0))</f>
        <v>444246.49500000005</v>
      </c>
      <c r="J2815" s="22">
        <f>F2815*(1+Assumptions!$B$8+IF(D2815="Yes",Assumptions!$C$8,0))</f>
        <v>427322.81900000002</v>
      </c>
    </row>
    <row r="2816" spans="1:10" ht="15">
      <c r="A2816" s="21">
        <v>41173</v>
      </c>
      <c r="B2816" s="21">
        <v>41153</v>
      </c>
      <c r="C2816" s="17">
        <v>18</v>
      </c>
      <c r="D2816" s="17" t="s">
        <v>91</v>
      </c>
      <c r="E2816" s="14">
        <v>185635.41</v>
      </c>
      <c r="F2816" s="14">
        <v>179563.29</v>
      </c>
      <c r="G2816" s="14">
        <v>179563.29</v>
      </c>
      <c r="H2816" s="22">
        <f>F2816*(1+Assumptions!$B$6+IF(D2816="Yes",Assumptions!$C$6,0))</f>
        <v>184950.1887</v>
      </c>
      <c r="I2816" s="22">
        <f>F2816*(1+Assumptions!$B$7+IF(D2816="Yes",Assumptions!$C$7,0))</f>
        <v>188541.45450000002</v>
      </c>
      <c r="J2816" s="22">
        <f>F2816*(1+Assumptions!$B$8+IF(D2816="Yes",Assumptions!$C$8,0))</f>
        <v>181358.92290000001</v>
      </c>
    </row>
    <row r="2817" spans="1:10" ht="15">
      <c r="A2817" s="21">
        <v>41173</v>
      </c>
      <c r="B2817" s="21">
        <v>41153</v>
      </c>
      <c r="C2817" s="17">
        <v>19</v>
      </c>
      <c r="D2817" s="17" t="s">
        <v>91</v>
      </c>
      <c r="E2817" s="14">
        <v>43421.159999999996</v>
      </c>
      <c r="F2817" s="14">
        <v>48422.69</v>
      </c>
      <c r="G2817" s="14">
        <v>48422.69</v>
      </c>
      <c r="H2817" s="22">
        <f>F2817*(1+Assumptions!$B$6+IF(D2817="Yes",Assumptions!$C$6,0))</f>
        <v>49875.370700000007</v>
      </c>
      <c r="I2817" s="22">
        <f>F2817*(1+Assumptions!$B$7+IF(D2817="Yes",Assumptions!$C$7,0))</f>
        <v>50843.824500000002</v>
      </c>
      <c r="J2817" s="22">
        <f>F2817*(1+Assumptions!$B$8+IF(D2817="Yes",Assumptions!$C$8,0))</f>
        <v>48906.916900000004</v>
      </c>
    </row>
    <row r="2818" spans="1:10" ht="15">
      <c r="A2818" s="21">
        <v>41173</v>
      </c>
      <c r="B2818" s="21">
        <v>41153</v>
      </c>
      <c r="C2818" s="17">
        <v>20</v>
      </c>
      <c r="D2818" s="17" t="s">
        <v>91</v>
      </c>
      <c r="E2818" s="14">
        <v>203577.76</v>
      </c>
      <c r="F2818" s="14">
        <v>197792.5</v>
      </c>
      <c r="G2818" s="14">
        <v>197792.5</v>
      </c>
      <c r="H2818" s="22">
        <f>F2818*(1+Assumptions!$B$6+IF(D2818="Yes",Assumptions!$C$6,0))</f>
        <v>203726.27499999999</v>
      </c>
      <c r="I2818" s="22">
        <f>F2818*(1+Assumptions!$B$7+IF(D2818="Yes",Assumptions!$C$7,0))</f>
        <v>207682.125</v>
      </c>
      <c r="J2818" s="22">
        <f>F2818*(1+Assumptions!$B$8+IF(D2818="Yes",Assumptions!$C$8,0))</f>
        <v>199770.42499999999</v>
      </c>
    </row>
    <row r="2819" spans="1:10" ht="15">
      <c r="A2819" s="21">
        <v>41173</v>
      </c>
      <c r="B2819" s="21">
        <v>41153</v>
      </c>
      <c r="C2819" s="17">
        <v>21</v>
      </c>
      <c r="D2819" s="17" t="s">
        <v>91</v>
      </c>
      <c r="E2819" s="14">
        <v>189050.06</v>
      </c>
      <c r="F2819" s="14">
        <v>200917.43</v>
      </c>
      <c r="G2819" s="14">
        <v>200917.43</v>
      </c>
      <c r="H2819" s="22">
        <f>F2819*(1+Assumptions!$B$6+IF(D2819="Yes",Assumptions!$C$6,0))</f>
        <v>206944.9529</v>
      </c>
      <c r="I2819" s="22">
        <f>F2819*(1+Assumptions!$B$7+IF(D2819="Yes",Assumptions!$C$7,0))</f>
        <v>210963.3015</v>
      </c>
      <c r="J2819" s="22">
        <f>F2819*(1+Assumptions!$B$8+IF(D2819="Yes",Assumptions!$C$8,0))</f>
        <v>202926.60430000001</v>
      </c>
    </row>
    <row r="2820" spans="1:10" ht="15">
      <c r="A2820" s="21">
        <v>41173</v>
      </c>
      <c r="B2820" s="21">
        <v>41153</v>
      </c>
      <c r="C2820" s="17">
        <v>22</v>
      </c>
      <c r="D2820" s="17" t="s">
        <v>91</v>
      </c>
      <c r="E2820" s="14">
        <v>401698.19</v>
      </c>
      <c r="F2820" s="14">
        <v>399715.33</v>
      </c>
      <c r="G2820" s="14">
        <v>399715.33</v>
      </c>
      <c r="H2820" s="22">
        <f>F2820*(1+Assumptions!$B$6+IF(D2820="Yes",Assumptions!$C$6,0))</f>
        <v>411706.78990000003</v>
      </c>
      <c r="I2820" s="22">
        <f>F2820*(1+Assumptions!$B$7+IF(D2820="Yes",Assumptions!$C$7,0))</f>
        <v>419701.09650000004</v>
      </c>
      <c r="J2820" s="22">
        <f>F2820*(1+Assumptions!$B$8+IF(D2820="Yes",Assumptions!$C$8,0))</f>
        <v>403712.48330000002</v>
      </c>
    </row>
    <row r="2821" spans="1:10" ht="15">
      <c r="A2821" s="21">
        <v>41173</v>
      </c>
      <c r="B2821" s="21">
        <v>41153</v>
      </c>
      <c r="C2821" s="17">
        <v>23</v>
      </c>
      <c r="D2821" s="17" t="s">
        <v>91</v>
      </c>
      <c r="E2821" s="14">
        <v>805828.05</v>
      </c>
      <c r="F2821" s="14">
        <v>828825.13</v>
      </c>
      <c r="G2821" s="14">
        <v>828825.13</v>
      </c>
      <c r="H2821" s="22">
        <f>F2821*(1+Assumptions!$B$6+IF(D2821="Yes",Assumptions!$C$6,0))</f>
        <v>853689.88390000002</v>
      </c>
      <c r="I2821" s="22">
        <f>F2821*(1+Assumptions!$B$7+IF(D2821="Yes",Assumptions!$C$7,0))</f>
        <v>870266.38650000002</v>
      </c>
      <c r="J2821" s="22">
        <f>F2821*(1+Assumptions!$B$8+IF(D2821="Yes",Assumptions!$C$8,0))</f>
        <v>837113.38130000001</v>
      </c>
    </row>
    <row r="2822" spans="1:10" ht="15">
      <c r="A2822" s="21">
        <v>41173</v>
      </c>
      <c r="B2822" s="21">
        <v>41153</v>
      </c>
      <c r="C2822" s="17">
        <v>24</v>
      </c>
      <c r="D2822" s="17" t="s">
        <v>91</v>
      </c>
      <c r="E2822" s="14">
        <v>193425.81</v>
      </c>
      <c r="F2822" s="14">
        <v>190062.98</v>
      </c>
      <c r="G2822" s="14">
        <v>190062.98</v>
      </c>
      <c r="H2822" s="22">
        <f>F2822*(1+Assumptions!$B$6+IF(D2822="Yes",Assumptions!$C$6,0))</f>
        <v>195764.86940000003</v>
      </c>
      <c r="I2822" s="22">
        <f>F2822*(1+Assumptions!$B$7+IF(D2822="Yes",Assumptions!$C$7,0))</f>
        <v>199566.12900000002</v>
      </c>
      <c r="J2822" s="22">
        <f>F2822*(1+Assumptions!$B$8+IF(D2822="Yes",Assumptions!$C$8,0))</f>
        <v>191963.60980000001</v>
      </c>
    </row>
    <row r="2823" spans="1:10" ht="15">
      <c r="A2823" s="21">
        <v>41173</v>
      </c>
      <c r="B2823" s="21">
        <v>41153</v>
      </c>
      <c r="C2823" s="17">
        <v>25</v>
      </c>
      <c r="D2823" s="17" t="s">
        <v>91</v>
      </c>
      <c r="E2823" s="14">
        <v>351559.71</v>
      </c>
      <c r="F2823" s="14">
        <v>370002.45</v>
      </c>
      <c r="G2823" s="14">
        <v>370002.45</v>
      </c>
      <c r="H2823" s="22">
        <f>F2823*(1+Assumptions!$B$6+IF(D2823="Yes",Assumptions!$C$6,0))</f>
        <v>381102.52350000001</v>
      </c>
      <c r="I2823" s="22">
        <f>F2823*(1+Assumptions!$B$7+IF(D2823="Yes",Assumptions!$C$7,0))</f>
        <v>388502.57250000001</v>
      </c>
      <c r="J2823" s="22">
        <f>F2823*(1+Assumptions!$B$8+IF(D2823="Yes",Assumptions!$C$8,0))</f>
        <v>373702.47450000001</v>
      </c>
    </row>
    <row r="2824" spans="1:10" ht="15">
      <c r="A2824" s="21">
        <v>41173</v>
      </c>
      <c r="B2824" s="21">
        <v>41153</v>
      </c>
      <c r="C2824" s="17">
        <v>26</v>
      </c>
      <c r="D2824" s="17" t="s">
        <v>91</v>
      </c>
      <c r="E2824" s="14">
        <v>339091.68</v>
      </c>
      <c r="F2824" s="14">
        <v>316392.13</v>
      </c>
      <c r="G2824" s="14">
        <v>316392.13</v>
      </c>
      <c r="H2824" s="22">
        <f>F2824*(1+Assumptions!$B$6+IF(D2824="Yes",Assumptions!$C$6,0))</f>
        <v>325883.89390000002</v>
      </c>
      <c r="I2824" s="22">
        <f>F2824*(1+Assumptions!$B$7+IF(D2824="Yes",Assumptions!$C$7,0))</f>
        <v>332211.7365</v>
      </c>
      <c r="J2824" s="22">
        <f>F2824*(1+Assumptions!$B$8+IF(D2824="Yes",Assumptions!$C$8,0))</f>
        <v>319556.05129999999</v>
      </c>
    </row>
    <row r="2825" spans="1:10" ht="15">
      <c r="A2825" s="21">
        <v>41173</v>
      </c>
      <c r="B2825" s="21">
        <v>41153</v>
      </c>
      <c r="C2825" s="17">
        <v>27</v>
      </c>
      <c r="D2825" s="17" t="s">
        <v>91</v>
      </c>
      <c r="E2825" s="14">
        <v>53737.3</v>
      </c>
      <c r="F2825" s="14">
        <v>52669.41</v>
      </c>
      <c r="G2825" s="14">
        <v>52669.41</v>
      </c>
      <c r="H2825" s="22">
        <f>F2825*(1+Assumptions!$B$6+IF(D2825="Yes",Assumptions!$C$6,0))</f>
        <v>54249.492300000005</v>
      </c>
      <c r="I2825" s="22">
        <f>F2825*(1+Assumptions!$B$7+IF(D2825="Yes",Assumptions!$C$7,0))</f>
        <v>55302.880500000007</v>
      </c>
      <c r="J2825" s="22">
        <f>F2825*(1+Assumptions!$B$8+IF(D2825="Yes",Assumptions!$C$8,0))</f>
        <v>53196.104100000004</v>
      </c>
    </row>
    <row r="2826" spans="1:10" ht="15">
      <c r="A2826" s="21">
        <v>41173</v>
      </c>
      <c r="B2826" s="21">
        <v>41153</v>
      </c>
      <c r="C2826" s="17">
        <v>28</v>
      </c>
      <c r="D2826" s="17" t="s">
        <v>91</v>
      </c>
      <c r="E2826" s="14">
        <v>20775.560000000001</v>
      </c>
      <c r="F2826" s="14">
        <v>22368.84</v>
      </c>
      <c r="G2826" s="14">
        <v>22368.84</v>
      </c>
      <c r="H2826" s="22">
        <f>F2826*(1+Assumptions!$B$6+IF(D2826="Yes",Assumptions!$C$6,0))</f>
        <v>23039.905200000001</v>
      </c>
      <c r="I2826" s="22">
        <f>F2826*(1+Assumptions!$B$7+IF(D2826="Yes",Assumptions!$C$7,0))</f>
        <v>23487.282000000003</v>
      </c>
      <c r="J2826" s="22">
        <f>F2826*(1+Assumptions!$B$8+IF(D2826="Yes",Assumptions!$C$8,0))</f>
        <v>22592.528399999999</v>
      </c>
    </row>
    <row r="2827" spans="1:10" ht="15">
      <c r="A2827" s="21">
        <v>41173</v>
      </c>
      <c r="B2827" s="21">
        <v>41153</v>
      </c>
      <c r="C2827" s="17">
        <v>29</v>
      </c>
      <c r="D2827" s="17" t="s">
        <v>91</v>
      </c>
      <c r="E2827" s="14">
        <v>179581.76</v>
      </c>
      <c r="F2827" s="14">
        <v>171376.31</v>
      </c>
      <c r="G2827" s="14">
        <v>171376.31</v>
      </c>
      <c r="H2827" s="22">
        <f>F2827*(1+Assumptions!$B$6+IF(D2827="Yes",Assumptions!$C$6,0))</f>
        <v>176517.5993</v>
      </c>
      <c r="I2827" s="22">
        <f>F2827*(1+Assumptions!$B$7+IF(D2827="Yes",Assumptions!$C$7,0))</f>
        <v>179945.12549999999</v>
      </c>
      <c r="J2827" s="22">
        <f>F2827*(1+Assumptions!$B$8+IF(D2827="Yes",Assumptions!$C$8,0))</f>
        <v>173090.07310000001</v>
      </c>
    </row>
    <row r="2828" spans="1:10" ht="15">
      <c r="A2828" s="21">
        <v>41173</v>
      </c>
      <c r="B2828" s="21">
        <v>41153</v>
      </c>
      <c r="C2828" s="17">
        <v>30</v>
      </c>
      <c r="D2828" s="17" t="s">
        <v>91</v>
      </c>
      <c r="E2828" s="14">
        <v>117752.95</v>
      </c>
      <c r="F2828" s="14">
        <v>124424.33</v>
      </c>
      <c r="G2828" s="14">
        <v>124424.33</v>
      </c>
      <c r="H2828" s="22">
        <f>F2828*(1+Assumptions!$B$6+IF(D2828="Yes",Assumptions!$C$6,0))</f>
        <v>128157.05990000001</v>
      </c>
      <c r="I2828" s="22">
        <f>F2828*(1+Assumptions!$B$7+IF(D2828="Yes",Assumptions!$C$7,0))</f>
        <v>130645.54650000001</v>
      </c>
      <c r="J2828" s="22">
        <f>F2828*(1+Assumptions!$B$8+IF(D2828="Yes",Assumptions!$C$8,0))</f>
        <v>125668.5733</v>
      </c>
    </row>
    <row r="2829" spans="1:10" ht="15">
      <c r="A2829" s="21">
        <v>41173</v>
      </c>
      <c r="B2829" s="21">
        <v>41153</v>
      </c>
      <c r="C2829" s="17">
        <v>31</v>
      </c>
      <c r="D2829" s="17" t="s">
        <v>91</v>
      </c>
      <c r="E2829" s="14">
        <v>75095.839999999997</v>
      </c>
      <c r="F2829" s="14">
        <v>80595.86</v>
      </c>
      <c r="G2829" s="14">
        <v>80595.86</v>
      </c>
      <c r="H2829" s="22">
        <f>F2829*(1+Assumptions!$B$6+IF(D2829="Yes",Assumptions!$C$6,0))</f>
        <v>83013.735800000009</v>
      </c>
      <c r="I2829" s="22">
        <f>F2829*(1+Assumptions!$B$7+IF(D2829="Yes",Assumptions!$C$7,0))</f>
        <v>84625.653000000006</v>
      </c>
      <c r="J2829" s="22">
        <f>F2829*(1+Assumptions!$B$8+IF(D2829="Yes",Assumptions!$C$8,0))</f>
        <v>81401.818599999999</v>
      </c>
    </row>
    <row r="2830" spans="1:10" ht="15">
      <c r="A2830" s="21">
        <v>41173</v>
      </c>
      <c r="B2830" s="21">
        <v>41153</v>
      </c>
      <c r="C2830" s="17">
        <v>32</v>
      </c>
      <c r="D2830" s="17" t="s">
        <v>91</v>
      </c>
      <c r="E2830" s="14">
        <v>219597.91</v>
      </c>
      <c r="F2830" s="14">
        <v>220589.72</v>
      </c>
      <c r="G2830" s="14">
        <v>220589.72</v>
      </c>
      <c r="H2830" s="22">
        <f>F2830*(1+Assumptions!$B$6+IF(D2830="Yes",Assumptions!$C$6,0))</f>
        <v>227207.41160000002</v>
      </c>
      <c r="I2830" s="22">
        <f>F2830*(1+Assumptions!$B$7+IF(D2830="Yes",Assumptions!$C$7,0))</f>
        <v>231619.20600000001</v>
      </c>
      <c r="J2830" s="22">
        <f>F2830*(1+Assumptions!$B$8+IF(D2830="Yes",Assumptions!$C$8,0))</f>
        <v>222795.61720000001</v>
      </c>
    </row>
    <row r="2831" spans="1:10" ht="15">
      <c r="A2831" s="21">
        <v>41173</v>
      </c>
      <c r="B2831" s="21">
        <v>41153</v>
      </c>
      <c r="C2831" s="17">
        <v>33</v>
      </c>
      <c r="D2831" s="17" t="s">
        <v>91</v>
      </c>
      <c r="E2831" s="14">
        <v>190716.08</v>
      </c>
      <c r="F2831" s="14">
        <v>194045.94</v>
      </c>
      <c r="G2831" s="14">
        <v>194045.94</v>
      </c>
      <c r="H2831" s="22">
        <f>F2831*(1+Assumptions!$B$6+IF(D2831="Yes",Assumptions!$C$6,0))</f>
        <v>199867.31820000001</v>
      </c>
      <c r="I2831" s="22">
        <f>F2831*(1+Assumptions!$B$7+IF(D2831="Yes",Assumptions!$C$7,0))</f>
        <v>203748.23700000002</v>
      </c>
      <c r="J2831" s="22">
        <f>F2831*(1+Assumptions!$B$8+IF(D2831="Yes",Assumptions!$C$8,0))</f>
        <v>195986.39939999999</v>
      </c>
    </row>
    <row r="2832" spans="1:10" ht="15">
      <c r="A2832" s="21">
        <v>41173</v>
      </c>
      <c r="B2832" s="21">
        <v>41153</v>
      </c>
      <c r="C2832" s="17">
        <v>34</v>
      </c>
      <c r="D2832" s="17" t="s">
        <v>91</v>
      </c>
      <c r="E2832" s="14">
        <v>517392.17</v>
      </c>
      <c r="F2832" s="14">
        <v>475548.1</v>
      </c>
      <c r="G2832" s="14">
        <v>475548.1</v>
      </c>
      <c r="H2832" s="22">
        <f>F2832*(1+Assumptions!$B$6+IF(D2832="Yes",Assumptions!$C$6,0))</f>
        <v>489814.54300000001</v>
      </c>
      <c r="I2832" s="22">
        <f>F2832*(1+Assumptions!$B$7+IF(D2832="Yes",Assumptions!$C$7,0))</f>
        <v>499325.505</v>
      </c>
      <c r="J2832" s="22">
        <f>F2832*(1+Assumptions!$B$8+IF(D2832="Yes",Assumptions!$C$8,0))</f>
        <v>480303.58100000001</v>
      </c>
    </row>
    <row r="2833" spans="1:10" ht="15">
      <c r="A2833" s="21">
        <v>41173</v>
      </c>
      <c r="B2833" s="21">
        <v>41153</v>
      </c>
      <c r="C2833" s="17">
        <v>35</v>
      </c>
      <c r="D2833" s="17" t="s">
        <v>91</v>
      </c>
      <c r="E2833" s="14">
        <v>85906.559999999998</v>
      </c>
      <c r="F2833" s="14">
        <v>100816.49</v>
      </c>
      <c r="G2833" s="14">
        <v>100816.49</v>
      </c>
      <c r="H2833" s="22">
        <f>F2833*(1+Assumptions!$B$6+IF(D2833="Yes",Assumptions!$C$6,0))</f>
        <v>103840.9847</v>
      </c>
      <c r="I2833" s="22">
        <f>F2833*(1+Assumptions!$B$7+IF(D2833="Yes",Assumptions!$C$7,0))</f>
        <v>105857.31450000001</v>
      </c>
      <c r="J2833" s="22">
        <f>F2833*(1+Assumptions!$B$8+IF(D2833="Yes",Assumptions!$C$8,0))</f>
        <v>101824.65490000001</v>
      </c>
    </row>
    <row r="2834" spans="1:10" ht="15">
      <c r="A2834" s="21">
        <v>41173</v>
      </c>
      <c r="B2834" s="21">
        <v>41153</v>
      </c>
      <c r="C2834" s="17">
        <v>36</v>
      </c>
      <c r="D2834" s="17" t="s">
        <v>91</v>
      </c>
      <c r="E2834" s="14">
        <v>33176.93</v>
      </c>
      <c r="F2834" s="14">
        <v>45843.03</v>
      </c>
      <c r="G2834" s="14">
        <v>45843.03</v>
      </c>
      <c r="H2834" s="22">
        <f>F2834*(1+Assumptions!$B$6+IF(D2834="Yes",Assumptions!$C$6,0))</f>
        <v>47218.320899999999</v>
      </c>
      <c r="I2834" s="22">
        <f>F2834*(1+Assumptions!$B$7+IF(D2834="Yes",Assumptions!$C$7,0))</f>
        <v>48135.181499999999</v>
      </c>
      <c r="J2834" s="22">
        <f>F2834*(1+Assumptions!$B$8+IF(D2834="Yes",Assumptions!$C$8,0))</f>
        <v>46301.460299999999</v>
      </c>
    </row>
    <row r="2835" spans="1:10" ht="15">
      <c r="A2835" s="21">
        <v>41173</v>
      </c>
      <c r="B2835" s="21">
        <v>41153</v>
      </c>
      <c r="C2835" s="17">
        <v>37</v>
      </c>
      <c r="D2835" s="17" t="s">
        <v>91</v>
      </c>
      <c r="E2835" s="14">
        <v>54235.64</v>
      </c>
      <c r="F2835" s="14">
        <v>54334.41</v>
      </c>
      <c r="G2835" s="14">
        <v>54334.41</v>
      </c>
      <c r="H2835" s="22">
        <f>F2835*(1+Assumptions!$B$6+IF(D2835="Yes",Assumptions!$C$6,0))</f>
        <v>55964.442300000002</v>
      </c>
      <c r="I2835" s="22">
        <f>F2835*(1+Assumptions!$B$7+IF(D2835="Yes",Assumptions!$C$7,0))</f>
        <v>57051.130500000007</v>
      </c>
      <c r="J2835" s="22">
        <f>F2835*(1+Assumptions!$B$8+IF(D2835="Yes",Assumptions!$C$8,0))</f>
        <v>54877.754100000006</v>
      </c>
    </row>
    <row r="2836" spans="1:10" ht="15">
      <c r="A2836" s="21">
        <v>41173</v>
      </c>
      <c r="B2836" s="21">
        <v>41153</v>
      </c>
      <c r="C2836" s="17">
        <v>38</v>
      </c>
      <c r="D2836" s="17" t="s">
        <v>91</v>
      </c>
      <c r="E2836" s="14">
        <v>2665724.5099999998</v>
      </c>
      <c r="F2836" s="14">
        <v>2694770.81</v>
      </c>
      <c r="G2836" s="14">
        <v>2694770.81</v>
      </c>
      <c r="H2836" s="22">
        <f>F2836*(1+Assumptions!$B$6+IF(D2836="Yes",Assumptions!$C$6,0))</f>
        <v>2775613.9343000003</v>
      </c>
      <c r="I2836" s="22">
        <f>F2836*(1+Assumptions!$B$7+IF(D2836="Yes",Assumptions!$C$7,0))</f>
        <v>2829509.3505000002</v>
      </c>
      <c r="J2836" s="22">
        <f>F2836*(1+Assumptions!$B$8+IF(D2836="Yes",Assumptions!$C$8,0))</f>
        <v>2721718.5181</v>
      </c>
    </row>
    <row r="2837" spans="1:10" ht="15">
      <c r="A2837" s="21">
        <v>41173</v>
      </c>
      <c r="B2837" s="21">
        <v>41153</v>
      </c>
      <c r="C2837" s="17">
        <v>40</v>
      </c>
      <c r="D2837" s="17" t="s">
        <v>91</v>
      </c>
      <c r="E2837" s="14">
        <v>2071286.53</v>
      </c>
      <c r="F2837" s="14">
        <v>1954775.31</v>
      </c>
      <c r="G2837" s="14">
        <v>1954775.31</v>
      </c>
      <c r="H2837" s="22">
        <f>F2837*(1+Assumptions!$B$6+IF(D2837="Yes",Assumptions!$C$6,0))</f>
        <v>2013418.5693000001</v>
      </c>
      <c r="I2837" s="22">
        <f>F2837*(1+Assumptions!$B$7+IF(D2837="Yes",Assumptions!$C$7,0))</f>
        <v>2052514.0755</v>
      </c>
      <c r="J2837" s="22">
        <f>F2837*(1+Assumptions!$B$8+IF(D2837="Yes",Assumptions!$C$8,0))</f>
        <v>1974323.0631000001</v>
      </c>
    </row>
    <row r="2838" spans="1:10" ht="15">
      <c r="A2838" s="21">
        <v>41173</v>
      </c>
      <c r="B2838" s="21">
        <v>41153</v>
      </c>
      <c r="C2838" s="17">
        <v>41</v>
      </c>
      <c r="D2838" s="17" t="s">
        <v>91</v>
      </c>
      <c r="E2838" s="14">
        <v>118174.27</v>
      </c>
      <c r="F2838" s="14">
        <v>121839.92</v>
      </c>
      <c r="G2838" s="14">
        <v>121839.92</v>
      </c>
      <c r="H2838" s="22">
        <f>F2838*(1+Assumptions!$B$6+IF(D2838="Yes",Assumptions!$C$6,0))</f>
        <v>125495.1176</v>
      </c>
      <c r="I2838" s="22">
        <f>F2838*(1+Assumptions!$B$7+IF(D2838="Yes",Assumptions!$C$7,0))</f>
        <v>127931.916</v>
      </c>
      <c r="J2838" s="22">
        <f>F2838*(1+Assumptions!$B$8+IF(D2838="Yes",Assumptions!$C$8,0))</f>
        <v>123058.3192</v>
      </c>
    </row>
    <row r="2839" spans="1:10" ht="15">
      <c r="A2839" s="21">
        <v>41173</v>
      </c>
      <c r="B2839" s="21">
        <v>41153</v>
      </c>
      <c r="C2839" s="17">
        <v>42</v>
      </c>
      <c r="D2839" s="17" t="s">
        <v>91</v>
      </c>
      <c r="E2839" s="14">
        <v>236680.41</v>
      </c>
      <c r="F2839" s="14">
        <v>245045.94</v>
      </c>
      <c r="G2839" s="14">
        <v>245045.94</v>
      </c>
      <c r="H2839" s="22">
        <f>F2839*(1+Assumptions!$B$6+IF(D2839="Yes",Assumptions!$C$6,0))</f>
        <v>252397.31820000001</v>
      </c>
      <c r="I2839" s="22">
        <f>F2839*(1+Assumptions!$B$7+IF(D2839="Yes",Assumptions!$C$7,0))</f>
        <v>257298.23700000002</v>
      </c>
      <c r="J2839" s="22">
        <f>F2839*(1+Assumptions!$B$8+IF(D2839="Yes",Assumptions!$C$8,0))</f>
        <v>247496.39939999999</v>
      </c>
    </row>
    <row r="2840" spans="1:10" ht="15">
      <c r="A2840" s="21">
        <v>41173</v>
      </c>
      <c r="B2840" s="21">
        <v>41153</v>
      </c>
      <c r="C2840" s="17">
        <v>44</v>
      </c>
      <c r="D2840" s="17" t="s">
        <v>91</v>
      </c>
      <c r="E2840" s="14">
        <v>187813.53</v>
      </c>
      <c r="F2840" s="14">
        <v>175442.38</v>
      </c>
      <c r="G2840" s="14">
        <v>175442.38</v>
      </c>
      <c r="H2840" s="22">
        <f>F2840*(1+Assumptions!$B$6+IF(D2840="Yes",Assumptions!$C$6,0))</f>
        <v>180705.6514</v>
      </c>
      <c r="I2840" s="22">
        <f>F2840*(1+Assumptions!$B$7+IF(D2840="Yes",Assumptions!$C$7,0))</f>
        <v>184214.49900000001</v>
      </c>
      <c r="J2840" s="22">
        <f>F2840*(1+Assumptions!$B$8+IF(D2840="Yes",Assumptions!$C$8,0))</f>
        <v>177196.80379999999</v>
      </c>
    </row>
    <row r="2841" spans="1:10" ht="15">
      <c r="A2841" s="21">
        <v>41173</v>
      </c>
      <c r="B2841" s="21">
        <v>41153</v>
      </c>
      <c r="C2841" s="17">
        <v>45</v>
      </c>
      <c r="D2841" s="17" t="s">
        <v>91</v>
      </c>
      <c r="E2841" s="14">
        <v>135.99</v>
      </c>
      <c r="F2841" s="14">
        <v>161.01</v>
      </c>
      <c r="G2841" s="14">
        <v>161.01</v>
      </c>
      <c r="H2841" s="22">
        <f>F2841*(1+Assumptions!$B$6+IF(D2841="Yes",Assumptions!$C$6,0))</f>
        <v>165.84029999999998</v>
      </c>
      <c r="I2841" s="22">
        <f>F2841*(1+Assumptions!$B$7+IF(D2841="Yes",Assumptions!$C$7,0))</f>
        <v>169.06049999999999</v>
      </c>
      <c r="J2841" s="22">
        <f>F2841*(1+Assumptions!$B$8+IF(D2841="Yes",Assumptions!$C$8,0))</f>
        <v>162.62009999999998</v>
      </c>
    </row>
    <row r="2842" spans="1:10" ht="15">
      <c r="A2842" s="21">
        <v>41173</v>
      </c>
      <c r="B2842" s="21">
        <v>41153</v>
      </c>
      <c r="C2842" s="17">
        <v>46</v>
      </c>
      <c r="D2842" s="17" t="s">
        <v>91</v>
      </c>
      <c r="E2842" s="14">
        <v>797121.48</v>
      </c>
      <c r="F2842" s="14">
        <v>765744.43</v>
      </c>
      <c r="G2842" s="14">
        <v>765744.43</v>
      </c>
      <c r="H2842" s="22">
        <f>F2842*(1+Assumptions!$B$6+IF(D2842="Yes",Assumptions!$C$6,0))</f>
        <v>788716.76290000009</v>
      </c>
      <c r="I2842" s="22">
        <f>F2842*(1+Assumptions!$B$7+IF(D2842="Yes",Assumptions!$C$7,0))</f>
        <v>804031.65150000004</v>
      </c>
      <c r="J2842" s="22">
        <f>F2842*(1+Assumptions!$B$8+IF(D2842="Yes",Assumptions!$C$8,0))</f>
        <v>773401.87430000002</v>
      </c>
    </row>
    <row r="2843" spans="1:10" ht="15">
      <c r="A2843" s="21">
        <v>41173</v>
      </c>
      <c r="B2843" s="21">
        <v>41153</v>
      </c>
      <c r="C2843" s="17">
        <v>47</v>
      </c>
      <c r="D2843" s="17" t="s">
        <v>91</v>
      </c>
      <c r="E2843" s="14">
        <v>-34.979999999999997</v>
      </c>
      <c r="F2843" s="14">
        <v>-109</v>
      </c>
      <c r="G2843" s="14">
        <v>-109</v>
      </c>
      <c r="H2843" s="22">
        <f>F2843*(1+Assumptions!$B$6+IF(D2843="Yes",Assumptions!$C$6,0))</f>
        <v>-112.27</v>
      </c>
      <c r="I2843" s="22">
        <f>F2843*(1+Assumptions!$B$7+IF(D2843="Yes",Assumptions!$C$7,0))</f>
        <v>-114.45</v>
      </c>
      <c r="J2843" s="22">
        <f>F2843*(1+Assumptions!$B$8+IF(D2843="Yes",Assumptions!$C$8,0))</f>
        <v>-110.09</v>
      </c>
    </row>
    <row r="2844" spans="1:10" ht="15">
      <c r="A2844" s="21">
        <v>41173</v>
      </c>
      <c r="B2844" s="21">
        <v>41153</v>
      </c>
      <c r="C2844" s="17">
        <v>48</v>
      </c>
      <c r="D2844" s="17" t="s">
        <v>91</v>
      </c>
      <c r="E2844" s="14">
        <v>44221</v>
      </c>
      <c r="F2844" s="14">
        <v>17759.560000000001</v>
      </c>
      <c r="G2844" s="14">
        <v>17759.560000000001</v>
      </c>
      <c r="H2844" s="22">
        <f>F2844*(1+Assumptions!$B$6+IF(D2844="Yes",Assumptions!$C$6,0))</f>
        <v>18292.346800000003</v>
      </c>
      <c r="I2844" s="22">
        <f>F2844*(1+Assumptions!$B$7+IF(D2844="Yes",Assumptions!$C$7,0))</f>
        <v>18647.538</v>
      </c>
      <c r="J2844" s="22">
        <f>F2844*(1+Assumptions!$B$8+IF(D2844="Yes",Assumptions!$C$8,0))</f>
        <v>17937.155600000002</v>
      </c>
    </row>
    <row r="2845" spans="1:10" ht="15">
      <c r="A2845" s="21">
        <v>41173</v>
      </c>
      <c r="B2845" s="21">
        <v>41153</v>
      </c>
      <c r="C2845" s="17">
        <v>49</v>
      </c>
      <c r="D2845" s="17" t="s">
        <v>91</v>
      </c>
      <c r="E2845" s="14">
        <v>247778.37</v>
      </c>
      <c r="F2845" s="14">
        <v>240502.45</v>
      </c>
      <c r="G2845" s="14">
        <v>240502.45</v>
      </c>
      <c r="H2845" s="22">
        <f>F2845*(1+Assumptions!$B$6+IF(D2845="Yes",Assumptions!$C$6,0))</f>
        <v>247717.52350000001</v>
      </c>
      <c r="I2845" s="22">
        <f>F2845*(1+Assumptions!$B$7+IF(D2845="Yes",Assumptions!$C$7,0))</f>
        <v>252527.57250000001</v>
      </c>
      <c r="J2845" s="22">
        <f>F2845*(1+Assumptions!$B$8+IF(D2845="Yes",Assumptions!$C$8,0))</f>
        <v>242907.47450000001</v>
      </c>
    </row>
    <row r="2846" spans="1:10" ht="15">
      <c r="A2846" s="21">
        <v>41173</v>
      </c>
      <c r="B2846" s="21">
        <v>41153</v>
      </c>
      <c r="C2846" s="17">
        <v>50</v>
      </c>
      <c r="D2846" s="17" t="s">
        <v>91</v>
      </c>
      <c r="E2846" s="14">
        <v>28584.5</v>
      </c>
      <c r="F2846" s="14">
        <v>27151.86</v>
      </c>
      <c r="G2846" s="14">
        <v>27151.86</v>
      </c>
      <c r="H2846" s="22">
        <f>F2846*(1+Assumptions!$B$6+IF(D2846="Yes",Assumptions!$C$6,0))</f>
        <v>27966.415800000002</v>
      </c>
      <c r="I2846" s="22">
        <f>F2846*(1+Assumptions!$B$7+IF(D2846="Yes",Assumptions!$C$7,0))</f>
        <v>28509.453000000001</v>
      </c>
      <c r="J2846" s="22">
        <f>F2846*(1+Assumptions!$B$8+IF(D2846="Yes",Assumptions!$C$8,0))</f>
        <v>27423.3786</v>
      </c>
    </row>
    <row r="2847" spans="1:10" ht="15">
      <c r="A2847" s="21">
        <v>41173</v>
      </c>
      <c r="B2847" s="21">
        <v>41153</v>
      </c>
      <c r="C2847" s="17">
        <v>52</v>
      </c>
      <c r="D2847" s="17" t="s">
        <v>91</v>
      </c>
      <c r="E2847" s="14">
        <v>76643.31</v>
      </c>
      <c r="F2847" s="14">
        <v>97217.16</v>
      </c>
      <c r="G2847" s="14">
        <v>97217.16</v>
      </c>
      <c r="H2847" s="22">
        <f>F2847*(1+Assumptions!$B$6+IF(D2847="Yes",Assumptions!$C$6,0))</f>
        <v>100133.67480000001</v>
      </c>
      <c r="I2847" s="22">
        <f>F2847*(1+Assumptions!$B$7+IF(D2847="Yes",Assumptions!$C$7,0))</f>
        <v>102078.01800000001</v>
      </c>
      <c r="J2847" s="22">
        <f>F2847*(1+Assumptions!$B$8+IF(D2847="Yes",Assumptions!$C$8,0))</f>
        <v>98189.331600000005</v>
      </c>
    </row>
    <row r="2848" spans="1:10" ht="15">
      <c r="A2848" s="21">
        <v>41173</v>
      </c>
      <c r="B2848" s="21">
        <v>41153</v>
      </c>
      <c r="C2848" s="17">
        <v>54</v>
      </c>
      <c r="D2848" s="17" t="s">
        <v>91</v>
      </c>
      <c r="E2848" s="14">
        <v>679.28</v>
      </c>
      <c r="F2848" s="14">
        <v>1070.6199999999999</v>
      </c>
      <c r="G2848" s="14">
        <v>1070.6199999999999</v>
      </c>
      <c r="H2848" s="22">
        <f>F2848*(1+Assumptions!$B$6+IF(D2848="Yes",Assumptions!$C$6,0))</f>
        <v>1102.7385999999999</v>
      </c>
      <c r="I2848" s="22">
        <f>F2848*(1+Assumptions!$B$7+IF(D2848="Yes",Assumptions!$C$7,0))</f>
        <v>1124.1509999999998</v>
      </c>
      <c r="J2848" s="22">
        <f>F2848*(1+Assumptions!$B$8+IF(D2848="Yes",Assumptions!$C$8,0))</f>
        <v>1081.3262</v>
      </c>
    </row>
    <row r="2849" spans="1:10" ht="15">
      <c r="A2849" s="21">
        <v>41173</v>
      </c>
      <c r="B2849" s="21">
        <v>41153</v>
      </c>
      <c r="C2849" s="17">
        <v>55</v>
      </c>
      <c r="D2849" s="17" t="s">
        <v>91</v>
      </c>
      <c r="E2849" s="14">
        <v>269700.93</v>
      </c>
      <c r="F2849" s="14">
        <v>331749.84999999998</v>
      </c>
      <c r="G2849" s="14">
        <v>331749.84999999998</v>
      </c>
      <c r="H2849" s="22">
        <f>F2849*(1+Assumptions!$B$6+IF(D2849="Yes",Assumptions!$C$6,0))</f>
        <v>341702.3455</v>
      </c>
      <c r="I2849" s="22">
        <f>F2849*(1+Assumptions!$B$7+IF(D2849="Yes",Assumptions!$C$7,0))</f>
        <v>348337.34249999997</v>
      </c>
      <c r="J2849" s="22">
        <f>F2849*(1+Assumptions!$B$8+IF(D2849="Yes",Assumptions!$C$8,0))</f>
        <v>335067.34849999996</v>
      </c>
    </row>
    <row r="2850" spans="1:10" ht="15">
      <c r="A2850" s="21">
        <v>41173</v>
      </c>
      <c r="B2850" s="21">
        <v>41153</v>
      </c>
      <c r="C2850" s="17">
        <v>56</v>
      </c>
      <c r="D2850" s="17" t="s">
        <v>91</v>
      </c>
      <c r="E2850" s="14">
        <v>77756.44</v>
      </c>
      <c r="F2850" s="14">
        <v>68551.34</v>
      </c>
      <c r="G2850" s="14">
        <v>68551.34</v>
      </c>
      <c r="H2850" s="22">
        <f>F2850*(1+Assumptions!$B$6+IF(D2850="Yes",Assumptions!$C$6,0))</f>
        <v>70607.8802</v>
      </c>
      <c r="I2850" s="22">
        <f>F2850*(1+Assumptions!$B$7+IF(D2850="Yes",Assumptions!$C$7,0))</f>
        <v>71978.907000000007</v>
      </c>
      <c r="J2850" s="22">
        <f>F2850*(1+Assumptions!$B$8+IF(D2850="Yes",Assumptions!$C$8,0))</f>
        <v>69236.853399999993</v>
      </c>
    </row>
    <row r="2851" spans="1:10" ht="15">
      <c r="A2851" s="21">
        <v>41173</v>
      </c>
      <c r="B2851" s="21">
        <v>41153</v>
      </c>
      <c r="C2851" s="17">
        <v>58</v>
      </c>
      <c r="D2851" s="17" t="s">
        <v>91</v>
      </c>
      <c r="E2851" s="14">
        <v>145430</v>
      </c>
      <c r="F2851" s="14">
        <v>92037.5</v>
      </c>
      <c r="G2851" s="14">
        <v>92037.5</v>
      </c>
      <c r="H2851" s="22">
        <f>F2851*(1+Assumptions!$B$6+IF(D2851="Yes",Assumptions!$C$6,0))</f>
        <v>94798.625</v>
      </c>
      <c r="I2851" s="22">
        <f>F2851*(1+Assumptions!$B$7+IF(D2851="Yes",Assumptions!$C$7,0))</f>
        <v>96639.375</v>
      </c>
      <c r="J2851" s="22">
        <f>F2851*(1+Assumptions!$B$8+IF(D2851="Yes",Assumptions!$C$8,0))</f>
        <v>92957.875</v>
      </c>
    </row>
    <row r="2852" spans="1:10" ht="15">
      <c r="A2852" s="21">
        <v>41173</v>
      </c>
      <c r="B2852" s="21">
        <v>41153</v>
      </c>
      <c r="C2852" s="17">
        <v>59</v>
      </c>
      <c r="D2852" s="17" t="s">
        <v>91</v>
      </c>
      <c r="E2852" s="14">
        <v>7977.81</v>
      </c>
      <c r="F2852" s="14">
        <v>10552.54</v>
      </c>
      <c r="G2852" s="14">
        <v>10552.54</v>
      </c>
      <c r="H2852" s="22">
        <f>F2852*(1+Assumptions!$B$6+IF(D2852="Yes",Assumptions!$C$6,0))</f>
        <v>10869.1162</v>
      </c>
      <c r="I2852" s="22">
        <f>F2852*(1+Assumptions!$B$7+IF(D2852="Yes",Assumptions!$C$7,0))</f>
        <v>11080.167000000001</v>
      </c>
      <c r="J2852" s="22">
        <f>F2852*(1+Assumptions!$B$8+IF(D2852="Yes",Assumptions!$C$8,0))</f>
        <v>10658.065400000001</v>
      </c>
    </row>
    <row r="2853" spans="1:10" ht="15">
      <c r="A2853" s="21">
        <v>41173</v>
      </c>
      <c r="B2853" s="21">
        <v>41153</v>
      </c>
      <c r="C2853" s="17">
        <v>60</v>
      </c>
      <c r="D2853" s="17" t="s">
        <v>91</v>
      </c>
      <c r="E2853" s="14">
        <v>12816</v>
      </c>
      <c r="F2853" s="14">
        <v>12829.6</v>
      </c>
      <c r="G2853" s="14">
        <v>12829.6</v>
      </c>
      <c r="H2853" s="22">
        <f>F2853*(1+Assumptions!$B$6+IF(D2853="Yes",Assumptions!$C$6,0))</f>
        <v>13214.488000000001</v>
      </c>
      <c r="I2853" s="22">
        <f>F2853*(1+Assumptions!$B$7+IF(D2853="Yes",Assumptions!$C$7,0))</f>
        <v>13471.080000000002</v>
      </c>
      <c r="J2853" s="22">
        <f>F2853*(1+Assumptions!$B$8+IF(D2853="Yes",Assumptions!$C$8,0))</f>
        <v>12957.896000000001</v>
      </c>
    </row>
    <row r="2854" spans="1:10" ht="15">
      <c r="A2854" s="21">
        <v>41173</v>
      </c>
      <c r="B2854" s="21">
        <v>41153</v>
      </c>
      <c r="C2854" s="17">
        <v>65</v>
      </c>
      <c r="D2854" s="17" t="s">
        <v>91</v>
      </c>
      <c r="E2854" s="14">
        <v>48174.15</v>
      </c>
      <c r="F2854" s="14">
        <v>31118.19</v>
      </c>
      <c r="G2854" s="14">
        <v>31118.19</v>
      </c>
      <c r="H2854" s="22">
        <f>F2854*(1+Assumptions!$B$6+IF(D2854="Yes",Assumptions!$C$6,0))</f>
        <v>32051.735700000001</v>
      </c>
      <c r="I2854" s="22">
        <f>F2854*(1+Assumptions!$B$7+IF(D2854="Yes",Assumptions!$C$7,0))</f>
        <v>32674.0995</v>
      </c>
      <c r="J2854" s="22">
        <f>F2854*(1+Assumptions!$B$8+IF(D2854="Yes",Assumptions!$C$8,0))</f>
        <v>31429.371899999998</v>
      </c>
    </row>
    <row r="2855" spans="1:10" ht="15">
      <c r="A2855" s="21">
        <v>41173</v>
      </c>
      <c r="B2855" s="21">
        <v>41153</v>
      </c>
      <c r="C2855" s="17">
        <v>67</v>
      </c>
      <c r="D2855" s="17" t="s">
        <v>91</v>
      </c>
      <c r="E2855" s="14">
        <v>276800.61</v>
      </c>
      <c r="F2855" s="14">
        <v>266762.78999999998</v>
      </c>
      <c r="G2855" s="14">
        <v>266762.78999999998</v>
      </c>
      <c r="H2855" s="22">
        <f>F2855*(1+Assumptions!$B$6+IF(D2855="Yes",Assumptions!$C$6,0))</f>
        <v>274765.67369999998</v>
      </c>
      <c r="I2855" s="22">
        <f>F2855*(1+Assumptions!$B$7+IF(D2855="Yes",Assumptions!$C$7,0))</f>
        <v>280100.92949999997</v>
      </c>
      <c r="J2855" s="22">
        <f>F2855*(1+Assumptions!$B$8+IF(D2855="Yes",Assumptions!$C$8,0))</f>
        <v>269430.4179</v>
      </c>
    </row>
    <row r="2856" spans="1:10" ht="15">
      <c r="A2856" s="21">
        <v>41173</v>
      </c>
      <c r="B2856" s="21">
        <v>41153</v>
      </c>
      <c r="C2856" s="17">
        <v>71</v>
      </c>
      <c r="D2856" s="17" t="s">
        <v>91</v>
      </c>
      <c r="E2856" s="14">
        <v>182751.01</v>
      </c>
      <c r="F2856" s="14">
        <v>180134.1</v>
      </c>
      <c r="G2856" s="14">
        <v>180134.1</v>
      </c>
      <c r="H2856" s="22">
        <f>F2856*(1+Assumptions!$B$6+IF(D2856="Yes",Assumptions!$C$6,0))</f>
        <v>185538.12300000002</v>
      </c>
      <c r="I2856" s="22">
        <f>F2856*(1+Assumptions!$B$7+IF(D2856="Yes",Assumptions!$C$7,0))</f>
        <v>189140.80500000002</v>
      </c>
      <c r="J2856" s="22">
        <f>F2856*(1+Assumptions!$B$8+IF(D2856="Yes",Assumptions!$C$8,0))</f>
        <v>181935.44100000002</v>
      </c>
    </row>
    <row r="2857" spans="1:10" ht="15">
      <c r="A2857" s="21">
        <v>41173</v>
      </c>
      <c r="B2857" s="21">
        <v>41153</v>
      </c>
      <c r="C2857" s="17">
        <v>72</v>
      </c>
      <c r="D2857" s="17" t="s">
        <v>91</v>
      </c>
      <c r="E2857" s="14">
        <v>2102142.83</v>
      </c>
      <c r="F2857" s="14">
        <v>1690879.05</v>
      </c>
      <c r="G2857" s="14">
        <v>1690879.05</v>
      </c>
      <c r="H2857" s="22">
        <f>F2857*(1+Assumptions!$B$6+IF(D2857="Yes",Assumptions!$C$6,0))</f>
        <v>1741605.4215000002</v>
      </c>
      <c r="I2857" s="22">
        <f>F2857*(1+Assumptions!$B$7+IF(D2857="Yes",Assumptions!$C$7,0))</f>
        <v>1775423.0025000002</v>
      </c>
      <c r="J2857" s="22">
        <f>F2857*(1+Assumptions!$B$8+IF(D2857="Yes",Assumptions!$C$8,0))</f>
        <v>1707787.8405000002</v>
      </c>
    </row>
    <row r="2858" spans="1:10" ht="15">
      <c r="A2858" s="21">
        <v>41173</v>
      </c>
      <c r="B2858" s="21">
        <v>41153</v>
      </c>
      <c r="C2858" s="17">
        <v>74</v>
      </c>
      <c r="D2858" s="17" t="s">
        <v>91</v>
      </c>
      <c r="E2858" s="14">
        <v>570261.72</v>
      </c>
      <c r="F2858" s="14">
        <v>587274.12</v>
      </c>
      <c r="G2858" s="14">
        <v>587274.12</v>
      </c>
      <c r="H2858" s="22">
        <f>F2858*(1+Assumptions!$B$6+IF(D2858="Yes",Assumptions!$C$6,0))</f>
        <v>604892.34360000002</v>
      </c>
      <c r="I2858" s="22">
        <f>F2858*(1+Assumptions!$B$7+IF(D2858="Yes",Assumptions!$C$7,0))</f>
        <v>616637.826</v>
      </c>
      <c r="J2858" s="22">
        <f>F2858*(1+Assumptions!$B$8+IF(D2858="Yes",Assumptions!$C$8,0))</f>
        <v>593146.86120000004</v>
      </c>
    </row>
    <row r="2859" spans="1:10" ht="15">
      <c r="A2859" s="21">
        <v>41173</v>
      </c>
      <c r="B2859" s="21">
        <v>41153</v>
      </c>
      <c r="C2859" s="17">
        <v>79</v>
      </c>
      <c r="D2859" s="17" t="s">
        <v>91</v>
      </c>
      <c r="E2859" s="14">
        <v>916992.53</v>
      </c>
      <c r="F2859" s="14">
        <v>913467.35</v>
      </c>
      <c r="G2859" s="14">
        <v>913467.35</v>
      </c>
      <c r="H2859" s="22">
        <f>F2859*(1+Assumptions!$B$6+IF(D2859="Yes",Assumptions!$C$6,0))</f>
        <v>940871.37049999996</v>
      </c>
      <c r="I2859" s="22">
        <f>F2859*(1+Assumptions!$B$7+IF(D2859="Yes",Assumptions!$C$7,0))</f>
        <v>959140.71750000003</v>
      </c>
      <c r="J2859" s="22">
        <f>F2859*(1+Assumptions!$B$8+IF(D2859="Yes",Assumptions!$C$8,0))</f>
        <v>922602.02350000001</v>
      </c>
    </row>
    <row r="2860" spans="1:10" ht="15">
      <c r="A2860" s="21">
        <v>41173</v>
      </c>
      <c r="B2860" s="21">
        <v>41153</v>
      </c>
      <c r="C2860" s="17">
        <v>80</v>
      </c>
      <c r="D2860" s="17" t="s">
        <v>91</v>
      </c>
      <c r="E2860" s="14">
        <v>485770.10000000003</v>
      </c>
      <c r="F2860" s="14">
        <v>493339.7</v>
      </c>
      <c r="G2860" s="14">
        <v>493339.7</v>
      </c>
      <c r="H2860" s="22">
        <f>F2860*(1+Assumptions!$B$6+IF(D2860="Yes",Assumptions!$C$6,0))</f>
        <v>508139.891</v>
      </c>
      <c r="I2860" s="22">
        <f>F2860*(1+Assumptions!$B$7+IF(D2860="Yes",Assumptions!$C$7,0))</f>
        <v>518006.68500000006</v>
      </c>
      <c r="J2860" s="22">
        <f>F2860*(1+Assumptions!$B$8+IF(D2860="Yes",Assumptions!$C$8,0))</f>
        <v>498273.09700000001</v>
      </c>
    </row>
    <row r="2861" spans="1:10" ht="15">
      <c r="A2861" s="21">
        <v>41173</v>
      </c>
      <c r="B2861" s="21">
        <v>41153</v>
      </c>
      <c r="C2861" s="17">
        <v>81</v>
      </c>
      <c r="D2861" s="17" t="s">
        <v>91</v>
      </c>
      <c r="E2861" s="14">
        <v>681888.61</v>
      </c>
      <c r="F2861" s="14">
        <v>672959.62</v>
      </c>
      <c r="G2861" s="14">
        <v>672959.62</v>
      </c>
      <c r="H2861" s="22">
        <f>F2861*(1+Assumptions!$B$6+IF(D2861="Yes",Assumptions!$C$6,0))</f>
        <v>693148.40859999997</v>
      </c>
      <c r="I2861" s="22">
        <f>F2861*(1+Assumptions!$B$7+IF(D2861="Yes",Assumptions!$C$7,0))</f>
        <v>706607.60100000002</v>
      </c>
      <c r="J2861" s="22">
        <f>F2861*(1+Assumptions!$B$8+IF(D2861="Yes",Assumptions!$C$8,0))</f>
        <v>679689.21620000002</v>
      </c>
    </row>
    <row r="2862" spans="1:10" ht="15">
      <c r="A2862" s="21">
        <v>41173</v>
      </c>
      <c r="B2862" s="21">
        <v>41153</v>
      </c>
      <c r="C2862" s="17">
        <v>82</v>
      </c>
      <c r="D2862" s="17" t="s">
        <v>91</v>
      </c>
      <c r="E2862" s="14">
        <v>652255.92000000004</v>
      </c>
      <c r="F2862" s="14">
        <v>618952.15</v>
      </c>
      <c r="G2862" s="14">
        <v>618952.15</v>
      </c>
      <c r="H2862" s="22">
        <f>F2862*(1+Assumptions!$B$6+IF(D2862="Yes",Assumptions!$C$6,0))</f>
        <v>637520.7145</v>
      </c>
      <c r="I2862" s="22">
        <f>F2862*(1+Assumptions!$B$7+IF(D2862="Yes",Assumptions!$C$7,0))</f>
        <v>649899.75750000007</v>
      </c>
      <c r="J2862" s="22">
        <f>F2862*(1+Assumptions!$B$8+IF(D2862="Yes",Assumptions!$C$8,0))</f>
        <v>625141.67150000005</v>
      </c>
    </row>
    <row r="2863" spans="1:10" ht="15">
      <c r="A2863" s="21">
        <v>41173</v>
      </c>
      <c r="B2863" s="21">
        <v>41153</v>
      </c>
      <c r="C2863" s="17">
        <v>83</v>
      </c>
      <c r="D2863" s="17" t="s">
        <v>91</v>
      </c>
      <c r="E2863" s="14">
        <v>121552.08</v>
      </c>
      <c r="F2863" s="14">
        <v>111031.20999999999</v>
      </c>
      <c r="G2863" s="14">
        <v>111031.20999999999</v>
      </c>
      <c r="H2863" s="22">
        <f>F2863*(1+Assumptions!$B$6+IF(D2863="Yes",Assumptions!$C$6,0))</f>
        <v>114362.14629999999</v>
      </c>
      <c r="I2863" s="22">
        <f>F2863*(1+Assumptions!$B$7+IF(D2863="Yes",Assumptions!$C$7,0))</f>
        <v>116582.7705</v>
      </c>
      <c r="J2863" s="22">
        <f>F2863*(1+Assumptions!$B$8+IF(D2863="Yes",Assumptions!$C$8,0))</f>
        <v>112141.52209999999</v>
      </c>
    </row>
    <row r="2864" spans="1:10" ht="15">
      <c r="A2864" s="21">
        <v>41173</v>
      </c>
      <c r="B2864" s="21">
        <v>41153</v>
      </c>
      <c r="C2864" s="17">
        <v>85</v>
      </c>
      <c r="D2864" s="17" t="s">
        <v>91</v>
      </c>
      <c r="E2864" s="14">
        <v>74650.240000000005</v>
      </c>
      <c r="F2864" s="14">
        <v>86096.3</v>
      </c>
      <c r="G2864" s="14">
        <v>86096.3</v>
      </c>
      <c r="H2864" s="22">
        <f>F2864*(1+Assumptions!$B$6+IF(D2864="Yes",Assumptions!$C$6,0))</f>
        <v>88679.188999999998</v>
      </c>
      <c r="I2864" s="22">
        <f>F2864*(1+Assumptions!$B$7+IF(D2864="Yes",Assumptions!$C$7,0))</f>
        <v>90401.115000000005</v>
      </c>
      <c r="J2864" s="22">
        <f>F2864*(1+Assumptions!$B$8+IF(D2864="Yes",Assumptions!$C$8,0))</f>
        <v>86957.263000000006</v>
      </c>
    </row>
    <row r="2865" spans="1:10" ht="15">
      <c r="A2865" s="21">
        <v>41173</v>
      </c>
      <c r="B2865" s="21">
        <v>41153</v>
      </c>
      <c r="C2865" s="17">
        <v>87</v>
      </c>
      <c r="D2865" s="17" t="s">
        <v>91</v>
      </c>
      <c r="E2865" s="14">
        <v>676338.05999999994</v>
      </c>
      <c r="F2865" s="14">
        <v>576210.43000000005</v>
      </c>
      <c r="G2865" s="14">
        <v>576210.43000000005</v>
      </c>
      <c r="H2865" s="22">
        <f>F2865*(1+Assumptions!$B$6+IF(D2865="Yes",Assumptions!$C$6,0))</f>
        <v>593496.74290000007</v>
      </c>
      <c r="I2865" s="22">
        <f>F2865*(1+Assumptions!$B$7+IF(D2865="Yes",Assumptions!$C$7,0))</f>
        <v>605020.95150000008</v>
      </c>
      <c r="J2865" s="22">
        <f>F2865*(1+Assumptions!$B$8+IF(D2865="Yes",Assumptions!$C$8,0))</f>
        <v>581972.53430000006</v>
      </c>
    </row>
    <row r="2866" spans="1:10" ht="15">
      <c r="A2866" s="21">
        <v>41173</v>
      </c>
      <c r="B2866" s="21">
        <v>41153</v>
      </c>
      <c r="C2866" s="17">
        <v>90</v>
      </c>
      <c r="D2866" s="17" t="s">
        <v>91</v>
      </c>
      <c r="E2866" s="14">
        <v>2044356.56</v>
      </c>
      <c r="F2866" s="14">
        <v>2028506.76</v>
      </c>
      <c r="G2866" s="14">
        <v>2028506.76</v>
      </c>
      <c r="H2866" s="22">
        <f>F2866*(1+Assumptions!$B$6+IF(D2866="Yes",Assumptions!$C$6,0))</f>
        <v>2089361.9628000001</v>
      </c>
      <c r="I2866" s="22">
        <f>F2866*(1+Assumptions!$B$7+IF(D2866="Yes",Assumptions!$C$7,0))</f>
        <v>2129932.0980000002</v>
      </c>
      <c r="J2866" s="22">
        <f>F2866*(1+Assumptions!$B$8+IF(D2866="Yes",Assumptions!$C$8,0))</f>
        <v>2048791.8276</v>
      </c>
    </row>
    <row r="2867" spans="1:10" ht="15">
      <c r="A2867" s="21">
        <v>41173</v>
      </c>
      <c r="B2867" s="21">
        <v>41153</v>
      </c>
      <c r="C2867" s="17">
        <v>91</v>
      </c>
      <c r="D2867" s="17" t="s">
        <v>91</v>
      </c>
      <c r="E2867" s="14">
        <v>1463990.76</v>
      </c>
      <c r="F2867" s="14">
        <v>1432803.75</v>
      </c>
      <c r="G2867" s="14">
        <v>1432803.75</v>
      </c>
      <c r="H2867" s="22">
        <f>F2867*(1+Assumptions!$B$6+IF(D2867="Yes",Assumptions!$C$6,0))</f>
        <v>1475787.8625</v>
      </c>
      <c r="I2867" s="22">
        <f>F2867*(1+Assumptions!$B$7+IF(D2867="Yes",Assumptions!$C$7,0))</f>
        <v>1504443.9375</v>
      </c>
      <c r="J2867" s="22">
        <f>F2867*(1+Assumptions!$B$8+IF(D2867="Yes",Assumptions!$C$8,0))</f>
        <v>1447131.7875000001</v>
      </c>
    </row>
    <row r="2868" spans="1:10" ht="15">
      <c r="A2868" s="21">
        <v>41173</v>
      </c>
      <c r="B2868" s="21">
        <v>41153</v>
      </c>
      <c r="C2868" s="17">
        <v>92</v>
      </c>
      <c r="D2868" s="17" t="s">
        <v>91</v>
      </c>
      <c r="E2868" s="14">
        <v>3468142.12</v>
      </c>
      <c r="F2868" s="14">
        <v>3216237.52</v>
      </c>
      <c r="G2868" s="14">
        <v>3216237.52</v>
      </c>
      <c r="H2868" s="22">
        <f>F2868*(1+Assumptions!$B$6+IF(D2868="Yes",Assumptions!$C$6,0))</f>
        <v>3312724.6455999999</v>
      </c>
      <c r="I2868" s="22">
        <f>F2868*(1+Assumptions!$B$7+IF(D2868="Yes",Assumptions!$C$7,0))</f>
        <v>3377049.3960000002</v>
      </c>
      <c r="J2868" s="22">
        <f>F2868*(1+Assumptions!$B$8+IF(D2868="Yes",Assumptions!$C$8,0))</f>
        <v>3248399.8952000001</v>
      </c>
    </row>
    <row r="2869" spans="1:10" ht="15">
      <c r="A2869" s="21">
        <v>41173</v>
      </c>
      <c r="B2869" s="21">
        <v>41153</v>
      </c>
      <c r="C2869" s="17">
        <v>93</v>
      </c>
      <c r="D2869" s="17" t="s">
        <v>91</v>
      </c>
      <c r="E2869" s="14">
        <v>1105792.3600000001</v>
      </c>
      <c r="F2869" s="14">
        <v>1024722.47</v>
      </c>
      <c r="G2869" s="14">
        <v>1024722.47</v>
      </c>
      <c r="H2869" s="22">
        <f>F2869*(1+Assumptions!$B$6+IF(D2869="Yes",Assumptions!$C$6,0))</f>
        <v>1055464.1440999999</v>
      </c>
      <c r="I2869" s="22">
        <f>F2869*(1+Assumptions!$B$7+IF(D2869="Yes",Assumptions!$C$7,0))</f>
        <v>1075958.5935</v>
      </c>
      <c r="J2869" s="22">
        <f>F2869*(1+Assumptions!$B$8+IF(D2869="Yes",Assumptions!$C$8,0))</f>
        <v>1034969.6947</v>
      </c>
    </row>
    <row r="2870" spans="1:10" ht="15">
      <c r="A2870" s="21">
        <v>41173</v>
      </c>
      <c r="B2870" s="21">
        <v>41153</v>
      </c>
      <c r="C2870" s="17">
        <v>94</v>
      </c>
      <c r="D2870" s="17" t="s">
        <v>91</v>
      </c>
      <c r="E2870" s="14">
        <v>1267344.47</v>
      </c>
      <c r="F2870" s="14">
        <v>1210672.02</v>
      </c>
      <c r="G2870" s="14">
        <v>1210672.02</v>
      </c>
      <c r="H2870" s="22">
        <f>F2870*(1+Assumptions!$B$6+IF(D2870="Yes",Assumptions!$C$6,0))</f>
        <v>1246992.1806000001</v>
      </c>
      <c r="I2870" s="22">
        <f>F2870*(1+Assumptions!$B$7+IF(D2870="Yes",Assumptions!$C$7,0))</f>
        <v>1271205.621</v>
      </c>
      <c r="J2870" s="22">
        <f>F2870*(1+Assumptions!$B$8+IF(D2870="Yes",Assumptions!$C$8,0))</f>
        <v>1222778.7402000001</v>
      </c>
    </row>
    <row r="2871" spans="1:10" ht="15">
      <c r="A2871" s="21">
        <v>41173</v>
      </c>
      <c r="B2871" s="21">
        <v>41153</v>
      </c>
      <c r="C2871" s="17">
        <v>95</v>
      </c>
      <c r="D2871" s="17" t="s">
        <v>91</v>
      </c>
      <c r="E2871" s="14">
        <v>3084955.1</v>
      </c>
      <c r="F2871" s="14">
        <v>3005697.28</v>
      </c>
      <c r="G2871" s="14">
        <v>3005697.28</v>
      </c>
      <c r="H2871" s="22">
        <f>F2871*(1+Assumptions!$B$6+IF(D2871="Yes",Assumptions!$C$6,0))</f>
        <v>3095868.1983999996</v>
      </c>
      <c r="I2871" s="22">
        <f>F2871*(1+Assumptions!$B$7+IF(D2871="Yes",Assumptions!$C$7,0))</f>
        <v>3155982.1439999999</v>
      </c>
      <c r="J2871" s="22">
        <f>F2871*(1+Assumptions!$B$8+IF(D2871="Yes",Assumptions!$C$8,0))</f>
        <v>3035754.2527999999</v>
      </c>
    </row>
    <row r="2872" spans="1:10" ht="15">
      <c r="A2872" s="21">
        <v>41173</v>
      </c>
      <c r="B2872" s="21">
        <v>41153</v>
      </c>
      <c r="C2872" s="17">
        <v>96</v>
      </c>
      <c r="D2872" s="17" t="s">
        <v>91</v>
      </c>
      <c r="E2872" s="14">
        <v>532808.35</v>
      </c>
      <c r="F2872" s="14">
        <v>506902.31</v>
      </c>
      <c r="G2872" s="14">
        <v>506902.31</v>
      </c>
      <c r="H2872" s="22">
        <f>F2872*(1+Assumptions!$B$6+IF(D2872="Yes",Assumptions!$C$6,0))</f>
        <v>522109.37930000003</v>
      </c>
      <c r="I2872" s="22">
        <f>F2872*(1+Assumptions!$B$7+IF(D2872="Yes",Assumptions!$C$7,0))</f>
        <v>532247.42550000001</v>
      </c>
      <c r="J2872" s="22">
        <f>F2872*(1+Assumptions!$B$8+IF(D2872="Yes",Assumptions!$C$8,0))</f>
        <v>511971.33309999999</v>
      </c>
    </row>
    <row r="2873" spans="1:10" ht="15">
      <c r="A2873" s="21">
        <v>41173</v>
      </c>
      <c r="B2873" s="21">
        <v>41153</v>
      </c>
      <c r="C2873" s="17">
        <v>97</v>
      </c>
      <c r="D2873" s="17" t="s">
        <v>91</v>
      </c>
      <c r="E2873" s="14">
        <v>632319.93000000005</v>
      </c>
      <c r="F2873" s="14">
        <v>596581</v>
      </c>
      <c r="G2873" s="14">
        <v>596581</v>
      </c>
      <c r="H2873" s="22">
        <f>F2873*(1+Assumptions!$B$6+IF(D2873="Yes",Assumptions!$C$6,0))</f>
        <v>614478.43000000005</v>
      </c>
      <c r="I2873" s="22">
        <f>F2873*(1+Assumptions!$B$7+IF(D2873="Yes",Assumptions!$C$7,0))</f>
        <v>626410.05000000005</v>
      </c>
      <c r="J2873" s="22">
        <f>F2873*(1+Assumptions!$B$8+IF(D2873="Yes",Assumptions!$C$8,0))</f>
        <v>602546.81000000006</v>
      </c>
    </row>
    <row r="2874" spans="1:10" ht="15">
      <c r="A2874" s="21">
        <v>41173</v>
      </c>
      <c r="B2874" s="21">
        <v>41153</v>
      </c>
      <c r="C2874" s="17">
        <v>98</v>
      </c>
      <c r="D2874" s="17" t="s">
        <v>91</v>
      </c>
      <c r="E2874" s="14">
        <v>260811.59</v>
      </c>
      <c r="F2874" s="14">
        <v>258261.39</v>
      </c>
      <c r="G2874" s="14">
        <v>258261.39</v>
      </c>
      <c r="H2874" s="22">
        <f>F2874*(1+Assumptions!$B$6+IF(D2874="Yes",Assumptions!$C$6,0))</f>
        <v>266009.2317</v>
      </c>
      <c r="I2874" s="22">
        <f>F2874*(1+Assumptions!$B$7+IF(D2874="Yes",Assumptions!$C$7,0))</f>
        <v>271174.4595</v>
      </c>
      <c r="J2874" s="22">
        <f>F2874*(1+Assumptions!$B$8+IF(D2874="Yes",Assumptions!$C$8,0))</f>
        <v>260844.00390000001</v>
      </c>
    </row>
    <row r="2875" spans="1:10" ht="15">
      <c r="A2875" s="21">
        <v>41180</v>
      </c>
      <c r="B2875" s="21">
        <v>41153</v>
      </c>
      <c r="C2875" s="17">
        <v>1</v>
      </c>
      <c r="D2875" s="17" t="s">
        <v>91</v>
      </c>
      <c r="E2875" s="14">
        <v>754344.66</v>
      </c>
      <c r="F2875" s="14">
        <v>741630.83</v>
      </c>
      <c r="G2875" s="14">
        <v>741630.83</v>
      </c>
      <c r="H2875" s="22">
        <f>F2875*(1+Assumptions!$B$6+IF(D2875="Yes",Assumptions!$C$6,0))</f>
        <v>763879.75489999994</v>
      </c>
      <c r="I2875" s="22">
        <f>F2875*(1+Assumptions!$B$7+IF(D2875="Yes",Assumptions!$C$7,0))</f>
        <v>778712.37150000001</v>
      </c>
      <c r="J2875" s="22">
        <f>F2875*(1+Assumptions!$B$8+IF(D2875="Yes",Assumptions!$C$8,0))</f>
        <v>749047.13829999999</v>
      </c>
    </row>
    <row r="2876" spans="1:10" ht="15">
      <c r="A2876" s="21">
        <v>41180</v>
      </c>
      <c r="B2876" s="21">
        <v>41153</v>
      </c>
      <c r="C2876" s="17">
        <v>2</v>
      </c>
      <c r="D2876" s="17" t="s">
        <v>91</v>
      </c>
      <c r="E2876" s="14">
        <v>1871196.15</v>
      </c>
      <c r="F2876" s="14">
        <v>1875052.27</v>
      </c>
      <c r="G2876" s="14">
        <v>1875052.27</v>
      </c>
      <c r="H2876" s="22">
        <f>F2876*(1+Assumptions!$B$6+IF(D2876="Yes",Assumptions!$C$6,0))</f>
        <v>1931303.8381000001</v>
      </c>
      <c r="I2876" s="22">
        <f>F2876*(1+Assumptions!$B$7+IF(D2876="Yes",Assumptions!$C$7,0))</f>
        <v>1968804.8835</v>
      </c>
      <c r="J2876" s="22">
        <f>F2876*(1+Assumptions!$B$8+IF(D2876="Yes",Assumptions!$C$8,0))</f>
        <v>1893802.7927000001</v>
      </c>
    </row>
    <row r="2877" spans="1:10" ht="15">
      <c r="A2877" s="21">
        <v>41180</v>
      </c>
      <c r="B2877" s="21">
        <v>41153</v>
      </c>
      <c r="C2877" s="17">
        <v>3</v>
      </c>
      <c r="D2877" s="17" t="s">
        <v>91</v>
      </c>
      <c r="E2877" s="14">
        <v>374436.87</v>
      </c>
      <c r="F2877" s="14">
        <v>371700.66</v>
      </c>
      <c r="G2877" s="14">
        <v>371700.66</v>
      </c>
      <c r="H2877" s="22">
        <f>F2877*(1+Assumptions!$B$6+IF(D2877="Yes",Assumptions!$C$6,0))</f>
        <v>382851.67979999998</v>
      </c>
      <c r="I2877" s="22">
        <f>F2877*(1+Assumptions!$B$7+IF(D2877="Yes",Assumptions!$C$7,0))</f>
        <v>390285.69299999997</v>
      </c>
      <c r="J2877" s="22">
        <f>F2877*(1+Assumptions!$B$8+IF(D2877="Yes",Assumptions!$C$8,0))</f>
        <v>375417.6666</v>
      </c>
    </row>
    <row r="2878" spans="1:10" ht="15">
      <c r="A2878" s="21">
        <v>41180</v>
      </c>
      <c r="B2878" s="21">
        <v>41153</v>
      </c>
      <c r="C2878" s="17">
        <v>4</v>
      </c>
      <c r="D2878" s="17" t="s">
        <v>91</v>
      </c>
      <c r="E2878" s="14">
        <v>1104026.27</v>
      </c>
      <c r="F2878" s="14">
        <v>1107631.33</v>
      </c>
      <c r="G2878" s="14">
        <v>1107631.33</v>
      </c>
      <c r="H2878" s="22">
        <f>F2878*(1+Assumptions!$B$6+IF(D2878="Yes",Assumptions!$C$6,0))</f>
        <v>1140860.2699000002</v>
      </c>
      <c r="I2878" s="22">
        <f>F2878*(1+Assumptions!$B$7+IF(D2878="Yes",Assumptions!$C$7,0))</f>
        <v>1163012.8965</v>
      </c>
      <c r="J2878" s="22">
        <f>F2878*(1+Assumptions!$B$8+IF(D2878="Yes",Assumptions!$C$8,0))</f>
        <v>1118707.6433000001</v>
      </c>
    </row>
    <row r="2879" spans="1:10" ht="15">
      <c r="A2879" s="21">
        <v>41180</v>
      </c>
      <c r="B2879" s="21">
        <v>41153</v>
      </c>
      <c r="C2879" s="17">
        <v>5</v>
      </c>
      <c r="D2879" s="17" t="s">
        <v>91</v>
      </c>
      <c r="E2879" s="14">
        <v>966842.55</v>
      </c>
      <c r="F2879" s="14">
        <v>765771.59</v>
      </c>
      <c r="G2879" s="14">
        <v>765771.59</v>
      </c>
      <c r="H2879" s="22">
        <f>F2879*(1+Assumptions!$B$6+IF(D2879="Yes",Assumptions!$C$6,0))</f>
        <v>788744.73769999994</v>
      </c>
      <c r="I2879" s="22">
        <f>F2879*(1+Assumptions!$B$7+IF(D2879="Yes",Assumptions!$C$7,0))</f>
        <v>804060.16949999996</v>
      </c>
      <c r="J2879" s="22">
        <f>F2879*(1+Assumptions!$B$8+IF(D2879="Yes",Assumptions!$C$8,0))</f>
        <v>773429.30589999992</v>
      </c>
    </row>
    <row r="2880" spans="1:10" ht="15">
      <c r="A2880" s="21">
        <v>41180</v>
      </c>
      <c r="B2880" s="21">
        <v>41153</v>
      </c>
      <c r="C2880" s="17">
        <v>6</v>
      </c>
      <c r="D2880" s="17" t="s">
        <v>91</v>
      </c>
      <c r="E2880" s="14">
        <v>145348.96</v>
      </c>
      <c r="F2880" s="14">
        <v>141102.47</v>
      </c>
      <c r="G2880" s="14">
        <v>141102.47</v>
      </c>
      <c r="H2880" s="22">
        <f>F2880*(1+Assumptions!$B$6+IF(D2880="Yes",Assumptions!$C$6,0))</f>
        <v>145335.5441</v>
      </c>
      <c r="I2880" s="22">
        <f>F2880*(1+Assumptions!$B$7+IF(D2880="Yes",Assumptions!$C$7,0))</f>
        <v>148157.59350000002</v>
      </c>
      <c r="J2880" s="22">
        <f>F2880*(1+Assumptions!$B$8+IF(D2880="Yes",Assumptions!$C$8,0))</f>
        <v>142513.49470000001</v>
      </c>
    </row>
    <row r="2881" spans="1:10" ht="15">
      <c r="A2881" s="21">
        <v>41180</v>
      </c>
      <c r="B2881" s="21">
        <v>41153</v>
      </c>
      <c r="C2881" s="17">
        <v>7</v>
      </c>
      <c r="D2881" s="17" t="s">
        <v>91</v>
      </c>
      <c r="E2881" s="14">
        <v>869829.11</v>
      </c>
      <c r="F2881" s="14">
        <v>688208.27</v>
      </c>
      <c r="G2881" s="14">
        <v>688208.27</v>
      </c>
      <c r="H2881" s="22">
        <f>F2881*(1+Assumptions!$B$6+IF(D2881="Yes",Assumptions!$C$6,0))</f>
        <v>708854.51809999999</v>
      </c>
      <c r="I2881" s="22">
        <f>F2881*(1+Assumptions!$B$7+IF(D2881="Yes",Assumptions!$C$7,0))</f>
        <v>722618.68350000004</v>
      </c>
      <c r="J2881" s="22">
        <f>F2881*(1+Assumptions!$B$8+IF(D2881="Yes",Assumptions!$C$8,0))</f>
        <v>695090.35270000005</v>
      </c>
    </row>
    <row r="2882" spans="1:10" ht="15">
      <c r="A2882" s="21">
        <v>41180</v>
      </c>
      <c r="B2882" s="21">
        <v>41153</v>
      </c>
      <c r="C2882" s="17">
        <v>8</v>
      </c>
      <c r="D2882" s="17" t="s">
        <v>91</v>
      </c>
      <c r="E2882" s="14">
        <v>1353133.83</v>
      </c>
      <c r="F2882" s="14">
        <v>1322682.44</v>
      </c>
      <c r="G2882" s="14">
        <v>1322682.44</v>
      </c>
      <c r="H2882" s="22">
        <f>F2882*(1+Assumptions!$B$6+IF(D2882="Yes",Assumptions!$C$6,0))</f>
        <v>1362362.9132000001</v>
      </c>
      <c r="I2882" s="22">
        <f>F2882*(1+Assumptions!$B$7+IF(D2882="Yes",Assumptions!$C$7,0))</f>
        <v>1388816.5619999999</v>
      </c>
      <c r="J2882" s="22">
        <f>F2882*(1+Assumptions!$B$8+IF(D2882="Yes",Assumptions!$C$8,0))</f>
        <v>1335909.2644</v>
      </c>
    </row>
    <row r="2883" spans="1:10" ht="15">
      <c r="A2883" s="21">
        <v>41180</v>
      </c>
      <c r="B2883" s="21">
        <v>41153</v>
      </c>
      <c r="C2883" s="17">
        <v>9</v>
      </c>
      <c r="D2883" s="17" t="s">
        <v>91</v>
      </c>
      <c r="E2883" s="14">
        <v>949123.35</v>
      </c>
      <c r="F2883" s="14">
        <v>878129.29</v>
      </c>
      <c r="G2883" s="14">
        <v>878129.29</v>
      </c>
      <c r="H2883" s="22">
        <f>F2883*(1+Assumptions!$B$6+IF(D2883="Yes",Assumptions!$C$6,0))</f>
        <v>904473.16870000004</v>
      </c>
      <c r="I2883" s="22">
        <f>F2883*(1+Assumptions!$B$7+IF(D2883="Yes",Assumptions!$C$7,0))</f>
        <v>922035.75450000004</v>
      </c>
      <c r="J2883" s="22">
        <f>F2883*(1+Assumptions!$B$8+IF(D2883="Yes",Assumptions!$C$8,0))</f>
        <v>886910.58290000004</v>
      </c>
    </row>
    <row r="2884" spans="1:10" ht="15">
      <c r="A2884" s="21">
        <v>41180</v>
      </c>
      <c r="B2884" s="21">
        <v>41153</v>
      </c>
      <c r="C2884" s="17">
        <v>10</v>
      </c>
      <c r="D2884" s="17" t="s">
        <v>91</v>
      </c>
      <c r="E2884" s="14">
        <v>800098.5</v>
      </c>
      <c r="F2884" s="14">
        <v>808471.5</v>
      </c>
      <c r="G2884" s="14">
        <v>808471.5</v>
      </c>
      <c r="H2884" s="22">
        <f>F2884*(1+Assumptions!$B$6+IF(D2884="Yes",Assumptions!$C$6,0))</f>
        <v>832725.64500000002</v>
      </c>
      <c r="I2884" s="22">
        <f>F2884*(1+Assumptions!$B$7+IF(D2884="Yes",Assumptions!$C$7,0))</f>
        <v>848895.07500000007</v>
      </c>
      <c r="J2884" s="22">
        <f>F2884*(1+Assumptions!$B$8+IF(D2884="Yes",Assumptions!$C$8,0))</f>
        <v>816556.21499999997</v>
      </c>
    </row>
    <row r="2885" spans="1:10" ht="15">
      <c r="A2885" s="21">
        <v>41180</v>
      </c>
      <c r="B2885" s="21">
        <v>41153</v>
      </c>
      <c r="C2885" s="17">
        <v>11</v>
      </c>
      <c r="D2885" s="17" t="s">
        <v>91</v>
      </c>
      <c r="E2885" s="14">
        <v>496094.31</v>
      </c>
      <c r="F2885" s="14">
        <v>488770.71</v>
      </c>
      <c r="G2885" s="14">
        <v>488770.71</v>
      </c>
      <c r="H2885" s="22">
        <f>F2885*(1+Assumptions!$B$6+IF(D2885="Yes",Assumptions!$C$6,0))</f>
        <v>503433.83130000002</v>
      </c>
      <c r="I2885" s="22">
        <f>F2885*(1+Assumptions!$B$7+IF(D2885="Yes",Assumptions!$C$7,0))</f>
        <v>513209.24550000002</v>
      </c>
      <c r="J2885" s="22">
        <f>F2885*(1+Assumptions!$B$8+IF(D2885="Yes",Assumptions!$C$8,0))</f>
        <v>493658.41710000002</v>
      </c>
    </row>
    <row r="2886" spans="1:10" ht="15">
      <c r="A2886" s="21">
        <v>41180</v>
      </c>
      <c r="B2886" s="21">
        <v>41153</v>
      </c>
      <c r="C2886" s="17">
        <v>12</v>
      </c>
      <c r="D2886" s="17" t="s">
        <v>91</v>
      </c>
      <c r="E2886" s="14">
        <v>183355.56</v>
      </c>
      <c r="F2886" s="14">
        <v>188290.27</v>
      </c>
      <c r="G2886" s="14">
        <v>188290.27</v>
      </c>
      <c r="H2886" s="22">
        <f>F2886*(1+Assumptions!$B$6+IF(D2886="Yes",Assumptions!$C$6,0))</f>
        <v>193938.97810000001</v>
      </c>
      <c r="I2886" s="22">
        <f>F2886*(1+Assumptions!$B$7+IF(D2886="Yes",Assumptions!$C$7,0))</f>
        <v>197704.78349999999</v>
      </c>
      <c r="J2886" s="22">
        <f>F2886*(1+Assumptions!$B$8+IF(D2886="Yes",Assumptions!$C$8,0))</f>
        <v>190173.1727</v>
      </c>
    </row>
    <row r="2887" spans="1:10" ht="15">
      <c r="A2887" s="21">
        <v>41180</v>
      </c>
      <c r="B2887" s="21">
        <v>41153</v>
      </c>
      <c r="C2887" s="17">
        <v>13</v>
      </c>
      <c r="D2887" s="17" t="s">
        <v>91</v>
      </c>
      <c r="E2887" s="14">
        <v>1366582.34</v>
      </c>
      <c r="F2887" s="14">
        <v>1373368.14</v>
      </c>
      <c r="G2887" s="14">
        <v>1373368.14</v>
      </c>
      <c r="H2887" s="22">
        <f>F2887*(1+Assumptions!$B$6+IF(D2887="Yes",Assumptions!$C$6,0))</f>
        <v>1414569.1842</v>
      </c>
      <c r="I2887" s="22">
        <f>F2887*(1+Assumptions!$B$7+IF(D2887="Yes",Assumptions!$C$7,0))</f>
        <v>1442036.547</v>
      </c>
      <c r="J2887" s="22">
        <f>F2887*(1+Assumptions!$B$8+IF(D2887="Yes",Assumptions!$C$8,0))</f>
        <v>1387101.8214</v>
      </c>
    </row>
    <row r="2888" spans="1:10" ht="15">
      <c r="A2888" s="21">
        <v>41180</v>
      </c>
      <c r="B2888" s="21">
        <v>41153</v>
      </c>
      <c r="C2888" s="17">
        <v>14</v>
      </c>
      <c r="D2888" s="17" t="s">
        <v>91</v>
      </c>
      <c r="E2888" s="14">
        <v>565406.55000000005</v>
      </c>
      <c r="F2888" s="14">
        <v>553875.69999999995</v>
      </c>
      <c r="G2888" s="14">
        <v>553875.69999999995</v>
      </c>
      <c r="H2888" s="22">
        <f>F2888*(1+Assumptions!$B$6+IF(D2888="Yes",Assumptions!$C$6,0))</f>
        <v>570491.97100000002</v>
      </c>
      <c r="I2888" s="22">
        <f>F2888*(1+Assumptions!$B$7+IF(D2888="Yes",Assumptions!$C$7,0))</f>
        <v>581569.48499999999</v>
      </c>
      <c r="J2888" s="22">
        <f>F2888*(1+Assumptions!$B$8+IF(D2888="Yes",Assumptions!$C$8,0))</f>
        <v>559414.45699999994</v>
      </c>
    </row>
    <row r="2889" spans="1:10" ht="15">
      <c r="A2889" s="21">
        <v>41180</v>
      </c>
      <c r="B2889" s="21">
        <v>41153</v>
      </c>
      <c r="C2889" s="17">
        <v>16</v>
      </c>
      <c r="D2889" s="17" t="s">
        <v>91</v>
      </c>
      <c r="E2889" s="14">
        <v>273437.81</v>
      </c>
      <c r="F2889" s="14">
        <v>287872.74</v>
      </c>
      <c r="G2889" s="14">
        <v>287872.74</v>
      </c>
      <c r="H2889" s="22">
        <f>F2889*(1+Assumptions!$B$6+IF(D2889="Yes",Assumptions!$C$6,0))</f>
        <v>296508.92219999997</v>
      </c>
      <c r="I2889" s="22">
        <f>F2889*(1+Assumptions!$B$7+IF(D2889="Yes",Assumptions!$C$7,0))</f>
        <v>302266.37699999998</v>
      </c>
      <c r="J2889" s="22">
        <f>F2889*(1+Assumptions!$B$8+IF(D2889="Yes",Assumptions!$C$8,0))</f>
        <v>290751.46739999996</v>
      </c>
    </row>
    <row r="2890" spans="1:10" ht="15">
      <c r="A2890" s="21">
        <v>41180</v>
      </c>
      <c r="B2890" s="21">
        <v>41153</v>
      </c>
      <c r="C2890" s="17">
        <v>17</v>
      </c>
      <c r="D2890" s="17" t="s">
        <v>91</v>
      </c>
      <c r="E2890" s="14">
        <v>418309.34</v>
      </c>
      <c r="F2890" s="14">
        <v>417717.82</v>
      </c>
      <c r="G2890" s="14">
        <v>417717.82</v>
      </c>
      <c r="H2890" s="22">
        <f>F2890*(1+Assumptions!$B$6+IF(D2890="Yes",Assumptions!$C$6,0))</f>
        <v>430249.35460000002</v>
      </c>
      <c r="I2890" s="22">
        <f>F2890*(1+Assumptions!$B$7+IF(D2890="Yes",Assumptions!$C$7,0))</f>
        <v>438603.71100000001</v>
      </c>
      <c r="J2890" s="22">
        <f>F2890*(1+Assumptions!$B$8+IF(D2890="Yes",Assumptions!$C$8,0))</f>
        <v>421894.99820000003</v>
      </c>
    </row>
    <row r="2891" spans="1:10" ht="15">
      <c r="A2891" s="21">
        <v>41180</v>
      </c>
      <c r="B2891" s="21">
        <v>41153</v>
      </c>
      <c r="C2891" s="17">
        <v>18</v>
      </c>
      <c r="D2891" s="17" t="s">
        <v>91</v>
      </c>
      <c r="E2891" s="14">
        <v>276008.34999999998</v>
      </c>
      <c r="F2891" s="14">
        <v>242482.49</v>
      </c>
      <c r="G2891" s="14">
        <v>242482.49</v>
      </c>
      <c r="H2891" s="22">
        <f>F2891*(1+Assumptions!$B$6+IF(D2891="Yes",Assumptions!$C$6,0))</f>
        <v>249756.96470000001</v>
      </c>
      <c r="I2891" s="22">
        <f>F2891*(1+Assumptions!$B$7+IF(D2891="Yes",Assumptions!$C$7,0))</f>
        <v>254606.6145</v>
      </c>
      <c r="J2891" s="22">
        <f>F2891*(1+Assumptions!$B$8+IF(D2891="Yes",Assumptions!$C$8,0))</f>
        <v>244907.3149</v>
      </c>
    </row>
    <row r="2892" spans="1:10" ht="15">
      <c r="A2892" s="21">
        <v>41180</v>
      </c>
      <c r="B2892" s="21">
        <v>41153</v>
      </c>
      <c r="C2892" s="17">
        <v>19</v>
      </c>
      <c r="D2892" s="17" t="s">
        <v>91</v>
      </c>
      <c r="E2892" s="14">
        <v>46056.94</v>
      </c>
      <c r="F2892" s="14">
        <v>50165.82</v>
      </c>
      <c r="G2892" s="14">
        <v>50165.82</v>
      </c>
      <c r="H2892" s="22">
        <f>F2892*(1+Assumptions!$B$6+IF(D2892="Yes",Assumptions!$C$6,0))</f>
        <v>51670.794600000001</v>
      </c>
      <c r="I2892" s="22">
        <f>F2892*(1+Assumptions!$B$7+IF(D2892="Yes",Assumptions!$C$7,0))</f>
        <v>52674.111000000004</v>
      </c>
      <c r="J2892" s="22">
        <f>F2892*(1+Assumptions!$B$8+IF(D2892="Yes",Assumptions!$C$8,0))</f>
        <v>50667.478199999998</v>
      </c>
    </row>
    <row r="2893" spans="1:10" ht="15">
      <c r="A2893" s="21">
        <v>41180</v>
      </c>
      <c r="B2893" s="21">
        <v>41153</v>
      </c>
      <c r="C2893" s="17">
        <v>20</v>
      </c>
      <c r="D2893" s="17" t="s">
        <v>91</v>
      </c>
      <c r="E2893" s="14">
        <v>192345.77</v>
      </c>
      <c r="F2893" s="14">
        <v>203776.38</v>
      </c>
      <c r="G2893" s="14">
        <v>203776.38</v>
      </c>
      <c r="H2893" s="22">
        <f>F2893*(1+Assumptions!$B$6+IF(D2893="Yes",Assumptions!$C$6,0))</f>
        <v>209889.67140000002</v>
      </c>
      <c r="I2893" s="22">
        <f>F2893*(1+Assumptions!$B$7+IF(D2893="Yes",Assumptions!$C$7,0))</f>
        <v>213965.19900000002</v>
      </c>
      <c r="J2893" s="22">
        <f>F2893*(1+Assumptions!$B$8+IF(D2893="Yes",Assumptions!$C$8,0))</f>
        <v>205814.14380000002</v>
      </c>
    </row>
    <row r="2894" spans="1:10" ht="15">
      <c r="A2894" s="21">
        <v>41180</v>
      </c>
      <c r="B2894" s="21">
        <v>41153</v>
      </c>
      <c r="C2894" s="17">
        <v>21</v>
      </c>
      <c r="D2894" s="17" t="s">
        <v>91</v>
      </c>
      <c r="E2894" s="14">
        <v>191452.79999999999</v>
      </c>
      <c r="F2894" s="14">
        <v>203658.38</v>
      </c>
      <c r="G2894" s="14">
        <v>203658.38</v>
      </c>
      <c r="H2894" s="22">
        <f>F2894*(1+Assumptions!$B$6+IF(D2894="Yes",Assumptions!$C$6,0))</f>
        <v>209768.13140000001</v>
      </c>
      <c r="I2894" s="22">
        <f>F2894*(1+Assumptions!$B$7+IF(D2894="Yes",Assumptions!$C$7,0))</f>
        <v>213841.29900000003</v>
      </c>
      <c r="J2894" s="22">
        <f>F2894*(1+Assumptions!$B$8+IF(D2894="Yes",Assumptions!$C$8,0))</f>
        <v>205694.9638</v>
      </c>
    </row>
    <row r="2895" spans="1:10" ht="15">
      <c r="A2895" s="21">
        <v>41180</v>
      </c>
      <c r="B2895" s="21">
        <v>41153</v>
      </c>
      <c r="C2895" s="17">
        <v>22</v>
      </c>
      <c r="D2895" s="17" t="s">
        <v>91</v>
      </c>
      <c r="E2895" s="14">
        <v>382844.84</v>
      </c>
      <c r="F2895" s="14">
        <v>388225.55</v>
      </c>
      <c r="G2895" s="14">
        <v>388225.55</v>
      </c>
      <c r="H2895" s="22">
        <f>F2895*(1+Assumptions!$B$6+IF(D2895="Yes",Assumptions!$C$6,0))</f>
        <v>399872.31650000002</v>
      </c>
      <c r="I2895" s="22">
        <f>F2895*(1+Assumptions!$B$7+IF(D2895="Yes",Assumptions!$C$7,0))</f>
        <v>407636.82750000001</v>
      </c>
      <c r="J2895" s="22">
        <f>F2895*(1+Assumptions!$B$8+IF(D2895="Yes",Assumptions!$C$8,0))</f>
        <v>392107.80550000002</v>
      </c>
    </row>
    <row r="2896" spans="1:10" ht="15">
      <c r="A2896" s="21">
        <v>41180</v>
      </c>
      <c r="B2896" s="21">
        <v>41153</v>
      </c>
      <c r="C2896" s="17">
        <v>23</v>
      </c>
      <c r="D2896" s="17" t="s">
        <v>91</v>
      </c>
      <c r="E2896" s="14">
        <v>831735.99</v>
      </c>
      <c r="F2896" s="14">
        <v>757750.99</v>
      </c>
      <c r="G2896" s="14">
        <v>757750.99</v>
      </c>
      <c r="H2896" s="22">
        <f>F2896*(1+Assumptions!$B$6+IF(D2896="Yes",Assumptions!$C$6,0))</f>
        <v>780483.51970000006</v>
      </c>
      <c r="I2896" s="22">
        <f>F2896*(1+Assumptions!$B$7+IF(D2896="Yes",Assumptions!$C$7,0))</f>
        <v>795638.53950000007</v>
      </c>
      <c r="J2896" s="22">
        <f>F2896*(1+Assumptions!$B$8+IF(D2896="Yes",Assumptions!$C$8,0))</f>
        <v>765328.49990000005</v>
      </c>
    </row>
    <row r="2897" spans="1:10" ht="15">
      <c r="A2897" s="21">
        <v>41180</v>
      </c>
      <c r="B2897" s="21">
        <v>41153</v>
      </c>
      <c r="C2897" s="17">
        <v>24</v>
      </c>
      <c r="D2897" s="17" t="s">
        <v>91</v>
      </c>
      <c r="E2897" s="14">
        <v>200640.69</v>
      </c>
      <c r="F2897" s="14">
        <v>165397.61000000002</v>
      </c>
      <c r="G2897" s="14">
        <v>165397.61000000002</v>
      </c>
      <c r="H2897" s="22">
        <f>F2897*(1+Assumptions!$B$6+IF(D2897="Yes",Assumptions!$C$6,0))</f>
        <v>170359.53830000001</v>
      </c>
      <c r="I2897" s="22">
        <f>F2897*(1+Assumptions!$B$7+IF(D2897="Yes",Assumptions!$C$7,0))</f>
        <v>173667.49050000001</v>
      </c>
      <c r="J2897" s="22">
        <f>F2897*(1+Assumptions!$B$8+IF(D2897="Yes",Assumptions!$C$8,0))</f>
        <v>167051.58610000001</v>
      </c>
    </row>
    <row r="2898" spans="1:10" ht="15">
      <c r="A2898" s="21">
        <v>41180</v>
      </c>
      <c r="B2898" s="21">
        <v>41153</v>
      </c>
      <c r="C2898" s="17">
        <v>25</v>
      </c>
      <c r="D2898" s="17" t="s">
        <v>91</v>
      </c>
      <c r="E2898" s="14">
        <v>352362.86</v>
      </c>
      <c r="F2898" s="14">
        <v>347732.15</v>
      </c>
      <c r="G2898" s="14">
        <v>347732.15</v>
      </c>
      <c r="H2898" s="22">
        <f>F2898*(1+Assumptions!$B$6+IF(D2898="Yes",Assumptions!$C$6,0))</f>
        <v>358164.11450000003</v>
      </c>
      <c r="I2898" s="22">
        <f>F2898*(1+Assumptions!$B$7+IF(D2898="Yes",Assumptions!$C$7,0))</f>
        <v>365118.75750000007</v>
      </c>
      <c r="J2898" s="22">
        <f>F2898*(1+Assumptions!$B$8+IF(D2898="Yes",Assumptions!$C$8,0))</f>
        <v>351209.47150000004</v>
      </c>
    </row>
    <row r="2899" spans="1:10" ht="15">
      <c r="A2899" s="21">
        <v>41180</v>
      </c>
      <c r="B2899" s="21">
        <v>41153</v>
      </c>
      <c r="C2899" s="17">
        <v>26</v>
      </c>
      <c r="D2899" s="17" t="s">
        <v>91</v>
      </c>
      <c r="E2899" s="14">
        <v>320503.02</v>
      </c>
      <c r="F2899" s="14">
        <v>283792.46000000002</v>
      </c>
      <c r="G2899" s="14">
        <v>283792.46000000002</v>
      </c>
      <c r="H2899" s="22">
        <f>F2899*(1+Assumptions!$B$6+IF(D2899="Yes",Assumptions!$C$6,0))</f>
        <v>292306.23380000005</v>
      </c>
      <c r="I2899" s="22">
        <f>F2899*(1+Assumptions!$B$7+IF(D2899="Yes",Assumptions!$C$7,0))</f>
        <v>297982.08300000004</v>
      </c>
      <c r="J2899" s="22">
        <f>F2899*(1+Assumptions!$B$8+IF(D2899="Yes",Assumptions!$C$8,0))</f>
        <v>286630.38460000005</v>
      </c>
    </row>
    <row r="2900" spans="1:10" ht="15">
      <c r="A2900" s="21">
        <v>41180</v>
      </c>
      <c r="B2900" s="21">
        <v>41153</v>
      </c>
      <c r="C2900" s="17">
        <v>27</v>
      </c>
      <c r="D2900" s="17" t="s">
        <v>91</v>
      </c>
      <c r="E2900" s="14">
        <v>55983.47</v>
      </c>
      <c r="F2900" s="14">
        <v>49179.43</v>
      </c>
      <c r="G2900" s="14">
        <v>49179.43</v>
      </c>
      <c r="H2900" s="22">
        <f>F2900*(1+Assumptions!$B$6+IF(D2900="Yes",Assumptions!$C$6,0))</f>
        <v>50654.812900000004</v>
      </c>
      <c r="I2900" s="22">
        <f>F2900*(1+Assumptions!$B$7+IF(D2900="Yes",Assumptions!$C$7,0))</f>
        <v>51638.4015</v>
      </c>
      <c r="J2900" s="22">
        <f>F2900*(1+Assumptions!$B$8+IF(D2900="Yes",Assumptions!$C$8,0))</f>
        <v>49671.224300000002</v>
      </c>
    </row>
    <row r="2901" spans="1:10" ht="15">
      <c r="A2901" s="21">
        <v>41180</v>
      </c>
      <c r="B2901" s="21">
        <v>41153</v>
      </c>
      <c r="C2901" s="17">
        <v>28</v>
      </c>
      <c r="D2901" s="17" t="s">
        <v>91</v>
      </c>
      <c r="E2901" s="14">
        <v>22647.54</v>
      </c>
      <c r="F2901" s="14">
        <v>22494.63</v>
      </c>
      <c r="G2901" s="14">
        <v>22494.63</v>
      </c>
      <c r="H2901" s="22">
        <f>F2901*(1+Assumptions!$B$6+IF(D2901="Yes",Assumptions!$C$6,0))</f>
        <v>23169.4689</v>
      </c>
      <c r="I2901" s="22">
        <f>F2901*(1+Assumptions!$B$7+IF(D2901="Yes",Assumptions!$C$7,0))</f>
        <v>23619.361500000003</v>
      </c>
      <c r="J2901" s="22">
        <f>F2901*(1+Assumptions!$B$8+IF(D2901="Yes",Assumptions!$C$8,0))</f>
        <v>22719.576300000001</v>
      </c>
    </row>
    <row r="2902" spans="1:10" ht="15">
      <c r="A2902" s="21">
        <v>41180</v>
      </c>
      <c r="B2902" s="21">
        <v>41153</v>
      </c>
      <c r="C2902" s="17">
        <v>29</v>
      </c>
      <c r="D2902" s="17" t="s">
        <v>91</v>
      </c>
      <c r="E2902" s="14">
        <v>178975.83</v>
      </c>
      <c r="F2902" s="14">
        <v>169111.98</v>
      </c>
      <c r="G2902" s="14">
        <v>169111.98</v>
      </c>
      <c r="H2902" s="22">
        <f>F2902*(1+Assumptions!$B$6+IF(D2902="Yes",Assumptions!$C$6,0))</f>
        <v>174185.33940000003</v>
      </c>
      <c r="I2902" s="22">
        <f>F2902*(1+Assumptions!$B$7+IF(D2902="Yes",Assumptions!$C$7,0))</f>
        <v>177567.57900000003</v>
      </c>
      <c r="J2902" s="22">
        <f>F2902*(1+Assumptions!$B$8+IF(D2902="Yes",Assumptions!$C$8,0))</f>
        <v>170803.09980000003</v>
      </c>
    </row>
    <row r="2903" spans="1:10" ht="15">
      <c r="A2903" s="21">
        <v>41180</v>
      </c>
      <c r="B2903" s="21">
        <v>41153</v>
      </c>
      <c r="C2903" s="17">
        <v>30</v>
      </c>
      <c r="D2903" s="17" t="s">
        <v>91</v>
      </c>
      <c r="E2903" s="14">
        <v>110208.63</v>
      </c>
      <c r="F2903" s="14">
        <v>128257.16</v>
      </c>
      <c r="G2903" s="14">
        <v>128257.16</v>
      </c>
      <c r="H2903" s="22">
        <f>F2903*(1+Assumptions!$B$6+IF(D2903="Yes",Assumptions!$C$6,0))</f>
        <v>132104.87480000002</v>
      </c>
      <c r="I2903" s="22">
        <f>F2903*(1+Assumptions!$B$7+IF(D2903="Yes",Assumptions!$C$7,0))</f>
        <v>134670.01800000001</v>
      </c>
      <c r="J2903" s="22">
        <f>F2903*(1+Assumptions!$B$8+IF(D2903="Yes",Assumptions!$C$8,0))</f>
        <v>129539.7316</v>
      </c>
    </row>
    <row r="2904" spans="1:10" ht="15">
      <c r="A2904" s="21">
        <v>41180</v>
      </c>
      <c r="B2904" s="21">
        <v>41153</v>
      </c>
      <c r="C2904" s="17">
        <v>31</v>
      </c>
      <c r="D2904" s="17" t="s">
        <v>91</v>
      </c>
      <c r="E2904" s="14">
        <v>74180.31</v>
      </c>
      <c r="F2904" s="14">
        <v>72482.600000000006</v>
      </c>
      <c r="G2904" s="14">
        <v>72482.600000000006</v>
      </c>
      <c r="H2904" s="22">
        <f>F2904*(1+Assumptions!$B$6+IF(D2904="Yes",Assumptions!$C$6,0))</f>
        <v>74657.078000000009</v>
      </c>
      <c r="I2904" s="22">
        <f>F2904*(1+Assumptions!$B$7+IF(D2904="Yes",Assumptions!$C$7,0))</f>
        <v>76106.73000000001</v>
      </c>
      <c r="J2904" s="22">
        <f>F2904*(1+Assumptions!$B$8+IF(D2904="Yes",Assumptions!$C$8,0))</f>
        <v>73207.426000000007</v>
      </c>
    </row>
    <row r="2905" spans="1:10" ht="15">
      <c r="A2905" s="21">
        <v>41180</v>
      </c>
      <c r="B2905" s="21">
        <v>41153</v>
      </c>
      <c r="C2905" s="17">
        <v>32</v>
      </c>
      <c r="D2905" s="17" t="s">
        <v>91</v>
      </c>
      <c r="E2905" s="14">
        <v>208977.24</v>
      </c>
      <c r="F2905" s="14">
        <v>220758.78</v>
      </c>
      <c r="G2905" s="14">
        <v>220758.78</v>
      </c>
      <c r="H2905" s="22">
        <f>F2905*(1+Assumptions!$B$6+IF(D2905="Yes",Assumptions!$C$6,0))</f>
        <v>227381.5434</v>
      </c>
      <c r="I2905" s="22">
        <f>F2905*(1+Assumptions!$B$7+IF(D2905="Yes",Assumptions!$C$7,0))</f>
        <v>231796.71900000001</v>
      </c>
      <c r="J2905" s="22">
        <f>F2905*(1+Assumptions!$B$8+IF(D2905="Yes",Assumptions!$C$8,0))</f>
        <v>222966.36780000001</v>
      </c>
    </row>
    <row r="2906" spans="1:10" ht="15">
      <c r="A2906" s="21">
        <v>41180</v>
      </c>
      <c r="B2906" s="21">
        <v>41153</v>
      </c>
      <c r="C2906" s="17">
        <v>33</v>
      </c>
      <c r="D2906" s="17" t="s">
        <v>91</v>
      </c>
      <c r="E2906" s="14">
        <v>195931.78999999998</v>
      </c>
      <c r="F2906" s="14">
        <v>171261.31</v>
      </c>
      <c r="G2906" s="14">
        <v>171261.31</v>
      </c>
      <c r="H2906" s="22">
        <f>F2906*(1+Assumptions!$B$6+IF(D2906="Yes",Assumptions!$C$6,0))</f>
        <v>176399.14929999999</v>
      </c>
      <c r="I2906" s="22">
        <f>F2906*(1+Assumptions!$B$7+IF(D2906="Yes",Assumptions!$C$7,0))</f>
        <v>179824.37549999999</v>
      </c>
      <c r="J2906" s="22">
        <f>F2906*(1+Assumptions!$B$8+IF(D2906="Yes",Assumptions!$C$8,0))</f>
        <v>172973.92309999999</v>
      </c>
    </row>
    <row r="2907" spans="1:10" ht="15">
      <c r="A2907" s="21">
        <v>41180</v>
      </c>
      <c r="B2907" s="21">
        <v>41153</v>
      </c>
      <c r="C2907" s="17">
        <v>34</v>
      </c>
      <c r="D2907" s="17" t="s">
        <v>91</v>
      </c>
      <c r="E2907" s="14">
        <v>502724.01</v>
      </c>
      <c r="F2907" s="14">
        <v>446040.13</v>
      </c>
      <c r="G2907" s="14">
        <v>446040.13</v>
      </c>
      <c r="H2907" s="22">
        <f>F2907*(1+Assumptions!$B$6+IF(D2907="Yes",Assumptions!$C$6,0))</f>
        <v>459421.33390000003</v>
      </c>
      <c r="I2907" s="22">
        <f>F2907*(1+Assumptions!$B$7+IF(D2907="Yes",Assumptions!$C$7,0))</f>
        <v>468342.13650000002</v>
      </c>
      <c r="J2907" s="22">
        <f>F2907*(1+Assumptions!$B$8+IF(D2907="Yes",Assumptions!$C$8,0))</f>
        <v>450500.53130000003</v>
      </c>
    </row>
    <row r="2908" spans="1:10" ht="15">
      <c r="A2908" s="21">
        <v>41180</v>
      </c>
      <c r="B2908" s="21">
        <v>41153</v>
      </c>
      <c r="C2908" s="17">
        <v>35</v>
      </c>
      <c r="D2908" s="17" t="s">
        <v>91</v>
      </c>
      <c r="E2908" s="14">
        <v>92950.44</v>
      </c>
      <c r="F2908" s="14">
        <v>99072.5</v>
      </c>
      <c r="G2908" s="14">
        <v>99072.5</v>
      </c>
      <c r="H2908" s="22">
        <f>F2908*(1+Assumptions!$B$6+IF(D2908="Yes",Assumptions!$C$6,0))</f>
        <v>102044.675</v>
      </c>
      <c r="I2908" s="22">
        <f>F2908*(1+Assumptions!$B$7+IF(D2908="Yes",Assumptions!$C$7,0))</f>
        <v>104026.125</v>
      </c>
      <c r="J2908" s="22">
        <f>F2908*(1+Assumptions!$B$8+IF(D2908="Yes",Assumptions!$C$8,0))</f>
        <v>100063.22500000001</v>
      </c>
    </row>
    <row r="2909" spans="1:10" ht="15">
      <c r="A2909" s="21">
        <v>41180</v>
      </c>
      <c r="B2909" s="21">
        <v>41153</v>
      </c>
      <c r="C2909" s="17">
        <v>36</v>
      </c>
      <c r="D2909" s="17" t="s">
        <v>91</v>
      </c>
      <c r="E2909" s="14">
        <v>33792.379999999997</v>
      </c>
      <c r="F2909" s="14">
        <v>34958.99</v>
      </c>
      <c r="G2909" s="14">
        <v>34958.99</v>
      </c>
      <c r="H2909" s="22">
        <f>F2909*(1+Assumptions!$B$6+IF(D2909="Yes",Assumptions!$C$6,0))</f>
        <v>36007.759700000002</v>
      </c>
      <c r="I2909" s="22">
        <f>F2909*(1+Assumptions!$B$7+IF(D2909="Yes",Assumptions!$C$7,0))</f>
        <v>36706.9395</v>
      </c>
      <c r="J2909" s="22">
        <f>F2909*(1+Assumptions!$B$8+IF(D2909="Yes",Assumptions!$C$8,0))</f>
        <v>35308.579899999997</v>
      </c>
    </row>
    <row r="2910" spans="1:10" ht="15">
      <c r="A2910" s="21">
        <v>41180</v>
      </c>
      <c r="B2910" s="21">
        <v>41153</v>
      </c>
      <c r="C2910" s="17">
        <v>37</v>
      </c>
      <c r="D2910" s="17" t="s">
        <v>91</v>
      </c>
      <c r="E2910" s="14">
        <v>55999.380000000005</v>
      </c>
      <c r="F2910" s="14">
        <v>55366.33</v>
      </c>
      <c r="G2910" s="14">
        <v>55366.33</v>
      </c>
      <c r="H2910" s="22">
        <f>F2910*(1+Assumptions!$B$6+IF(D2910="Yes",Assumptions!$C$6,0))</f>
        <v>57027.319900000002</v>
      </c>
      <c r="I2910" s="22">
        <f>F2910*(1+Assumptions!$B$7+IF(D2910="Yes",Assumptions!$C$7,0))</f>
        <v>58134.646500000003</v>
      </c>
      <c r="J2910" s="22">
        <f>F2910*(1+Assumptions!$B$8+IF(D2910="Yes",Assumptions!$C$8,0))</f>
        <v>55919.993300000002</v>
      </c>
    </row>
    <row r="2911" spans="1:10" ht="15">
      <c r="A2911" s="21">
        <v>41180</v>
      </c>
      <c r="B2911" s="21">
        <v>41153</v>
      </c>
      <c r="C2911" s="17">
        <v>38</v>
      </c>
      <c r="D2911" s="17" t="s">
        <v>91</v>
      </c>
      <c r="E2911" s="14">
        <v>2679612.7799999998</v>
      </c>
      <c r="F2911" s="14">
        <v>2774948.0100000002</v>
      </c>
      <c r="G2911" s="14">
        <v>2774948.0100000002</v>
      </c>
      <c r="H2911" s="22">
        <f>F2911*(1+Assumptions!$B$6+IF(D2911="Yes",Assumptions!$C$6,0))</f>
        <v>2858196.4503000001</v>
      </c>
      <c r="I2911" s="22">
        <f>F2911*(1+Assumptions!$B$7+IF(D2911="Yes",Assumptions!$C$7,0))</f>
        <v>2913695.4105000002</v>
      </c>
      <c r="J2911" s="22">
        <f>F2911*(1+Assumptions!$B$8+IF(D2911="Yes",Assumptions!$C$8,0))</f>
        <v>2802697.4901000001</v>
      </c>
    </row>
    <row r="2912" spans="1:10" ht="15">
      <c r="A2912" s="21">
        <v>41180</v>
      </c>
      <c r="B2912" s="21">
        <v>41153</v>
      </c>
      <c r="C2912" s="17">
        <v>40</v>
      </c>
      <c r="D2912" s="17" t="s">
        <v>91</v>
      </c>
      <c r="E2912" s="14">
        <v>2041706</v>
      </c>
      <c r="F2912" s="14">
        <v>1938117.97</v>
      </c>
      <c r="G2912" s="14">
        <v>1938117.97</v>
      </c>
      <c r="H2912" s="22">
        <f>F2912*(1+Assumptions!$B$6+IF(D2912="Yes",Assumptions!$C$6,0))</f>
        <v>1996261.5090999999</v>
      </c>
      <c r="I2912" s="22">
        <f>F2912*(1+Assumptions!$B$7+IF(D2912="Yes",Assumptions!$C$7,0))</f>
        <v>2035023.8685000001</v>
      </c>
      <c r="J2912" s="22">
        <f>F2912*(1+Assumptions!$B$8+IF(D2912="Yes",Assumptions!$C$8,0))</f>
        <v>1957499.1497</v>
      </c>
    </row>
    <row r="2913" spans="1:10" ht="15">
      <c r="A2913" s="21">
        <v>41180</v>
      </c>
      <c r="B2913" s="21">
        <v>41153</v>
      </c>
      <c r="C2913" s="17">
        <v>41</v>
      </c>
      <c r="D2913" s="17" t="s">
        <v>91</v>
      </c>
      <c r="E2913" s="14">
        <v>103541.9</v>
      </c>
      <c r="F2913" s="14">
        <v>111455.29</v>
      </c>
      <c r="G2913" s="14">
        <v>111455.29</v>
      </c>
      <c r="H2913" s="22">
        <f>F2913*(1+Assumptions!$B$6+IF(D2913="Yes",Assumptions!$C$6,0))</f>
        <v>114798.94869999999</v>
      </c>
      <c r="I2913" s="22">
        <f>F2913*(1+Assumptions!$B$7+IF(D2913="Yes",Assumptions!$C$7,0))</f>
        <v>117028.0545</v>
      </c>
      <c r="J2913" s="22">
        <f>F2913*(1+Assumptions!$B$8+IF(D2913="Yes",Assumptions!$C$8,0))</f>
        <v>112569.84289999999</v>
      </c>
    </row>
    <row r="2914" spans="1:10" ht="15">
      <c r="A2914" s="21">
        <v>41180</v>
      </c>
      <c r="B2914" s="21">
        <v>41153</v>
      </c>
      <c r="C2914" s="17">
        <v>42</v>
      </c>
      <c r="D2914" s="17" t="s">
        <v>91</v>
      </c>
      <c r="E2914" s="14">
        <v>232932.24</v>
      </c>
      <c r="F2914" s="14">
        <v>238886.71</v>
      </c>
      <c r="G2914" s="14">
        <v>238886.71</v>
      </c>
      <c r="H2914" s="22">
        <f>F2914*(1+Assumptions!$B$6+IF(D2914="Yes",Assumptions!$C$6,0))</f>
        <v>246053.3113</v>
      </c>
      <c r="I2914" s="22">
        <f>F2914*(1+Assumptions!$B$7+IF(D2914="Yes",Assumptions!$C$7,0))</f>
        <v>250831.04550000001</v>
      </c>
      <c r="J2914" s="22">
        <f>F2914*(1+Assumptions!$B$8+IF(D2914="Yes",Assumptions!$C$8,0))</f>
        <v>241275.57709999999</v>
      </c>
    </row>
    <row r="2915" spans="1:10" ht="15">
      <c r="A2915" s="21">
        <v>41180</v>
      </c>
      <c r="B2915" s="21">
        <v>41153</v>
      </c>
      <c r="C2915" s="17">
        <v>44</v>
      </c>
      <c r="D2915" s="17" t="s">
        <v>91</v>
      </c>
      <c r="E2915" s="14">
        <v>194261.68</v>
      </c>
      <c r="F2915" s="14">
        <v>187703.36</v>
      </c>
      <c r="G2915" s="14">
        <v>187703.36</v>
      </c>
      <c r="H2915" s="22">
        <f>F2915*(1+Assumptions!$B$6+IF(D2915="Yes",Assumptions!$C$6,0))</f>
        <v>193334.4608</v>
      </c>
      <c r="I2915" s="22">
        <f>F2915*(1+Assumptions!$B$7+IF(D2915="Yes",Assumptions!$C$7,0))</f>
        <v>197088.52799999999</v>
      </c>
      <c r="J2915" s="22">
        <f>F2915*(1+Assumptions!$B$8+IF(D2915="Yes",Assumptions!$C$8,0))</f>
        <v>189580.39359999998</v>
      </c>
    </row>
    <row r="2916" spans="1:10" ht="15">
      <c r="A2916" s="21">
        <v>41180</v>
      </c>
      <c r="B2916" s="21">
        <v>41153</v>
      </c>
      <c r="C2916" s="17">
        <v>45</v>
      </c>
      <c r="D2916" s="17" t="s">
        <v>91</v>
      </c>
      <c r="E2916" s="14">
        <v>68.760000000000005</v>
      </c>
      <c r="F2916" s="14">
        <v>40.85</v>
      </c>
      <c r="G2916" s="14">
        <v>40.85</v>
      </c>
      <c r="H2916" s="22">
        <f>F2916*(1+Assumptions!$B$6+IF(D2916="Yes",Assumptions!$C$6,0))</f>
        <v>42.075500000000005</v>
      </c>
      <c r="I2916" s="22">
        <f>F2916*(1+Assumptions!$B$7+IF(D2916="Yes",Assumptions!$C$7,0))</f>
        <v>42.892500000000005</v>
      </c>
      <c r="J2916" s="22">
        <f>F2916*(1+Assumptions!$B$8+IF(D2916="Yes",Assumptions!$C$8,0))</f>
        <v>41.258500000000005</v>
      </c>
    </row>
    <row r="2917" spans="1:10" ht="15">
      <c r="A2917" s="21">
        <v>41180</v>
      </c>
      <c r="B2917" s="21">
        <v>41153</v>
      </c>
      <c r="C2917" s="17">
        <v>46</v>
      </c>
      <c r="D2917" s="17" t="s">
        <v>91</v>
      </c>
      <c r="E2917" s="14">
        <v>777710.67</v>
      </c>
      <c r="F2917" s="14">
        <v>750297.27</v>
      </c>
      <c r="G2917" s="14">
        <v>750297.27</v>
      </c>
      <c r="H2917" s="22">
        <f>F2917*(1+Assumptions!$B$6+IF(D2917="Yes",Assumptions!$C$6,0))</f>
        <v>772806.18810000003</v>
      </c>
      <c r="I2917" s="22">
        <f>F2917*(1+Assumptions!$B$7+IF(D2917="Yes",Assumptions!$C$7,0))</f>
        <v>787812.1335</v>
      </c>
      <c r="J2917" s="22">
        <f>F2917*(1+Assumptions!$B$8+IF(D2917="Yes",Assumptions!$C$8,0))</f>
        <v>757800.24270000006</v>
      </c>
    </row>
    <row r="2918" spans="1:10" ht="15">
      <c r="A2918" s="21">
        <v>41180</v>
      </c>
      <c r="B2918" s="21">
        <v>41153</v>
      </c>
      <c r="C2918" s="17">
        <v>48</v>
      </c>
      <c r="D2918" s="17" t="s">
        <v>91</v>
      </c>
      <c r="E2918" s="14">
        <v>45659</v>
      </c>
      <c r="F2918" s="14">
        <v>13316</v>
      </c>
      <c r="G2918" s="14">
        <v>13316</v>
      </c>
      <c r="H2918" s="22">
        <f>F2918*(1+Assumptions!$B$6+IF(D2918="Yes",Assumptions!$C$6,0))</f>
        <v>13715.48</v>
      </c>
      <c r="I2918" s="22">
        <f>F2918*(1+Assumptions!$B$7+IF(D2918="Yes",Assumptions!$C$7,0))</f>
        <v>13981.800000000001</v>
      </c>
      <c r="J2918" s="22">
        <f>F2918*(1+Assumptions!$B$8+IF(D2918="Yes",Assumptions!$C$8,0))</f>
        <v>13449.16</v>
      </c>
    </row>
    <row r="2919" spans="1:10" ht="15">
      <c r="A2919" s="21">
        <v>41180</v>
      </c>
      <c r="B2919" s="21">
        <v>41153</v>
      </c>
      <c r="C2919" s="17">
        <v>49</v>
      </c>
      <c r="D2919" s="17" t="s">
        <v>91</v>
      </c>
      <c r="E2919" s="14">
        <v>235864.24</v>
      </c>
      <c r="F2919" s="14">
        <v>231797.65</v>
      </c>
      <c r="G2919" s="14">
        <v>231797.65</v>
      </c>
      <c r="H2919" s="22">
        <f>F2919*(1+Assumptions!$B$6+IF(D2919="Yes",Assumptions!$C$6,0))</f>
        <v>238751.57949999999</v>
      </c>
      <c r="I2919" s="22">
        <f>F2919*(1+Assumptions!$B$7+IF(D2919="Yes",Assumptions!$C$7,0))</f>
        <v>243387.5325</v>
      </c>
      <c r="J2919" s="22">
        <f>F2919*(1+Assumptions!$B$8+IF(D2919="Yes",Assumptions!$C$8,0))</f>
        <v>234115.62649999998</v>
      </c>
    </row>
    <row r="2920" spans="1:10" ht="15">
      <c r="A2920" s="21">
        <v>41180</v>
      </c>
      <c r="B2920" s="21">
        <v>41153</v>
      </c>
      <c r="C2920" s="17">
        <v>50</v>
      </c>
      <c r="D2920" s="17" t="s">
        <v>91</v>
      </c>
      <c r="E2920" s="14">
        <v>27278.2</v>
      </c>
      <c r="F2920" s="14">
        <v>29915.72</v>
      </c>
      <c r="G2920" s="14">
        <v>29915.72</v>
      </c>
      <c r="H2920" s="22">
        <f>F2920*(1+Assumptions!$B$6+IF(D2920="Yes",Assumptions!$C$6,0))</f>
        <v>30813.191600000002</v>
      </c>
      <c r="I2920" s="22">
        <f>F2920*(1+Assumptions!$B$7+IF(D2920="Yes",Assumptions!$C$7,0))</f>
        <v>31411.506000000001</v>
      </c>
      <c r="J2920" s="22">
        <f>F2920*(1+Assumptions!$B$8+IF(D2920="Yes",Assumptions!$C$8,0))</f>
        <v>30214.877200000003</v>
      </c>
    </row>
    <row r="2921" spans="1:10" ht="15">
      <c r="A2921" s="21">
        <v>41180</v>
      </c>
      <c r="B2921" s="21">
        <v>41153</v>
      </c>
      <c r="C2921" s="17">
        <v>51</v>
      </c>
      <c r="D2921" s="17" t="s">
        <v>91</v>
      </c>
      <c r="E2921" s="14">
        <v>2.96</v>
      </c>
      <c r="F2921" s="14">
        <v>2.96</v>
      </c>
      <c r="G2921" s="14">
        <v>2.96</v>
      </c>
      <c r="H2921" s="22">
        <f>F2921*(1+Assumptions!$B$6+IF(D2921="Yes",Assumptions!$C$6,0))</f>
        <v>3.0488</v>
      </c>
      <c r="I2921" s="22">
        <f>F2921*(1+Assumptions!$B$7+IF(D2921="Yes",Assumptions!$C$7,0))</f>
        <v>3.1080000000000001</v>
      </c>
      <c r="J2921" s="22">
        <f>F2921*(1+Assumptions!$B$8+IF(D2921="Yes",Assumptions!$C$8,0))</f>
        <v>2.9895999999999998</v>
      </c>
    </row>
    <row r="2922" spans="1:10" ht="15">
      <c r="A2922" s="21">
        <v>41180</v>
      </c>
      <c r="B2922" s="21">
        <v>41153</v>
      </c>
      <c r="C2922" s="17">
        <v>52</v>
      </c>
      <c r="D2922" s="17" t="s">
        <v>91</v>
      </c>
      <c r="E2922" s="14">
        <v>76194.78</v>
      </c>
      <c r="F2922" s="14">
        <v>102663.92</v>
      </c>
      <c r="G2922" s="14">
        <v>102663.92</v>
      </c>
      <c r="H2922" s="22">
        <f>F2922*(1+Assumptions!$B$6+IF(D2922="Yes",Assumptions!$C$6,0))</f>
        <v>105743.8376</v>
      </c>
      <c r="I2922" s="22">
        <f>F2922*(1+Assumptions!$B$7+IF(D2922="Yes",Assumptions!$C$7,0))</f>
        <v>107797.11600000001</v>
      </c>
      <c r="J2922" s="22">
        <f>F2922*(1+Assumptions!$B$8+IF(D2922="Yes",Assumptions!$C$8,0))</f>
        <v>103690.5592</v>
      </c>
    </row>
    <row r="2923" spans="1:10" ht="15">
      <c r="A2923" s="21">
        <v>41180</v>
      </c>
      <c r="B2923" s="21">
        <v>41153</v>
      </c>
      <c r="C2923" s="17">
        <v>54</v>
      </c>
      <c r="D2923" s="17" t="s">
        <v>91</v>
      </c>
      <c r="E2923" s="14">
        <v>1012.72</v>
      </c>
      <c r="F2923" s="14">
        <v>1081.46</v>
      </c>
      <c r="G2923" s="14">
        <v>1081.46</v>
      </c>
      <c r="H2923" s="22">
        <f>F2923*(1+Assumptions!$B$6+IF(D2923="Yes",Assumptions!$C$6,0))</f>
        <v>1113.9038</v>
      </c>
      <c r="I2923" s="22">
        <f>F2923*(1+Assumptions!$B$7+IF(D2923="Yes",Assumptions!$C$7,0))</f>
        <v>1135.5330000000001</v>
      </c>
      <c r="J2923" s="22">
        <f>F2923*(1+Assumptions!$B$8+IF(D2923="Yes",Assumptions!$C$8,0))</f>
        <v>1092.2746</v>
      </c>
    </row>
    <row r="2924" spans="1:10" ht="15">
      <c r="A2924" s="21">
        <v>41180</v>
      </c>
      <c r="B2924" s="21">
        <v>41153</v>
      </c>
      <c r="C2924" s="17">
        <v>55</v>
      </c>
      <c r="D2924" s="17" t="s">
        <v>91</v>
      </c>
      <c r="E2924" s="14">
        <v>274023.19</v>
      </c>
      <c r="F2924" s="14">
        <v>288351.46000000002</v>
      </c>
      <c r="G2924" s="14">
        <v>288351.46000000002</v>
      </c>
      <c r="H2924" s="22">
        <f>F2924*(1+Assumptions!$B$6+IF(D2924="Yes",Assumptions!$C$6,0))</f>
        <v>297002.00380000001</v>
      </c>
      <c r="I2924" s="22">
        <f>F2924*(1+Assumptions!$B$7+IF(D2924="Yes",Assumptions!$C$7,0))</f>
        <v>302769.03300000005</v>
      </c>
      <c r="J2924" s="22">
        <f>F2924*(1+Assumptions!$B$8+IF(D2924="Yes",Assumptions!$C$8,0))</f>
        <v>291234.97460000002</v>
      </c>
    </row>
    <row r="2925" spans="1:10" ht="15">
      <c r="A2925" s="21">
        <v>41180</v>
      </c>
      <c r="B2925" s="21">
        <v>41153</v>
      </c>
      <c r="C2925" s="17">
        <v>56</v>
      </c>
      <c r="D2925" s="17" t="s">
        <v>91</v>
      </c>
      <c r="E2925" s="14">
        <v>72413.899999999994</v>
      </c>
      <c r="F2925" s="14">
        <v>72095.45</v>
      </c>
      <c r="G2925" s="14">
        <v>72095.45</v>
      </c>
      <c r="H2925" s="22">
        <f>F2925*(1+Assumptions!$B$6+IF(D2925="Yes",Assumptions!$C$6,0))</f>
        <v>74258.313500000004</v>
      </c>
      <c r="I2925" s="22">
        <f>F2925*(1+Assumptions!$B$7+IF(D2925="Yes",Assumptions!$C$7,0))</f>
        <v>75700.222500000003</v>
      </c>
      <c r="J2925" s="22">
        <f>F2925*(1+Assumptions!$B$8+IF(D2925="Yes",Assumptions!$C$8,0))</f>
        <v>72816.404500000004</v>
      </c>
    </row>
    <row r="2926" spans="1:10" ht="15">
      <c r="A2926" s="21">
        <v>41180</v>
      </c>
      <c r="B2926" s="21">
        <v>41153</v>
      </c>
      <c r="C2926" s="17">
        <v>58</v>
      </c>
      <c r="D2926" s="17" t="s">
        <v>91</v>
      </c>
      <c r="E2926" s="14">
        <v>153569</v>
      </c>
      <c r="F2926" s="14">
        <v>95267.5</v>
      </c>
      <c r="G2926" s="14">
        <v>95267.5</v>
      </c>
      <c r="H2926" s="22">
        <f>F2926*(1+Assumptions!$B$6+IF(D2926="Yes",Assumptions!$C$6,0))</f>
        <v>98125.525000000009</v>
      </c>
      <c r="I2926" s="22">
        <f>F2926*(1+Assumptions!$B$7+IF(D2926="Yes",Assumptions!$C$7,0))</f>
        <v>100030.875</v>
      </c>
      <c r="J2926" s="22">
        <f>F2926*(1+Assumptions!$B$8+IF(D2926="Yes",Assumptions!$C$8,0))</f>
        <v>96220.175000000003</v>
      </c>
    </row>
    <row r="2927" spans="1:10" ht="15">
      <c r="A2927" s="21">
        <v>41180</v>
      </c>
      <c r="B2927" s="21">
        <v>41153</v>
      </c>
      <c r="C2927" s="17">
        <v>59</v>
      </c>
      <c r="D2927" s="17" t="s">
        <v>91</v>
      </c>
      <c r="E2927" s="14">
        <v>7367.8</v>
      </c>
      <c r="F2927" s="14">
        <v>10385.76</v>
      </c>
      <c r="G2927" s="14">
        <v>10385.76</v>
      </c>
      <c r="H2927" s="22">
        <f>F2927*(1+Assumptions!$B$6+IF(D2927="Yes",Assumptions!$C$6,0))</f>
        <v>10697.3328</v>
      </c>
      <c r="I2927" s="22">
        <f>F2927*(1+Assumptions!$B$7+IF(D2927="Yes",Assumptions!$C$7,0))</f>
        <v>10905.048000000001</v>
      </c>
      <c r="J2927" s="22">
        <f>F2927*(1+Assumptions!$B$8+IF(D2927="Yes",Assumptions!$C$8,0))</f>
        <v>10489.6176</v>
      </c>
    </row>
    <row r="2928" spans="1:10" ht="15">
      <c r="A2928" s="21">
        <v>41180</v>
      </c>
      <c r="B2928" s="21">
        <v>41153</v>
      </c>
      <c r="C2928" s="17">
        <v>60</v>
      </c>
      <c r="D2928" s="17" t="s">
        <v>91</v>
      </c>
      <c r="E2928" s="14">
        <v>12888</v>
      </c>
      <c r="F2928" s="14">
        <v>12987.55</v>
      </c>
      <c r="G2928" s="14">
        <v>12987.55</v>
      </c>
      <c r="H2928" s="22">
        <f>F2928*(1+Assumptions!$B$6+IF(D2928="Yes",Assumptions!$C$6,0))</f>
        <v>13377.1765</v>
      </c>
      <c r="I2928" s="22">
        <f>F2928*(1+Assumptions!$B$7+IF(D2928="Yes",Assumptions!$C$7,0))</f>
        <v>13636.9275</v>
      </c>
      <c r="J2928" s="22">
        <f>F2928*(1+Assumptions!$B$8+IF(D2928="Yes",Assumptions!$C$8,0))</f>
        <v>13117.425499999999</v>
      </c>
    </row>
    <row r="2929" spans="1:10" ht="15">
      <c r="A2929" s="21">
        <v>41180</v>
      </c>
      <c r="B2929" s="21">
        <v>41153</v>
      </c>
      <c r="C2929" s="17">
        <v>65</v>
      </c>
      <c r="D2929" s="17" t="s">
        <v>91</v>
      </c>
      <c r="E2929" s="14">
        <v>48106.239999999998</v>
      </c>
      <c r="F2929" s="14">
        <v>33771.93</v>
      </c>
      <c r="G2929" s="14">
        <v>33771.93</v>
      </c>
      <c r="H2929" s="22">
        <f>F2929*(1+Assumptions!$B$6+IF(D2929="Yes",Assumptions!$C$6,0))</f>
        <v>34785.087899999999</v>
      </c>
      <c r="I2929" s="22">
        <f>F2929*(1+Assumptions!$B$7+IF(D2929="Yes",Assumptions!$C$7,0))</f>
        <v>35460.5265</v>
      </c>
      <c r="J2929" s="22">
        <f>F2929*(1+Assumptions!$B$8+IF(D2929="Yes",Assumptions!$C$8,0))</f>
        <v>34109.649299999997</v>
      </c>
    </row>
    <row r="2930" spans="1:10" ht="15">
      <c r="A2930" s="21">
        <v>41180</v>
      </c>
      <c r="B2930" s="21">
        <v>41153</v>
      </c>
      <c r="C2930" s="17">
        <v>67</v>
      </c>
      <c r="D2930" s="17" t="s">
        <v>91</v>
      </c>
      <c r="E2930" s="14">
        <v>273938.48</v>
      </c>
      <c r="F2930" s="14">
        <v>261182.52</v>
      </c>
      <c r="G2930" s="14">
        <v>261182.52</v>
      </c>
      <c r="H2930" s="22">
        <f>F2930*(1+Assumptions!$B$6+IF(D2930="Yes",Assumptions!$C$6,0))</f>
        <v>269017.99560000002</v>
      </c>
      <c r="I2930" s="22">
        <f>F2930*(1+Assumptions!$B$7+IF(D2930="Yes",Assumptions!$C$7,0))</f>
        <v>274241.64600000001</v>
      </c>
      <c r="J2930" s="22">
        <f>F2930*(1+Assumptions!$B$8+IF(D2930="Yes",Assumptions!$C$8,0))</f>
        <v>263794.34519999998</v>
      </c>
    </row>
    <row r="2931" spans="1:10" ht="15">
      <c r="A2931" s="21">
        <v>41180</v>
      </c>
      <c r="B2931" s="21">
        <v>41153</v>
      </c>
      <c r="C2931" s="17">
        <v>71</v>
      </c>
      <c r="D2931" s="17" t="s">
        <v>91</v>
      </c>
      <c r="E2931" s="14">
        <v>168190.33000000002</v>
      </c>
      <c r="F2931" s="14">
        <v>179897.60000000001</v>
      </c>
      <c r="G2931" s="14">
        <v>179897.60000000001</v>
      </c>
      <c r="H2931" s="22">
        <f>F2931*(1+Assumptions!$B$6+IF(D2931="Yes",Assumptions!$C$6,0))</f>
        <v>185294.52800000002</v>
      </c>
      <c r="I2931" s="22">
        <f>F2931*(1+Assumptions!$B$7+IF(D2931="Yes",Assumptions!$C$7,0))</f>
        <v>188892.48</v>
      </c>
      <c r="J2931" s="22">
        <f>F2931*(1+Assumptions!$B$8+IF(D2931="Yes",Assumptions!$C$8,0))</f>
        <v>181696.576</v>
      </c>
    </row>
    <row r="2932" spans="1:10" ht="15">
      <c r="A2932" s="21">
        <v>41180</v>
      </c>
      <c r="B2932" s="21">
        <v>41153</v>
      </c>
      <c r="C2932" s="17">
        <v>72</v>
      </c>
      <c r="D2932" s="17" t="s">
        <v>91</v>
      </c>
      <c r="E2932" s="14">
        <v>2072002</v>
      </c>
      <c r="F2932" s="14">
        <v>1692134.93</v>
      </c>
      <c r="G2932" s="14">
        <v>1692134.93</v>
      </c>
      <c r="H2932" s="22">
        <f>F2932*(1+Assumptions!$B$6+IF(D2932="Yes",Assumptions!$C$6,0))</f>
        <v>1742898.9779000001</v>
      </c>
      <c r="I2932" s="22">
        <f>F2932*(1+Assumptions!$B$7+IF(D2932="Yes",Assumptions!$C$7,0))</f>
        <v>1776741.6765000001</v>
      </c>
      <c r="J2932" s="22">
        <f>F2932*(1+Assumptions!$B$8+IF(D2932="Yes",Assumptions!$C$8,0))</f>
        <v>1709056.2793000001</v>
      </c>
    </row>
    <row r="2933" spans="1:10" ht="15">
      <c r="A2933" s="21">
        <v>41180</v>
      </c>
      <c r="B2933" s="21">
        <v>41153</v>
      </c>
      <c r="C2933" s="17">
        <v>74</v>
      </c>
      <c r="D2933" s="17" t="s">
        <v>91</v>
      </c>
      <c r="E2933" s="14">
        <v>546849.98</v>
      </c>
      <c r="F2933" s="14">
        <v>575377.71</v>
      </c>
      <c r="G2933" s="14">
        <v>575377.71</v>
      </c>
      <c r="H2933" s="22">
        <f>F2933*(1+Assumptions!$B$6+IF(D2933="Yes",Assumptions!$C$6,0))</f>
        <v>592639.04129999992</v>
      </c>
      <c r="I2933" s="22">
        <f>F2933*(1+Assumptions!$B$7+IF(D2933="Yes",Assumptions!$C$7,0))</f>
        <v>604146.59549999994</v>
      </c>
      <c r="J2933" s="22">
        <f>F2933*(1+Assumptions!$B$8+IF(D2933="Yes",Assumptions!$C$8,0))</f>
        <v>581131.48709999991</v>
      </c>
    </row>
    <row r="2934" spans="1:10" ht="15">
      <c r="A2934" s="21">
        <v>41180</v>
      </c>
      <c r="B2934" s="21">
        <v>41153</v>
      </c>
      <c r="C2934" s="17">
        <v>79</v>
      </c>
      <c r="D2934" s="17" t="s">
        <v>91</v>
      </c>
      <c r="E2934" s="14">
        <v>902689.62</v>
      </c>
      <c r="F2934" s="14">
        <v>902914.49</v>
      </c>
      <c r="G2934" s="14">
        <v>902914.49</v>
      </c>
      <c r="H2934" s="22">
        <f>F2934*(1+Assumptions!$B$6+IF(D2934="Yes",Assumptions!$C$6,0))</f>
        <v>930001.92469999997</v>
      </c>
      <c r="I2934" s="22">
        <f>F2934*(1+Assumptions!$B$7+IF(D2934="Yes",Assumptions!$C$7,0))</f>
        <v>948060.2145</v>
      </c>
      <c r="J2934" s="22">
        <f>F2934*(1+Assumptions!$B$8+IF(D2934="Yes",Assumptions!$C$8,0))</f>
        <v>911943.63489999995</v>
      </c>
    </row>
    <row r="2935" spans="1:10" ht="15">
      <c r="A2935" s="21">
        <v>41180</v>
      </c>
      <c r="B2935" s="21">
        <v>41153</v>
      </c>
      <c r="C2935" s="17">
        <v>80</v>
      </c>
      <c r="D2935" s="17" t="s">
        <v>91</v>
      </c>
      <c r="E2935" s="14">
        <v>477493.89999999997</v>
      </c>
      <c r="F2935" s="14">
        <v>490097.79</v>
      </c>
      <c r="G2935" s="14">
        <v>490097.79</v>
      </c>
      <c r="H2935" s="22">
        <f>F2935*(1+Assumptions!$B$6+IF(D2935="Yes",Assumptions!$C$6,0))</f>
        <v>504800.72369999997</v>
      </c>
      <c r="I2935" s="22">
        <f>F2935*(1+Assumptions!$B$7+IF(D2935="Yes",Assumptions!$C$7,0))</f>
        <v>514602.67950000003</v>
      </c>
      <c r="J2935" s="22">
        <f>F2935*(1+Assumptions!$B$8+IF(D2935="Yes",Assumptions!$C$8,0))</f>
        <v>494998.76789999998</v>
      </c>
    </row>
    <row r="2936" spans="1:10" ht="15">
      <c r="A2936" s="21">
        <v>41180</v>
      </c>
      <c r="B2936" s="21">
        <v>41153</v>
      </c>
      <c r="C2936" s="17">
        <v>81</v>
      </c>
      <c r="D2936" s="17" t="s">
        <v>91</v>
      </c>
      <c r="E2936" s="14">
        <v>660674.64</v>
      </c>
      <c r="F2936" s="14">
        <v>661511.11</v>
      </c>
      <c r="G2936" s="14">
        <v>661511.11</v>
      </c>
      <c r="H2936" s="22">
        <f>F2936*(1+Assumptions!$B$6+IF(D2936="Yes",Assumptions!$C$6,0))</f>
        <v>681356.44330000004</v>
      </c>
      <c r="I2936" s="22">
        <f>F2936*(1+Assumptions!$B$7+IF(D2936="Yes",Assumptions!$C$7,0))</f>
        <v>694586.6655</v>
      </c>
      <c r="J2936" s="22">
        <f>F2936*(1+Assumptions!$B$8+IF(D2936="Yes",Assumptions!$C$8,0))</f>
        <v>668126.22109999997</v>
      </c>
    </row>
    <row r="2937" spans="1:10" ht="15">
      <c r="A2937" s="21">
        <v>41180</v>
      </c>
      <c r="B2937" s="21">
        <v>41153</v>
      </c>
      <c r="C2937" s="17">
        <v>82</v>
      </c>
      <c r="D2937" s="17" t="s">
        <v>91</v>
      </c>
      <c r="E2937" s="14">
        <v>634658.59</v>
      </c>
      <c r="F2937" s="14">
        <v>608712.91</v>
      </c>
      <c r="G2937" s="14">
        <v>608712.91</v>
      </c>
      <c r="H2937" s="22">
        <f>F2937*(1+Assumptions!$B$6+IF(D2937="Yes",Assumptions!$C$6,0))</f>
        <v>626974.29730000009</v>
      </c>
      <c r="I2937" s="22">
        <f>F2937*(1+Assumptions!$B$7+IF(D2937="Yes",Assumptions!$C$7,0))</f>
        <v>639148.55550000002</v>
      </c>
      <c r="J2937" s="22">
        <f>F2937*(1+Assumptions!$B$8+IF(D2937="Yes",Assumptions!$C$8,0))</f>
        <v>614800.03910000005</v>
      </c>
    </row>
    <row r="2938" spans="1:10" ht="15">
      <c r="A2938" s="21">
        <v>41180</v>
      </c>
      <c r="B2938" s="21">
        <v>41153</v>
      </c>
      <c r="C2938" s="17">
        <v>83</v>
      </c>
      <c r="D2938" s="17" t="s">
        <v>91</v>
      </c>
      <c r="E2938" s="14">
        <v>112659.06</v>
      </c>
      <c r="F2938" s="14">
        <v>102652.46</v>
      </c>
      <c r="G2938" s="14">
        <v>102652.46</v>
      </c>
      <c r="H2938" s="22">
        <f>F2938*(1+Assumptions!$B$6+IF(D2938="Yes",Assumptions!$C$6,0))</f>
        <v>105732.0338</v>
      </c>
      <c r="I2938" s="22">
        <f>F2938*(1+Assumptions!$B$7+IF(D2938="Yes",Assumptions!$C$7,0))</f>
        <v>107785.08300000001</v>
      </c>
      <c r="J2938" s="22">
        <f>F2938*(1+Assumptions!$B$8+IF(D2938="Yes",Assumptions!$C$8,0))</f>
        <v>103678.98460000001</v>
      </c>
    </row>
    <row r="2939" spans="1:10" ht="15">
      <c r="A2939" s="21">
        <v>41180</v>
      </c>
      <c r="B2939" s="21">
        <v>41153</v>
      </c>
      <c r="C2939" s="17">
        <v>85</v>
      </c>
      <c r="D2939" s="17" t="s">
        <v>91</v>
      </c>
      <c r="E2939" s="14">
        <v>77374.27</v>
      </c>
      <c r="F2939" s="14">
        <v>85419.12</v>
      </c>
      <c r="G2939" s="14">
        <v>85419.12</v>
      </c>
      <c r="H2939" s="22">
        <f>F2939*(1+Assumptions!$B$6+IF(D2939="Yes",Assumptions!$C$6,0))</f>
        <v>87981.693599999999</v>
      </c>
      <c r="I2939" s="22">
        <f>F2939*(1+Assumptions!$B$7+IF(D2939="Yes",Assumptions!$C$7,0))</f>
        <v>89690.076000000001</v>
      </c>
      <c r="J2939" s="22">
        <f>F2939*(1+Assumptions!$B$8+IF(D2939="Yes",Assumptions!$C$8,0))</f>
        <v>86273.311199999996</v>
      </c>
    </row>
    <row r="2940" spans="1:10" ht="15">
      <c r="A2940" s="21">
        <v>41180</v>
      </c>
      <c r="B2940" s="21">
        <v>41153</v>
      </c>
      <c r="C2940" s="17">
        <v>87</v>
      </c>
      <c r="D2940" s="17" t="s">
        <v>91</v>
      </c>
      <c r="E2940" s="14">
        <v>664445.69000000006</v>
      </c>
      <c r="F2940" s="14">
        <v>598709.91999999993</v>
      </c>
      <c r="G2940" s="14">
        <v>598709.91999999993</v>
      </c>
      <c r="H2940" s="22">
        <f>F2940*(1+Assumptions!$B$6+IF(D2940="Yes",Assumptions!$C$6,0))</f>
        <v>616671.21759999997</v>
      </c>
      <c r="I2940" s="22">
        <f>F2940*(1+Assumptions!$B$7+IF(D2940="Yes",Assumptions!$C$7,0))</f>
        <v>628645.41599999997</v>
      </c>
      <c r="J2940" s="22">
        <f>F2940*(1+Assumptions!$B$8+IF(D2940="Yes",Assumptions!$C$8,0))</f>
        <v>604697.01919999998</v>
      </c>
    </row>
    <row r="2941" spans="1:10" ht="15">
      <c r="A2941" s="21">
        <v>41180</v>
      </c>
      <c r="B2941" s="21">
        <v>41153</v>
      </c>
      <c r="C2941" s="17">
        <v>90</v>
      </c>
      <c r="D2941" s="17" t="s">
        <v>91</v>
      </c>
      <c r="E2941" s="14">
        <v>1996082.29</v>
      </c>
      <c r="F2941" s="14">
        <v>2008524</v>
      </c>
      <c r="G2941" s="14">
        <v>2008524</v>
      </c>
      <c r="H2941" s="22">
        <f>F2941*(1+Assumptions!$B$6+IF(D2941="Yes",Assumptions!$C$6,0))</f>
        <v>2068779.72</v>
      </c>
      <c r="I2941" s="22">
        <f>F2941*(1+Assumptions!$B$7+IF(D2941="Yes",Assumptions!$C$7,0))</f>
        <v>2108950.2000000002</v>
      </c>
      <c r="J2941" s="22">
        <f>F2941*(1+Assumptions!$B$8+IF(D2941="Yes",Assumptions!$C$8,0))</f>
        <v>2028609.24</v>
      </c>
    </row>
    <row r="2942" spans="1:10" ht="15">
      <c r="A2942" s="21">
        <v>41180</v>
      </c>
      <c r="B2942" s="21">
        <v>41153</v>
      </c>
      <c r="C2942" s="17">
        <v>91</v>
      </c>
      <c r="D2942" s="17" t="s">
        <v>91</v>
      </c>
      <c r="E2942" s="14">
        <v>1386313.9</v>
      </c>
      <c r="F2942" s="14">
        <v>1373311.8900000001</v>
      </c>
      <c r="G2942" s="14">
        <v>1373311.8900000001</v>
      </c>
      <c r="H2942" s="22">
        <f>F2942*(1+Assumptions!$B$6+IF(D2942="Yes",Assumptions!$C$6,0))</f>
        <v>1414511.2467000003</v>
      </c>
      <c r="I2942" s="22">
        <f>F2942*(1+Assumptions!$B$7+IF(D2942="Yes",Assumptions!$C$7,0))</f>
        <v>1441977.4845000003</v>
      </c>
      <c r="J2942" s="22">
        <f>F2942*(1+Assumptions!$B$8+IF(D2942="Yes",Assumptions!$C$8,0))</f>
        <v>1387045.0089000002</v>
      </c>
    </row>
    <row r="2943" spans="1:10" ht="15">
      <c r="A2943" s="21">
        <v>41180</v>
      </c>
      <c r="B2943" s="21">
        <v>41153</v>
      </c>
      <c r="C2943" s="17">
        <v>92</v>
      </c>
      <c r="D2943" s="17" t="s">
        <v>91</v>
      </c>
      <c r="E2943" s="14">
        <v>3332543.07</v>
      </c>
      <c r="F2943" s="14">
        <v>3165079.2399999998</v>
      </c>
      <c r="G2943" s="14">
        <v>3165079.2399999998</v>
      </c>
      <c r="H2943" s="22">
        <f>F2943*(1+Assumptions!$B$6+IF(D2943="Yes",Assumptions!$C$6,0))</f>
        <v>3260031.6171999997</v>
      </c>
      <c r="I2943" s="22">
        <f>F2943*(1+Assumptions!$B$7+IF(D2943="Yes",Assumptions!$C$7,0))</f>
        <v>3323333.202</v>
      </c>
      <c r="J2943" s="22">
        <f>F2943*(1+Assumptions!$B$8+IF(D2943="Yes",Assumptions!$C$8,0))</f>
        <v>3196730.0323999999</v>
      </c>
    </row>
    <row r="2944" spans="1:10" ht="15">
      <c r="A2944" s="21">
        <v>41180</v>
      </c>
      <c r="B2944" s="21">
        <v>41153</v>
      </c>
      <c r="C2944" s="17">
        <v>93</v>
      </c>
      <c r="D2944" s="17" t="s">
        <v>91</v>
      </c>
      <c r="E2944" s="14">
        <v>1019914.01</v>
      </c>
      <c r="F2944" s="14">
        <v>967257.83</v>
      </c>
      <c r="G2944" s="14">
        <v>967257.83</v>
      </c>
      <c r="H2944" s="22">
        <f>F2944*(1+Assumptions!$B$6+IF(D2944="Yes",Assumptions!$C$6,0))</f>
        <v>996275.5649</v>
      </c>
      <c r="I2944" s="22">
        <f>F2944*(1+Assumptions!$B$7+IF(D2944="Yes",Assumptions!$C$7,0))</f>
        <v>1015620.7215</v>
      </c>
      <c r="J2944" s="22">
        <f>F2944*(1+Assumptions!$B$8+IF(D2944="Yes",Assumptions!$C$8,0))</f>
        <v>976930.40830000001</v>
      </c>
    </row>
    <row r="2945" spans="1:10" ht="15">
      <c r="A2945" s="21">
        <v>41180</v>
      </c>
      <c r="B2945" s="21">
        <v>41153</v>
      </c>
      <c r="C2945" s="17">
        <v>94</v>
      </c>
      <c r="D2945" s="17" t="s">
        <v>91</v>
      </c>
      <c r="E2945" s="14">
        <v>1238446.6499999999</v>
      </c>
      <c r="F2945" s="14">
        <v>1195659.56</v>
      </c>
      <c r="G2945" s="14">
        <v>1195659.56</v>
      </c>
      <c r="H2945" s="22">
        <f>F2945*(1+Assumptions!$B$6+IF(D2945="Yes",Assumptions!$C$6,0))</f>
        <v>1231529.3468000002</v>
      </c>
      <c r="I2945" s="22">
        <f>F2945*(1+Assumptions!$B$7+IF(D2945="Yes",Assumptions!$C$7,0))</f>
        <v>1255442.5380000002</v>
      </c>
      <c r="J2945" s="22">
        <f>F2945*(1+Assumptions!$B$8+IF(D2945="Yes",Assumptions!$C$8,0))</f>
        <v>1207616.1556000002</v>
      </c>
    </row>
    <row r="2946" spans="1:10" ht="15">
      <c r="A2946" s="21">
        <v>41180</v>
      </c>
      <c r="B2946" s="21">
        <v>41153</v>
      </c>
      <c r="C2946" s="17">
        <v>95</v>
      </c>
      <c r="D2946" s="17" t="s">
        <v>91</v>
      </c>
      <c r="E2946" s="14">
        <v>2975247.21</v>
      </c>
      <c r="F2946" s="14">
        <v>2982521.58</v>
      </c>
      <c r="G2946" s="14">
        <v>2982521.58</v>
      </c>
      <c r="H2946" s="22">
        <f>F2946*(1+Assumptions!$B$6+IF(D2946="Yes",Assumptions!$C$6,0))</f>
        <v>3071997.2274000002</v>
      </c>
      <c r="I2946" s="22">
        <f>F2946*(1+Assumptions!$B$7+IF(D2946="Yes",Assumptions!$C$7,0))</f>
        <v>3131647.659</v>
      </c>
      <c r="J2946" s="22">
        <f>F2946*(1+Assumptions!$B$8+IF(D2946="Yes",Assumptions!$C$8,0))</f>
        <v>3012346.7958</v>
      </c>
    </row>
    <row r="2947" spans="1:10" ht="15">
      <c r="A2947" s="21">
        <v>41180</v>
      </c>
      <c r="B2947" s="21">
        <v>41153</v>
      </c>
      <c r="C2947" s="17">
        <v>96</v>
      </c>
      <c r="D2947" s="17" t="s">
        <v>91</v>
      </c>
      <c r="E2947" s="14">
        <v>521873.47</v>
      </c>
      <c r="F2947" s="14">
        <v>502176.19</v>
      </c>
      <c r="G2947" s="14">
        <v>502176.19</v>
      </c>
      <c r="H2947" s="22">
        <f>F2947*(1+Assumptions!$B$6+IF(D2947="Yes",Assumptions!$C$6,0))</f>
        <v>517241.47570000001</v>
      </c>
      <c r="I2947" s="22">
        <f>F2947*(1+Assumptions!$B$7+IF(D2947="Yes",Assumptions!$C$7,0))</f>
        <v>527284.99950000003</v>
      </c>
      <c r="J2947" s="22">
        <f>F2947*(1+Assumptions!$B$8+IF(D2947="Yes",Assumptions!$C$8,0))</f>
        <v>507197.95189999999</v>
      </c>
    </row>
    <row r="2948" spans="1:10" ht="15">
      <c r="A2948" s="21">
        <v>41180</v>
      </c>
      <c r="B2948" s="21">
        <v>41153</v>
      </c>
      <c r="C2948" s="17">
        <v>97</v>
      </c>
      <c r="D2948" s="17" t="s">
        <v>91</v>
      </c>
      <c r="E2948" s="14">
        <v>588259.35</v>
      </c>
      <c r="F2948" s="14">
        <v>570165.81000000006</v>
      </c>
      <c r="G2948" s="14">
        <v>570165.81000000006</v>
      </c>
      <c r="H2948" s="22">
        <f>F2948*(1+Assumptions!$B$6+IF(D2948="Yes",Assumptions!$C$6,0))</f>
        <v>587270.78430000006</v>
      </c>
      <c r="I2948" s="22">
        <f>F2948*(1+Assumptions!$B$7+IF(D2948="Yes",Assumptions!$C$7,0))</f>
        <v>598674.10050000006</v>
      </c>
      <c r="J2948" s="22">
        <f>F2948*(1+Assumptions!$B$8+IF(D2948="Yes",Assumptions!$C$8,0))</f>
        <v>575867.46810000006</v>
      </c>
    </row>
    <row r="2949" spans="1:10" ht="15">
      <c r="A2949" s="21">
        <v>41180</v>
      </c>
      <c r="B2949" s="21">
        <v>41153</v>
      </c>
      <c r="C2949" s="17">
        <v>98</v>
      </c>
      <c r="D2949" s="17" t="s">
        <v>91</v>
      </c>
      <c r="E2949" s="14">
        <v>261681.17</v>
      </c>
      <c r="F2949" s="14">
        <v>252323.6</v>
      </c>
      <c r="G2949" s="14">
        <v>252323.6</v>
      </c>
      <c r="H2949" s="22">
        <f>F2949*(1+Assumptions!$B$6+IF(D2949="Yes",Assumptions!$C$6,0))</f>
        <v>259893.30800000002</v>
      </c>
      <c r="I2949" s="22">
        <f>F2949*(1+Assumptions!$B$7+IF(D2949="Yes",Assumptions!$C$7,0))</f>
        <v>264939.78000000003</v>
      </c>
      <c r="J2949" s="22">
        <f>F2949*(1+Assumptions!$B$8+IF(D2949="Yes",Assumptions!$C$8,0))</f>
        <v>254846.83600000001</v>
      </c>
    </row>
    <row r="2950" spans="1:10" ht="15">
      <c r="A2950" s="21">
        <v>41187</v>
      </c>
      <c r="B2950" s="21">
        <v>41183</v>
      </c>
      <c r="C2950" s="17">
        <v>1</v>
      </c>
      <c r="D2950" s="17" t="s">
        <v>91</v>
      </c>
      <c r="E2950" s="14">
        <v>855362.83</v>
      </c>
      <c r="F2950" s="14">
        <v>864480.77</v>
      </c>
      <c r="G2950" s="14">
        <v>864480.77</v>
      </c>
      <c r="H2950" s="22">
        <f>F2950*(1+Assumptions!$B$6+IF(D2950="Yes",Assumptions!$C$6,0))</f>
        <v>890415.19310000003</v>
      </c>
      <c r="I2950" s="22">
        <f>F2950*(1+Assumptions!$B$7+IF(D2950="Yes",Assumptions!$C$7,0))</f>
        <v>907704.80850000004</v>
      </c>
      <c r="J2950" s="22">
        <f>F2950*(1+Assumptions!$B$8+IF(D2950="Yes",Assumptions!$C$8,0))</f>
        <v>873125.57770000002</v>
      </c>
    </row>
    <row r="2951" spans="1:10" ht="15">
      <c r="A2951" s="21">
        <v>41187</v>
      </c>
      <c r="B2951" s="21">
        <v>41183</v>
      </c>
      <c r="C2951" s="17">
        <v>2</v>
      </c>
      <c r="D2951" s="17" t="s">
        <v>91</v>
      </c>
      <c r="E2951" s="14">
        <v>1988021.85</v>
      </c>
      <c r="F2951" s="14">
        <v>1988546.44</v>
      </c>
      <c r="G2951" s="14">
        <v>1988546.44</v>
      </c>
      <c r="H2951" s="22">
        <f>F2951*(1+Assumptions!$B$6+IF(D2951="Yes",Assumptions!$C$6,0))</f>
        <v>2048202.8332</v>
      </c>
      <c r="I2951" s="22">
        <f>F2951*(1+Assumptions!$B$7+IF(D2951="Yes",Assumptions!$C$7,0))</f>
        <v>2087973.7620000001</v>
      </c>
      <c r="J2951" s="22">
        <f>F2951*(1+Assumptions!$B$8+IF(D2951="Yes",Assumptions!$C$8,0))</f>
        <v>2008431.9043999999</v>
      </c>
    </row>
    <row r="2952" spans="1:10" ht="15">
      <c r="A2952" s="21">
        <v>41187</v>
      </c>
      <c r="B2952" s="21">
        <v>41183</v>
      </c>
      <c r="C2952" s="17">
        <v>3</v>
      </c>
      <c r="D2952" s="17" t="s">
        <v>91</v>
      </c>
      <c r="E2952" s="14">
        <v>376950.71</v>
      </c>
      <c r="F2952" s="14">
        <v>381847.51</v>
      </c>
      <c r="G2952" s="14">
        <v>381847.51</v>
      </c>
      <c r="H2952" s="22">
        <f>F2952*(1+Assumptions!$B$6+IF(D2952="Yes",Assumptions!$C$6,0))</f>
        <v>393302.93530000001</v>
      </c>
      <c r="I2952" s="22">
        <f>F2952*(1+Assumptions!$B$7+IF(D2952="Yes",Assumptions!$C$7,0))</f>
        <v>400939.88550000003</v>
      </c>
      <c r="J2952" s="22">
        <f>F2952*(1+Assumptions!$B$8+IF(D2952="Yes",Assumptions!$C$8,0))</f>
        <v>385665.98509999999</v>
      </c>
    </row>
    <row r="2953" spans="1:10" ht="15">
      <c r="A2953" s="21">
        <v>41187</v>
      </c>
      <c r="B2953" s="21">
        <v>41183</v>
      </c>
      <c r="C2953" s="17">
        <v>4</v>
      </c>
      <c r="D2953" s="17" t="s">
        <v>91</v>
      </c>
      <c r="E2953" s="14">
        <v>1207399.6599999999</v>
      </c>
      <c r="F2953" s="14">
        <v>1218882.17</v>
      </c>
      <c r="G2953" s="14">
        <v>1218882.17</v>
      </c>
      <c r="H2953" s="22">
        <f>F2953*(1+Assumptions!$B$6+IF(D2953="Yes",Assumptions!$C$6,0))</f>
        <v>1255448.6350999998</v>
      </c>
      <c r="I2953" s="22">
        <f>F2953*(1+Assumptions!$B$7+IF(D2953="Yes",Assumptions!$C$7,0))</f>
        <v>1279826.2785</v>
      </c>
      <c r="J2953" s="22">
        <f>F2953*(1+Assumptions!$B$8+IF(D2953="Yes",Assumptions!$C$8,0))</f>
        <v>1231070.9916999999</v>
      </c>
    </row>
    <row r="2954" spans="1:10" ht="15">
      <c r="A2954" s="21">
        <v>41187</v>
      </c>
      <c r="B2954" s="21">
        <v>41183</v>
      </c>
      <c r="C2954" s="17">
        <v>5</v>
      </c>
      <c r="D2954" s="17" t="s">
        <v>91</v>
      </c>
      <c r="E2954" s="14">
        <v>865522.7</v>
      </c>
      <c r="F2954" s="14">
        <v>1006206.1</v>
      </c>
      <c r="G2954" s="14">
        <v>1006206.1</v>
      </c>
      <c r="H2954" s="22">
        <f>F2954*(1+Assumptions!$B$6+IF(D2954="Yes",Assumptions!$C$6,0))</f>
        <v>1036392.2830000001</v>
      </c>
      <c r="I2954" s="22">
        <f>F2954*(1+Assumptions!$B$7+IF(D2954="Yes",Assumptions!$C$7,0))</f>
        <v>1056516.405</v>
      </c>
      <c r="J2954" s="22">
        <f>F2954*(1+Assumptions!$B$8+IF(D2954="Yes",Assumptions!$C$8,0))</f>
        <v>1016268.161</v>
      </c>
    </row>
    <row r="2955" spans="1:10" ht="15">
      <c r="A2955" s="21">
        <v>41187</v>
      </c>
      <c r="B2955" s="21">
        <v>41183</v>
      </c>
      <c r="C2955" s="17">
        <v>6</v>
      </c>
      <c r="D2955" s="17" t="s">
        <v>91</v>
      </c>
      <c r="E2955" s="14">
        <v>138819.63</v>
      </c>
      <c r="F2955" s="14">
        <v>138202.43</v>
      </c>
      <c r="G2955" s="14">
        <v>138202.43</v>
      </c>
      <c r="H2955" s="22">
        <f>F2955*(1+Assumptions!$B$6+IF(D2955="Yes",Assumptions!$C$6,0))</f>
        <v>142348.50289999999</v>
      </c>
      <c r="I2955" s="22">
        <f>F2955*(1+Assumptions!$B$7+IF(D2955="Yes",Assumptions!$C$7,0))</f>
        <v>145112.5515</v>
      </c>
      <c r="J2955" s="22">
        <f>F2955*(1+Assumptions!$B$8+IF(D2955="Yes",Assumptions!$C$8,0))</f>
        <v>139584.45429999998</v>
      </c>
    </row>
    <row r="2956" spans="1:10" ht="15">
      <c r="A2956" s="21">
        <v>41187</v>
      </c>
      <c r="B2956" s="21">
        <v>41183</v>
      </c>
      <c r="C2956" s="17">
        <v>7</v>
      </c>
      <c r="D2956" s="17" t="s">
        <v>91</v>
      </c>
      <c r="E2956" s="14">
        <v>923852.41</v>
      </c>
      <c r="F2956" s="14">
        <v>731464.56</v>
      </c>
      <c r="G2956" s="14">
        <v>731464.56</v>
      </c>
      <c r="H2956" s="22">
        <f>F2956*(1+Assumptions!$B$6+IF(D2956="Yes",Assumptions!$C$6,0))</f>
        <v>753408.49680000008</v>
      </c>
      <c r="I2956" s="22">
        <f>F2956*(1+Assumptions!$B$7+IF(D2956="Yes",Assumptions!$C$7,0))</f>
        <v>768037.78800000006</v>
      </c>
      <c r="J2956" s="22">
        <f>F2956*(1+Assumptions!$B$8+IF(D2956="Yes",Assumptions!$C$8,0))</f>
        <v>738779.2056000001</v>
      </c>
    </row>
    <row r="2957" spans="1:10" ht="15">
      <c r="A2957" s="21">
        <v>41187</v>
      </c>
      <c r="B2957" s="21">
        <v>41183</v>
      </c>
      <c r="C2957" s="17">
        <v>8</v>
      </c>
      <c r="D2957" s="17" t="s">
        <v>91</v>
      </c>
      <c r="E2957" s="14">
        <v>1462807.05</v>
      </c>
      <c r="F2957" s="14">
        <v>1398563.36</v>
      </c>
      <c r="G2957" s="14">
        <v>1398563.36</v>
      </c>
      <c r="H2957" s="22">
        <f>F2957*(1+Assumptions!$B$6+IF(D2957="Yes",Assumptions!$C$6,0))</f>
        <v>1440520.2608</v>
      </c>
      <c r="I2957" s="22">
        <f>F2957*(1+Assumptions!$B$7+IF(D2957="Yes",Assumptions!$C$7,0))</f>
        <v>1468491.5280000002</v>
      </c>
      <c r="J2957" s="22">
        <f>F2957*(1+Assumptions!$B$8+IF(D2957="Yes",Assumptions!$C$8,0))</f>
        <v>1412548.9936000002</v>
      </c>
    </row>
    <row r="2958" spans="1:10" ht="15">
      <c r="A2958" s="21">
        <v>41187</v>
      </c>
      <c r="B2958" s="21">
        <v>41183</v>
      </c>
      <c r="C2958" s="17">
        <v>9</v>
      </c>
      <c r="D2958" s="17" t="s">
        <v>91</v>
      </c>
      <c r="E2958" s="14">
        <v>962195.59</v>
      </c>
      <c r="F2958" s="14">
        <v>829414.86</v>
      </c>
      <c r="G2958" s="14">
        <v>829414.86</v>
      </c>
      <c r="H2958" s="22">
        <f>F2958*(1+Assumptions!$B$6+IF(D2958="Yes",Assumptions!$C$6,0))</f>
        <v>854297.30579999997</v>
      </c>
      <c r="I2958" s="22">
        <f>F2958*(1+Assumptions!$B$7+IF(D2958="Yes",Assumptions!$C$7,0))</f>
        <v>870885.603</v>
      </c>
      <c r="J2958" s="22">
        <f>F2958*(1+Assumptions!$B$8+IF(D2958="Yes",Assumptions!$C$8,0))</f>
        <v>837709.00859999994</v>
      </c>
    </row>
    <row r="2959" spans="1:10" ht="15">
      <c r="A2959" s="21">
        <v>41187</v>
      </c>
      <c r="B2959" s="21">
        <v>41183</v>
      </c>
      <c r="C2959" s="17">
        <v>10</v>
      </c>
      <c r="D2959" s="17" t="s">
        <v>91</v>
      </c>
      <c r="E2959" s="14">
        <v>844521.53</v>
      </c>
      <c r="F2959" s="14">
        <v>875494.52</v>
      </c>
      <c r="G2959" s="14">
        <v>875494.52</v>
      </c>
      <c r="H2959" s="22">
        <f>F2959*(1+Assumptions!$B$6+IF(D2959="Yes",Assumptions!$C$6,0))</f>
        <v>901759.35560000001</v>
      </c>
      <c r="I2959" s="22">
        <f>F2959*(1+Assumptions!$B$7+IF(D2959="Yes",Assumptions!$C$7,0))</f>
        <v>919269.24600000004</v>
      </c>
      <c r="J2959" s="22">
        <f>F2959*(1+Assumptions!$B$8+IF(D2959="Yes",Assumptions!$C$8,0))</f>
        <v>884249.46519999998</v>
      </c>
    </row>
    <row r="2960" spans="1:10" ht="15">
      <c r="A2960" s="21">
        <v>41187</v>
      </c>
      <c r="B2960" s="21">
        <v>41183</v>
      </c>
      <c r="C2960" s="17">
        <v>11</v>
      </c>
      <c r="D2960" s="17" t="s">
        <v>91</v>
      </c>
      <c r="E2960" s="14">
        <v>542101.85</v>
      </c>
      <c r="F2960" s="14">
        <v>580368.64000000001</v>
      </c>
      <c r="G2960" s="14">
        <v>580368.64000000001</v>
      </c>
      <c r="H2960" s="22">
        <f>F2960*(1+Assumptions!$B$6+IF(D2960="Yes",Assumptions!$C$6,0))</f>
        <v>597779.69920000003</v>
      </c>
      <c r="I2960" s="22">
        <f>F2960*(1+Assumptions!$B$7+IF(D2960="Yes",Assumptions!$C$7,0))</f>
        <v>609387.07200000004</v>
      </c>
      <c r="J2960" s="22">
        <f>F2960*(1+Assumptions!$B$8+IF(D2960="Yes",Assumptions!$C$8,0))</f>
        <v>586172.32640000002</v>
      </c>
    </row>
    <row r="2961" spans="1:10" ht="15">
      <c r="A2961" s="21">
        <v>41187</v>
      </c>
      <c r="B2961" s="21">
        <v>41183</v>
      </c>
      <c r="C2961" s="17">
        <v>12</v>
      </c>
      <c r="D2961" s="17" t="s">
        <v>91</v>
      </c>
      <c r="E2961" s="14">
        <v>184714.34</v>
      </c>
      <c r="F2961" s="14">
        <v>198797.11</v>
      </c>
      <c r="G2961" s="14">
        <v>198797.11</v>
      </c>
      <c r="H2961" s="22">
        <f>F2961*(1+Assumptions!$B$6+IF(D2961="Yes",Assumptions!$C$6,0))</f>
        <v>204761.0233</v>
      </c>
      <c r="I2961" s="22">
        <f>F2961*(1+Assumptions!$B$7+IF(D2961="Yes",Assumptions!$C$7,0))</f>
        <v>208736.96549999999</v>
      </c>
      <c r="J2961" s="22">
        <f>F2961*(1+Assumptions!$B$8+IF(D2961="Yes",Assumptions!$C$8,0))</f>
        <v>200785.08109999998</v>
      </c>
    </row>
    <row r="2962" spans="1:10" ht="15">
      <c r="A2962" s="21">
        <v>41187</v>
      </c>
      <c r="B2962" s="21">
        <v>41183</v>
      </c>
      <c r="C2962" s="17">
        <v>13</v>
      </c>
      <c r="D2962" s="17" t="s">
        <v>91</v>
      </c>
      <c r="E2962" s="14">
        <v>1491837.65</v>
      </c>
      <c r="F2962" s="14">
        <v>1493280.06</v>
      </c>
      <c r="G2962" s="14">
        <v>1493280.06</v>
      </c>
      <c r="H2962" s="22">
        <f>F2962*(1+Assumptions!$B$6+IF(D2962="Yes",Assumptions!$C$6,0))</f>
        <v>1538078.4618000002</v>
      </c>
      <c r="I2962" s="22">
        <f>F2962*(1+Assumptions!$B$7+IF(D2962="Yes",Assumptions!$C$7,0))</f>
        <v>1567944.0630000001</v>
      </c>
      <c r="J2962" s="22">
        <f>F2962*(1+Assumptions!$B$8+IF(D2962="Yes",Assumptions!$C$8,0))</f>
        <v>1508212.8606</v>
      </c>
    </row>
    <row r="2963" spans="1:10" ht="15">
      <c r="A2963" s="21">
        <v>41187</v>
      </c>
      <c r="B2963" s="21">
        <v>41183</v>
      </c>
      <c r="C2963" s="17">
        <v>14</v>
      </c>
      <c r="D2963" s="17" t="s">
        <v>91</v>
      </c>
      <c r="E2963" s="14">
        <v>614468.13</v>
      </c>
      <c r="F2963" s="14">
        <v>618899.74</v>
      </c>
      <c r="G2963" s="14">
        <v>618899.74</v>
      </c>
      <c r="H2963" s="22">
        <f>F2963*(1+Assumptions!$B$6+IF(D2963="Yes",Assumptions!$C$6,0))</f>
        <v>637466.73219999997</v>
      </c>
      <c r="I2963" s="22">
        <f>F2963*(1+Assumptions!$B$7+IF(D2963="Yes",Assumptions!$C$7,0))</f>
        <v>649844.72700000007</v>
      </c>
      <c r="J2963" s="22">
        <f>F2963*(1+Assumptions!$B$8+IF(D2963="Yes",Assumptions!$C$8,0))</f>
        <v>625088.73739999998</v>
      </c>
    </row>
    <row r="2964" spans="1:10" ht="15">
      <c r="A2964" s="21">
        <v>41187</v>
      </c>
      <c r="B2964" s="21">
        <v>41183</v>
      </c>
      <c r="C2964" s="17">
        <v>16</v>
      </c>
      <c r="D2964" s="17" t="s">
        <v>91</v>
      </c>
      <c r="E2964" s="14">
        <v>223274.98</v>
      </c>
      <c r="F2964" s="14">
        <v>273314.98</v>
      </c>
      <c r="G2964" s="14">
        <v>273314.98</v>
      </c>
      <c r="H2964" s="22">
        <f>F2964*(1+Assumptions!$B$6+IF(D2964="Yes",Assumptions!$C$6,0))</f>
        <v>281514.42939999996</v>
      </c>
      <c r="I2964" s="22">
        <f>F2964*(1+Assumptions!$B$7+IF(D2964="Yes",Assumptions!$C$7,0))</f>
        <v>286980.72899999999</v>
      </c>
      <c r="J2964" s="22">
        <f>F2964*(1+Assumptions!$B$8+IF(D2964="Yes",Assumptions!$C$8,0))</f>
        <v>276048.1298</v>
      </c>
    </row>
    <row r="2965" spans="1:10" ht="15">
      <c r="A2965" s="21">
        <v>41187</v>
      </c>
      <c r="B2965" s="21">
        <v>41183</v>
      </c>
      <c r="C2965" s="17">
        <v>17</v>
      </c>
      <c r="D2965" s="17" t="s">
        <v>91</v>
      </c>
      <c r="E2965" s="14">
        <v>460955.28</v>
      </c>
      <c r="F2965" s="14">
        <v>458969.01</v>
      </c>
      <c r="G2965" s="14">
        <v>458969.01</v>
      </c>
      <c r="H2965" s="22">
        <f>F2965*(1+Assumptions!$B$6+IF(D2965="Yes",Assumptions!$C$6,0))</f>
        <v>472738.08030000003</v>
      </c>
      <c r="I2965" s="22">
        <f>F2965*(1+Assumptions!$B$7+IF(D2965="Yes",Assumptions!$C$7,0))</f>
        <v>481917.46050000004</v>
      </c>
      <c r="J2965" s="22">
        <f>F2965*(1+Assumptions!$B$8+IF(D2965="Yes",Assumptions!$C$8,0))</f>
        <v>463558.70010000002</v>
      </c>
    </row>
    <row r="2966" spans="1:10" ht="15">
      <c r="A2966" s="21">
        <v>41187</v>
      </c>
      <c r="B2966" s="21">
        <v>41183</v>
      </c>
      <c r="C2966" s="17">
        <v>18</v>
      </c>
      <c r="D2966" s="17" t="s">
        <v>91</v>
      </c>
      <c r="E2966" s="14">
        <v>376312.68</v>
      </c>
      <c r="F2966" s="14">
        <v>350578.81</v>
      </c>
      <c r="G2966" s="14">
        <v>350578.81</v>
      </c>
      <c r="H2966" s="22">
        <f>F2966*(1+Assumptions!$B$6+IF(D2966="Yes",Assumptions!$C$6,0))</f>
        <v>361096.17430000001</v>
      </c>
      <c r="I2966" s="22">
        <f>F2966*(1+Assumptions!$B$7+IF(D2966="Yes",Assumptions!$C$7,0))</f>
        <v>368107.75050000002</v>
      </c>
      <c r="J2966" s="22">
        <f>F2966*(1+Assumptions!$B$8+IF(D2966="Yes",Assumptions!$C$8,0))</f>
        <v>354084.5981</v>
      </c>
    </row>
    <row r="2967" spans="1:10" ht="15">
      <c r="A2967" s="21">
        <v>41187</v>
      </c>
      <c r="B2967" s="21">
        <v>41183</v>
      </c>
      <c r="C2967" s="17">
        <v>19</v>
      </c>
      <c r="D2967" s="17" t="s">
        <v>91</v>
      </c>
      <c r="E2967" s="14">
        <v>48357.4</v>
      </c>
      <c r="F2967" s="14">
        <v>55481.78</v>
      </c>
      <c r="G2967" s="14">
        <v>55481.78</v>
      </c>
      <c r="H2967" s="22">
        <f>F2967*(1+Assumptions!$B$6+IF(D2967="Yes",Assumptions!$C$6,0))</f>
        <v>57146.233399999997</v>
      </c>
      <c r="I2967" s="22">
        <f>F2967*(1+Assumptions!$B$7+IF(D2967="Yes",Assumptions!$C$7,0))</f>
        <v>58255.868999999999</v>
      </c>
      <c r="J2967" s="22">
        <f>F2967*(1+Assumptions!$B$8+IF(D2967="Yes",Assumptions!$C$8,0))</f>
        <v>56036.597799999996</v>
      </c>
    </row>
    <row r="2968" spans="1:10" ht="15">
      <c r="A2968" s="21">
        <v>41187</v>
      </c>
      <c r="B2968" s="21">
        <v>41183</v>
      </c>
      <c r="C2968" s="17">
        <v>20</v>
      </c>
      <c r="D2968" s="17" t="s">
        <v>91</v>
      </c>
      <c r="E2968" s="14">
        <v>219297.55</v>
      </c>
      <c r="F2968" s="14">
        <v>218369.68</v>
      </c>
      <c r="G2968" s="14">
        <v>218369.68</v>
      </c>
      <c r="H2968" s="22">
        <f>F2968*(1+Assumptions!$B$6+IF(D2968="Yes",Assumptions!$C$6,0))</f>
        <v>224920.77040000001</v>
      </c>
      <c r="I2968" s="22">
        <f>F2968*(1+Assumptions!$B$7+IF(D2968="Yes",Assumptions!$C$7,0))</f>
        <v>229288.16399999999</v>
      </c>
      <c r="J2968" s="22">
        <f>F2968*(1+Assumptions!$B$8+IF(D2968="Yes",Assumptions!$C$8,0))</f>
        <v>220553.3768</v>
      </c>
    </row>
    <row r="2969" spans="1:10" ht="15">
      <c r="A2969" s="21">
        <v>41187</v>
      </c>
      <c r="B2969" s="21">
        <v>41183</v>
      </c>
      <c r="C2969" s="17">
        <v>21</v>
      </c>
      <c r="D2969" s="17" t="s">
        <v>91</v>
      </c>
      <c r="E2969" s="14">
        <v>205023.01</v>
      </c>
      <c r="F2969" s="14">
        <v>216472.85</v>
      </c>
      <c r="G2969" s="14">
        <v>216472.85</v>
      </c>
      <c r="H2969" s="22">
        <f>F2969*(1+Assumptions!$B$6+IF(D2969="Yes",Assumptions!$C$6,0))</f>
        <v>222967.0355</v>
      </c>
      <c r="I2969" s="22">
        <f>F2969*(1+Assumptions!$B$7+IF(D2969="Yes",Assumptions!$C$7,0))</f>
        <v>227296.49250000002</v>
      </c>
      <c r="J2969" s="22">
        <f>F2969*(1+Assumptions!$B$8+IF(D2969="Yes",Assumptions!$C$8,0))</f>
        <v>218637.5785</v>
      </c>
    </row>
    <row r="2970" spans="1:10" ht="15">
      <c r="A2970" s="21">
        <v>41187</v>
      </c>
      <c r="B2970" s="21">
        <v>41183</v>
      </c>
      <c r="C2970" s="17">
        <v>22</v>
      </c>
      <c r="D2970" s="17" t="s">
        <v>91</v>
      </c>
      <c r="E2970" s="14">
        <v>424409.39</v>
      </c>
      <c r="F2970" s="14">
        <v>440248.43</v>
      </c>
      <c r="G2970" s="14">
        <v>440248.43</v>
      </c>
      <c r="H2970" s="22">
        <f>F2970*(1+Assumptions!$B$6+IF(D2970="Yes",Assumptions!$C$6,0))</f>
        <v>453455.88290000003</v>
      </c>
      <c r="I2970" s="22">
        <f>F2970*(1+Assumptions!$B$7+IF(D2970="Yes",Assumptions!$C$7,0))</f>
        <v>462260.85149999999</v>
      </c>
      <c r="J2970" s="22">
        <f>F2970*(1+Assumptions!$B$8+IF(D2970="Yes",Assumptions!$C$8,0))</f>
        <v>444650.9143</v>
      </c>
    </row>
    <row r="2971" spans="1:10" ht="15">
      <c r="A2971" s="21">
        <v>41187</v>
      </c>
      <c r="B2971" s="21">
        <v>41183</v>
      </c>
      <c r="C2971" s="17">
        <v>23</v>
      </c>
      <c r="D2971" s="17" t="s">
        <v>91</v>
      </c>
      <c r="E2971" s="14">
        <v>927220.29</v>
      </c>
      <c r="F2971" s="14">
        <v>925693.24</v>
      </c>
      <c r="G2971" s="14">
        <v>925693.24</v>
      </c>
      <c r="H2971" s="22">
        <f>F2971*(1+Assumptions!$B$6+IF(D2971="Yes",Assumptions!$C$6,0))</f>
        <v>953464.03720000002</v>
      </c>
      <c r="I2971" s="22">
        <f>F2971*(1+Assumptions!$B$7+IF(D2971="Yes",Assumptions!$C$7,0))</f>
        <v>971977.902</v>
      </c>
      <c r="J2971" s="22">
        <f>F2971*(1+Assumptions!$B$8+IF(D2971="Yes",Assumptions!$C$8,0))</f>
        <v>934950.17240000004</v>
      </c>
    </row>
    <row r="2972" spans="1:10" ht="15">
      <c r="A2972" s="21">
        <v>41187</v>
      </c>
      <c r="B2972" s="21">
        <v>41183</v>
      </c>
      <c r="C2972" s="17">
        <v>24</v>
      </c>
      <c r="D2972" s="17" t="s">
        <v>91</v>
      </c>
      <c r="E2972" s="14">
        <v>230086.58</v>
      </c>
      <c r="F2972" s="14">
        <v>225336.4</v>
      </c>
      <c r="G2972" s="14">
        <v>225336.4</v>
      </c>
      <c r="H2972" s="22">
        <f>F2972*(1+Assumptions!$B$6+IF(D2972="Yes",Assumptions!$C$6,0))</f>
        <v>232096.492</v>
      </c>
      <c r="I2972" s="22">
        <f>F2972*(1+Assumptions!$B$7+IF(D2972="Yes",Assumptions!$C$7,0))</f>
        <v>236603.22</v>
      </c>
      <c r="J2972" s="22">
        <f>F2972*(1+Assumptions!$B$8+IF(D2972="Yes",Assumptions!$C$8,0))</f>
        <v>227589.764</v>
      </c>
    </row>
    <row r="2973" spans="1:10" ht="15">
      <c r="A2973" s="21">
        <v>41187</v>
      </c>
      <c r="B2973" s="21">
        <v>41183</v>
      </c>
      <c r="C2973" s="17">
        <v>25</v>
      </c>
      <c r="D2973" s="17" t="s">
        <v>91</v>
      </c>
      <c r="E2973" s="14">
        <v>397498.32</v>
      </c>
      <c r="F2973" s="14">
        <v>422088.22</v>
      </c>
      <c r="G2973" s="14">
        <v>422088.22</v>
      </c>
      <c r="H2973" s="22">
        <f>F2973*(1+Assumptions!$B$6+IF(D2973="Yes",Assumptions!$C$6,0))</f>
        <v>434750.86660000001</v>
      </c>
      <c r="I2973" s="22">
        <f>F2973*(1+Assumptions!$B$7+IF(D2973="Yes",Assumptions!$C$7,0))</f>
        <v>443192.63099999999</v>
      </c>
      <c r="J2973" s="22">
        <f>F2973*(1+Assumptions!$B$8+IF(D2973="Yes",Assumptions!$C$8,0))</f>
        <v>426309.10219999996</v>
      </c>
    </row>
    <row r="2974" spans="1:10" ht="15">
      <c r="A2974" s="21">
        <v>41187</v>
      </c>
      <c r="B2974" s="21">
        <v>41183</v>
      </c>
      <c r="C2974" s="17">
        <v>26</v>
      </c>
      <c r="D2974" s="17" t="s">
        <v>91</v>
      </c>
      <c r="E2974" s="14">
        <v>358868.81</v>
      </c>
      <c r="F2974" s="14">
        <v>372777.99</v>
      </c>
      <c r="G2974" s="14">
        <v>372777.99</v>
      </c>
      <c r="H2974" s="22">
        <f>F2974*(1+Assumptions!$B$6+IF(D2974="Yes",Assumptions!$C$6,0))</f>
        <v>383961.3297</v>
      </c>
      <c r="I2974" s="22">
        <f>F2974*(1+Assumptions!$B$7+IF(D2974="Yes",Assumptions!$C$7,0))</f>
        <v>391416.88949999999</v>
      </c>
      <c r="J2974" s="22">
        <f>F2974*(1+Assumptions!$B$8+IF(D2974="Yes",Assumptions!$C$8,0))</f>
        <v>376505.76990000001</v>
      </c>
    </row>
    <row r="2975" spans="1:10" ht="15">
      <c r="A2975" s="21">
        <v>41187</v>
      </c>
      <c r="B2975" s="21">
        <v>41183</v>
      </c>
      <c r="C2975" s="17">
        <v>27</v>
      </c>
      <c r="D2975" s="17" t="s">
        <v>91</v>
      </c>
      <c r="E2975" s="14">
        <v>64187.51</v>
      </c>
      <c r="F2975" s="14">
        <v>61143</v>
      </c>
      <c r="G2975" s="14">
        <v>61143</v>
      </c>
      <c r="H2975" s="22">
        <f>F2975*(1+Assumptions!$B$6+IF(D2975="Yes",Assumptions!$C$6,0))</f>
        <v>62977.29</v>
      </c>
      <c r="I2975" s="22">
        <f>F2975*(1+Assumptions!$B$7+IF(D2975="Yes",Assumptions!$C$7,0))</f>
        <v>64200.15</v>
      </c>
      <c r="J2975" s="22">
        <f>F2975*(1+Assumptions!$B$8+IF(D2975="Yes",Assumptions!$C$8,0))</f>
        <v>61754.43</v>
      </c>
    </row>
    <row r="2976" spans="1:10" ht="15">
      <c r="A2976" s="21">
        <v>41187</v>
      </c>
      <c r="B2976" s="21">
        <v>41183</v>
      </c>
      <c r="C2976" s="17">
        <v>28</v>
      </c>
      <c r="D2976" s="17" t="s">
        <v>91</v>
      </c>
      <c r="E2976" s="14">
        <v>26555</v>
      </c>
      <c r="F2976" s="14">
        <v>26826.49</v>
      </c>
      <c r="G2976" s="14">
        <v>26826.49</v>
      </c>
      <c r="H2976" s="22">
        <f>F2976*(1+Assumptions!$B$6+IF(D2976="Yes",Assumptions!$C$6,0))</f>
        <v>27631.284700000004</v>
      </c>
      <c r="I2976" s="22">
        <f>F2976*(1+Assumptions!$B$7+IF(D2976="Yes",Assumptions!$C$7,0))</f>
        <v>28167.814500000004</v>
      </c>
      <c r="J2976" s="22">
        <f>F2976*(1+Assumptions!$B$8+IF(D2976="Yes",Assumptions!$C$8,0))</f>
        <v>27094.754900000004</v>
      </c>
    </row>
    <row r="2977" spans="1:10" ht="15">
      <c r="A2977" s="21">
        <v>41187</v>
      </c>
      <c r="B2977" s="21">
        <v>41183</v>
      </c>
      <c r="C2977" s="17">
        <v>29</v>
      </c>
      <c r="D2977" s="17" t="s">
        <v>91</v>
      </c>
      <c r="E2977" s="14">
        <v>194299.82</v>
      </c>
      <c r="F2977" s="14">
        <v>189430.41999999998</v>
      </c>
      <c r="G2977" s="14">
        <v>189430.41999999998</v>
      </c>
      <c r="H2977" s="22">
        <f>F2977*(1+Assumptions!$B$6+IF(D2977="Yes",Assumptions!$C$6,0))</f>
        <v>195113.33259999999</v>
      </c>
      <c r="I2977" s="22">
        <f>F2977*(1+Assumptions!$B$7+IF(D2977="Yes",Assumptions!$C$7,0))</f>
        <v>198901.94099999999</v>
      </c>
      <c r="J2977" s="22">
        <f>F2977*(1+Assumptions!$B$8+IF(D2977="Yes",Assumptions!$C$8,0))</f>
        <v>191324.7242</v>
      </c>
    </row>
    <row r="2978" spans="1:10" ht="15">
      <c r="A2978" s="21">
        <v>41187</v>
      </c>
      <c r="B2978" s="21">
        <v>41183</v>
      </c>
      <c r="C2978" s="17">
        <v>30</v>
      </c>
      <c r="D2978" s="17" t="s">
        <v>91</v>
      </c>
      <c r="E2978" s="14">
        <v>118196.73</v>
      </c>
      <c r="F2978" s="14">
        <v>132361.54</v>
      </c>
      <c r="G2978" s="14">
        <v>132361.54</v>
      </c>
      <c r="H2978" s="22">
        <f>F2978*(1+Assumptions!$B$6+IF(D2978="Yes",Assumptions!$C$6,0))</f>
        <v>136332.38620000001</v>
      </c>
      <c r="I2978" s="22">
        <f>F2978*(1+Assumptions!$B$7+IF(D2978="Yes",Assumptions!$C$7,0))</f>
        <v>138979.61700000003</v>
      </c>
      <c r="J2978" s="22">
        <f>F2978*(1+Assumptions!$B$8+IF(D2978="Yes",Assumptions!$C$8,0))</f>
        <v>133685.15540000002</v>
      </c>
    </row>
    <row r="2979" spans="1:10" ht="15">
      <c r="A2979" s="21">
        <v>41187</v>
      </c>
      <c r="B2979" s="21">
        <v>41183</v>
      </c>
      <c r="C2979" s="17">
        <v>31</v>
      </c>
      <c r="D2979" s="17" t="s">
        <v>91</v>
      </c>
      <c r="E2979" s="14">
        <v>90062.26</v>
      </c>
      <c r="F2979" s="14">
        <v>86368.61</v>
      </c>
      <c r="G2979" s="14">
        <v>86368.61</v>
      </c>
      <c r="H2979" s="22">
        <f>F2979*(1+Assumptions!$B$6+IF(D2979="Yes",Assumptions!$C$6,0))</f>
        <v>88959.668300000005</v>
      </c>
      <c r="I2979" s="22">
        <f>F2979*(1+Assumptions!$B$7+IF(D2979="Yes",Assumptions!$C$7,0))</f>
        <v>90687.040500000003</v>
      </c>
      <c r="J2979" s="22">
        <f>F2979*(1+Assumptions!$B$8+IF(D2979="Yes",Assumptions!$C$8,0))</f>
        <v>87232.296100000007</v>
      </c>
    </row>
    <row r="2980" spans="1:10" ht="15">
      <c r="A2980" s="21">
        <v>41187</v>
      </c>
      <c r="B2980" s="21">
        <v>41183</v>
      </c>
      <c r="C2980" s="17">
        <v>32</v>
      </c>
      <c r="D2980" s="17" t="s">
        <v>91</v>
      </c>
      <c r="E2980" s="14">
        <v>224119.76</v>
      </c>
      <c r="F2980" s="14">
        <v>230615.24</v>
      </c>
      <c r="G2980" s="14">
        <v>230615.24</v>
      </c>
      <c r="H2980" s="22">
        <f>F2980*(1+Assumptions!$B$6+IF(D2980="Yes",Assumptions!$C$6,0))</f>
        <v>237533.6972</v>
      </c>
      <c r="I2980" s="22">
        <f>F2980*(1+Assumptions!$B$7+IF(D2980="Yes",Assumptions!$C$7,0))</f>
        <v>242146.00200000001</v>
      </c>
      <c r="J2980" s="22">
        <f>F2980*(1+Assumptions!$B$8+IF(D2980="Yes",Assumptions!$C$8,0))</f>
        <v>232921.39239999998</v>
      </c>
    </row>
    <row r="2981" spans="1:10" ht="15">
      <c r="A2981" s="21">
        <v>41187</v>
      </c>
      <c r="B2981" s="21">
        <v>41183</v>
      </c>
      <c r="C2981" s="17">
        <v>33</v>
      </c>
      <c r="D2981" s="17" t="s">
        <v>91</v>
      </c>
      <c r="E2981" s="14">
        <v>239531.15</v>
      </c>
      <c r="F2981" s="14">
        <v>220581.19</v>
      </c>
      <c r="G2981" s="14">
        <v>220581.19</v>
      </c>
      <c r="H2981" s="22">
        <f>F2981*(1+Assumptions!$B$6+IF(D2981="Yes",Assumptions!$C$6,0))</f>
        <v>227198.6257</v>
      </c>
      <c r="I2981" s="22">
        <f>F2981*(1+Assumptions!$B$7+IF(D2981="Yes",Assumptions!$C$7,0))</f>
        <v>231610.24950000001</v>
      </c>
      <c r="J2981" s="22">
        <f>F2981*(1+Assumptions!$B$8+IF(D2981="Yes",Assumptions!$C$8,0))</f>
        <v>222787.0019</v>
      </c>
    </row>
    <row r="2982" spans="1:10" ht="15">
      <c r="A2982" s="21">
        <v>41187</v>
      </c>
      <c r="B2982" s="21">
        <v>41183</v>
      </c>
      <c r="C2982" s="17">
        <v>34</v>
      </c>
      <c r="D2982" s="17" t="s">
        <v>91</v>
      </c>
      <c r="E2982" s="14">
        <v>547239.12</v>
      </c>
      <c r="F2982" s="14">
        <v>496929.39</v>
      </c>
      <c r="G2982" s="14">
        <v>496929.39</v>
      </c>
      <c r="H2982" s="22">
        <f>F2982*(1+Assumptions!$B$6+IF(D2982="Yes",Assumptions!$C$6,0))</f>
        <v>511837.27170000004</v>
      </c>
      <c r="I2982" s="22">
        <f>F2982*(1+Assumptions!$B$7+IF(D2982="Yes",Assumptions!$C$7,0))</f>
        <v>521775.85950000002</v>
      </c>
      <c r="J2982" s="22">
        <f>F2982*(1+Assumptions!$B$8+IF(D2982="Yes",Assumptions!$C$8,0))</f>
        <v>501898.6839</v>
      </c>
    </row>
    <row r="2983" spans="1:10" ht="15">
      <c r="A2983" s="21">
        <v>41187</v>
      </c>
      <c r="B2983" s="21">
        <v>41183</v>
      </c>
      <c r="C2983" s="17">
        <v>35</v>
      </c>
      <c r="D2983" s="17" t="s">
        <v>91</v>
      </c>
      <c r="E2983" s="14">
        <v>101391.31</v>
      </c>
      <c r="F2983" s="14">
        <v>109102.01</v>
      </c>
      <c r="G2983" s="14">
        <v>109102.01</v>
      </c>
      <c r="H2983" s="22">
        <f>F2983*(1+Assumptions!$B$6+IF(D2983="Yes",Assumptions!$C$6,0))</f>
        <v>112375.07029999999</v>
      </c>
      <c r="I2983" s="22">
        <f>F2983*(1+Assumptions!$B$7+IF(D2983="Yes",Assumptions!$C$7,0))</f>
        <v>114557.1105</v>
      </c>
      <c r="J2983" s="22">
        <f>F2983*(1+Assumptions!$B$8+IF(D2983="Yes",Assumptions!$C$8,0))</f>
        <v>110193.03009999999</v>
      </c>
    </row>
    <row r="2984" spans="1:10" ht="15">
      <c r="A2984" s="21">
        <v>41187</v>
      </c>
      <c r="B2984" s="21">
        <v>41183</v>
      </c>
      <c r="C2984" s="17">
        <v>36</v>
      </c>
      <c r="D2984" s="17" t="s">
        <v>91</v>
      </c>
      <c r="E2984" s="14">
        <v>42955.44</v>
      </c>
      <c r="F2984" s="14">
        <v>54743.66</v>
      </c>
      <c r="G2984" s="14">
        <v>54743.66</v>
      </c>
      <c r="H2984" s="22">
        <f>F2984*(1+Assumptions!$B$6+IF(D2984="Yes",Assumptions!$C$6,0))</f>
        <v>56385.969800000006</v>
      </c>
      <c r="I2984" s="22">
        <f>F2984*(1+Assumptions!$B$7+IF(D2984="Yes",Assumptions!$C$7,0))</f>
        <v>57480.843000000008</v>
      </c>
      <c r="J2984" s="22">
        <f>F2984*(1+Assumptions!$B$8+IF(D2984="Yes",Assumptions!$C$8,0))</f>
        <v>55291.096600000004</v>
      </c>
    </row>
    <row r="2985" spans="1:10" ht="15">
      <c r="A2985" s="21">
        <v>41187</v>
      </c>
      <c r="B2985" s="21">
        <v>41183</v>
      </c>
      <c r="C2985" s="17">
        <v>37</v>
      </c>
      <c r="D2985" s="17" t="s">
        <v>91</v>
      </c>
      <c r="E2985" s="14">
        <v>58392.69</v>
      </c>
      <c r="F2985" s="14">
        <v>58739.25</v>
      </c>
      <c r="G2985" s="14">
        <v>58739.25</v>
      </c>
      <c r="H2985" s="22">
        <f>F2985*(1+Assumptions!$B$6+IF(D2985="Yes",Assumptions!$C$6,0))</f>
        <v>60501.427499999998</v>
      </c>
      <c r="I2985" s="22">
        <f>F2985*(1+Assumptions!$B$7+IF(D2985="Yes",Assumptions!$C$7,0))</f>
        <v>61676.212500000001</v>
      </c>
      <c r="J2985" s="22">
        <f>F2985*(1+Assumptions!$B$8+IF(D2985="Yes",Assumptions!$C$8,0))</f>
        <v>59326.642500000002</v>
      </c>
    </row>
    <row r="2986" spans="1:10" ht="15">
      <c r="A2986" s="21">
        <v>41187</v>
      </c>
      <c r="B2986" s="21">
        <v>41183</v>
      </c>
      <c r="C2986" s="17">
        <v>38</v>
      </c>
      <c r="D2986" s="17" t="s">
        <v>91</v>
      </c>
      <c r="E2986" s="14">
        <v>2812368.3</v>
      </c>
      <c r="F2986" s="14">
        <v>2847994.91</v>
      </c>
      <c r="G2986" s="14">
        <v>2847994.91</v>
      </c>
      <c r="H2986" s="22">
        <f>F2986*(1+Assumptions!$B$6+IF(D2986="Yes",Assumptions!$C$6,0))</f>
        <v>2933434.7573000002</v>
      </c>
      <c r="I2986" s="22">
        <f>F2986*(1+Assumptions!$B$7+IF(D2986="Yes",Assumptions!$C$7,0))</f>
        <v>2990394.6555000003</v>
      </c>
      <c r="J2986" s="22">
        <f>F2986*(1+Assumptions!$B$8+IF(D2986="Yes",Assumptions!$C$8,0))</f>
        <v>2876474.8591</v>
      </c>
    </row>
    <row r="2987" spans="1:10" ht="15">
      <c r="A2987" s="21">
        <v>41187</v>
      </c>
      <c r="B2987" s="21">
        <v>41183</v>
      </c>
      <c r="C2987" s="17">
        <v>40</v>
      </c>
      <c r="D2987" s="17" t="s">
        <v>91</v>
      </c>
      <c r="E2987" s="14">
        <v>2105399.88</v>
      </c>
      <c r="F2987" s="14">
        <v>2062571.7</v>
      </c>
      <c r="G2987" s="14">
        <v>2062571.7</v>
      </c>
      <c r="H2987" s="22">
        <f>F2987*(1+Assumptions!$B$6+IF(D2987="Yes",Assumptions!$C$6,0))</f>
        <v>2124448.8509999998</v>
      </c>
      <c r="I2987" s="22">
        <f>F2987*(1+Assumptions!$B$7+IF(D2987="Yes",Assumptions!$C$7,0))</f>
        <v>2165700.2850000001</v>
      </c>
      <c r="J2987" s="22">
        <f>F2987*(1+Assumptions!$B$8+IF(D2987="Yes",Assumptions!$C$8,0))</f>
        <v>2083197.4169999999</v>
      </c>
    </row>
    <row r="2988" spans="1:10" ht="15">
      <c r="A2988" s="21">
        <v>41187</v>
      </c>
      <c r="B2988" s="21">
        <v>41183</v>
      </c>
      <c r="C2988" s="17">
        <v>41</v>
      </c>
      <c r="D2988" s="17" t="s">
        <v>91</v>
      </c>
      <c r="E2988" s="14">
        <v>109625.89</v>
      </c>
      <c r="F2988" s="14">
        <v>124684.55</v>
      </c>
      <c r="G2988" s="14">
        <v>124684.55</v>
      </c>
      <c r="H2988" s="22">
        <f>F2988*(1+Assumptions!$B$6+IF(D2988="Yes",Assumptions!$C$6,0))</f>
        <v>128425.0865</v>
      </c>
      <c r="I2988" s="22">
        <f>F2988*(1+Assumptions!$B$7+IF(D2988="Yes",Assumptions!$C$7,0))</f>
        <v>130918.77750000001</v>
      </c>
      <c r="J2988" s="22">
        <f>F2988*(1+Assumptions!$B$8+IF(D2988="Yes",Assumptions!$C$8,0))</f>
        <v>125931.3955</v>
      </c>
    </row>
    <row r="2989" spans="1:10" ht="15">
      <c r="A2989" s="21">
        <v>41187</v>
      </c>
      <c r="B2989" s="21">
        <v>41183</v>
      </c>
      <c r="C2989" s="17">
        <v>42</v>
      </c>
      <c r="D2989" s="17" t="s">
        <v>91</v>
      </c>
      <c r="E2989" s="14">
        <v>247157.66</v>
      </c>
      <c r="F2989" s="14">
        <v>249818.22</v>
      </c>
      <c r="G2989" s="14">
        <v>249818.22</v>
      </c>
      <c r="H2989" s="22">
        <f>F2989*(1+Assumptions!$B$6+IF(D2989="Yes",Assumptions!$C$6,0))</f>
        <v>257312.7666</v>
      </c>
      <c r="I2989" s="22">
        <f>F2989*(1+Assumptions!$B$7+IF(D2989="Yes",Assumptions!$C$7,0))</f>
        <v>262309.13099999999</v>
      </c>
      <c r="J2989" s="22">
        <f>F2989*(1+Assumptions!$B$8+IF(D2989="Yes",Assumptions!$C$8,0))</f>
        <v>252316.40220000001</v>
      </c>
    </row>
    <row r="2990" spans="1:10" ht="15">
      <c r="A2990" s="21">
        <v>41187</v>
      </c>
      <c r="B2990" s="21">
        <v>41183</v>
      </c>
      <c r="C2990" s="17">
        <v>44</v>
      </c>
      <c r="D2990" s="17" t="s">
        <v>91</v>
      </c>
      <c r="E2990" s="14">
        <v>200940.76</v>
      </c>
      <c r="F2990" s="14">
        <v>196849.56</v>
      </c>
      <c r="G2990" s="14">
        <v>196849.56</v>
      </c>
      <c r="H2990" s="22">
        <f>F2990*(1+Assumptions!$B$6+IF(D2990="Yes",Assumptions!$C$6,0))</f>
        <v>202755.04680000001</v>
      </c>
      <c r="I2990" s="22">
        <f>F2990*(1+Assumptions!$B$7+IF(D2990="Yes",Assumptions!$C$7,0))</f>
        <v>206692.038</v>
      </c>
      <c r="J2990" s="22">
        <f>F2990*(1+Assumptions!$B$8+IF(D2990="Yes",Assumptions!$C$8,0))</f>
        <v>198818.05559999999</v>
      </c>
    </row>
    <row r="2991" spans="1:10" ht="15">
      <c r="A2991" s="21">
        <v>41187</v>
      </c>
      <c r="B2991" s="21">
        <v>41183</v>
      </c>
      <c r="C2991" s="17">
        <v>45</v>
      </c>
      <c r="D2991" s="17" t="s">
        <v>91</v>
      </c>
      <c r="E2991" s="14">
        <v>23.88</v>
      </c>
      <c r="F2991" s="14">
        <v>30.85</v>
      </c>
      <c r="G2991" s="14">
        <v>30.85</v>
      </c>
      <c r="H2991" s="22">
        <f>F2991*(1+Assumptions!$B$6+IF(D2991="Yes",Assumptions!$C$6,0))</f>
        <v>31.775500000000001</v>
      </c>
      <c r="I2991" s="22">
        <f>F2991*(1+Assumptions!$B$7+IF(D2991="Yes",Assumptions!$C$7,0))</f>
        <v>32.392500000000005</v>
      </c>
      <c r="J2991" s="22">
        <f>F2991*(1+Assumptions!$B$8+IF(D2991="Yes",Assumptions!$C$8,0))</f>
        <v>31.1585</v>
      </c>
    </row>
    <row r="2992" spans="1:10" ht="15">
      <c r="A2992" s="21">
        <v>41187</v>
      </c>
      <c r="B2992" s="21">
        <v>41183</v>
      </c>
      <c r="C2992" s="17">
        <v>46</v>
      </c>
      <c r="D2992" s="17" t="s">
        <v>91</v>
      </c>
      <c r="E2992" s="14">
        <v>818882.85</v>
      </c>
      <c r="F2992" s="14">
        <v>810367.57</v>
      </c>
      <c r="G2992" s="14">
        <v>810367.57</v>
      </c>
      <c r="H2992" s="22">
        <f>F2992*(1+Assumptions!$B$6+IF(D2992="Yes",Assumptions!$C$6,0))</f>
        <v>834678.59710000001</v>
      </c>
      <c r="I2992" s="22">
        <f>F2992*(1+Assumptions!$B$7+IF(D2992="Yes",Assumptions!$C$7,0))</f>
        <v>850885.94849999994</v>
      </c>
      <c r="J2992" s="22">
        <f>F2992*(1+Assumptions!$B$8+IF(D2992="Yes",Assumptions!$C$8,0))</f>
        <v>818471.24569999997</v>
      </c>
    </row>
    <row r="2993" spans="1:10" ht="15">
      <c r="A2993" s="21">
        <v>41187</v>
      </c>
      <c r="B2993" s="21">
        <v>41183</v>
      </c>
      <c r="C2993" s="17">
        <v>48</v>
      </c>
      <c r="D2993" s="17" t="s">
        <v>91</v>
      </c>
      <c r="E2993" s="14">
        <v>40462</v>
      </c>
      <c r="F2993" s="14">
        <v>25012.3</v>
      </c>
      <c r="G2993" s="14">
        <v>25012.3</v>
      </c>
      <c r="H2993" s="22">
        <f>F2993*(1+Assumptions!$B$6+IF(D2993="Yes",Assumptions!$C$6,0))</f>
        <v>25762.669000000002</v>
      </c>
      <c r="I2993" s="22">
        <f>F2993*(1+Assumptions!$B$7+IF(D2993="Yes",Assumptions!$C$7,0))</f>
        <v>26262.915000000001</v>
      </c>
      <c r="J2993" s="22">
        <f>F2993*(1+Assumptions!$B$8+IF(D2993="Yes",Assumptions!$C$8,0))</f>
        <v>25262.422999999999</v>
      </c>
    </row>
    <row r="2994" spans="1:10" ht="15">
      <c r="A2994" s="21">
        <v>41187</v>
      </c>
      <c r="B2994" s="21">
        <v>41183</v>
      </c>
      <c r="C2994" s="17">
        <v>49</v>
      </c>
      <c r="D2994" s="17" t="s">
        <v>91</v>
      </c>
      <c r="E2994" s="14">
        <v>233384.72</v>
      </c>
      <c r="F2994" s="14">
        <v>254737.36</v>
      </c>
      <c r="G2994" s="14">
        <v>254737.36</v>
      </c>
      <c r="H2994" s="22">
        <f>F2994*(1+Assumptions!$B$6+IF(D2994="Yes",Assumptions!$C$6,0))</f>
        <v>262379.48080000002</v>
      </c>
      <c r="I2994" s="22">
        <f>F2994*(1+Assumptions!$B$7+IF(D2994="Yes",Assumptions!$C$7,0))</f>
        <v>267474.228</v>
      </c>
      <c r="J2994" s="22">
        <f>F2994*(1+Assumptions!$B$8+IF(D2994="Yes",Assumptions!$C$8,0))</f>
        <v>257284.73359999998</v>
      </c>
    </row>
    <row r="2995" spans="1:10" ht="15">
      <c r="A2995" s="21">
        <v>41187</v>
      </c>
      <c r="B2995" s="21">
        <v>41183</v>
      </c>
      <c r="C2995" s="17">
        <v>50</v>
      </c>
      <c r="D2995" s="17" t="s">
        <v>91</v>
      </c>
      <c r="E2995" s="14">
        <v>23726.48</v>
      </c>
      <c r="F2995" s="14">
        <v>29018</v>
      </c>
      <c r="G2995" s="14">
        <v>29018</v>
      </c>
      <c r="H2995" s="22">
        <f>F2995*(1+Assumptions!$B$6+IF(D2995="Yes",Assumptions!$C$6,0))</f>
        <v>29888.54</v>
      </c>
      <c r="I2995" s="22">
        <f>F2995*(1+Assumptions!$B$7+IF(D2995="Yes",Assumptions!$C$7,0))</f>
        <v>30468.9</v>
      </c>
      <c r="J2995" s="22">
        <f>F2995*(1+Assumptions!$B$8+IF(D2995="Yes",Assumptions!$C$8,0))</f>
        <v>29308.18</v>
      </c>
    </row>
    <row r="2996" spans="1:10" ht="15">
      <c r="A2996" s="21">
        <v>41187</v>
      </c>
      <c r="B2996" s="21">
        <v>41183</v>
      </c>
      <c r="C2996" s="17">
        <v>52</v>
      </c>
      <c r="D2996" s="17" t="s">
        <v>91</v>
      </c>
      <c r="E2996" s="14">
        <v>78744.92</v>
      </c>
      <c r="F2996" s="14">
        <v>103744.81</v>
      </c>
      <c r="G2996" s="14">
        <v>103744.81</v>
      </c>
      <c r="H2996" s="22">
        <f>F2996*(1+Assumptions!$B$6+IF(D2996="Yes",Assumptions!$C$6,0))</f>
        <v>106857.15429999999</v>
      </c>
      <c r="I2996" s="22">
        <f>F2996*(1+Assumptions!$B$7+IF(D2996="Yes",Assumptions!$C$7,0))</f>
        <v>108932.0505</v>
      </c>
      <c r="J2996" s="22">
        <f>F2996*(1+Assumptions!$B$8+IF(D2996="Yes",Assumptions!$C$8,0))</f>
        <v>104782.25809999999</v>
      </c>
    </row>
    <row r="2997" spans="1:10" ht="15">
      <c r="A2997" s="21">
        <v>41187</v>
      </c>
      <c r="B2997" s="21">
        <v>41183</v>
      </c>
      <c r="C2997" s="17">
        <v>54</v>
      </c>
      <c r="D2997" s="17" t="s">
        <v>91</v>
      </c>
      <c r="E2997" s="14">
        <v>1015.76</v>
      </c>
      <c r="F2997" s="14">
        <v>1307.46</v>
      </c>
      <c r="G2997" s="14">
        <v>1307.46</v>
      </c>
      <c r="H2997" s="22">
        <f>F2997*(1+Assumptions!$B$6+IF(D2997="Yes",Assumptions!$C$6,0))</f>
        <v>1346.6838</v>
      </c>
      <c r="I2997" s="22">
        <f>F2997*(1+Assumptions!$B$7+IF(D2997="Yes",Assumptions!$C$7,0))</f>
        <v>1372.8330000000001</v>
      </c>
      <c r="J2997" s="22">
        <f>F2997*(1+Assumptions!$B$8+IF(D2997="Yes",Assumptions!$C$8,0))</f>
        <v>1320.5346</v>
      </c>
    </row>
    <row r="2998" spans="1:10" ht="15">
      <c r="A2998" s="21">
        <v>41187</v>
      </c>
      <c r="B2998" s="21">
        <v>41183</v>
      </c>
      <c r="C2998" s="17">
        <v>55</v>
      </c>
      <c r="D2998" s="17" t="s">
        <v>91</v>
      </c>
      <c r="E2998" s="14">
        <v>318440.64</v>
      </c>
      <c r="F2998" s="14">
        <v>311445.22000000003</v>
      </c>
      <c r="G2998" s="14">
        <v>311445.22000000003</v>
      </c>
      <c r="H2998" s="22">
        <f>F2998*(1+Assumptions!$B$6+IF(D2998="Yes",Assumptions!$C$6,0))</f>
        <v>320788.57660000003</v>
      </c>
      <c r="I2998" s="22">
        <f>F2998*(1+Assumptions!$B$7+IF(D2998="Yes",Assumptions!$C$7,0))</f>
        <v>327017.48100000003</v>
      </c>
      <c r="J2998" s="22">
        <f>F2998*(1+Assumptions!$B$8+IF(D2998="Yes",Assumptions!$C$8,0))</f>
        <v>314559.67220000003</v>
      </c>
    </row>
    <row r="2999" spans="1:10" ht="15">
      <c r="A2999" s="21">
        <v>41187</v>
      </c>
      <c r="B2999" s="21">
        <v>41183</v>
      </c>
      <c r="C2999" s="17">
        <v>56</v>
      </c>
      <c r="D2999" s="17" t="s">
        <v>91</v>
      </c>
      <c r="E2999" s="14">
        <v>69132.990000000005</v>
      </c>
      <c r="F2999" s="14">
        <v>70504.990000000005</v>
      </c>
      <c r="G2999" s="14">
        <v>70504.990000000005</v>
      </c>
      <c r="H2999" s="22">
        <f>F2999*(1+Assumptions!$B$6+IF(D2999="Yes",Assumptions!$C$6,0))</f>
        <v>72620.139700000014</v>
      </c>
      <c r="I2999" s="22">
        <f>F2999*(1+Assumptions!$B$7+IF(D2999="Yes",Assumptions!$C$7,0))</f>
        <v>74030.239500000011</v>
      </c>
      <c r="J2999" s="22">
        <f>F2999*(1+Assumptions!$B$8+IF(D2999="Yes",Assumptions!$C$8,0))</f>
        <v>71210.039900000003</v>
      </c>
    </row>
    <row r="3000" spans="1:10" ht="15">
      <c r="A3000" s="21">
        <v>41187</v>
      </c>
      <c r="B3000" s="21">
        <v>41183</v>
      </c>
      <c r="C3000" s="17">
        <v>58</v>
      </c>
      <c r="D3000" s="17" t="s">
        <v>91</v>
      </c>
      <c r="E3000" s="14">
        <v>156235</v>
      </c>
      <c r="F3000" s="14">
        <v>98972.35</v>
      </c>
      <c r="G3000" s="14">
        <v>98972.35</v>
      </c>
      <c r="H3000" s="22">
        <f>F3000*(1+Assumptions!$B$6+IF(D3000="Yes",Assumptions!$C$6,0))</f>
        <v>101941.52050000001</v>
      </c>
      <c r="I3000" s="22">
        <f>F3000*(1+Assumptions!$B$7+IF(D3000="Yes",Assumptions!$C$7,0))</f>
        <v>103920.96750000001</v>
      </c>
      <c r="J3000" s="22">
        <f>F3000*(1+Assumptions!$B$8+IF(D3000="Yes",Assumptions!$C$8,0))</f>
        <v>99962.073500000013</v>
      </c>
    </row>
    <row r="3001" spans="1:10" ht="15">
      <c r="A3001" s="21">
        <v>41187</v>
      </c>
      <c r="B3001" s="21">
        <v>41183</v>
      </c>
      <c r="C3001" s="17">
        <v>59</v>
      </c>
      <c r="D3001" s="17" t="s">
        <v>91</v>
      </c>
      <c r="E3001" s="14">
        <v>7679.3099999999995</v>
      </c>
      <c r="F3001" s="14">
        <v>10809.6</v>
      </c>
      <c r="G3001" s="14">
        <v>10809.6</v>
      </c>
      <c r="H3001" s="22">
        <f>F3001*(1+Assumptions!$B$6+IF(D3001="Yes",Assumptions!$C$6,0))</f>
        <v>11133.888000000001</v>
      </c>
      <c r="I3001" s="22">
        <f>F3001*(1+Assumptions!$B$7+IF(D3001="Yes",Assumptions!$C$7,0))</f>
        <v>11350.080000000002</v>
      </c>
      <c r="J3001" s="22">
        <f>F3001*(1+Assumptions!$B$8+IF(D3001="Yes",Assumptions!$C$8,0))</f>
        <v>10917.696</v>
      </c>
    </row>
    <row r="3002" spans="1:10" ht="15">
      <c r="A3002" s="21">
        <v>41187</v>
      </c>
      <c r="B3002" s="21">
        <v>41183</v>
      </c>
      <c r="C3002" s="17">
        <v>60</v>
      </c>
      <c r="D3002" s="17" t="s">
        <v>91</v>
      </c>
      <c r="E3002" s="14">
        <v>15921.01</v>
      </c>
      <c r="F3002" s="14">
        <v>15593.6</v>
      </c>
      <c r="G3002" s="14">
        <v>15593.6</v>
      </c>
      <c r="H3002" s="22">
        <f>F3002*(1+Assumptions!$B$6+IF(D3002="Yes",Assumptions!$C$6,0))</f>
        <v>16061.408000000001</v>
      </c>
      <c r="I3002" s="22">
        <f>F3002*(1+Assumptions!$B$7+IF(D3002="Yes",Assumptions!$C$7,0))</f>
        <v>16373.28</v>
      </c>
      <c r="J3002" s="22">
        <f>F3002*(1+Assumptions!$B$8+IF(D3002="Yes",Assumptions!$C$8,0))</f>
        <v>15749.536</v>
      </c>
    </row>
    <row r="3003" spans="1:10" ht="15">
      <c r="A3003" s="21">
        <v>41187</v>
      </c>
      <c r="B3003" s="21">
        <v>41183</v>
      </c>
      <c r="C3003" s="17">
        <v>65</v>
      </c>
      <c r="D3003" s="17" t="s">
        <v>91</v>
      </c>
      <c r="E3003" s="14">
        <v>48631.79</v>
      </c>
      <c r="F3003" s="14">
        <v>34054.61</v>
      </c>
      <c r="G3003" s="14">
        <v>34054.61</v>
      </c>
      <c r="H3003" s="22">
        <f>F3003*(1+Assumptions!$B$6+IF(D3003="Yes",Assumptions!$C$6,0))</f>
        <v>35076.248299999999</v>
      </c>
      <c r="I3003" s="22">
        <f>F3003*(1+Assumptions!$B$7+IF(D3003="Yes",Assumptions!$C$7,0))</f>
        <v>35757.340500000006</v>
      </c>
      <c r="J3003" s="22">
        <f>F3003*(1+Assumptions!$B$8+IF(D3003="Yes",Assumptions!$C$8,0))</f>
        <v>34395.1561</v>
      </c>
    </row>
    <row r="3004" spans="1:10" ht="15">
      <c r="A3004" s="21">
        <v>41187</v>
      </c>
      <c r="B3004" s="21">
        <v>41183</v>
      </c>
      <c r="C3004" s="17">
        <v>67</v>
      </c>
      <c r="D3004" s="17" t="s">
        <v>91</v>
      </c>
      <c r="E3004" s="14">
        <v>293424.97000000003</v>
      </c>
      <c r="F3004" s="14">
        <v>280149.51</v>
      </c>
      <c r="G3004" s="14">
        <v>280149.51</v>
      </c>
      <c r="H3004" s="22">
        <f>F3004*(1+Assumptions!$B$6+IF(D3004="Yes",Assumptions!$C$6,0))</f>
        <v>288553.99530000001</v>
      </c>
      <c r="I3004" s="22">
        <f>F3004*(1+Assumptions!$B$7+IF(D3004="Yes",Assumptions!$C$7,0))</f>
        <v>294156.98550000001</v>
      </c>
      <c r="J3004" s="22">
        <f>F3004*(1+Assumptions!$B$8+IF(D3004="Yes",Assumptions!$C$8,0))</f>
        <v>282951.00510000001</v>
      </c>
    </row>
    <row r="3005" spans="1:10" ht="15">
      <c r="A3005" s="21">
        <v>41187</v>
      </c>
      <c r="B3005" s="21">
        <v>41183</v>
      </c>
      <c r="C3005" s="17">
        <v>71</v>
      </c>
      <c r="D3005" s="17" t="s">
        <v>91</v>
      </c>
      <c r="E3005" s="14">
        <v>185351.25</v>
      </c>
      <c r="F3005" s="14">
        <v>196364.57</v>
      </c>
      <c r="G3005" s="14">
        <v>196364.57</v>
      </c>
      <c r="H3005" s="22">
        <f>F3005*(1+Assumptions!$B$6+IF(D3005="Yes",Assumptions!$C$6,0))</f>
        <v>202255.50710000002</v>
      </c>
      <c r="I3005" s="22">
        <f>F3005*(1+Assumptions!$B$7+IF(D3005="Yes",Assumptions!$C$7,0))</f>
        <v>206182.7985</v>
      </c>
      <c r="J3005" s="22">
        <f>F3005*(1+Assumptions!$B$8+IF(D3005="Yes",Assumptions!$C$8,0))</f>
        <v>198328.2157</v>
      </c>
    </row>
    <row r="3006" spans="1:10" ht="15">
      <c r="A3006" s="21">
        <v>41187</v>
      </c>
      <c r="B3006" s="21">
        <v>41183</v>
      </c>
      <c r="C3006" s="17">
        <v>72</v>
      </c>
      <c r="D3006" s="17" t="s">
        <v>91</v>
      </c>
      <c r="E3006" s="14">
        <v>2113441.63</v>
      </c>
      <c r="F3006" s="14">
        <v>1794747.17</v>
      </c>
      <c r="G3006" s="14">
        <v>1794747.17</v>
      </c>
      <c r="H3006" s="22">
        <f>F3006*(1+Assumptions!$B$6+IF(D3006="Yes",Assumptions!$C$6,0))</f>
        <v>1848589.5851</v>
      </c>
      <c r="I3006" s="22">
        <f>F3006*(1+Assumptions!$B$7+IF(D3006="Yes",Assumptions!$C$7,0))</f>
        <v>1884484.5285</v>
      </c>
      <c r="J3006" s="22">
        <f>F3006*(1+Assumptions!$B$8+IF(D3006="Yes",Assumptions!$C$8,0))</f>
        <v>1812694.6417</v>
      </c>
    </row>
    <row r="3007" spans="1:10" ht="15">
      <c r="A3007" s="21">
        <v>41187</v>
      </c>
      <c r="B3007" s="21">
        <v>41183</v>
      </c>
      <c r="C3007" s="17">
        <v>74</v>
      </c>
      <c r="D3007" s="17" t="s">
        <v>91</v>
      </c>
      <c r="E3007" s="14">
        <v>581564.62</v>
      </c>
      <c r="F3007" s="14">
        <v>607568.12</v>
      </c>
      <c r="G3007" s="14">
        <v>607568.12</v>
      </c>
      <c r="H3007" s="22">
        <f>F3007*(1+Assumptions!$B$6+IF(D3007="Yes",Assumptions!$C$6,0))</f>
        <v>625795.16359999997</v>
      </c>
      <c r="I3007" s="22">
        <f>F3007*(1+Assumptions!$B$7+IF(D3007="Yes",Assumptions!$C$7,0))</f>
        <v>637946.52600000007</v>
      </c>
      <c r="J3007" s="22">
        <f>F3007*(1+Assumptions!$B$8+IF(D3007="Yes",Assumptions!$C$8,0))</f>
        <v>613643.80119999999</v>
      </c>
    </row>
    <row r="3008" spans="1:10" ht="15">
      <c r="A3008" s="21">
        <v>41187</v>
      </c>
      <c r="B3008" s="21">
        <v>41183</v>
      </c>
      <c r="C3008" s="17">
        <v>79</v>
      </c>
      <c r="D3008" s="17" t="s">
        <v>91</v>
      </c>
      <c r="E3008" s="14">
        <v>1068047.8500000001</v>
      </c>
      <c r="F3008" s="14">
        <v>1050638.8</v>
      </c>
      <c r="G3008" s="14">
        <v>1050638.8</v>
      </c>
      <c r="H3008" s="22">
        <f>F3008*(1+Assumptions!$B$6+IF(D3008="Yes",Assumptions!$C$6,0))</f>
        <v>1082157.9640000002</v>
      </c>
      <c r="I3008" s="22">
        <f>F3008*(1+Assumptions!$B$7+IF(D3008="Yes",Assumptions!$C$7,0))</f>
        <v>1103170.74</v>
      </c>
      <c r="J3008" s="22">
        <f>F3008*(1+Assumptions!$B$8+IF(D3008="Yes",Assumptions!$C$8,0))</f>
        <v>1061145.1880000001</v>
      </c>
    </row>
    <row r="3009" spans="1:10" ht="15">
      <c r="A3009" s="21">
        <v>41187</v>
      </c>
      <c r="B3009" s="21">
        <v>41183</v>
      </c>
      <c r="C3009" s="17">
        <v>80</v>
      </c>
      <c r="D3009" s="17" t="s">
        <v>91</v>
      </c>
      <c r="E3009" s="14">
        <v>516216.6</v>
      </c>
      <c r="F3009" s="14">
        <v>537491.88</v>
      </c>
      <c r="G3009" s="14">
        <v>537491.88</v>
      </c>
      <c r="H3009" s="22">
        <f>F3009*(1+Assumptions!$B$6+IF(D3009="Yes",Assumptions!$C$6,0))</f>
        <v>553616.63640000008</v>
      </c>
      <c r="I3009" s="22">
        <f>F3009*(1+Assumptions!$B$7+IF(D3009="Yes",Assumptions!$C$7,0))</f>
        <v>564366.47400000005</v>
      </c>
      <c r="J3009" s="22">
        <f>F3009*(1+Assumptions!$B$8+IF(D3009="Yes",Assumptions!$C$8,0))</f>
        <v>542866.79879999999</v>
      </c>
    </row>
    <row r="3010" spans="1:10" ht="15">
      <c r="A3010" s="21">
        <v>41187</v>
      </c>
      <c r="B3010" s="21">
        <v>41183</v>
      </c>
      <c r="C3010" s="17">
        <v>81</v>
      </c>
      <c r="D3010" s="17" t="s">
        <v>91</v>
      </c>
      <c r="E3010" s="14">
        <v>719373.02</v>
      </c>
      <c r="F3010" s="14">
        <v>737780.45</v>
      </c>
      <c r="G3010" s="14">
        <v>737780.45</v>
      </c>
      <c r="H3010" s="22">
        <f>F3010*(1+Assumptions!$B$6+IF(D3010="Yes",Assumptions!$C$6,0))</f>
        <v>759913.86349999998</v>
      </c>
      <c r="I3010" s="22">
        <f>F3010*(1+Assumptions!$B$7+IF(D3010="Yes",Assumptions!$C$7,0))</f>
        <v>774669.47250000003</v>
      </c>
      <c r="J3010" s="22">
        <f>F3010*(1+Assumptions!$B$8+IF(D3010="Yes",Assumptions!$C$8,0))</f>
        <v>745158.25449999992</v>
      </c>
    </row>
    <row r="3011" spans="1:10" ht="15">
      <c r="A3011" s="21">
        <v>41187</v>
      </c>
      <c r="B3011" s="21">
        <v>41183</v>
      </c>
      <c r="C3011" s="17">
        <v>82</v>
      </c>
      <c r="D3011" s="17" t="s">
        <v>91</v>
      </c>
      <c r="E3011" s="14">
        <v>696524.74</v>
      </c>
      <c r="F3011" s="14">
        <v>671909.58</v>
      </c>
      <c r="G3011" s="14">
        <v>671909.58</v>
      </c>
      <c r="H3011" s="22">
        <f>F3011*(1+Assumptions!$B$6+IF(D3011="Yes",Assumptions!$C$6,0))</f>
        <v>692066.86739999999</v>
      </c>
      <c r="I3011" s="22">
        <f>F3011*(1+Assumptions!$B$7+IF(D3011="Yes",Assumptions!$C$7,0))</f>
        <v>705505.05900000001</v>
      </c>
      <c r="J3011" s="22">
        <f>F3011*(1+Assumptions!$B$8+IF(D3011="Yes",Assumptions!$C$8,0))</f>
        <v>678628.67579999997</v>
      </c>
    </row>
    <row r="3012" spans="1:10" ht="15">
      <c r="A3012" s="21">
        <v>41187</v>
      </c>
      <c r="B3012" s="21">
        <v>41183</v>
      </c>
      <c r="C3012" s="17">
        <v>83</v>
      </c>
      <c r="D3012" s="17" t="s">
        <v>91</v>
      </c>
      <c r="E3012" s="14">
        <v>141093</v>
      </c>
      <c r="F3012" s="14">
        <v>137646.43</v>
      </c>
      <c r="G3012" s="14">
        <v>137646.43</v>
      </c>
      <c r="H3012" s="22">
        <f>F3012*(1+Assumptions!$B$6+IF(D3012="Yes",Assumptions!$C$6,0))</f>
        <v>141775.8229</v>
      </c>
      <c r="I3012" s="22">
        <f>F3012*(1+Assumptions!$B$7+IF(D3012="Yes",Assumptions!$C$7,0))</f>
        <v>144528.75150000001</v>
      </c>
      <c r="J3012" s="22">
        <f>F3012*(1+Assumptions!$B$8+IF(D3012="Yes",Assumptions!$C$8,0))</f>
        <v>139022.89429999999</v>
      </c>
    </row>
    <row r="3013" spans="1:10" ht="15">
      <c r="A3013" s="21">
        <v>41187</v>
      </c>
      <c r="B3013" s="21">
        <v>41183</v>
      </c>
      <c r="C3013" s="17">
        <v>85</v>
      </c>
      <c r="D3013" s="17" t="s">
        <v>91</v>
      </c>
      <c r="E3013" s="14">
        <v>78458.59</v>
      </c>
      <c r="F3013" s="14">
        <v>83202.69</v>
      </c>
      <c r="G3013" s="14">
        <v>83202.69</v>
      </c>
      <c r="H3013" s="22">
        <f>F3013*(1+Assumptions!$B$6+IF(D3013="Yes",Assumptions!$C$6,0))</f>
        <v>85698.770700000008</v>
      </c>
      <c r="I3013" s="22">
        <f>F3013*(1+Assumptions!$B$7+IF(D3013="Yes",Assumptions!$C$7,0))</f>
        <v>87362.824500000002</v>
      </c>
      <c r="J3013" s="22">
        <f>F3013*(1+Assumptions!$B$8+IF(D3013="Yes",Assumptions!$C$8,0))</f>
        <v>84034.716899999999</v>
      </c>
    </row>
    <row r="3014" spans="1:10" ht="15">
      <c r="A3014" s="21">
        <v>41187</v>
      </c>
      <c r="B3014" s="21">
        <v>41183</v>
      </c>
      <c r="C3014" s="17">
        <v>87</v>
      </c>
      <c r="D3014" s="17" t="s">
        <v>91</v>
      </c>
      <c r="E3014" s="14">
        <v>827373.15</v>
      </c>
      <c r="F3014" s="14">
        <v>688511.83</v>
      </c>
      <c r="G3014" s="14">
        <v>688511.83</v>
      </c>
      <c r="H3014" s="22">
        <f>F3014*(1+Assumptions!$B$6+IF(D3014="Yes",Assumptions!$C$6,0))</f>
        <v>709167.18489999999</v>
      </c>
      <c r="I3014" s="22">
        <f>F3014*(1+Assumptions!$B$7+IF(D3014="Yes",Assumptions!$C$7,0))</f>
        <v>722937.42149999994</v>
      </c>
      <c r="J3014" s="22">
        <f>F3014*(1+Assumptions!$B$8+IF(D3014="Yes",Assumptions!$C$8,0))</f>
        <v>695396.94829999993</v>
      </c>
    </row>
    <row r="3015" spans="1:10" ht="15">
      <c r="A3015" s="21">
        <v>41187</v>
      </c>
      <c r="B3015" s="21">
        <v>41183</v>
      </c>
      <c r="C3015" s="17">
        <v>90</v>
      </c>
      <c r="D3015" s="17" t="s">
        <v>91</v>
      </c>
      <c r="E3015" s="14">
        <v>2224497.63</v>
      </c>
      <c r="F3015" s="14">
        <v>2303144.0699999998</v>
      </c>
      <c r="G3015" s="14">
        <v>2303144.0699999998</v>
      </c>
      <c r="H3015" s="22">
        <f>F3015*(1+Assumptions!$B$6+IF(D3015="Yes",Assumptions!$C$6,0))</f>
        <v>2372238.3920999998</v>
      </c>
      <c r="I3015" s="22">
        <f>F3015*(1+Assumptions!$B$7+IF(D3015="Yes",Assumptions!$C$7,0))</f>
        <v>2418301.2735000001</v>
      </c>
      <c r="J3015" s="22">
        <f>F3015*(1+Assumptions!$B$8+IF(D3015="Yes",Assumptions!$C$8,0))</f>
        <v>2326175.5107</v>
      </c>
    </row>
    <row r="3016" spans="1:10" ht="15">
      <c r="A3016" s="21">
        <v>41187</v>
      </c>
      <c r="B3016" s="21">
        <v>41183</v>
      </c>
      <c r="C3016" s="17">
        <v>91</v>
      </c>
      <c r="D3016" s="17" t="s">
        <v>91</v>
      </c>
      <c r="E3016" s="14">
        <v>1614757.55</v>
      </c>
      <c r="F3016" s="14">
        <v>1713779.36</v>
      </c>
      <c r="G3016" s="14">
        <v>1713779.36</v>
      </c>
      <c r="H3016" s="22">
        <f>F3016*(1+Assumptions!$B$6+IF(D3016="Yes",Assumptions!$C$6,0))</f>
        <v>1765192.7408000003</v>
      </c>
      <c r="I3016" s="22">
        <f>F3016*(1+Assumptions!$B$7+IF(D3016="Yes",Assumptions!$C$7,0))</f>
        <v>1799468.3280000002</v>
      </c>
      <c r="J3016" s="22">
        <f>F3016*(1+Assumptions!$B$8+IF(D3016="Yes",Assumptions!$C$8,0))</f>
        <v>1730917.1536000001</v>
      </c>
    </row>
    <row r="3017" spans="1:10" ht="15">
      <c r="A3017" s="21">
        <v>41187</v>
      </c>
      <c r="B3017" s="21">
        <v>41183</v>
      </c>
      <c r="C3017" s="17">
        <v>92</v>
      </c>
      <c r="D3017" s="17" t="s">
        <v>91</v>
      </c>
      <c r="E3017" s="14">
        <v>3879477.82</v>
      </c>
      <c r="F3017" s="14">
        <v>3881033.61</v>
      </c>
      <c r="G3017" s="14">
        <v>3881033.61</v>
      </c>
      <c r="H3017" s="22">
        <f>F3017*(1+Assumptions!$B$6+IF(D3017="Yes",Assumptions!$C$6,0))</f>
        <v>3997464.6182999997</v>
      </c>
      <c r="I3017" s="22">
        <f>F3017*(1+Assumptions!$B$7+IF(D3017="Yes",Assumptions!$C$7,0))</f>
        <v>4075085.2905000001</v>
      </c>
      <c r="J3017" s="22">
        <f>F3017*(1+Assumptions!$B$8+IF(D3017="Yes",Assumptions!$C$8,0))</f>
        <v>3919843.9460999998</v>
      </c>
    </row>
    <row r="3018" spans="1:10" ht="15">
      <c r="A3018" s="21">
        <v>41187</v>
      </c>
      <c r="B3018" s="21">
        <v>41183</v>
      </c>
      <c r="C3018" s="17">
        <v>93</v>
      </c>
      <c r="D3018" s="17" t="s">
        <v>91</v>
      </c>
      <c r="E3018" s="14">
        <v>1232479.3</v>
      </c>
      <c r="F3018" s="14">
        <v>1241875.44</v>
      </c>
      <c r="G3018" s="14">
        <v>1241875.44</v>
      </c>
      <c r="H3018" s="22">
        <f>F3018*(1+Assumptions!$B$6+IF(D3018="Yes",Assumptions!$C$6,0))</f>
        <v>1279131.7031999999</v>
      </c>
      <c r="I3018" s="22">
        <f>F3018*(1+Assumptions!$B$7+IF(D3018="Yes",Assumptions!$C$7,0))</f>
        <v>1303969.2120000001</v>
      </c>
      <c r="J3018" s="22">
        <f>F3018*(1+Assumptions!$B$8+IF(D3018="Yes",Assumptions!$C$8,0))</f>
        <v>1254294.1943999999</v>
      </c>
    </row>
    <row r="3019" spans="1:10" ht="15">
      <c r="A3019" s="21">
        <v>41187</v>
      </c>
      <c r="B3019" s="21">
        <v>41183</v>
      </c>
      <c r="C3019" s="17">
        <v>94</v>
      </c>
      <c r="D3019" s="17" t="s">
        <v>91</v>
      </c>
      <c r="E3019" s="14">
        <v>1325567.02</v>
      </c>
      <c r="F3019" s="14">
        <v>1298140.6599999999</v>
      </c>
      <c r="G3019" s="14">
        <v>1298140.6599999999</v>
      </c>
      <c r="H3019" s="22">
        <f>F3019*(1+Assumptions!$B$6+IF(D3019="Yes",Assumptions!$C$6,0))</f>
        <v>1337084.8798</v>
      </c>
      <c r="I3019" s="22">
        <f>F3019*(1+Assumptions!$B$7+IF(D3019="Yes",Assumptions!$C$7,0))</f>
        <v>1363047.693</v>
      </c>
      <c r="J3019" s="22">
        <f>F3019*(1+Assumptions!$B$8+IF(D3019="Yes",Assumptions!$C$8,0))</f>
        <v>1311122.0666</v>
      </c>
    </row>
    <row r="3020" spans="1:10" ht="15">
      <c r="A3020" s="21">
        <v>41187</v>
      </c>
      <c r="B3020" s="21">
        <v>41183</v>
      </c>
      <c r="C3020" s="17">
        <v>95</v>
      </c>
      <c r="D3020" s="17" t="s">
        <v>91</v>
      </c>
      <c r="E3020" s="14">
        <v>3216723.39</v>
      </c>
      <c r="F3020" s="14">
        <v>3288689.36</v>
      </c>
      <c r="G3020" s="14">
        <v>3288689.36</v>
      </c>
      <c r="H3020" s="22">
        <f>F3020*(1+Assumptions!$B$6+IF(D3020="Yes",Assumptions!$C$6,0))</f>
        <v>3387350.0408000001</v>
      </c>
      <c r="I3020" s="22">
        <f>F3020*(1+Assumptions!$B$7+IF(D3020="Yes",Assumptions!$C$7,0))</f>
        <v>3453123.8280000002</v>
      </c>
      <c r="J3020" s="22">
        <f>F3020*(1+Assumptions!$B$8+IF(D3020="Yes",Assumptions!$C$8,0))</f>
        <v>3321576.2535999999</v>
      </c>
    </row>
    <row r="3021" spans="1:10" ht="15">
      <c r="A3021" s="21">
        <v>41187</v>
      </c>
      <c r="B3021" s="21">
        <v>41183</v>
      </c>
      <c r="C3021" s="17">
        <v>96</v>
      </c>
      <c r="D3021" s="17" t="s">
        <v>91</v>
      </c>
      <c r="E3021" s="14">
        <v>534993.36</v>
      </c>
      <c r="F3021" s="14">
        <v>514445.62</v>
      </c>
      <c r="G3021" s="14">
        <v>514445.62</v>
      </c>
      <c r="H3021" s="22">
        <f>F3021*(1+Assumptions!$B$6+IF(D3021="Yes",Assumptions!$C$6,0))</f>
        <v>529878.98860000004</v>
      </c>
      <c r="I3021" s="22">
        <f>F3021*(1+Assumptions!$B$7+IF(D3021="Yes",Assumptions!$C$7,0))</f>
        <v>540167.90100000007</v>
      </c>
      <c r="J3021" s="22">
        <f>F3021*(1+Assumptions!$B$8+IF(D3021="Yes",Assumptions!$C$8,0))</f>
        <v>519590.07620000001</v>
      </c>
    </row>
    <row r="3022" spans="1:10" ht="15">
      <c r="A3022" s="21">
        <v>41187</v>
      </c>
      <c r="B3022" s="21">
        <v>41183</v>
      </c>
      <c r="C3022" s="17">
        <v>97</v>
      </c>
      <c r="D3022" s="17" t="s">
        <v>91</v>
      </c>
      <c r="E3022" s="14">
        <v>691324.88</v>
      </c>
      <c r="F3022" s="14">
        <v>701069.63</v>
      </c>
      <c r="G3022" s="14">
        <v>701069.63</v>
      </c>
      <c r="H3022" s="22">
        <f>F3022*(1+Assumptions!$B$6+IF(D3022="Yes",Assumptions!$C$6,0))</f>
        <v>722101.71889999998</v>
      </c>
      <c r="I3022" s="22">
        <f>F3022*(1+Assumptions!$B$7+IF(D3022="Yes",Assumptions!$C$7,0))</f>
        <v>736123.1115</v>
      </c>
      <c r="J3022" s="22">
        <f>F3022*(1+Assumptions!$B$8+IF(D3022="Yes",Assumptions!$C$8,0))</f>
        <v>708080.32629999996</v>
      </c>
    </row>
    <row r="3023" spans="1:10" ht="15">
      <c r="A3023" s="21">
        <v>41187</v>
      </c>
      <c r="B3023" s="21">
        <v>41183</v>
      </c>
      <c r="C3023" s="17">
        <v>98</v>
      </c>
      <c r="D3023" s="17" t="s">
        <v>91</v>
      </c>
      <c r="E3023" s="14">
        <v>282528.57</v>
      </c>
      <c r="F3023" s="14">
        <v>280629.73</v>
      </c>
      <c r="G3023" s="14">
        <v>280629.73</v>
      </c>
      <c r="H3023" s="22">
        <f>F3023*(1+Assumptions!$B$6+IF(D3023="Yes",Assumptions!$C$6,0))</f>
        <v>289048.62189999997</v>
      </c>
      <c r="I3023" s="22">
        <f>F3023*(1+Assumptions!$B$7+IF(D3023="Yes",Assumptions!$C$7,0))</f>
        <v>294661.21649999998</v>
      </c>
      <c r="J3023" s="22">
        <f>F3023*(1+Assumptions!$B$8+IF(D3023="Yes",Assumptions!$C$8,0))</f>
        <v>283436.02729999996</v>
      </c>
    </row>
    <row r="3024" spans="1:10" ht="15">
      <c r="A3024" s="21">
        <v>41187</v>
      </c>
      <c r="B3024" s="21">
        <v>41183</v>
      </c>
      <c r="C3024" s="17">
        <v>99</v>
      </c>
      <c r="D3024" s="17" t="s">
        <v>91</v>
      </c>
      <c r="E3024" s="14">
        <v>590</v>
      </c>
      <c r="F3024" s="14">
        <v>20.02</v>
      </c>
      <c r="G3024" s="14">
        <v>20.02</v>
      </c>
      <c r="H3024" s="22">
        <f>F3024*(1+Assumptions!$B$6+IF(D3024="Yes",Assumptions!$C$6,0))</f>
        <v>20.6206</v>
      </c>
      <c r="I3024" s="22">
        <f>F3024*(1+Assumptions!$B$7+IF(D3024="Yes",Assumptions!$C$7,0))</f>
        <v>21.021000000000001</v>
      </c>
      <c r="J3024" s="22">
        <f>F3024*(1+Assumptions!$B$8+IF(D3024="Yes",Assumptions!$C$8,0))</f>
        <v>20.220199999999998</v>
      </c>
    </row>
    <row r="3025" spans="1:10" ht="15">
      <c r="A3025" s="21">
        <v>41194</v>
      </c>
      <c r="B3025" s="21">
        <v>41183</v>
      </c>
      <c r="C3025" s="17">
        <v>1</v>
      </c>
      <c r="D3025" s="17" t="s">
        <v>91</v>
      </c>
      <c r="E3025" s="14">
        <v>936707.78</v>
      </c>
      <c r="F3025" s="14">
        <v>925375.81</v>
      </c>
      <c r="G3025" s="14">
        <v>925375.81</v>
      </c>
      <c r="H3025" s="22">
        <f>F3025*(1+Assumptions!$B$6+IF(D3025="Yes",Assumptions!$C$6,0))</f>
        <v>953137.0843000001</v>
      </c>
      <c r="I3025" s="22">
        <f>F3025*(1+Assumptions!$B$7+IF(D3025="Yes",Assumptions!$C$7,0))</f>
        <v>971644.60050000006</v>
      </c>
      <c r="J3025" s="22">
        <f>F3025*(1+Assumptions!$B$8+IF(D3025="Yes",Assumptions!$C$8,0))</f>
        <v>934629.56810000003</v>
      </c>
    </row>
    <row r="3026" spans="1:10" ht="15">
      <c r="A3026" s="21">
        <v>41194</v>
      </c>
      <c r="B3026" s="21">
        <v>41183</v>
      </c>
      <c r="C3026" s="17">
        <v>2</v>
      </c>
      <c r="D3026" s="17" t="s">
        <v>91</v>
      </c>
      <c r="E3026" s="14">
        <v>1854886.45</v>
      </c>
      <c r="F3026" s="14">
        <v>1859700.2</v>
      </c>
      <c r="G3026" s="14">
        <v>1859700.2</v>
      </c>
      <c r="H3026" s="22">
        <f>F3026*(1+Assumptions!$B$6+IF(D3026="Yes",Assumptions!$C$6,0))</f>
        <v>1915491.206</v>
      </c>
      <c r="I3026" s="22">
        <f>F3026*(1+Assumptions!$B$7+IF(D3026="Yes",Assumptions!$C$7,0))</f>
        <v>1952685.21</v>
      </c>
      <c r="J3026" s="22">
        <f>F3026*(1+Assumptions!$B$8+IF(D3026="Yes",Assumptions!$C$8,0))</f>
        <v>1878297.202</v>
      </c>
    </row>
    <row r="3027" spans="1:10" ht="15">
      <c r="A3027" s="21">
        <v>41194</v>
      </c>
      <c r="B3027" s="21">
        <v>41183</v>
      </c>
      <c r="C3027" s="17">
        <v>3</v>
      </c>
      <c r="D3027" s="17" t="s">
        <v>91</v>
      </c>
      <c r="E3027" s="14">
        <v>350316.41</v>
      </c>
      <c r="F3027" s="14">
        <v>359252.62</v>
      </c>
      <c r="G3027" s="14">
        <v>359252.62</v>
      </c>
      <c r="H3027" s="22">
        <f>F3027*(1+Assumptions!$B$6+IF(D3027="Yes",Assumptions!$C$6,0))</f>
        <v>370030.1986</v>
      </c>
      <c r="I3027" s="22">
        <f>F3027*(1+Assumptions!$B$7+IF(D3027="Yes",Assumptions!$C$7,0))</f>
        <v>377215.25099999999</v>
      </c>
      <c r="J3027" s="22">
        <f>F3027*(1+Assumptions!$B$8+IF(D3027="Yes",Assumptions!$C$8,0))</f>
        <v>362845.14620000002</v>
      </c>
    </row>
    <row r="3028" spans="1:10" ht="15">
      <c r="A3028" s="21">
        <v>41194</v>
      </c>
      <c r="B3028" s="21">
        <v>41183</v>
      </c>
      <c r="C3028" s="17">
        <v>4</v>
      </c>
      <c r="D3028" s="17" t="s">
        <v>91</v>
      </c>
      <c r="E3028" s="14">
        <v>1136651.53</v>
      </c>
      <c r="F3028" s="14">
        <v>1119753.71</v>
      </c>
      <c r="G3028" s="14">
        <v>1119753.71</v>
      </c>
      <c r="H3028" s="22">
        <f>F3028*(1+Assumptions!$B$6+IF(D3028="Yes",Assumptions!$C$6,0))</f>
        <v>1153346.3213</v>
      </c>
      <c r="I3028" s="22">
        <f>F3028*(1+Assumptions!$B$7+IF(D3028="Yes",Assumptions!$C$7,0))</f>
        <v>1175741.3955000001</v>
      </c>
      <c r="J3028" s="22">
        <f>F3028*(1+Assumptions!$B$8+IF(D3028="Yes",Assumptions!$C$8,0))</f>
        <v>1130951.2471</v>
      </c>
    </row>
    <row r="3029" spans="1:10" ht="15">
      <c r="A3029" s="21">
        <v>41194</v>
      </c>
      <c r="B3029" s="21">
        <v>41183</v>
      </c>
      <c r="C3029" s="17">
        <v>5</v>
      </c>
      <c r="D3029" s="17" t="s">
        <v>91</v>
      </c>
      <c r="E3029" s="14">
        <v>792464.82</v>
      </c>
      <c r="F3029" s="14">
        <v>880074.08</v>
      </c>
      <c r="G3029" s="14">
        <v>880074.08</v>
      </c>
      <c r="H3029" s="22">
        <f>F3029*(1+Assumptions!$B$6+IF(D3029="Yes",Assumptions!$C$6,0))</f>
        <v>906476.30239999993</v>
      </c>
      <c r="I3029" s="22">
        <f>F3029*(1+Assumptions!$B$7+IF(D3029="Yes",Assumptions!$C$7,0))</f>
        <v>924077.78399999999</v>
      </c>
      <c r="J3029" s="22">
        <f>F3029*(1+Assumptions!$B$8+IF(D3029="Yes",Assumptions!$C$8,0))</f>
        <v>888874.82079999999</v>
      </c>
    </row>
    <row r="3030" spans="1:10" ht="15">
      <c r="A3030" s="21">
        <v>41194</v>
      </c>
      <c r="B3030" s="21">
        <v>41183</v>
      </c>
      <c r="C3030" s="17">
        <v>6</v>
      </c>
      <c r="D3030" s="17" t="s">
        <v>91</v>
      </c>
      <c r="E3030" s="14">
        <v>127999.18</v>
      </c>
      <c r="F3030" s="14">
        <v>149548.99</v>
      </c>
      <c r="G3030" s="14">
        <v>149548.99</v>
      </c>
      <c r="H3030" s="22">
        <f>F3030*(1+Assumptions!$B$6+IF(D3030="Yes",Assumptions!$C$6,0))</f>
        <v>154035.45970000001</v>
      </c>
      <c r="I3030" s="22">
        <f>F3030*(1+Assumptions!$B$7+IF(D3030="Yes",Assumptions!$C$7,0))</f>
        <v>157026.43950000001</v>
      </c>
      <c r="J3030" s="22">
        <f>F3030*(1+Assumptions!$B$8+IF(D3030="Yes",Assumptions!$C$8,0))</f>
        <v>151044.47990000001</v>
      </c>
    </row>
    <row r="3031" spans="1:10" ht="15">
      <c r="A3031" s="21">
        <v>41194</v>
      </c>
      <c r="B3031" s="21">
        <v>41183</v>
      </c>
      <c r="C3031" s="17">
        <v>7</v>
      </c>
      <c r="D3031" s="17" t="s">
        <v>91</v>
      </c>
      <c r="E3031" s="14">
        <v>856868.05</v>
      </c>
      <c r="F3031" s="14">
        <v>722667.49</v>
      </c>
      <c r="G3031" s="14">
        <v>722667.49</v>
      </c>
      <c r="H3031" s="22">
        <f>F3031*(1+Assumptions!$B$6+IF(D3031="Yes",Assumptions!$C$6,0))</f>
        <v>744347.51470000006</v>
      </c>
      <c r="I3031" s="22">
        <f>F3031*(1+Assumptions!$B$7+IF(D3031="Yes",Assumptions!$C$7,0))</f>
        <v>758800.86450000003</v>
      </c>
      <c r="J3031" s="22">
        <f>F3031*(1+Assumptions!$B$8+IF(D3031="Yes",Assumptions!$C$8,0))</f>
        <v>729894.16489999997</v>
      </c>
    </row>
    <row r="3032" spans="1:10" ht="15">
      <c r="A3032" s="21">
        <v>41194</v>
      </c>
      <c r="B3032" s="21">
        <v>41183</v>
      </c>
      <c r="C3032" s="17">
        <v>8</v>
      </c>
      <c r="D3032" s="17" t="s">
        <v>91</v>
      </c>
      <c r="E3032" s="14">
        <v>1412633.21</v>
      </c>
      <c r="F3032" s="14">
        <v>1327039.74</v>
      </c>
      <c r="G3032" s="14">
        <v>1327039.74</v>
      </c>
      <c r="H3032" s="22">
        <f>F3032*(1+Assumptions!$B$6+IF(D3032="Yes",Assumptions!$C$6,0))</f>
        <v>1366850.9321999999</v>
      </c>
      <c r="I3032" s="22">
        <f>F3032*(1+Assumptions!$B$7+IF(D3032="Yes",Assumptions!$C$7,0))</f>
        <v>1393391.727</v>
      </c>
      <c r="J3032" s="22">
        <f>F3032*(1+Assumptions!$B$8+IF(D3032="Yes",Assumptions!$C$8,0))</f>
        <v>1340310.1373999999</v>
      </c>
    </row>
    <row r="3033" spans="1:10" ht="15">
      <c r="A3033" s="21">
        <v>41194</v>
      </c>
      <c r="B3033" s="21">
        <v>41183</v>
      </c>
      <c r="C3033" s="17">
        <v>9</v>
      </c>
      <c r="D3033" s="17" t="s">
        <v>91</v>
      </c>
      <c r="E3033" s="14">
        <v>862371.46</v>
      </c>
      <c r="F3033" s="14">
        <v>810064.15</v>
      </c>
      <c r="G3033" s="14">
        <v>810064.15</v>
      </c>
      <c r="H3033" s="22">
        <f>F3033*(1+Assumptions!$B$6+IF(D3033="Yes",Assumptions!$C$6,0))</f>
        <v>834366.07449999999</v>
      </c>
      <c r="I3033" s="22">
        <f>F3033*(1+Assumptions!$B$7+IF(D3033="Yes",Assumptions!$C$7,0))</f>
        <v>850567.35750000004</v>
      </c>
      <c r="J3033" s="22">
        <f>F3033*(1+Assumptions!$B$8+IF(D3033="Yes",Assumptions!$C$8,0))</f>
        <v>818164.79150000005</v>
      </c>
    </row>
    <row r="3034" spans="1:10" ht="15">
      <c r="A3034" s="21">
        <v>41194</v>
      </c>
      <c r="B3034" s="21">
        <v>41183</v>
      </c>
      <c r="C3034" s="17">
        <v>10</v>
      </c>
      <c r="D3034" s="17" t="s">
        <v>91</v>
      </c>
      <c r="E3034" s="14">
        <v>836460.67999999993</v>
      </c>
      <c r="F3034" s="14">
        <v>842305.89</v>
      </c>
      <c r="G3034" s="14">
        <v>842305.89</v>
      </c>
      <c r="H3034" s="22">
        <f>F3034*(1+Assumptions!$B$6+IF(D3034="Yes",Assumptions!$C$6,0))</f>
        <v>867575.06670000008</v>
      </c>
      <c r="I3034" s="22">
        <f>F3034*(1+Assumptions!$B$7+IF(D3034="Yes",Assumptions!$C$7,0))</f>
        <v>884421.18450000009</v>
      </c>
      <c r="J3034" s="22">
        <f>F3034*(1+Assumptions!$B$8+IF(D3034="Yes",Assumptions!$C$8,0))</f>
        <v>850728.94890000008</v>
      </c>
    </row>
    <row r="3035" spans="1:10" ht="15">
      <c r="A3035" s="21">
        <v>41194</v>
      </c>
      <c r="B3035" s="21">
        <v>41183</v>
      </c>
      <c r="C3035" s="17">
        <v>11</v>
      </c>
      <c r="D3035" s="17" t="s">
        <v>91</v>
      </c>
      <c r="E3035" s="14">
        <v>621534.80000000005</v>
      </c>
      <c r="F3035" s="14">
        <v>521721.58</v>
      </c>
      <c r="G3035" s="14">
        <v>521721.58</v>
      </c>
      <c r="H3035" s="22">
        <f>F3035*(1+Assumptions!$B$6+IF(D3035="Yes",Assumptions!$C$6,0))</f>
        <v>537373.22739999997</v>
      </c>
      <c r="I3035" s="22">
        <f>F3035*(1+Assumptions!$B$7+IF(D3035="Yes",Assumptions!$C$7,0))</f>
        <v>547807.65899999999</v>
      </c>
      <c r="J3035" s="22">
        <f>F3035*(1+Assumptions!$B$8+IF(D3035="Yes",Assumptions!$C$8,0))</f>
        <v>526938.79579999996</v>
      </c>
    </row>
    <row r="3036" spans="1:10" ht="15">
      <c r="A3036" s="21">
        <v>41194</v>
      </c>
      <c r="B3036" s="21">
        <v>41183</v>
      </c>
      <c r="C3036" s="17">
        <v>12</v>
      </c>
      <c r="D3036" s="17" t="s">
        <v>91</v>
      </c>
      <c r="E3036" s="14">
        <v>176045.37</v>
      </c>
      <c r="F3036" s="14">
        <v>196450.92</v>
      </c>
      <c r="G3036" s="14">
        <v>196450.92</v>
      </c>
      <c r="H3036" s="22">
        <f>F3036*(1+Assumptions!$B$6+IF(D3036="Yes",Assumptions!$C$6,0))</f>
        <v>202344.44760000001</v>
      </c>
      <c r="I3036" s="22">
        <f>F3036*(1+Assumptions!$B$7+IF(D3036="Yes",Assumptions!$C$7,0))</f>
        <v>206273.46600000001</v>
      </c>
      <c r="J3036" s="22">
        <f>F3036*(1+Assumptions!$B$8+IF(D3036="Yes",Assumptions!$C$8,0))</f>
        <v>198415.42920000001</v>
      </c>
    </row>
    <row r="3037" spans="1:10" ht="15">
      <c r="A3037" s="21">
        <v>41194</v>
      </c>
      <c r="B3037" s="21">
        <v>41183</v>
      </c>
      <c r="C3037" s="17">
        <v>13</v>
      </c>
      <c r="D3037" s="17" t="s">
        <v>91</v>
      </c>
      <c r="E3037" s="14">
        <v>1384402.35</v>
      </c>
      <c r="F3037" s="14">
        <v>1386577.53</v>
      </c>
      <c r="G3037" s="14">
        <v>1386577.53</v>
      </c>
      <c r="H3037" s="22">
        <f>F3037*(1+Assumptions!$B$6+IF(D3037="Yes",Assumptions!$C$6,0))</f>
        <v>1428174.8559000001</v>
      </c>
      <c r="I3037" s="22">
        <f>F3037*(1+Assumptions!$B$7+IF(D3037="Yes",Assumptions!$C$7,0))</f>
        <v>1455906.4065</v>
      </c>
      <c r="J3037" s="22">
        <f>F3037*(1+Assumptions!$B$8+IF(D3037="Yes",Assumptions!$C$8,0))</f>
        <v>1400443.3053000001</v>
      </c>
    </row>
    <row r="3038" spans="1:10" ht="15">
      <c r="A3038" s="21">
        <v>41194</v>
      </c>
      <c r="B3038" s="21">
        <v>41183</v>
      </c>
      <c r="C3038" s="17">
        <v>14</v>
      </c>
      <c r="D3038" s="17" t="s">
        <v>91</v>
      </c>
      <c r="E3038" s="14">
        <v>611655.06000000006</v>
      </c>
      <c r="F3038" s="14">
        <v>573888.34</v>
      </c>
      <c r="G3038" s="14">
        <v>573888.34</v>
      </c>
      <c r="H3038" s="22">
        <f>F3038*(1+Assumptions!$B$6+IF(D3038="Yes",Assumptions!$C$6,0))</f>
        <v>591104.9902</v>
      </c>
      <c r="I3038" s="22">
        <f>F3038*(1+Assumptions!$B$7+IF(D3038="Yes",Assumptions!$C$7,0))</f>
        <v>602582.75699999998</v>
      </c>
      <c r="J3038" s="22">
        <f>F3038*(1+Assumptions!$B$8+IF(D3038="Yes",Assumptions!$C$8,0))</f>
        <v>579627.22340000002</v>
      </c>
    </row>
    <row r="3039" spans="1:10" ht="15">
      <c r="A3039" s="21">
        <v>41194</v>
      </c>
      <c r="B3039" s="21">
        <v>41183</v>
      </c>
      <c r="C3039" s="17">
        <v>16</v>
      </c>
      <c r="D3039" s="17" t="s">
        <v>91</v>
      </c>
      <c r="E3039" s="14">
        <v>202049.89</v>
      </c>
      <c r="F3039" s="14">
        <v>229325.84</v>
      </c>
      <c r="G3039" s="14">
        <v>229325.84</v>
      </c>
      <c r="H3039" s="22">
        <f>F3039*(1+Assumptions!$B$6+IF(D3039="Yes",Assumptions!$C$6,0))</f>
        <v>236205.6152</v>
      </c>
      <c r="I3039" s="22">
        <f>F3039*(1+Assumptions!$B$7+IF(D3039="Yes",Assumptions!$C$7,0))</f>
        <v>240792.13200000001</v>
      </c>
      <c r="J3039" s="22">
        <f>F3039*(1+Assumptions!$B$8+IF(D3039="Yes",Assumptions!$C$8,0))</f>
        <v>231619.09839999999</v>
      </c>
    </row>
    <row r="3040" spans="1:10" ht="15">
      <c r="A3040" s="21">
        <v>41194</v>
      </c>
      <c r="B3040" s="21">
        <v>41183</v>
      </c>
      <c r="C3040" s="17">
        <v>17</v>
      </c>
      <c r="D3040" s="17" t="s">
        <v>91</v>
      </c>
      <c r="E3040" s="14">
        <v>451740.97</v>
      </c>
      <c r="F3040" s="14">
        <v>420430.05</v>
      </c>
      <c r="G3040" s="14">
        <v>420430.05</v>
      </c>
      <c r="H3040" s="22">
        <f>F3040*(1+Assumptions!$B$6+IF(D3040="Yes",Assumptions!$C$6,0))</f>
        <v>433042.95150000002</v>
      </c>
      <c r="I3040" s="22">
        <f>F3040*(1+Assumptions!$B$7+IF(D3040="Yes",Assumptions!$C$7,0))</f>
        <v>441451.55249999999</v>
      </c>
      <c r="J3040" s="22">
        <f>F3040*(1+Assumptions!$B$8+IF(D3040="Yes",Assumptions!$C$8,0))</f>
        <v>424634.3505</v>
      </c>
    </row>
    <row r="3041" spans="1:10" ht="15">
      <c r="A3041" s="21">
        <v>41194</v>
      </c>
      <c r="B3041" s="21">
        <v>41183</v>
      </c>
      <c r="C3041" s="17">
        <v>18</v>
      </c>
      <c r="D3041" s="17" t="s">
        <v>91</v>
      </c>
      <c r="E3041" s="14">
        <v>446462.84</v>
      </c>
      <c r="F3041" s="14">
        <v>399268.07</v>
      </c>
      <c r="G3041" s="14">
        <v>399268.07</v>
      </c>
      <c r="H3041" s="22">
        <f>F3041*(1+Assumptions!$B$6+IF(D3041="Yes",Assumptions!$C$6,0))</f>
        <v>411246.11210000003</v>
      </c>
      <c r="I3041" s="22">
        <f>F3041*(1+Assumptions!$B$7+IF(D3041="Yes",Assumptions!$C$7,0))</f>
        <v>419231.47350000002</v>
      </c>
      <c r="J3041" s="22">
        <f>F3041*(1+Assumptions!$B$8+IF(D3041="Yes",Assumptions!$C$8,0))</f>
        <v>403260.75070000003</v>
      </c>
    </row>
    <row r="3042" spans="1:10" ht="15">
      <c r="A3042" s="21">
        <v>41194</v>
      </c>
      <c r="B3042" s="21">
        <v>41183</v>
      </c>
      <c r="C3042" s="17">
        <v>19</v>
      </c>
      <c r="D3042" s="17" t="s">
        <v>91</v>
      </c>
      <c r="E3042" s="14">
        <v>51348.27</v>
      </c>
      <c r="F3042" s="14">
        <v>63565.37</v>
      </c>
      <c r="G3042" s="14">
        <v>63565.37</v>
      </c>
      <c r="H3042" s="22">
        <f>F3042*(1+Assumptions!$B$6+IF(D3042="Yes",Assumptions!$C$6,0))</f>
        <v>65472.331100000003</v>
      </c>
      <c r="I3042" s="22">
        <f>F3042*(1+Assumptions!$B$7+IF(D3042="Yes",Assumptions!$C$7,0))</f>
        <v>66743.638500000001</v>
      </c>
      <c r="J3042" s="22">
        <f>F3042*(1+Assumptions!$B$8+IF(D3042="Yes",Assumptions!$C$8,0))</f>
        <v>64201.023700000005</v>
      </c>
    </row>
    <row r="3043" spans="1:10" ht="15">
      <c r="A3043" s="21">
        <v>41194</v>
      </c>
      <c r="B3043" s="21">
        <v>41183</v>
      </c>
      <c r="C3043" s="17">
        <v>20</v>
      </c>
      <c r="D3043" s="17" t="s">
        <v>91</v>
      </c>
      <c r="E3043" s="14">
        <v>192742.61000000002</v>
      </c>
      <c r="F3043" s="14">
        <v>194187.75</v>
      </c>
      <c r="G3043" s="14">
        <v>194187.75</v>
      </c>
      <c r="H3043" s="22">
        <f>F3043*(1+Assumptions!$B$6+IF(D3043="Yes",Assumptions!$C$6,0))</f>
        <v>200013.38250000001</v>
      </c>
      <c r="I3043" s="22">
        <f>F3043*(1+Assumptions!$B$7+IF(D3043="Yes",Assumptions!$C$7,0))</f>
        <v>203897.13750000001</v>
      </c>
      <c r="J3043" s="22">
        <f>F3043*(1+Assumptions!$B$8+IF(D3043="Yes",Assumptions!$C$8,0))</f>
        <v>196129.6275</v>
      </c>
    </row>
    <row r="3044" spans="1:10" ht="15">
      <c r="A3044" s="21">
        <v>41194</v>
      </c>
      <c r="B3044" s="21">
        <v>41183</v>
      </c>
      <c r="C3044" s="17">
        <v>21</v>
      </c>
      <c r="D3044" s="17" t="s">
        <v>91</v>
      </c>
      <c r="E3044" s="14">
        <v>200160.78</v>
      </c>
      <c r="F3044" s="14">
        <v>205943.7</v>
      </c>
      <c r="G3044" s="14">
        <v>205943.7</v>
      </c>
      <c r="H3044" s="22">
        <f>F3044*(1+Assumptions!$B$6+IF(D3044="Yes",Assumptions!$C$6,0))</f>
        <v>212122.01100000003</v>
      </c>
      <c r="I3044" s="22">
        <f>F3044*(1+Assumptions!$B$7+IF(D3044="Yes",Assumptions!$C$7,0))</f>
        <v>216240.88500000001</v>
      </c>
      <c r="J3044" s="22">
        <f>F3044*(1+Assumptions!$B$8+IF(D3044="Yes",Assumptions!$C$8,0))</f>
        <v>208003.13700000002</v>
      </c>
    </row>
    <row r="3045" spans="1:10" ht="15">
      <c r="A3045" s="21">
        <v>41194</v>
      </c>
      <c r="B3045" s="21">
        <v>41183</v>
      </c>
      <c r="C3045" s="17">
        <v>22</v>
      </c>
      <c r="D3045" s="17" t="s">
        <v>91</v>
      </c>
      <c r="E3045" s="14">
        <v>433681.14</v>
      </c>
      <c r="F3045" s="14">
        <v>389138.99</v>
      </c>
      <c r="G3045" s="14">
        <v>389138.99</v>
      </c>
      <c r="H3045" s="22">
        <f>F3045*(1+Assumptions!$B$6+IF(D3045="Yes",Assumptions!$C$6,0))</f>
        <v>400813.15970000002</v>
      </c>
      <c r="I3045" s="22">
        <f>F3045*(1+Assumptions!$B$7+IF(D3045="Yes",Assumptions!$C$7,0))</f>
        <v>408595.93949999998</v>
      </c>
      <c r="J3045" s="22">
        <f>F3045*(1+Assumptions!$B$8+IF(D3045="Yes",Assumptions!$C$8,0))</f>
        <v>393030.3799</v>
      </c>
    </row>
    <row r="3046" spans="1:10" ht="15">
      <c r="A3046" s="21">
        <v>41194</v>
      </c>
      <c r="B3046" s="21">
        <v>41183</v>
      </c>
      <c r="C3046" s="17">
        <v>23</v>
      </c>
      <c r="D3046" s="17" t="s">
        <v>91</v>
      </c>
      <c r="E3046" s="14">
        <v>1018346.42</v>
      </c>
      <c r="F3046" s="14">
        <v>867928.29</v>
      </c>
      <c r="G3046" s="14">
        <v>867928.29</v>
      </c>
      <c r="H3046" s="22">
        <f>F3046*(1+Assumptions!$B$6+IF(D3046="Yes",Assumptions!$C$6,0))</f>
        <v>893966.13870000001</v>
      </c>
      <c r="I3046" s="22">
        <f>F3046*(1+Assumptions!$B$7+IF(D3046="Yes",Assumptions!$C$7,0))</f>
        <v>911324.70450000011</v>
      </c>
      <c r="J3046" s="22">
        <f>F3046*(1+Assumptions!$B$8+IF(D3046="Yes",Assumptions!$C$8,0))</f>
        <v>876607.57290000003</v>
      </c>
    </row>
    <row r="3047" spans="1:10" ht="15">
      <c r="A3047" s="21">
        <v>41194</v>
      </c>
      <c r="B3047" s="21">
        <v>41183</v>
      </c>
      <c r="C3047" s="17">
        <v>24</v>
      </c>
      <c r="D3047" s="17" t="s">
        <v>91</v>
      </c>
      <c r="E3047" s="14">
        <v>269827.26</v>
      </c>
      <c r="F3047" s="14">
        <v>202321.88999999998</v>
      </c>
      <c r="G3047" s="14">
        <v>202321.88999999998</v>
      </c>
      <c r="H3047" s="22">
        <f>F3047*(1+Assumptions!$B$6+IF(D3047="Yes",Assumptions!$C$6,0))</f>
        <v>208391.54669999998</v>
      </c>
      <c r="I3047" s="22">
        <f>F3047*(1+Assumptions!$B$7+IF(D3047="Yes",Assumptions!$C$7,0))</f>
        <v>212437.98449999999</v>
      </c>
      <c r="J3047" s="22">
        <f>F3047*(1+Assumptions!$B$8+IF(D3047="Yes",Assumptions!$C$8,0))</f>
        <v>204345.10889999999</v>
      </c>
    </row>
    <row r="3048" spans="1:10" ht="15">
      <c r="A3048" s="21">
        <v>41194</v>
      </c>
      <c r="B3048" s="21">
        <v>41183</v>
      </c>
      <c r="C3048" s="17">
        <v>25</v>
      </c>
      <c r="D3048" s="17" t="s">
        <v>91</v>
      </c>
      <c r="E3048" s="14">
        <v>397990.79</v>
      </c>
      <c r="F3048" s="14">
        <v>390669.63</v>
      </c>
      <c r="G3048" s="14">
        <v>390669.63</v>
      </c>
      <c r="H3048" s="22">
        <f>F3048*(1+Assumptions!$B$6+IF(D3048="Yes",Assumptions!$C$6,0))</f>
        <v>402389.71890000004</v>
      </c>
      <c r="I3048" s="22">
        <f>F3048*(1+Assumptions!$B$7+IF(D3048="Yes",Assumptions!$C$7,0))</f>
        <v>410203.1115</v>
      </c>
      <c r="J3048" s="22">
        <f>F3048*(1+Assumptions!$B$8+IF(D3048="Yes",Assumptions!$C$8,0))</f>
        <v>394576.32630000002</v>
      </c>
    </row>
    <row r="3049" spans="1:10" ht="15">
      <c r="A3049" s="21">
        <v>41194</v>
      </c>
      <c r="B3049" s="21">
        <v>41183</v>
      </c>
      <c r="C3049" s="17">
        <v>26</v>
      </c>
      <c r="D3049" s="17" t="s">
        <v>91</v>
      </c>
      <c r="E3049" s="14">
        <v>410618.6</v>
      </c>
      <c r="F3049" s="14">
        <v>352484.61</v>
      </c>
      <c r="G3049" s="14">
        <v>352484.61</v>
      </c>
      <c r="H3049" s="22">
        <f>F3049*(1+Assumptions!$B$6+IF(D3049="Yes",Assumptions!$C$6,0))</f>
        <v>363059.1483</v>
      </c>
      <c r="I3049" s="22">
        <f>F3049*(1+Assumptions!$B$7+IF(D3049="Yes",Assumptions!$C$7,0))</f>
        <v>370108.84049999999</v>
      </c>
      <c r="J3049" s="22">
        <f>F3049*(1+Assumptions!$B$8+IF(D3049="Yes",Assumptions!$C$8,0))</f>
        <v>356009.45610000001</v>
      </c>
    </row>
    <row r="3050" spans="1:10" ht="15">
      <c r="A3050" s="21">
        <v>41194</v>
      </c>
      <c r="B3050" s="21">
        <v>41183</v>
      </c>
      <c r="C3050" s="17">
        <v>27</v>
      </c>
      <c r="D3050" s="17" t="s">
        <v>91</v>
      </c>
      <c r="E3050" s="14">
        <v>72378.569999999992</v>
      </c>
      <c r="F3050" s="14">
        <v>59019.73</v>
      </c>
      <c r="G3050" s="14">
        <v>59019.73</v>
      </c>
      <c r="H3050" s="22">
        <f>F3050*(1+Assumptions!$B$6+IF(D3050="Yes",Assumptions!$C$6,0))</f>
        <v>60790.321900000003</v>
      </c>
      <c r="I3050" s="22">
        <f>F3050*(1+Assumptions!$B$7+IF(D3050="Yes",Assumptions!$C$7,0))</f>
        <v>61970.71650000001</v>
      </c>
      <c r="J3050" s="22">
        <f>F3050*(1+Assumptions!$B$8+IF(D3050="Yes",Assumptions!$C$8,0))</f>
        <v>59609.927300000003</v>
      </c>
    </row>
    <row r="3051" spans="1:10" ht="15">
      <c r="A3051" s="21">
        <v>41194</v>
      </c>
      <c r="B3051" s="21">
        <v>41183</v>
      </c>
      <c r="C3051" s="17">
        <v>28</v>
      </c>
      <c r="D3051" s="17" t="s">
        <v>91</v>
      </c>
      <c r="E3051" s="14">
        <v>29620.170000000002</v>
      </c>
      <c r="F3051" s="14">
        <v>27487.5</v>
      </c>
      <c r="G3051" s="14">
        <v>27487.5</v>
      </c>
      <c r="H3051" s="22">
        <f>F3051*(1+Assumptions!$B$6+IF(D3051="Yes",Assumptions!$C$6,0))</f>
        <v>28312.125</v>
      </c>
      <c r="I3051" s="22">
        <f>F3051*(1+Assumptions!$B$7+IF(D3051="Yes",Assumptions!$C$7,0))</f>
        <v>28861.875</v>
      </c>
      <c r="J3051" s="22">
        <f>F3051*(1+Assumptions!$B$8+IF(D3051="Yes",Assumptions!$C$8,0))</f>
        <v>27762.375</v>
      </c>
    </row>
    <row r="3052" spans="1:10" ht="15">
      <c r="A3052" s="21">
        <v>41194</v>
      </c>
      <c r="B3052" s="21">
        <v>41183</v>
      </c>
      <c r="C3052" s="17">
        <v>29</v>
      </c>
      <c r="D3052" s="17" t="s">
        <v>91</v>
      </c>
      <c r="E3052" s="14">
        <v>195343.02</v>
      </c>
      <c r="F3052" s="14">
        <v>180622.98</v>
      </c>
      <c r="G3052" s="14">
        <v>180622.98</v>
      </c>
      <c r="H3052" s="22">
        <f>F3052*(1+Assumptions!$B$6+IF(D3052="Yes",Assumptions!$C$6,0))</f>
        <v>186041.66940000001</v>
      </c>
      <c r="I3052" s="22">
        <f>F3052*(1+Assumptions!$B$7+IF(D3052="Yes",Assumptions!$C$7,0))</f>
        <v>189654.12900000002</v>
      </c>
      <c r="J3052" s="22">
        <f>F3052*(1+Assumptions!$B$8+IF(D3052="Yes",Assumptions!$C$8,0))</f>
        <v>182429.20980000001</v>
      </c>
    </row>
    <row r="3053" spans="1:10" ht="15">
      <c r="A3053" s="21">
        <v>41194</v>
      </c>
      <c r="B3053" s="21">
        <v>41183</v>
      </c>
      <c r="C3053" s="17">
        <v>30</v>
      </c>
      <c r="D3053" s="17" t="s">
        <v>91</v>
      </c>
      <c r="E3053" s="14">
        <v>113899.51</v>
      </c>
      <c r="F3053" s="14">
        <v>126839.56999999999</v>
      </c>
      <c r="G3053" s="14">
        <v>126839.56999999999</v>
      </c>
      <c r="H3053" s="22">
        <f>F3053*(1+Assumptions!$B$6+IF(D3053="Yes",Assumptions!$C$6,0))</f>
        <v>130644.7571</v>
      </c>
      <c r="I3053" s="22">
        <f>F3053*(1+Assumptions!$B$7+IF(D3053="Yes",Assumptions!$C$7,0))</f>
        <v>133181.5485</v>
      </c>
      <c r="J3053" s="22">
        <f>F3053*(1+Assumptions!$B$8+IF(D3053="Yes",Assumptions!$C$8,0))</f>
        <v>128107.9657</v>
      </c>
    </row>
    <row r="3054" spans="1:10" ht="15">
      <c r="A3054" s="21">
        <v>41194</v>
      </c>
      <c r="B3054" s="21">
        <v>41183</v>
      </c>
      <c r="C3054" s="17">
        <v>31</v>
      </c>
      <c r="D3054" s="17" t="s">
        <v>91</v>
      </c>
      <c r="E3054" s="14">
        <v>93419.38</v>
      </c>
      <c r="F3054" s="14">
        <v>80844.77</v>
      </c>
      <c r="G3054" s="14">
        <v>80844.77</v>
      </c>
      <c r="H3054" s="22">
        <f>F3054*(1+Assumptions!$B$6+IF(D3054="Yes",Assumptions!$C$6,0))</f>
        <v>83270.113100000002</v>
      </c>
      <c r="I3054" s="22">
        <f>F3054*(1+Assumptions!$B$7+IF(D3054="Yes",Assumptions!$C$7,0))</f>
        <v>84887.008500000011</v>
      </c>
      <c r="J3054" s="22">
        <f>F3054*(1+Assumptions!$B$8+IF(D3054="Yes",Assumptions!$C$8,0))</f>
        <v>81653.217700000008</v>
      </c>
    </row>
    <row r="3055" spans="1:10" ht="15">
      <c r="A3055" s="21">
        <v>41194</v>
      </c>
      <c r="B3055" s="21">
        <v>41183</v>
      </c>
      <c r="C3055" s="17">
        <v>32</v>
      </c>
      <c r="D3055" s="17" t="s">
        <v>91</v>
      </c>
      <c r="E3055" s="14">
        <v>213344.32</v>
      </c>
      <c r="F3055" s="14">
        <v>215640.16999999998</v>
      </c>
      <c r="G3055" s="14">
        <v>215640.16999999998</v>
      </c>
      <c r="H3055" s="22">
        <f>F3055*(1+Assumptions!$B$6+IF(D3055="Yes",Assumptions!$C$6,0))</f>
        <v>222109.37509999998</v>
      </c>
      <c r="I3055" s="22">
        <f>F3055*(1+Assumptions!$B$7+IF(D3055="Yes",Assumptions!$C$7,0))</f>
        <v>226422.17849999998</v>
      </c>
      <c r="J3055" s="22">
        <f>F3055*(1+Assumptions!$B$8+IF(D3055="Yes",Assumptions!$C$8,0))</f>
        <v>217796.57169999997</v>
      </c>
    </row>
    <row r="3056" spans="1:10" ht="15">
      <c r="A3056" s="21">
        <v>41194</v>
      </c>
      <c r="B3056" s="21">
        <v>41183</v>
      </c>
      <c r="C3056" s="17">
        <v>33</v>
      </c>
      <c r="D3056" s="17" t="s">
        <v>91</v>
      </c>
      <c r="E3056" s="14">
        <v>264787.56</v>
      </c>
      <c r="F3056" s="14">
        <v>203006.18</v>
      </c>
      <c r="G3056" s="14">
        <v>203006.18</v>
      </c>
      <c r="H3056" s="22">
        <f>F3056*(1+Assumptions!$B$6+IF(D3056="Yes",Assumptions!$C$6,0))</f>
        <v>209096.36540000001</v>
      </c>
      <c r="I3056" s="22">
        <f>F3056*(1+Assumptions!$B$7+IF(D3056="Yes",Assumptions!$C$7,0))</f>
        <v>213156.489</v>
      </c>
      <c r="J3056" s="22">
        <f>F3056*(1+Assumptions!$B$8+IF(D3056="Yes",Assumptions!$C$8,0))</f>
        <v>205036.24179999999</v>
      </c>
    </row>
    <row r="3057" spans="1:10" ht="15">
      <c r="A3057" s="21">
        <v>41194</v>
      </c>
      <c r="B3057" s="21">
        <v>41183</v>
      </c>
      <c r="C3057" s="17">
        <v>34</v>
      </c>
      <c r="D3057" s="17" t="s">
        <v>91</v>
      </c>
      <c r="E3057" s="14">
        <v>578372.48</v>
      </c>
      <c r="F3057" s="14">
        <v>471683.16000000003</v>
      </c>
      <c r="G3057" s="14">
        <v>471683.16000000003</v>
      </c>
      <c r="H3057" s="22">
        <f>F3057*(1+Assumptions!$B$6+IF(D3057="Yes",Assumptions!$C$6,0))</f>
        <v>485833.65480000002</v>
      </c>
      <c r="I3057" s="22">
        <f>F3057*(1+Assumptions!$B$7+IF(D3057="Yes",Assumptions!$C$7,0))</f>
        <v>495267.31800000003</v>
      </c>
      <c r="J3057" s="22">
        <f>F3057*(1+Assumptions!$B$8+IF(D3057="Yes",Assumptions!$C$8,0))</f>
        <v>476399.99160000001</v>
      </c>
    </row>
    <row r="3058" spans="1:10" ht="15">
      <c r="A3058" s="21">
        <v>41194</v>
      </c>
      <c r="B3058" s="21">
        <v>41183</v>
      </c>
      <c r="C3058" s="17">
        <v>35</v>
      </c>
      <c r="D3058" s="17" t="s">
        <v>91</v>
      </c>
      <c r="E3058" s="14">
        <v>97246.43</v>
      </c>
      <c r="F3058" s="14">
        <v>93758.35</v>
      </c>
      <c r="G3058" s="14">
        <v>93758.35</v>
      </c>
      <c r="H3058" s="22">
        <f>F3058*(1+Assumptions!$B$6+IF(D3058="Yes",Assumptions!$C$6,0))</f>
        <v>96571.100500000015</v>
      </c>
      <c r="I3058" s="22">
        <f>F3058*(1+Assumptions!$B$7+IF(D3058="Yes",Assumptions!$C$7,0))</f>
        <v>98446.267500000016</v>
      </c>
      <c r="J3058" s="22">
        <f>F3058*(1+Assumptions!$B$8+IF(D3058="Yes",Assumptions!$C$8,0))</f>
        <v>94695.933500000014</v>
      </c>
    </row>
    <row r="3059" spans="1:10" ht="15">
      <c r="A3059" s="21">
        <v>41194</v>
      </c>
      <c r="B3059" s="21">
        <v>41183</v>
      </c>
      <c r="C3059" s="17">
        <v>36</v>
      </c>
      <c r="D3059" s="17" t="s">
        <v>91</v>
      </c>
      <c r="E3059" s="14">
        <v>63095.94</v>
      </c>
      <c r="F3059" s="14">
        <v>54443.68</v>
      </c>
      <c r="G3059" s="14">
        <v>54443.68</v>
      </c>
      <c r="H3059" s="22">
        <f>F3059*(1+Assumptions!$B$6+IF(D3059="Yes",Assumptions!$C$6,0))</f>
        <v>56076.990400000002</v>
      </c>
      <c r="I3059" s="22">
        <f>F3059*(1+Assumptions!$B$7+IF(D3059="Yes",Assumptions!$C$7,0))</f>
        <v>57165.864000000001</v>
      </c>
      <c r="J3059" s="22">
        <f>F3059*(1+Assumptions!$B$8+IF(D3059="Yes",Assumptions!$C$8,0))</f>
        <v>54988.116800000003</v>
      </c>
    </row>
    <row r="3060" spans="1:10" ht="15">
      <c r="A3060" s="21">
        <v>41194</v>
      </c>
      <c r="B3060" s="21">
        <v>41183</v>
      </c>
      <c r="C3060" s="17">
        <v>37</v>
      </c>
      <c r="D3060" s="17" t="s">
        <v>91</v>
      </c>
      <c r="E3060" s="14">
        <v>57846.01</v>
      </c>
      <c r="F3060" s="14">
        <v>56483.51</v>
      </c>
      <c r="G3060" s="14">
        <v>56483.51</v>
      </c>
      <c r="H3060" s="22">
        <f>F3060*(1+Assumptions!$B$6+IF(D3060="Yes",Assumptions!$C$6,0))</f>
        <v>58178.015300000006</v>
      </c>
      <c r="I3060" s="22">
        <f>F3060*(1+Assumptions!$B$7+IF(D3060="Yes",Assumptions!$C$7,0))</f>
        <v>59307.685500000007</v>
      </c>
      <c r="J3060" s="22">
        <f>F3060*(1+Assumptions!$B$8+IF(D3060="Yes",Assumptions!$C$8,0))</f>
        <v>57048.345100000006</v>
      </c>
    </row>
    <row r="3061" spans="1:10" ht="15">
      <c r="A3061" s="21">
        <v>41194</v>
      </c>
      <c r="B3061" s="21">
        <v>41183</v>
      </c>
      <c r="C3061" s="17">
        <v>38</v>
      </c>
      <c r="D3061" s="17" t="s">
        <v>91</v>
      </c>
      <c r="E3061" s="14">
        <v>2639847.88</v>
      </c>
      <c r="F3061" s="14">
        <v>2770818.9899999998</v>
      </c>
      <c r="G3061" s="14">
        <v>2770818.9899999998</v>
      </c>
      <c r="H3061" s="22">
        <f>F3061*(1+Assumptions!$B$6+IF(D3061="Yes",Assumptions!$C$6,0))</f>
        <v>2853943.5596999996</v>
      </c>
      <c r="I3061" s="22">
        <f>F3061*(1+Assumptions!$B$7+IF(D3061="Yes",Assumptions!$C$7,0))</f>
        <v>2909359.9394999999</v>
      </c>
      <c r="J3061" s="22">
        <f>F3061*(1+Assumptions!$B$8+IF(D3061="Yes",Assumptions!$C$8,0))</f>
        <v>2798527.1798999999</v>
      </c>
    </row>
    <row r="3062" spans="1:10" ht="15">
      <c r="A3062" s="21">
        <v>41194</v>
      </c>
      <c r="B3062" s="21">
        <v>41183</v>
      </c>
      <c r="C3062" s="17">
        <v>40</v>
      </c>
      <c r="D3062" s="17" t="s">
        <v>91</v>
      </c>
      <c r="E3062" s="14">
        <v>2041674.76</v>
      </c>
      <c r="F3062" s="14">
        <v>1929663.1400000001</v>
      </c>
      <c r="G3062" s="14">
        <v>1929663.1400000001</v>
      </c>
      <c r="H3062" s="22">
        <f>F3062*(1+Assumptions!$B$6+IF(D3062="Yes",Assumptions!$C$6,0))</f>
        <v>1987553.0342000001</v>
      </c>
      <c r="I3062" s="22">
        <f>F3062*(1+Assumptions!$B$7+IF(D3062="Yes",Assumptions!$C$7,0))</f>
        <v>2026146.2970000003</v>
      </c>
      <c r="J3062" s="22">
        <f>F3062*(1+Assumptions!$B$8+IF(D3062="Yes",Assumptions!$C$8,0))</f>
        <v>1948959.7714000002</v>
      </c>
    </row>
    <row r="3063" spans="1:10" ht="15">
      <c r="A3063" s="21">
        <v>41194</v>
      </c>
      <c r="B3063" s="21">
        <v>41183</v>
      </c>
      <c r="C3063" s="17">
        <v>41</v>
      </c>
      <c r="D3063" s="17" t="s">
        <v>91</v>
      </c>
      <c r="E3063" s="14">
        <v>97052.040000000008</v>
      </c>
      <c r="F3063" s="14">
        <v>109325.46</v>
      </c>
      <c r="G3063" s="14">
        <v>109325.46</v>
      </c>
      <c r="H3063" s="22">
        <f>F3063*(1+Assumptions!$B$6+IF(D3063="Yes",Assumptions!$C$6,0))</f>
        <v>112605.22380000001</v>
      </c>
      <c r="I3063" s="22">
        <f>F3063*(1+Assumptions!$B$7+IF(D3063="Yes",Assumptions!$C$7,0))</f>
        <v>114791.73300000001</v>
      </c>
      <c r="J3063" s="22">
        <f>F3063*(1+Assumptions!$B$8+IF(D3063="Yes",Assumptions!$C$8,0))</f>
        <v>110418.71460000001</v>
      </c>
    </row>
    <row r="3064" spans="1:10" ht="15">
      <c r="A3064" s="21">
        <v>41194</v>
      </c>
      <c r="B3064" s="21">
        <v>41183</v>
      </c>
      <c r="C3064" s="17">
        <v>42</v>
      </c>
      <c r="D3064" s="17" t="s">
        <v>91</v>
      </c>
      <c r="E3064" s="14">
        <v>241416.51</v>
      </c>
      <c r="F3064" s="14">
        <v>243239.82</v>
      </c>
      <c r="G3064" s="14">
        <v>243239.82</v>
      </c>
      <c r="H3064" s="22">
        <f>F3064*(1+Assumptions!$B$6+IF(D3064="Yes",Assumptions!$C$6,0))</f>
        <v>250537.01460000002</v>
      </c>
      <c r="I3064" s="22">
        <f>F3064*(1+Assumptions!$B$7+IF(D3064="Yes",Assumptions!$C$7,0))</f>
        <v>255401.81100000002</v>
      </c>
      <c r="J3064" s="22">
        <f>F3064*(1+Assumptions!$B$8+IF(D3064="Yes",Assumptions!$C$8,0))</f>
        <v>245672.2182</v>
      </c>
    </row>
    <row r="3065" spans="1:10" ht="15">
      <c r="A3065" s="21">
        <v>41194</v>
      </c>
      <c r="B3065" s="21">
        <v>41183</v>
      </c>
      <c r="C3065" s="17">
        <v>44</v>
      </c>
      <c r="D3065" s="17" t="s">
        <v>91</v>
      </c>
      <c r="E3065" s="14">
        <v>197970.17</v>
      </c>
      <c r="F3065" s="14">
        <v>196179</v>
      </c>
      <c r="G3065" s="14">
        <v>196179</v>
      </c>
      <c r="H3065" s="22">
        <f>F3065*(1+Assumptions!$B$6+IF(D3065="Yes",Assumptions!$C$6,0))</f>
        <v>202064.37</v>
      </c>
      <c r="I3065" s="22">
        <f>F3065*(1+Assumptions!$B$7+IF(D3065="Yes",Assumptions!$C$7,0))</f>
        <v>205987.95</v>
      </c>
      <c r="J3065" s="22">
        <f>F3065*(1+Assumptions!$B$8+IF(D3065="Yes",Assumptions!$C$8,0))</f>
        <v>198140.79</v>
      </c>
    </row>
    <row r="3066" spans="1:10" ht="15">
      <c r="A3066" s="21">
        <v>41194</v>
      </c>
      <c r="B3066" s="21">
        <v>41183</v>
      </c>
      <c r="C3066" s="17">
        <v>45</v>
      </c>
      <c r="D3066" s="17" t="s">
        <v>91</v>
      </c>
      <c r="E3066" s="14">
        <v>117.99000000000001</v>
      </c>
      <c r="F3066" s="14">
        <v>79.44</v>
      </c>
      <c r="G3066" s="14">
        <v>79.44</v>
      </c>
      <c r="H3066" s="22">
        <f>F3066*(1+Assumptions!$B$6+IF(D3066="Yes",Assumptions!$C$6,0))</f>
        <v>81.8232</v>
      </c>
      <c r="I3066" s="22">
        <f>F3066*(1+Assumptions!$B$7+IF(D3066="Yes",Assumptions!$C$7,0))</f>
        <v>83.412000000000006</v>
      </c>
      <c r="J3066" s="22">
        <f>F3066*(1+Assumptions!$B$8+IF(D3066="Yes",Assumptions!$C$8,0))</f>
        <v>80.234399999999994</v>
      </c>
    </row>
    <row r="3067" spans="1:10" ht="15">
      <c r="A3067" s="21">
        <v>41194</v>
      </c>
      <c r="B3067" s="21">
        <v>41183</v>
      </c>
      <c r="C3067" s="17">
        <v>46</v>
      </c>
      <c r="D3067" s="17" t="s">
        <v>91</v>
      </c>
      <c r="E3067" s="14">
        <v>782297.55</v>
      </c>
      <c r="F3067" s="14">
        <v>784747.12</v>
      </c>
      <c r="G3067" s="14">
        <v>784747.12</v>
      </c>
      <c r="H3067" s="22">
        <f>F3067*(1+Assumptions!$B$6+IF(D3067="Yes",Assumptions!$C$6,0))</f>
        <v>808289.53359999997</v>
      </c>
      <c r="I3067" s="22">
        <f>F3067*(1+Assumptions!$B$7+IF(D3067="Yes",Assumptions!$C$7,0))</f>
        <v>823984.47600000002</v>
      </c>
      <c r="J3067" s="22">
        <f>F3067*(1+Assumptions!$B$8+IF(D3067="Yes",Assumptions!$C$8,0))</f>
        <v>792594.59120000002</v>
      </c>
    </row>
    <row r="3068" spans="1:10" ht="15">
      <c r="A3068" s="21">
        <v>41194</v>
      </c>
      <c r="B3068" s="21">
        <v>41183</v>
      </c>
      <c r="C3068" s="17">
        <v>48</v>
      </c>
      <c r="D3068" s="17" t="s">
        <v>91</v>
      </c>
      <c r="E3068" s="14">
        <v>43171</v>
      </c>
      <c r="F3068" s="14">
        <v>19898</v>
      </c>
      <c r="G3068" s="14">
        <v>19898</v>
      </c>
      <c r="H3068" s="22">
        <f>F3068*(1+Assumptions!$B$6+IF(D3068="Yes",Assumptions!$C$6,0))</f>
        <v>20494.940000000002</v>
      </c>
      <c r="I3068" s="22">
        <f>F3068*(1+Assumptions!$B$7+IF(D3068="Yes",Assumptions!$C$7,0))</f>
        <v>20892.900000000001</v>
      </c>
      <c r="J3068" s="22">
        <f>F3068*(1+Assumptions!$B$8+IF(D3068="Yes",Assumptions!$C$8,0))</f>
        <v>20096.98</v>
      </c>
    </row>
    <row r="3069" spans="1:10" ht="15">
      <c r="A3069" s="21">
        <v>41194</v>
      </c>
      <c r="B3069" s="21">
        <v>41183</v>
      </c>
      <c r="C3069" s="17">
        <v>49</v>
      </c>
      <c r="D3069" s="17" t="s">
        <v>91</v>
      </c>
      <c r="E3069" s="14">
        <v>269640.66000000003</v>
      </c>
      <c r="F3069" s="14">
        <v>221911.44</v>
      </c>
      <c r="G3069" s="14">
        <v>221911.44</v>
      </c>
      <c r="H3069" s="22">
        <f>F3069*(1+Assumptions!$B$6+IF(D3069="Yes",Assumptions!$C$6,0))</f>
        <v>228568.78320000001</v>
      </c>
      <c r="I3069" s="22">
        <f>F3069*(1+Assumptions!$B$7+IF(D3069="Yes",Assumptions!$C$7,0))</f>
        <v>233007.01200000002</v>
      </c>
      <c r="J3069" s="22">
        <f>F3069*(1+Assumptions!$B$8+IF(D3069="Yes",Assumptions!$C$8,0))</f>
        <v>224130.55439999999</v>
      </c>
    </row>
    <row r="3070" spans="1:10" ht="15">
      <c r="A3070" s="21">
        <v>41194</v>
      </c>
      <c r="B3070" s="21">
        <v>41183</v>
      </c>
      <c r="C3070" s="17">
        <v>50</v>
      </c>
      <c r="D3070" s="17" t="s">
        <v>91</v>
      </c>
      <c r="E3070" s="14">
        <v>31222</v>
      </c>
      <c r="F3070" s="14">
        <v>23849.45</v>
      </c>
      <c r="G3070" s="14">
        <v>23849.45</v>
      </c>
      <c r="H3070" s="22">
        <f>F3070*(1+Assumptions!$B$6+IF(D3070="Yes",Assumptions!$C$6,0))</f>
        <v>24564.933500000003</v>
      </c>
      <c r="I3070" s="22">
        <f>F3070*(1+Assumptions!$B$7+IF(D3070="Yes",Assumptions!$C$7,0))</f>
        <v>25041.922500000001</v>
      </c>
      <c r="J3070" s="22">
        <f>F3070*(1+Assumptions!$B$8+IF(D3070="Yes",Assumptions!$C$8,0))</f>
        <v>24087.944500000001</v>
      </c>
    </row>
    <row r="3071" spans="1:10" ht="15">
      <c r="A3071" s="21">
        <v>41194</v>
      </c>
      <c r="B3071" s="21">
        <v>41183</v>
      </c>
      <c r="C3071" s="17">
        <v>52</v>
      </c>
      <c r="D3071" s="17" t="s">
        <v>91</v>
      </c>
      <c r="E3071" s="14">
        <v>75603.649999999994</v>
      </c>
      <c r="F3071" s="14">
        <v>98936.68</v>
      </c>
      <c r="G3071" s="14">
        <v>98936.68</v>
      </c>
      <c r="H3071" s="22">
        <f>F3071*(1+Assumptions!$B$6+IF(D3071="Yes",Assumptions!$C$6,0))</f>
        <v>101904.78039999999</v>
      </c>
      <c r="I3071" s="22">
        <f>F3071*(1+Assumptions!$B$7+IF(D3071="Yes",Assumptions!$C$7,0))</f>
        <v>103883.514</v>
      </c>
      <c r="J3071" s="22">
        <f>F3071*(1+Assumptions!$B$8+IF(D3071="Yes",Assumptions!$C$8,0))</f>
        <v>99926.046799999996</v>
      </c>
    </row>
    <row r="3072" spans="1:10" ht="15">
      <c r="A3072" s="21">
        <v>41194</v>
      </c>
      <c r="B3072" s="21">
        <v>41183</v>
      </c>
      <c r="C3072" s="17">
        <v>54</v>
      </c>
      <c r="D3072" s="17" t="s">
        <v>91</v>
      </c>
      <c r="E3072" s="14">
        <v>738.7</v>
      </c>
      <c r="F3072" s="14">
        <v>1620.4</v>
      </c>
      <c r="G3072" s="14">
        <v>1620.4</v>
      </c>
      <c r="H3072" s="22">
        <f>F3072*(1+Assumptions!$B$6+IF(D3072="Yes",Assumptions!$C$6,0))</f>
        <v>1669.0120000000002</v>
      </c>
      <c r="I3072" s="22">
        <f>F3072*(1+Assumptions!$B$7+IF(D3072="Yes",Assumptions!$C$7,0))</f>
        <v>1701.42</v>
      </c>
      <c r="J3072" s="22">
        <f>F3072*(1+Assumptions!$B$8+IF(D3072="Yes",Assumptions!$C$8,0))</f>
        <v>1636.604</v>
      </c>
    </row>
    <row r="3073" spans="1:10" ht="15">
      <c r="A3073" s="21">
        <v>41194</v>
      </c>
      <c r="B3073" s="21">
        <v>41183</v>
      </c>
      <c r="C3073" s="17">
        <v>55</v>
      </c>
      <c r="D3073" s="17" t="s">
        <v>91</v>
      </c>
      <c r="E3073" s="14">
        <v>299675.03999999998</v>
      </c>
      <c r="F3073" s="14">
        <v>294179.02999999997</v>
      </c>
      <c r="G3073" s="14">
        <v>294179.02999999997</v>
      </c>
      <c r="H3073" s="22">
        <f>F3073*(1+Assumptions!$B$6+IF(D3073="Yes",Assumptions!$C$6,0))</f>
        <v>303004.40089999995</v>
      </c>
      <c r="I3073" s="22">
        <f>F3073*(1+Assumptions!$B$7+IF(D3073="Yes",Assumptions!$C$7,0))</f>
        <v>308887.98149999999</v>
      </c>
      <c r="J3073" s="22">
        <f>F3073*(1+Assumptions!$B$8+IF(D3073="Yes",Assumptions!$C$8,0))</f>
        <v>297120.82029999996</v>
      </c>
    </row>
    <row r="3074" spans="1:10" ht="15">
      <c r="A3074" s="21">
        <v>41194</v>
      </c>
      <c r="B3074" s="21">
        <v>41183</v>
      </c>
      <c r="C3074" s="17">
        <v>56</v>
      </c>
      <c r="D3074" s="17" t="s">
        <v>91</v>
      </c>
      <c r="E3074" s="14">
        <v>58442.879999999997</v>
      </c>
      <c r="F3074" s="14">
        <v>63465.97</v>
      </c>
      <c r="G3074" s="14">
        <v>63465.97</v>
      </c>
      <c r="H3074" s="22">
        <f>F3074*(1+Assumptions!$B$6+IF(D3074="Yes",Assumptions!$C$6,0))</f>
        <v>65369.949100000005</v>
      </c>
      <c r="I3074" s="22">
        <f>F3074*(1+Assumptions!$B$7+IF(D3074="Yes",Assumptions!$C$7,0))</f>
        <v>66639.268500000006</v>
      </c>
      <c r="J3074" s="22">
        <f>F3074*(1+Assumptions!$B$8+IF(D3074="Yes",Assumptions!$C$8,0))</f>
        <v>64100.629700000005</v>
      </c>
    </row>
    <row r="3075" spans="1:10" ht="15">
      <c r="A3075" s="21">
        <v>41194</v>
      </c>
      <c r="B3075" s="21">
        <v>41183</v>
      </c>
      <c r="C3075" s="17">
        <v>58</v>
      </c>
      <c r="D3075" s="17" t="s">
        <v>91</v>
      </c>
      <c r="E3075" s="14">
        <v>155609</v>
      </c>
      <c r="F3075" s="14">
        <v>79089.97</v>
      </c>
      <c r="G3075" s="14">
        <v>79089.97</v>
      </c>
      <c r="H3075" s="22">
        <f>F3075*(1+Assumptions!$B$6+IF(D3075="Yes",Assumptions!$C$6,0))</f>
        <v>81462.669099999999</v>
      </c>
      <c r="I3075" s="22">
        <f>F3075*(1+Assumptions!$B$7+IF(D3075="Yes",Assumptions!$C$7,0))</f>
        <v>83044.468500000003</v>
      </c>
      <c r="J3075" s="22">
        <f>F3075*(1+Assumptions!$B$8+IF(D3075="Yes",Assumptions!$C$8,0))</f>
        <v>79880.869699999996</v>
      </c>
    </row>
    <row r="3076" spans="1:10" ht="15">
      <c r="A3076" s="21">
        <v>41194</v>
      </c>
      <c r="B3076" s="21">
        <v>41183</v>
      </c>
      <c r="C3076" s="17">
        <v>59</v>
      </c>
      <c r="D3076" s="17" t="s">
        <v>91</v>
      </c>
      <c r="E3076" s="14">
        <v>7975.24</v>
      </c>
      <c r="F3076" s="14">
        <v>10065.799999999999</v>
      </c>
      <c r="G3076" s="14">
        <v>10065.799999999999</v>
      </c>
      <c r="H3076" s="22">
        <f>F3076*(1+Assumptions!$B$6+IF(D3076="Yes",Assumptions!$C$6,0))</f>
        <v>10367.773999999999</v>
      </c>
      <c r="I3076" s="22">
        <f>F3076*(1+Assumptions!$B$7+IF(D3076="Yes",Assumptions!$C$7,0))</f>
        <v>10569.09</v>
      </c>
      <c r="J3076" s="22">
        <f>F3076*(1+Assumptions!$B$8+IF(D3076="Yes",Assumptions!$C$8,0))</f>
        <v>10166.457999999999</v>
      </c>
    </row>
    <row r="3077" spans="1:10" ht="15">
      <c r="A3077" s="21">
        <v>41194</v>
      </c>
      <c r="B3077" s="21">
        <v>41183</v>
      </c>
      <c r="C3077" s="17">
        <v>60</v>
      </c>
      <c r="D3077" s="17" t="s">
        <v>91</v>
      </c>
      <c r="E3077" s="14">
        <v>13986</v>
      </c>
      <c r="F3077" s="14">
        <v>13099.52</v>
      </c>
      <c r="G3077" s="14">
        <v>13099.52</v>
      </c>
      <c r="H3077" s="22">
        <f>F3077*(1+Assumptions!$B$6+IF(D3077="Yes",Assumptions!$C$6,0))</f>
        <v>13492.5056</v>
      </c>
      <c r="I3077" s="22">
        <f>F3077*(1+Assumptions!$B$7+IF(D3077="Yes",Assumptions!$C$7,0))</f>
        <v>13754.496000000001</v>
      </c>
      <c r="J3077" s="22">
        <f>F3077*(1+Assumptions!$B$8+IF(D3077="Yes",Assumptions!$C$8,0))</f>
        <v>13230.5152</v>
      </c>
    </row>
    <row r="3078" spans="1:10" ht="15">
      <c r="A3078" s="21">
        <v>41194</v>
      </c>
      <c r="B3078" s="21">
        <v>41183</v>
      </c>
      <c r="C3078" s="17">
        <v>65</v>
      </c>
      <c r="D3078" s="17" t="s">
        <v>91</v>
      </c>
      <c r="E3078" s="14">
        <v>45354.87</v>
      </c>
      <c r="F3078" s="14">
        <v>34237.019999999997</v>
      </c>
      <c r="G3078" s="14">
        <v>34237.019999999997</v>
      </c>
      <c r="H3078" s="22">
        <f>F3078*(1+Assumptions!$B$6+IF(D3078="Yes",Assumptions!$C$6,0))</f>
        <v>35264.130599999997</v>
      </c>
      <c r="I3078" s="22">
        <f>F3078*(1+Assumptions!$B$7+IF(D3078="Yes",Assumptions!$C$7,0))</f>
        <v>35948.870999999999</v>
      </c>
      <c r="J3078" s="22">
        <f>F3078*(1+Assumptions!$B$8+IF(D3078="Yes",Assumptions!$C$8,0))</f>
        <v>34579.390199999994</v>
      </c>
    </row>
    <row r="3079" spans="1:10" ht="15">
      <c r="A3079" s="21">
        <v>41194</v>
      </c>
      <c r="B3079" s="21">
        <v>41183</v>
      </c>
      <c r="C3079" s="17">
        <v>67</v>
      </c>
      <c r="D3079" s="17" t="s">
        <v>91</v>
      </c>
      <c r="E3079" s="14">
        <v>295557.84999999998</v>
      </c>
      <c r="F3079" s="14">
        <v>282758.96000000002</v>
      </c>
      <c r="G3079" s="14">
        <v>282758.96000000002</v>
      </c>
      <c r="H3079" s="22">
        <f>F3079*(1+Assumptions!$B$6+IF(D3079="Yes",Assumptions!$C$6,0))</f>
        <v>291241.72880000004</v>
      </c>
      <c r="I3079" s="22">
        <f>F3079*(1+Assumptions!$B$7+IF(D3079="Yes",Assumptions!$C$7,0))</f>
        <v>296896.90800000005</v>
      </c>
      <c r="J3079" s="22">
        <f>F3079*(1+Assumptions!$B$8+IF(D3079="Yes",Assumptions!$C$8,0))</f>
        <v>285586.54960000003</v>
      </c>
    </row>
    <row r="3080" spans="1:10" ht="15">
      <c r="A3080" s="21">
        <v>41194</v>
      </c>
      <c r="B3080" s="21">
        <v>41183</v>
      </c>
      <c r="C3080" s="17">
        <v>71</v>
      </c>
      <c r="D3080" s="17" t="s">
        <v>91</v>
      </c>
      <c r="E3080" s="14">
        <v>173813.77</v>
      </c>
      <c r="F3080" s="14">
        <v>184508.1</v>
      </c>
      <c r="G3080" s="14">
        <v>184508.1</v>
      </c>
      <c r="H3080" s="22">
        <f>F3080*(1+Assumptions!$B$6+IF(D3080="Yes",Assumptions!$C$6,0))</f>
        <v>190043.34300000002</v>
      </c>
      <c r="I3080" s="22">
        <f>F3080*(1+Assumptions!$B$7+IF(D3080="Yes",Assumptions!$C$7,0))</f>
        <v>193733.505</v>
      </c>
      <c r="J3080" s="22">
        <f>F3080*(1+Assumptions!$B$8+IF(D3080="Yes",Assumptions!$C$8,0))</f>
        <v>186353.18100000001</v>
      </c>
    </row>
    <row r="3081" spans="1:10" ht="15">
      <c r="A3081" s="21">
        <v>41194</v>
      </c>
      <c r="B3081" s="21">
        <v>41183</v>
      </c>
      <c r="C3081" s="17">
        <v>72</v>
      </c>
      <c r="D3081" s="17" t="s">
        <v>91</v>
      </c>
      <c r="E3081" s="14">
        <v>1880622.73</v>
      </c>
      <c r="F3081" s="14">
        <v>1762726.36</v>
      </c>
      <c r="G3081" s="14">
        <v>1762726.36</v>
      </c>
      <c r="H3081" s="22">
        <f>F3081*(1+Assumptions!$B$6+IF(D3081="Yes",Assumptions!$C$6,0))</f>
        <v>1815608.1508000002</v>
      </c>
      <c r="I3081" s="22">
        <f>F3081*(1+Assumptions!$B$7+IF(D3081="Yes",Assumptions!$C$7,0))</f>
        <v>1850862.6780000001</v>
      </c>
      <c r="J3081" s="22">
        <f>F3081*(1+Assumptions!$B$8+IF(D3081="Yes",Assumptions!$C$8,0))</f>
        <v>1780353.6236</v>
      </c>
    </row>
    <row r="3082" spans="1:10" ht="15">
      <c r="A3082" s="21">
        <v>41194</v>
      </c>
      <c r="B3082" s="21">
        <v>41183</v>
      </c>
      <c r="C3082" s="17">
        <v>74</v>
      </c>
      <c r="D3082" s="17" t="s">
        <v>91</v>
      </c>
      <c r="E3082" s="14">
        <v>573152.31999999995</v>
      </c>
      <c r="F3082" s="14">
        <v>573465.44999999995</v>
      </c>
      <c r="G3082" s="14">
        <v>573465.44999999995</v>
      </c>
      <c r="H3082" s="22">
        <f>F3082*(1+Assumptions!$B$6+IF(D3082="Yes",Assumptions!$C$6,0))</f>
        <v>590669.41350000002</v>
      </c>
      <c r="I3082" s="22">
        <f>F3082*(1+Assumptions!$B$7+IF(D3082="Yes",Assumptions!$C$7,0))</f>
        <v>602138.72250000003</v>
      </c>
      <c r="J3082" s="22">
        <f>F3082*(1+Assumptions!$B$8+IF(D3082="Yes",Assumptions!$C$8,0))</f>
        <v>579200.10450000002</v>
      </c>
    </row>
    <row r="3083" spans="1:10" ht="15">
      <c r="A3083" s="21">
        <v>41194</v>
      </c>
      <c r="B3083" s="21">
        <v>41183</v>
      </c>
      <c r="C3083" s="17">
        <v>79</v>
      </c>
      <c r="D3083" s="17" t="s">
        <v>91</v>
      </c>
      <c r="E3083" s="14">
        <v>939007.11</v>
      </c>
      <c r="F3083" s="14">
        <v>911698.78</v>
      </c>
      <c r="G3083" s="14">
        <v>911698.78</v>
      </c>
      <c r="H3083" s="22">
        <f>F3083*(1+Assumptions!$B$6+IF(D3083="Yes",Assumptions!$C$6,0))</f>
        <v>939049.74340000004</v>
      </c>
      <c r="I3083" s="22">
        <f>F3083*(1+Assumptions!$B$7+IF(D3083="Yes",Assumptions!$C$7,0))</f>
        <v>957283.71900000004</v>
      </c>
      <c r="J3083" s="22">
        <f>F3083*(1+Assumptions!$B$8+IF(D3083="Yes",Assumptions!$C$8,0))</f>
        <v>920815.76780000003</v>
      </c>
    </row>
    <row r="3084" spans="1:10" ht="15">
      <c r="A3084" s="21">
        <v>41194</v>
      </c>
      <c r="B3084" s="21">
        <v>41183</v>
      </c>
      <c r="C3084" s="17">
        <v>80</v>
      </c>
      <c r="D3084" s="17" t="s">
        <v>91</v>
      </c>
      <c r="E3084" s="14">
        <v>500927.62</v>
      </c>
      <c r="F3084" s="14">
        <v>518048.72</v>
      </c>
      <c r="G3084" s="14">
        <v>518048.72</v>
      </c>
      <c r="H3084" s="22">
        <f>F3084*(1+Assumptions!$B$6+IF(D3084="Yes",Assumptions!$C$6,0))</f>
        <v>533590.18160000001</v>
      </c>
      <c r="I3084" s="22">
        <f>F3084*(1+Assumptions!$B$7+IF(D3084="Yes",Assumptions!$C$7,0))</f>
        <v>543951.15599999996</v>
      </c>
      <c r="J3084" s="22">
        <f>F3084*(1+Assumptions!$B$8+IF(D3084="Yes",Assumptions!$C$8,0))</f>
        <v>523229.2072</v>
      </c>
    </row>
    <row r="3085" spans="1:10" ht="15">
      <c r="A3085" s="21">
        <v>41194</v>
      </c>
      <c r="B3085" s="21">
        <v>41183</v>
      </c>
      <c r="C3085" s="17">
        <v>81</v>
      </c>
      <c r="D3085" s="17" t="s">
        <v>91</v>
      </c>
      <c r="E3085" s="14">
        <v>700112.93</v>
      </c>
      <c r="F3085" s="14">
        <v>692022.51</v>
      </c>
      <c r="G3085" s="14">
        <v>692022.51</v>
      </c>
      <c r="H3085" s="22">
        <f>F3085*(1+Assumptions!$B$6+IF(D3085="Yes",Assumptions!$C$6,0))</f>
        <v>712783.18530000001</v>
      </c>
      <c r="I3085" s="22">
        <f>F3085*(1+Assumptions!$B$7+IF(D3085="Yes",Assumptions!$C$7,0))</f>
        <v>726623.63550000009</v>
      </c>
      <c r="J3085" s="22">
        <f>F3085*(1+Assumptions!$B$8+IF(D3085="Yes",Assumptions!$C$8,0))</f>
        <v>698942.73510000005</v>
      </c>
    </row>
    <row r="3086" spans="1:10" ht="15">
      <c r="A3086" s="21">
        <v>41194</v>
      </c>
      <c r="B3086" s="21">
        <v>41183</v>
      </c>
      <c r="C3086" s="17">
        <v>82</v>
      </c>
      <c r="D3086" s="17" t="s">
        <v>91</v>
      </c>
      <c r="E3086" s="14">
        <v>682048.17</v>
      </c>
      <c r="F3086" s="14">
        <v>645157.63</v>
      </c>
      <c r="G3086" s="14">
        <v>645157.63</v>
      </c>
      <c r="H3086" s="22">
        <f>F3086*(1+Assumptions!$B$6+IF(D3086="Yes",Assumptions!$C$6,0))</f>
        <v>664512.35889999999</v>
      </c>
      <c r="I3086" s="22">
        <f>F3086*(1+Assumptions!$B$7+IF(D3086="Yes",Assumptions!$C$7,0))</f>
        <v>677415.51150000002</v>
      </c>
      <c r="J3086" s="22">
        <f>F3086*(1+Assumptions!$B$8+IF(D3086="Yes",Assumptions!$C$8,0))</f>
        <v>651609.20629999996</v>
      </c>
    </row>
    <row r="3087" spans="1:10" ht="15">
      <c r="A3087" s="21">
        <v>41194</v>
      </c>
      <c r="B3087" s="21">
        <v>41183</v>
      </c>
      <c r="C3087" s="17">
        <v>83</v>
      </c>
      <c r="D3087" s="17" t="s">
        <v>91</v>
      </c>
      <c r="E3087" s="14">
        <v>138592.28</v>
      </c>
      <c r="F3087" s="14">
        <v>125961.55</v>
      </c>
      <c r="G3087" s="14">
        <v>125961.55</v>
      </c>
      <c r="H3087" s="22">
        <f>F3087*(1+Assumptions!$B$6+IF(D3087="Yes",Assumptions!$C$6,0))</f>
        <v>129740.3965</v>
      </c>
      <c r="I3087" s="22">
        <f>F3087*(1+Assumptions!$B$7+IF(D3087="Yes",Assumptions!$C$7,0))</f>
        <v>132259.6275</v>
      </c>
      <c r="J3087" s="22">
        <f>F3087*(1+Assumptions!$B$8+IF(D3087="Yes",Assumptions!$C$8,0))</f>
        <v>127221.1655</v>
      </c>
    </row>
    <row r="3088" spans="1:10" ht="15">
      <c r="A3088" s="21">
        <v>41194</v>
      </c>
      <c r="B3088" s="21">
        <v>41183</v>
      </c>
      <c r="C3088" s="17">
        <v>85</v>
      </c>
      <c r="D3088" s="17" t="s">
        <v>91</v>
      </c>
      <c r="E3088" s="14">
        <v>73974.559999999998</v>
      </c>
      <c r="F3088" s="14">
        <v>83915.17</v>
      </c>
      <c r="G3088" s="14">
        <v>83915.17</v>
      </c>
      <c r="H3088" s="22">
        <f>F3088*(1+Assumptions!$B$6+IF(D3088="Yes",Assumptions!$C$6,0))</f>
        <v>86432.625100000005</v>
      </c>
      <c r="I3088" s="22">
        <f>F3088*(1+Assumptions!$B$7+IF(D3088="Yes",Assumptions!$C$7,0))</f>
        <v>88110.928500000009</v>
      </c>
      <c r="J3088" s="22">
        <f>F3088*(1+Assumptions!$B$8+IF(D3088="Yes",Assumptions!$C$8,0))</f>
        <v>84754.3217</v>
      </c>
    </row>
    <row r="3089" spans="1:10" ht="15">
      <c r="A3089" s="21">
        <v>41194</v>
      </c>
      <c r="B3089" s="21">
        <v>41183</v>
      </c>
      <c r="C3089" s="17">
        <v>87</v>
      </c>
      <c r="D3089" s="17" t="s">
        <v>91</v>
      </c>
      <c r="E3089" s="14">
        <v>684199.05</v>
      </c>
      <c r="F3089" s="14">
        <v>591627.82999999996</v>
      </c>
      <c r="G3089" s="14">
        <v>591627.82999999996</v>
      </c>
      <c r="H3089" s="22">
        <f>F3089*(1+Assumptions!$B$6+IF(D3089="Yes",Assumptions!$C$6,0))</f>
        <v>609376.66489999997</v>
      </c>
      <c r="I3089" s="22">
        <f>F3089*(1+Assumptions!$B$7+IF(D3089="Yes",Assumptions!$C$7,0))</f>
        <v>621209.22149999999</v>
      </c>
      <c r="J3089" s="22">
        <f>F3089*(1+Assumptions!$B$8+IF(D3089="Yes",Assumptions!$C$8,0))</f>
        <v>597544.10829999996</v>
      </c>
    </row>
    <row r="3090" spans="1:10" ht="15">
      <c r="A3090" s="21">
        <v>41194</v>
      </c>
      <c r="B3090" s="21">
        <v>41183</v>
      </c>
      <c r="C3090" s="17">
        <v>90</v>
      </c>
      <c r="D3090" s="17" t="s">
        <v>91</v>
      </c>
      <c r="E3090" s="14">
        <v>2190112.4</v>
      </c>
      <c r="F3090" s="14">
        <v>2145160.86</v>
      </c>
      <c r="G3090" s="14">
        <v>2145160.86</v>
      </c>
      <c r="H3090" s="22">
        <f>F3090*(1+Assumptions!$B$6+IF(D3090="Yes",Assumptions!$C$6,0))</f>
        <v>2209515.6858000001</v>
      </c>
      <c r="I3090" s="22">
        <f>F3090*(1+Assumptions!$B$7+IF(D3090="Yes",Assumptions!$C$7,0))</f>
        <v>2252418.9029999999</v>
      </c>
      <c r="J3090" s="22">
        <f>F3090*(1+Assumptions!$B$8+IF(D3090="Yes",Assumptions!$C$8,0))</f>
        <v>2166612.4685999998</v>
      </c>
    </row>
    <row r="3091" spans="1:10" ht="15">
      <c r="A3091" s="21">
        <v>41194</v>
      </c>
      <c r="B3091" s="21">
        <v>41183</v>
      </c>
      <c r="C3091" s="17">
        <v>91</v>
      </c>
      <c r="D3091" s="17" t="s">
        <v>91</v>
      </c>
      <c r="E3091" s="14">
        <v>1572914.21</v>
      </c>
      <c r="F3091" s="14">
        <v>1574910.99</v>
      </c>
      <c r="G3091" s="14">
        <v>1574910.99</v>
      </c>
      <c r="H3091" s="22">
        <f>F3091*(1+Assumptions!$B$6+IF(D3091="Yes",Assumptions!$C$6,0))</f>
        <v>1622158.3197000001</v>
      </c>
      <c r="I3091" s="22">
        <f>F3091*(1+Assumptions!$B$7+IF(D3091="Yes",Assumptions!$C$7,0))</f>
        <v>1653656.5395</v>
      </c>
      <c r="J3091" s="22">
        <f>F3091*(1+Assumptions!$B$8+IF(D3091="Yes",Assumptions!$C$8,0))</f>
        <v>1590660.0999</v>
      </c>
    </row>
    <row r="3092" spans="1:10" ht="15">
      <c r="A3092" s="21">
        <v>41194</v>
      </c>
      <c r="B3092" s="21">
        <v>41183</v>
      </c>
      <c r="C3092" s="17">
        <v>92</v>
      </c>
      <c r="D3092" s="17" t="s">
        <v>91</v>
      </c>
      <c r="E3092" s="14">
        <v>3798269.98</v>
      </c>
      <c r="F3092" s="14">
        <v>3554574.41</v>
      </c>
      <c r="G3092" s="14">
        <v>3554574.41</v>
      </c>
      <c r="H3092" s="22">
        <f>F3092*(1+Assumptions!$B$6+IF(D3092="Yes",Assumptions!$C$6,0))</f>
        <v>3661211.6423000004</v>
      </c>
      <c r="I3092" s="22">
        <f>F3092*(1+Assumptions!$B$7+IF(D3092="Yes",Assumptions!$C$7,0))</f>
        <v>3732303.1305000004</v>
      </c>
      <c r="J3092" s="22">
        <f>F3092*(1+Assumptions!$B$8+IF(D3092="Yes",Assumptions!$C$8,0))</f>
        <v>3590120.1541000004</v>
      </c>
    </row>
    <row r="3093" spans="1:10" ht="15">
      <c r="A3093" s="21">
        <v>41194</v>
      </c>
      <c r="B3093" s="21">
        <v>41183</v>
      </c>
      <c r="C3093" s="17">
        <v>93</v>
      </c>
      <c r="D3093" s="17" t="s">
        <v>91</v>
      </c>
      <c r="E3093" s="14">
        <v>1210898.8899999999</v>
      </c>
      <c r="F3093" s="14">
        <v>1122144.1200000001</v>
      </c>
      <c r="G3093" s="14">
        <v>1122144.1200000001</v>
      </c>
      <c r="H3093" s="22">
        <f>F3093*(1+Assumptions!$B$6+IF(D3093="Yes",Assumptions!$C$6,0))</f>
        <v>1155808.4436000001</v>
      </c>
      <c r="I3093" s="22">
        <f>F3093*(1+Assumptions!$B$7+IF(D3093="Yes",Assumptions!$C$7,0))</f>
        <v>1178251.3260000001</v>
      </c>
      <c r="J3093" s="22">
        <f>F3093*(1+Assumptions!$B$8+IF(D3093="Yes",Assumptions!$C$8,0))</f>
        <v>1133365.5612000001</v>
      </c>
    </row>
    <row r="3094" spans="1:10" ht="15">
      <c r="A3094" s="21">
        <v>41194</v>
      </c>
      <c r="B3094" s="21">
        <v>41183</v>
      </c>
      <c r="C3094" s="17">
        <v>94</v>
      </c>
      <c r="D3094" s="17" t="s">
        <v>91</v>
      </c>
      <c r="E3094" s="14">
        <v>1322967.8899999999</v>
      </c>
      <c r="F3094" s="14">
        <v>1239621.3699999999</v>
      </c>
      <c r="G3094" s="14">
        <v>1239621.3699999999</v>
      </c>
      <c r="H3094" s="22">
        <f>F3094*(1+Assumptions!$B$6+IF(D3094="Yes",Assumptions!$C$6,0))</f>
        <v>1276810.0111</v>
      </c>
      <c r="I3094" s="22">
        <f>F3094*(1+Assumptions!$B$7+IF(D3094="Yes",Assumptions!$C$7,0))</f>
        <v>1301602.4384999999</v>
      </c>
      <c r="J3094" s="22">
        <f>F3094*(1+Assumptions!$B$8+IF(D3094="Yes",Assumptions!$C$8,0))</f>
        <v>1252017.5836999998</v>
      </c>
    </row>
    <row r="3095" spans="1:10" ht="15">
      <c r="A3095" s="21">
        <v>41194</v>
      </c>
      <c r="B3095" s="21">
        <v>41183</v>
      </c>
      <c r="C3095" s="17">
        <v>95</v>
      </c>
      <c r="D3095" s="17" t="s">
        <v>91</v>
      </c>
      <c r="E3095" s="14">
        <v>3078724.62</v>
      </c>
      <c r="F3095" s="14">
        <v>3081140.78</v>
      </c>
      <c r="G3095" s="14">
        <v>3081140.78</v>
      </c>
      <c r="H3095" s="22">
        <f>F3095*(1+Assumptions!$B$6+IF(D3095="Yes",Assumptions!$C$6,0))</f>
        <v>3173575.0033999998</v>
      </c>
      <c r="I3095" s="22">
        <f>F3095*(1+Assumptions!$B$7+IF(D3095="Yes",Assumptions!$C$7,0))</f>
        <v>3235197.8190000001</v>
      </c>
      <c r="J3095" s="22">
        <f>F3095*(1+Assumptions!$B$8+IF(D3095="Yes",Assumptions!$C$8,0))</f>
        <v>3111952.1878</v>
      </c>
    </row>
    <row r="3096" spans="1:10" ht="15">
      <c r="A3096" s="21">
        <v>41194</v>
      </c>
      <c r="B3096" s="21">
        <v>41183</v>
      </c>
      <c r="C3096" s="17">
        <v>96</v>
      </c>
      <c r="D3096" s="17" t="s">
        <v>91</v>
      </c>
      <c r="E3096" s="14">
        <v>522077.81</v>
      </c>
      <c r="F3096" s="14">
        <v>510576.16</v>
      </c>
      <c r="G3096" s="14">
        <v>510576.16</v>
      </c>
      <c r="H3096" s="22">
        <f>F3096*(1+Assumptions!$B$6+IF(D3096="Yes",Assumptions!$C$6,0))</f>
        <v>525893.44479999994</v>
      </c>
      <c r="I3096" s="22">
        <f>F3096*(1+Assumptions!$B$7+IF(D3096="Yes",Assumptions!$C$7,0))</f>
        <v>536104.96799999999</v>
      </c>
      <c r="J3096" s="22">
        <f>F3096*(1+Assumptions!$B$8+IF(D3096="Yes",Assumptions!$C$8,0))</f>
        <v>515681.9216</v>
      </c>
    </row>
    <row r="3097" spans="1:10" ht="15">
      <c r="A3097" s="21">
        <v>41194</v>
      </c>
      <c r="B3097" s="21">
        <v>41183</v>
      </c>
      <c r="C3097" s="17">
        <v>97</v>
      </c>
      <c r="D3097" s="17" t="s">
        <v>91</v>
      </c>
      <c r="E3097" s="14">
        <v>663735.01</v>
      </c>
      <c r="F3097" s="14">
        <v>636218.75</v>
      </c>
      <c r="G3097" s="14">
        <v>636218.75</v>
      </c>
      <c r="H3097" s="22">
        <f>F3097*(1+Assumptions!$B$6+IF(D3097="Yes",Assumptions!$C$6,0))</f>
        <v>655305.3125</v>
      </c>
      <c r="I3097" s="22">
        <f>F3097*(1+Assumptions!$B$7+IF(D3097="Yes",Assumptions!$C$7,0))</f>
        <v>668029.6875</v>
      </c>
      <c r="J3097" s="22">
        <f>F3097*(1+Assumptions!$B$8+IF(D3097="Yes",Assumptions!$C$8,0))</f>
        <v>642580.9375</v>
      </c>
    </row>
    <row r="3098" spans="1:10" ht="15">
      <c r="A3098" s="21">
        <v>41194</v>
      </c>
      <c r="B3098" s="21">
        <v>41183</v>
      </c>
      <c r="C3098" s="17">
        <v>98</v>
      </c>
      <c r="D3098" s="17" t="s">
        <v>91</v>
      </c>
      <c r="E3098" s="14">
        <v>293843.93</v>
      </c>
      <c r="F3098" s="14">
        <v>282380.7</v>
      </c>
      <c r="G3098" s="14">
        <v>282380.7</v>
      </c>
      <c r="H3098" s="22">
        <f>F3098*(1+Assumptions!$B$6+IF(D3098="Yes",Assumptions!$C$6,0))</f>
        <v>290852.12100000004</v>
      </c>
      <c r="I3098" s="22">
        <f>F3098*(1+Assumptions!$B$7+IF(D3098="Yes",Assumptions!$C$7,0))</f>
        <v>296499.73500000004</v>
      </c>
      <c r="J3098" s="22">
        <f>F3098*(1+Assumptions!$B$8+IF(D3098="Yes",Assumptions!$C$8,0))</f>
        <v>285204.50700000004</v>
      </c>
    </row>
    <row r="3099" spans="1:10" ht="15">
      <c r="A3099" s="21">
        <v>41194</v>
      </c>
      <c r="B3099" s="21">
        <v>41183</v>
      </c>
      <c r="C3099" s="17">
        <v>99</v>
      </c>
      <c r="D3099" s="17" t="s">
        <v>91</v>
      </c>
      <c r="E3099" s="14">
        <v>20</v>
      </c>
      <c r="F3099" s="14">
        <v>0.02</v>
      </c>
      <c r="G3099" s="14">
        <v>0.02</v>
      </c>
      <c r="H3099" s="22">
        <f>F3099*(1+Assumptions!$B$6+IF(D3099="Yes",Assumptions!$C$6,0))</f>
        <v>2.06E-2</v>
      </c>
      <c r="I3099" s="22">
        <f>F3099*(1+Assumptions!$B$7+IF(D3099="Yes",Assumptions!$C$7,0))</f>
        <v>2.1000000000000001E-2</v>
      </c>
      <c r="J3099" s="22">
        <f>F3099*(1+Assumptions!$B$8+IF(D3099="Yes",Assumptions!$C$8,0))</f>
        <v>2.0199999999999999E-2</v>
      </c>
    </row>
    <row r="3100" spans="1:10" ht="15">
      <c r="A3100" s="21">
        <v>41201</v>
      </c>
      <c r="B3100" s="21">
        <v>41183</v>
      </c>
      <c r="C3100" s="17">
        <v>1</v>
      </c>
      <c r="D3100" s="17" t="s">
        <v>91</v>
      </c>
      <c r="E3100" s="14">
        <v>1037182.46</v>
      </c>
      <c r="F3100" s="14">
        <v>1072796.5</v>
      </c>
      <c r="G3100" s="14">
        <v>1072796.5</v>
      </c>
      <c r="H3100" s="22">
        <f>F3100*(1+Assumptions!$B$6+IF(D3100="Yes",Assumptions!$C$6,0))</f>
        <v>1104980.395</v>
      </c>
      <c r="I3100" s="22">
        <f>F3100*(1+Assumptions!$B$7+IF(D3100="Yes",Assumptions!$C$7,0))</f>
        <v>1126436.325</v>
      </c>
      <c r="J3100" s="22">
        <f>F3100*(1+Assumptions!$B$8+IF(D3100="Yes",Assumptions!$C$8,0))</f>
        <v>1083524.4650000001</v>
      </c>
    </row>
    <row r="3101" spans="1:10" ht="15">
      <c r="A3101" s="21">
        <v>41201</v>
      </c>
      <c r="B3101" s="21">
        <v>41183</v>
      </c>
      <c r="C3101" s="17">
        <v>2</v>
      </c>
      <c r="D3101" s="17" t="s">
        <v>91</v>
      </c>
      <c r="E3101" s="14">
        <v>1879765.4</v>
      </c>
      <c r="F3101" s="14">
        <v>1885925.96</v>
      </c>
      <c r="G3101" s="14">
        <v>1885925.96</v>
      </c>
      <c r="H3101" s="22">
        <f>F3101*(1+Assumptions!$B$6+IF(D3101="Yes",Assumptions!$C$6,0))</f>
        <v>1942503.7387999999</v>
      </c>
      <c r="I3101" s="22">
        <f>F3101*(1+Assumptions!$B$7+IF(D3101="Yes",Assumptions!$C$7,0))</f>
        <v>1980222.2580000001</v>
      </c>
      <c r="J3101" s="22">
        <f>F3101*(1+Assumptions!$B$8+IF(D3101="Yes",Assumptions!$C$8,0))</f>
        <v>1904785.2196</v>
      </c>
    </row>
    <row r="3102" spans="1:10" ht="15">
      <c r="A3102" s="21">
        <v>41201</v>
      </c>
      <c r="B3102" s="21">
        <v>41183</v>
      </c>
      <c r="C3102" s="17">
        <v>3</v>
      </c>
      <c r="D3102" s="17" t="s">
        <v>91</v>
      </c>
      <c r="E3102" s="14">
        <v>348305.68</v>
      </c>
      <c r="F3102" s="14">
        <v>356250.83</v>
      </c>
      <c r="G3102" s="14">
        <v>356250.83</v>
      </c>
      <c r="H3102" s="22">
        <f>F3102*(1+Assumptions!$B$6+IF(D3102="Yes",Assumptions!$C$6,0))</f>
        <v>366938.35490000003</v>
      </c>
      <c r="I3102" s="22">
        <f>F3102*(1+Assumptions!$B$7+IF(D3102="Yes",Assumptions!$C$7,0))</f>
        <v>374063.37150000001</v>
      </c>
      <c r="J3102" s="22">
        <f>F3102*(1+Assumptions!$B$8+IF(D3102="Yes",Assumptions!$C$8,0))</f>
        <v>359813.3383</v>
      </c>
    </row>
    <row r="3103" spans="1:10" ht="15">
      <c r="A3103" s="21">
        <v>41201</v>
      </c>
      <c r="B3103" s="21">
        <v>41183</v>
      </c>
      <c r="C3103" s="17">
        <v>4</v>
      </c>
      <c r="D3103" s="17" t="s">
        <v>91</v>
      </c>
      <c r="E3103" s="14">
        <v>1131269.31</v>
      </c>
      <c r="F3103" s="14">
        <v>1130328.9099999999</v>
      </c>
      <c r="G3103" s="14">
        <v>1130328.9099999999</v>
      </c>
      <c r="H3103" s="22">
        <f>F3103*(1+Assumptions!$B$6+IF(D3103="Yes",Assumptions!$C$6,0))</f>
        <v>1164238.7773</v>
      </c>
      <c r="I3103" s="22">
        <f>F3103*(1+Assumptions!$B$7+IF(D3103="Yes",Assumptions!$C$7,0))</f>
        <v>1186845.3555000001</v>
      </c>
      <c r="J3103" s="22">
        <f>F3103*(1+Assumptions!$B$8+IF(D3103="Yes",Assumptions!$C$8,0))</f>
        <v>1141632.1990999999</v>
      </c>
    </row>
    <row r="3104" spans="1:10" ht="15">
      <c r="A3104" s="21">
        <v>41201</v>
      </c>
      <c r="B3104" s="21">
        <v>41183</v>
      </c>
      <c r="C3104" s="17">
        <v>5</v>
      </c>
      <c r="D3104" s="17" t="s">
        <v>91</v>
      </c>
      <c r="E3104" s="14">
        <v>879453.35</v>
      </c>
      <c r="F3104" s="14">
        <v>1068876.69</v>
      </c>
      <c r="G3104" s="14">
        <v>1068876.69</v>
      </c>
      <c r="H3104" s="22">
        <f>F3104*(1+Assumptions!$B$6+IF(D3104="Yes",Assumptions!$C$6,0))</f>
        <v>1100942.9907</v>
      </c>
      <c r="I3104" s="22">
        <f>F3104*(1+Assumptions!$B$7+IF(D3104="Yes",Assumptions!$C$7,0))</f>
        <v>1122320.5245000001</v>
      </c>
      <c r="J3104" s="22">
        <f>F3104*(1+Assumptions!$B$8+IF(D3104="Yes",Assumptions!$C$8,0))</f>
        <v>1079565.4568999999</v>
      </c>
    </row>
    <row r="3105" spans="1:10" ht="15">
      <c r="A3105" s="21">
        <v>41201</v>
      </c>
      <c r="B3105" s="21">
        <v>41183</v>
      </c>
      <c r="C3105" s="17">
        <v>6</v>
      </c>
      <c r="D3105" s="17" t="s">
        <v>91</v>
      </c>
      <c r="E3105" s="14">
        <v>125064.18000000001</v>
      </c>
      <c r="F3105" s="14">
        <v>169774.06</v>
      </c>
      <c r="G3105" s="14">
        <v>169774.06</v>
      </c>
      <c r="H3105" s="22">
        <f>F3105*(1+Assumptions!$B$6+IF(D3105="Yes",Assumptions!$C$6,0))</f>
        <v>174867.2818</v>
      </c>
      <c r="I3105" s="22">
        <f>F3105*(1+Assumptions!$B$7+IF(D3105="Yes",Assumptions!$C$7,0))</f>
        <v>178262.76300000001</v>
      </c>
      <c r="J3105" s="22">
        <f>F3105*(1+Assumptions!$B$8+IF(D3105="Yes",Assumptions!$C$8,0))</f>
        <v>171471.80059999999</v>
      </c>
    </row>
    <row r="3106" spans="1:10" ht="15">
      <c r="A3106" s="21">
        <v>41201</v>
      </c>
      <c r="B3106" s="21">
        <v>41183</v>
      </c>
      <c r="C3106" s="17">
        <v>7</v>
      </c>
      <c r="D3106" s="17" t="s">
        <v>91</v>
      </c>
      <c r="E3106" s="14">
        <v>891808.55999999994</v>
      </c>
      <c r="F3106" s="14">
        <v>1050553.7</v>
      </c>
      <c r="G3106" s="14">
        <v>1050553.7</v>
      </c>
      <c r="H3106" s="22">
        <f>F3106*(1+Assumptions!$B$6+IF(D3106="Yes",Assumptions!$C$6,0))</f>
        <v>1082070.311</v>
      </c>
      <c r="I3106" s="22">
        <f>F3106*(1+Assumptions!$B$7+IF(D3106="Yes",Assumptions!$C$7,0))</f>
        <v>1103081.385</v>
      </c>
      <c r="J3106" s="22">
        <f>F3106*(1+Assumptions!$B$8+IF(D3106="Yes",Assumptions!$C$8,0))</f>
        <v>1061059.237</v>
      </c>
    </row>
    <row r="3107" spans="1:10" ht="15">
      <c r="A3107" s="21">
        <v>41201</v>
      </c>
      <c r="B3107" s="21">
        <v>41183</v>
      </c>
      <c r="C3107" s="17">
        <v>8</v>
      </c>
      <c r="D3107" s="17" t="s">
        <v>91</v>
      </c>
      <c r="E3107" s="14">
        <v>1395014.79</v>
      </c>
      <c r="F3107" s="14">
        <v>1351021.28</v>
      </c>
      <c r="G3107" s="14">
        <v>1351021.28</v>
      </c>
      <c r="H3107" s="22">
        <f>F3107*(1+Assumptions!$B$6+IF(D3107="Yes",Assumptions!$C$6,0))</f>
        <v>1391551.9184000001</v>
      </c>
      <c r="I3107" s="22">
        <f>F3107*(1+Assumptions!$B$7+IF(D3107="Yes",Assumptions!$C$7,0))</f>
        <v>1418572.344</v>
      </c>
      <c r="J3107" s="22">
        <f>F3107*(1+Assumptions!$B$8+IF(D3107="Yes",Assumptions!$C$8,0))</f>
        <v>1364531.4928000001</v>
      </c>
    </row>
    <row r="3108" spans="1:10" ht="15">
      <c r="A3108" s="21">
        <v>41201</v>
      </c>
      <c r="B3108" s="21">
        <v>41183</v>
      </c>
      <c r="C3108" s="17">
        <v>9</v>
      </c>
      <c r="D3108" s="17" t="s">
        <v>91</v>
      </c>
      <c r="E3108" s="14">
        <v>950798.75</v>
      </c>
      <c r="F3108" s="14">
        <v>890780</v>
      </c>
      <c r="G3108" s="14">
        <v>890780</v>
      </c>
      <c r="H3108" s="22">
        <f>F3108*(1+Assumptions!$B$6+IF(D3108="Yes",Assumptions!$C$6,0))</f>
        <v>917503.4</v>
      </c>
      <c r="I3108" s="22">
        <f>F3108*(1+Assumptions!$B$7+IF(D3108="Yes",Assumptions!$C$7,0))</f>
        <v>935319</v>
      </c>
      <c r="J3108" s="22">
        <f>F3108*(1+Assumptions!$B$8+IF(D3108="Yes",Assumptions!$C$8,0))</f>
        <v>899687.8</v>
      </c>
    </row>
    <row r="3109" spans="1:10" ht="15">
      <c r="A3109" s="21">
        <v>41201</v>
      </c>
      <c r="B3109" s="21">
        <v>41183</v>
      </c>
      <c r="C3109" s="17">
        <v>10</v>
      </c>
      <c r="D3109" s="17" t="s">
        <v>91</v>
      </c>
      <c r="E3109" s="14">
        <v>814668.87</v>
      </c>
      <c r="F3109" s="14">
        <v>821622.32000000007</v>
      </c>
      <c r="G3109" s="14">
        <v>821622.32000000007</v>
      </c>
      <c r="H3109" s="22">
        <f>F3109*(1+Assumptions!$B$6+IF(D3109="Yes",Assumptions!$C$6,0))</f>
        <v>846270.98960000009</v>
      </c>
      <c r="I3109" s="22">
        <f>F3109*(1+Assumptions!$B$7+IF(D3109="Yes",Assumptions!$C$7,0))</f>
        <v>862703.4360000001</v>
      </c>
      <c r="J3109" s="22">
        <f>F3109*(1+Assumptions!$B$8+IF(D3109="Yes",Assumptions!$C$8,0))</f>
        <v>829838.54320000007</v>
      </c>
    </row>
    <row r="3110" spans="1:10" ht="15">
      <c r="A3110" s="21">
        <v>41201</v>
      </c>
      <c r="B3110" s="21">
        <v>41183</v>
      </c>
      <c r="C3110" s="17">
        <v>11</v>
      </c>
      <c r="D3110" s="17" t="s">
        <v>91</v>
      </c>
      <c r="E3110" s="14">
        <v>557633.01</v>
      </c>
      <c r="F3110" s="14">
        <v>559984.51</v>
      </c>
      <c r="G3110" s="14">
        <v>559984.51</v>
      </c>
      <c r="H3110" s="22">
        <f>F3110*(1+Assumptions!$B$6+IF(D3110="Yes",Assumptions!$C$6,0))</f>
        <v>576784.0453</v>
      </c>
      <c r="I3110" s="22">
        <f>F3110*(1+Assumptions!$B$7+IF(D3110="Yes",Assumptions!$C$7,0))</f>
        <v>587983.73550000007</v>
      </c>
      <c r="J3110" s="22">
        <f>F3110*(1+Assumptions!$B$8+IF(D3110="Yes",Assumptions!$C$8,0))</f>
        <v>565584.35510000004</v>
      </c>
    </row>
    <row r="3111" spans="1:10" ht="15">
      <c r="A3111" s="21">
        <v>41201</v>
      </c>
      <c r="B3111" s="21">
        <v>41183</v>
      </c>
      <c r="C3111" s="17">
        <v>12</v>
      </c>
      <c r="D3111" s="17" t="s">
        <v>91</v>
      </c>
      <c r="E3111" s="14">
        <v>179565.91</v>
      </c>
      <c r="F3111" s="14">
        <v>193520.6</v>
      </c>
      <c r="G3111" s="14">
        <v>193520.6</v>
      </c>
      <c r="H3111" s="22">
        <f>F3111*(1+Assumptions!$B$6+IF(D3111="Yes",Assumptions!$C$6,0))</f>
        <v>199326.21800000002</v>
      </c>
      <c r="I3111" s="22">
        <f>F3111*(1+Assumptions!$B$7+IF(D3111="Yes",Assumptions!$C$7,0))</f>
        <v>203196.63</v>
      </c>
      <c r="J3111" s="22">
        <f>F3111*(1+Assumptions!$B$8+IF(D3111="Yes",Assumptions!$C$8,0))</f>
        <v>195455.80600000001</v>
      </c>
    </row>
    <row r="3112" spans="1:10" ht="15">
      <c r="A3112" s="21">
        <v>41201</v>
      </c>
      <c r="B3112" s="21">
        <v>41183</v>
      </c>
      <c r="C3112" s="17">
        <v>13</v>
      </c>
      <c r="D3112" s="17" t="s">
        <v>91</v>
      </c>
      <c r="E3112" s="14">
        <v>1357757.18</v>
      </c>
      <c r="F3112" s="14">
        <v>1389748.05</v>
      </c>
      <c r="G3112" s="14">
        <v>1389748.05</v>
      </c>
      <c r="H3112" s="22">
        <f>F3112*(1+Assumptions!$B$6+IF(D3112="Yes",Assumptions!$C$6,0))</f>
        <v>1431440.4915</v>
      </c>
      <c r="I3112" s="22">
        <f>F3112*(1+Assumptions!$B$7+IF(D3112="Yes",Assumptions!$C$7,0))</f>
        <v>1459235.4525000001</v>
      </c>
      <c r="J3112" s="22">
        <f>F3112*(1+Assumptions!$B$8+IF(D3112="Yes",Assumptions!$C$8,0))</f>
        <v>1403645.5305000001</v>
      </c>
    </row>
    <row r="3113" spans="1:10" ht="15">
      <c r="A3113" s="21">
        <v>41201</v>
      </c>
      <c r="B3113" s="21">
        <v>41183</v>
      </c>
      <c r="C3113" s="17">
        <v>14</v>
      </c>
      <c r="D3113" s="17" t="s">
        <v>91</v>
      </c>
      <c r="E3113" s="14">
        <v>599309.57999999996</v>
      </c>
      <c r="F3113" s="14">
        <v>590032.85</v>
      </c>
      <c r="G3113" s="14">
        <v>590032.85</v>
      </c>
      <c r="H3113" s="22">
        <f>F3113*(1+Assumptions!$B$6+IF(D3113="Yes",Assumptions!$C$6,0))</f>
        <v>607733.83550000004</v>
      </c>
      <c r="I3113" s="22">
        <f>F3113*(1+Assumptions!$B$7+IF(D3113="Yes",Assumptions!$C$7,0))</f>
        <v>619534.49250000005</v>
      </c>
      <c r="J3113" s="22">
        <f>F3113*(1+Assumptions!$B$8+IF(D3113="Yes",Assumptions!$C$8,0))</f>
        <v>595933.17850000004</v>
      </c>
    </row>
    <row r="3114" spans="1:10" ht="15">
      <c r="A3114" s="21">
        <v>41201</v>
      </c>
      <c r="B3114" s="21">
        <v>41183</v>
      </c>
      <c r="C3114" s="17">
        <v>16</v>
      </c>
      <c r="D3114" s="17" t="s">
        <v>91</v>
      </c>
      <c r="E3114" s="14">
        <v>192680.09</v>
      </c>
      <c r="F3114" s="14">
        <v>193142.08</v>
      </c>
      <c r="G3114" s="14">
        <v>193142.08</v>
      </c>
      <c r="H3114" s="22">
        <f>F3114*(1+Assumptions!$B$6+IF(D3114="Yes",Assumptions!$C$6,0))</f>
        <v>198936.34239999999</v>
      </c>
      <c r="I3114" s="22">
        <f>F3114*(1+Assumptions!$B$7+IF(D3114="Yes",Assumptions!$C$7,0))</f>
        <v>202799.18400000001</v>
      </c>
      <c r="J3114" s="22">
        <f>F3114*(1+Assumptions!$B$8+IF(D3114="Yes",Assumptions!$C$8,0))</f>
        <v>195073.50079999998</v>
      </c>
    </row>
    <row r="3115" spans="1:10" ht="15">
      <c r="A3115" s="21">
        <v>41201</v>
      </c>
      <c r="B3115" s="21">
        <v>41183</v>
      </c>
      <c r="C3115" s="17">
        <v>17</v>
      </c>
      <c r="D3115" s="17" t="s">
        <v>91</v>
      </c>
      <c r="E3115" s="14">
        <v>440121.86</v>
      </c>
      <c r="F3115" s="14">
        <v>424726.03</v>
      </c>
      <c r="G3115" s="14">
        <v>424726.03</v>
      </c>
      <c r="H3115" s="22">
        <f>F3115*(1+Assumptions!$B$6+IF(D3115="Yes",Assumptions!$C$6,0))</f>
        <v>437467.81090000004</v>
      </c>
      <c r="I3115" s="22">
        <f>F3115*(1+Assumptions!$B$7+IF(D3115="Yes",Assumptions!$C$7,0))</f>
        <v>445962.33150000003</v>
      </c>
      <c r="J3115" s="22">
        <f>F3115*(1+Assumptions!$B$8+IF(D3115="Yes",Assumptions!$C$8,0))</f>
        <v>428973.29030000005</v>
      </c>
    </row>
    <row r="3116" spans="1:10" ht="15">
      <c r="A3116" s="21">
        <v>41201</v>
      </c>
      <c r="B3116" s="21">
        <v>41183</v>
      </c>
      <c r="C3116" s="17">
        <v>18</v>
      </c>
      <c r="D3116" s="17" t="s">
        <v>91</v>
      </c>
      <c r="E3116" s="14">
        <v>520846.85</v>
      </c>
      <c r="F3116" s="14">
        <v>505695.23</v>
      </c>
      <c r="G3116" s="14">
        <v>505695.23</v>
      </c>
      <c r="H3116" s="22">
        <f>F3116*(1+Assumptions!$B$6+IF(D3116="Yes",Assumptions!$C$6,0))</f>
        <v>520866.08689999999</v>
      </c>
      <c r="I3116" s="22">
        <f>F3116*(1+Assumptions!$B$7+IF(D3116="Yes",Assumptions!$C$7,0))</f>
        <v>530979.9915</v>
      </c>
      <c r="J3116" s="22">
        <f>F3116*(1+Assumptions!$B$8+IF(D3116="Yes",Assumptions!$C$8,0))</f>
        <v>510752.18229999999</v>
      </c>
    </row>
    <row r="3117" spans="1:10" ht="15">
      <c r="A3117" s="21">
        <v>41201</v>
      </c>
      <c r="B3117" s="21">
        <v>41183</v>
      </c>
      <c r="C3117" s="17">
        <v>19</v>
      </c>
      <c r="D3117" s="17" t="s">
        <v>91</v>
      </c>
      <c r="E3117" s="14">
        <v>60367.69</v>
      </c>
      <c r="F3117" s="14">
        <v>60269.47</v>
      </c>
      <c r="G3117" s="14">
        <v>60269.47</v>
      </c>
      <c r="H3117" s="22">
        <f>F3117*(1+Assumptions!$B$6+IF(D3117="Yes",Assumptions!$C$6,0))</f>
        <v>62077.554100000001</v>
      </c>
      <c r="I3117" s="22">
        <f>F3117*(1+Assumptions!$B$7+IF(D3117="Yes",Assumptions!$C$7,0))</f>
        <v>63282.943500000001</v>
      </c>
      <c r="J3117" s="22">
        <f>F3117*(1+Assumptions!$B$8+IF(D3117="Yes",Assumptions!$C$8,0))</f>
        <v>60872.164700000001</v>
      </c>
    </row>
    <row r="3118" spans="1:10" ht="15">
      <c r="A3118" s="21">
        <v>41201</v>
      </c>
      <c r="B3118" s="21">
        <v>41183</v>
      </c>
      <c r="C3118" s="17">
        <v>20</v>
      </c>
      <c r="D3118" s="17" t="s">
        <v>91</v>
      </c>
      <c r="E3118" s="14">
        <v>194585.45</v>
      </c>
      <c r="F3118" s="14">
        <v>194530.68</v>
      </c>
      <c r="G3118" s="14">
        <v>194530.68</v>
      </c>
      <c r="H3118" s="22">
        <f>F3118*(1+Assumptions!$B$6+IF(D3118="Yes",Assumptions!$C$6,0))</f>
        <v>200366.6004</v>
      </c>
      <c r="I3118" s="22">
        <f>F3118*(1+Assumptions!$B$7+IF(D3118="Yes",Assumptions!$C$7,0))</f>
        <v>204257.21400000001</v>
      </c>
      <c r="J3118" s="22">
        <f>F3118*(1+Assumptions!$B$8+IF(D3118="Yes",Assumptions!$C$8,0))</f>
        <v>196475.98679999998</v>
      </c>
    </row>
    <row r="3119" spans="1:10" ht="15">
      <c r="A3119" s="21">
        <v>41201</v>
      </c>
      <c r="B3119" s="21">
        <v>41183</v>
      </c>
      <c r="C3119" s="17">
        <v>21</v>
      </c>
      <c r="D3119" s="17" t="s">
        <v>91</v>
      </c>
      <c r="E3119" s="14">
        <v>191612.73</v>
      </c>
      <c r="F3119" s="14">
        <v>205717.43</v>
      </c>
      <c r="G3119" s="14">
        <v>205717.43</v>
      </c>
      <c r="H3119" s="22">
        <f>F3119*(1+Assumptions!$B$6+IF(D3119="Yes",Assumptions!$C$6,0))</f>
        <v>211888.9529</v>
      </c>
      <c r="I3119" s="22">
        <f>F3119*(1+Assumptions!$B$7+IF(D3119="Yes",Assumptions!$C$7,0))</f>
        <v>216003.3015</v>
      </c>
      <c r="J3119" s="22">
        <f>F3119*(1+Assumptions!$B$8+IF(D3119="Yes",Assumptions!$C$8,0))</f>
        <v>207774.60430000001</v>
      </c>
    </row>
    <row r="3120" spans="1:10" ht="15">
      <c r="A3120" s="21">
        <v>41201</v>
      </c>
      <c r="B3120" s="21">
        <v>41183</v>
      </c>
      <c r="C3120" s="17">
        <v>22</v>
      </c>
      <c r="D3120" s="17" t="s">
        <v>91</v>
      </c>
      <c r="E3120" s="14">
        <v>396156.17</v>
      </c>
      <c r="F3120" s="14">
        <v>392327.37</v>
      </c>
      <c r="G3120" s="14">
        <v>392327.37</v>
      </c>
      <c r="H3120" s="22">
        <f>F3120*(1+Assumptions!$B$6+IF(D3120="Yes",Assumptions!$C$6,0))</f>
        <v>404097.1911</v>
      </c>
      <c r="I3120" s="22">
        <f>F3120*(1+Assumptions!$B$7+IF(D3120="Yes",Assumptions!$C$7,0))</f>
        <v>411943.73850000004</v>
      </c>
      <c r="J3120" s="22">
        <f>F3120*(1+Assumptions!$B$8+IF(D3120="Yes",Assumptions!$C$8,0))</f>
        <v>396250.64370000002</v>
      </c>
    </row>
    <row r="3121" spans="1:10" ht="15">
      <c r="A3121" s="21">
        <v>41201</v>
      </c>
      <c r="B3121" s="21">
        <v>41183</v>
      </c>
      <c r="C3121" s="17">
        <v>23</v>
      </c>
      <c r="D3121" s="17" t="s">
        <v>91</v>
      </c>
      <c r="E3121" s="14">
        <v>914180.43</v>
      </c>
      <c r="F3121" s="14">
        <v>935808.64</v>
      </c>
      <c r="G3121" s="14">
        <v>935808.64</v>
      </c>
      <c r="H3121" s="22">
        <f>F3121*(1+Assumptions!$B$6+IF(D3121="Yes",Assumptions!$C$6,0))</f>
        <v>963882.89919999999</v>
      </c>
      <c r="I3121" s="22">
        <f>F3121*(1+Assumptions!$B$7+IF(D3121="Yes",Assumptions!$C$7,0))</f>
        <v>982599.07200000004</v>
      </c>
      <c r="J3121" s="22">
        <f>F3121*(1+Assumptions!$B$8+IF(D3121="Yes",Assumptions!$C$8,0))</f>
        <v>945166.72640000004</v>
      </c>
    </row>
    <row r="3122" spans="1:10" ht="15">
      <c r="A3122" s="21">
        <v>41201</v>
      </c>
      <c r="B3122" s="21">
        <v>41183</v>
      </c>
      <c r="C3122" s="17">
        <v>24</v>
      </c>
      <c r="D3122" s="17" t="s">
        <v>91</v>
      </c>
      <c r="E3122" s="14">
        <v>237234.38</v>
      </c>
      <c r="F3122" s="14">
        <v>235449.91</v>
      </c>
      <c r="G3122" s="14">
        <v>235449.91</v>
      </c>
      <c r="H3122" s="22">
        <f>F3122*(1+Assumptions!$B$6+IF(D3122="Yes",Assumptions!$C$6,0))</f>
        <v>242513.40730000002</v>
      </c>
      <c r="I3122" s="22">
        <f>F3122*(1+Assumptions!$B$7+IF(D3122="Yes",Assumptions!$C$7,0))</f>
        <v>247222.40550000002</v>
      </c>
      <c r="J3122" s="22">
        <f>F3122*(1+Assumptions!$B$8+IF(D3122="Yes",Assumptions!$C$8,0))</f>
        <v>237804.40910000002</v>
      </c>
    </row>
    <row r="3123" spans="1:10" ht="15">
      <c r="A3123" s="21">
        <v>41201</v>
      </c>
      <c r="B3123" s="21">
        <v>41183</v>
      </c>
      <c r="C3123" s="17">
        <v>25</v>
      </c>
      <c r="D3123" s="17" t="s">
        <v>91</v>
      </c>
      <c r="E3123" s="14">
        <v>382190.99</v>
      </c>
      <c r="F3123" s="14">
        <v>391507.99</v>
      </c>
      <c r="G3123" s="14">
        <v>391507.99</v>
      </c>
      <c r="H3123" s="22">
        <f>F3123*(1+Assumptions!$B$6+IF(D3123="Yes",Assumptions!$C$6,0))</f>
        <v>403253.22970000003</v>
      </c>
      <c r="I3123" s="22">
        <f>F3123*(1+Assumptions!$B$7+IF(D3123="Yes",Assumptions!$C$7,0))</f>
        <v>411083.38949999999</v>
      </c>
      <c r="J3123" s="22">
        <f>F3123*(1+Assumptions!$B$8+IF(D3123="Yes",Assumptions!$C$8,0))</f>
        <v>395423.0699</v>
      </c>
    </row>
    <row r="3124" spans="1:10" ht="15">
      <c r="A3124" s="21">
        <v>41201</v>
      </c>
      <c r="B3124" s="21">
        <v>41183</v>
      </c>
      <c r="C3124" s="17">
        <v>26</v>
      </c>
      <c r="D3124" s="17" t="s">
        <v>91</v>
      </c>
      <c r="E3124" s="14">
        <v>352640.48</v>
      </c>
      <c r="F3124" s="14">
        <v>371558.82</v>
      </c>
      <c r="G3124" s="14">
        <v>371558.82</v>
      </c>
      <c r="H3124" s="22">
        <f>F3124*(1+Assumptions!$B$6+IF(D3124="Yes",Assumptions!$C$6,0))</f>
        <v>382705.5846</v>
      </c>
      <c r="I3124" s="22">
        <f>F3124*(1+Assumptions!$B$7+IF(D3124="Yes",Assumptions!$C$7,0))</f>
        <v>390136.761</v>
      </c>
      <c r="J3124" s="22">
        <f>F3124*(1+Assumptions!$B$8+IF(D3124="Yes",Assumptions!$C$8,0))</f>
        <v>375274.40820000001</v>
      </c>
    </row>
    <row r="3125" spans="1:10" ht="15">
      <c r="A3125" s="21">
        <v>41201</v>
      </c>
      <c r="B3125" s="21">
        <v>41183</v>
      </c>
      <c r="C3125" s="17">
        <v>27</v>
      </c>
      <c r="D3125" s="17" t="s">
        <v>91</v>
      </c>
      <c r="E3125" s="14">
        <v>74369.67</v>
      </c>
      <c r="F3125" s="14">
        <v>65936.33</v>
      </c>
      <c r="G3125" s="14">
        <v>65936.33</v>
      </c>
      <c r="H3125" s="22">
        <f>F3125*(1+Assumptions!$B$6+IF(D3125="Yes",Assumptions!$C$6,0))</f>
        <v>67914.419900000008</v>
      </c>
      <c r="I3125" s="22">
        <f>F3125*(1+Assumptions!$B$7+IF(D3125="Yes",Assumptions!$C$7,0))</f>
        <v>69233.146500000003</v>
      </c>
      <c r="J3125" s="22">
        <f>F3125*(1+Assumptions!$B$8+IF(D3125="Yes",Assumptions!$C$8,0))</f>
        <v>66595.693299999999</v>
      </c>
    </row>
    <row r="3126" spans="1:10" ht="15">
      <c r="A3126" s="21">
        <v>41201</v>
      </c>
      <c r="B3126" s="21">
        <v>41183</v>
      </c>
      <c r="C3126" s="17">
        <v>28</v>
      </c>
      <c r="D3126" s="17" t="s">
        <v>91</v>
      </c>
      <c r="E3126" s="14">
        <v>33743.99</v>
      </c>
      <c r="F3126" s="14">
        <v>32853.85</v>
      </c>
      <c r="G3126" s="14">
        <v>32853.85</v>
      </c>
      <c r="H3126" s="22">
        <f>F3126*(1+Assumptions!$B$6+IF(D3126="Yes",Assumptions!$C$6,0))</f>
        <v>33839.465499999998</v>
      </c>
      <c r="I3126" s="22">
        <f>F3126*(1+Assumptions!$B$7+IF(D3126="Yes",Assumptions!$C$7,0))</f>
        <v>34496.542500000003</v>
      </c>
      <c r="J3126" s="22">
        <f>F3126*(1+Assumptions!$B$8+IF(D3126="Yes",Assumptions!$C$8,0))</f>
        <v>33182.388500000001</v>
      </c>
    </row>
    <row r="3127" spans="1:10" ht="15">
      <c r="A3127" s="21">
        <v>41201</v>
      </c>
      <c r="B3127" s="21">
        <v>41183</v>
      </c>
      <c r="C3127" s="17">
        <v>29</v>
      </c>
      <c r="D3127" s="17" t="s">
        <v>91</v>
      </c>
      <c r="E3127" s="14">
        <v>191130.94</v>
      </c>
      <c r="F3127" s="14">
        <v>197602.84</v>
      </c>
      <c r="G3127" s="14">
        <v>197602.84</v>
      </c>
      <c r="H3127" s="22">
        <f>F3127*(1+Assumptions!$B$6+IF(D3127="Yes",Assumptions!$C$6,0))</f>
        <v>203530.9252</v>
      </c>
      <c r="I3127" s="22">
        <f>F3127*(1+Assumptions!$B$7+IF(D3127="Yes",Assumptions!$C$7,0))</f>
        <v>207482.98200000002</v>
      </c>
      <c r="J3127" s="22">
        <f>F3127*(1+Assumptions!$B$8+IF(D3127="Yes",Assumptions!$C$8,0))</f>
        <v>199578.86840000001</v>
      </c>
    </row>
    <row r="3128" spans="1:10" ht="15">
      <c r="A3128" s="21">
        <v>41201</v>
      </c>
      <c r="B3128" s="21">
        <v>41183</v>
      </c>
      <c r="C3128" s="17">
        <v>30</v>
      </c>
      <c r="D3128" s="17" t="s">
        <v>91</v>
      </c>
      <c r="E3128" s="14">
        <v>115998.03</v>
      </c>
      <c r="F3128" s="14">
        <v>127872.39</v>
      </c>
      <c r="G3128" s="14">
        <v>127872.39</v>
      </c>
      <c r="H3128" s="22">
        <f>F3128*(1+Assumptions!$B$6+IF(D3128="Yes",Assumptions!$C$6,0))</f>
        <v>131708.56169999999</v>
      </c>
      <c r="I3128" s="22">
        <f>F3128*(1+Assumptions!$B$7+IF(D3128="Yes",Assumptions!$C$7,0))</f>
        <v>134266.00950000001</v>
      </c>
      <c r="J3128" s="22">
        <f>F3128*(1+Assumptions!$B$8+IF(D3128="Yes",Assumptions!$C$8,0))</f>
        <v>129151.1139</v>
      </c>
    </row>
    <row r="3129" spans="1:10" ht="15">
      <c r="A3129" s="21">
        <v>41201</v>
      </c>
      <c r="B3129" s="21">
        <v>41183</v>
      </c>
      <c r="C3129" s="17">
        <v>31</v>
      </c>
      <c r="D3129" s="17" t="s">
        <v>91</v>
      </c>
      <c r="E3129" s="14">
        <v>86509.07</v>
      </c>
      <c r="F3129" s="14">
        <v>81691.42</v>
      </c>
      <c r="G3129" s="14">
        <v>81691.42</v>
      </c>
      <c r="H3129" s="22">
        <f>F3129*(1+Assumptions!$B$6+IF(D3129="Yes",Assumptions!$C$6,0))</f>
        <v>84142.162599999996</v>
      </c>
      <c r="I3129" s="22">
        <f>F3129*(1+Assumptions!$B$7+IF(D3129="Yes",Assumptions!$C$7,0))</f>
        <v>85775.990999999995</v>
      </c>
      <c r="J3129" s="22">
        <f>F3129*(1+Assumptions!$B$8+IF(D3129="Yes",Assumptions!$C$8,0))</f>
        <v>82508.334199999998</v>
      </c>
    </row>
    <row r="3130" spans="1:10" ht="15">
      <c r="A3130" s="21">
        <v>41201</v>
      </c>
      <c r="B3130" s="21">
        <v>41183</v>
      </c>
      <c r="C3130" s="17">
        <v>32</v>
      </c>
      <c r="D3130" s="17" t="s">
        <v>91</v>
      </c>
      <c r="E3130" s="14">
        <v>219752.34</v>
      </c>
      <c r="F3130" s="14">
        <v>229190.47</v>
      </c>
      <c r="G3130" s="14">
        <v>229190.47</v>
      </c>
      <c r="H3130" s="22">
        <f>F3130*(1+Assumptions!$B$6+IF(D3130="Yes",Assumptions!$C$6,0))</f>
        <v>236066.18410000001</v>
      </c>
      <c r="I3130" s="22">
        <f>F3130*(1+Assumptions!$B$7+IF(D3130="Yes",Assumptions!$C$7,0))</f>
        <v>240649.99350000001</v>
      </c>
      <c r="J3130" s="22">
        <f>F3130*(1+Assumptions!$B$8+IF(D3130="Yes",Assumptions!$C$8,0))</f>
        <v>231482.37470000001</v>
      </c>
    </row>
    <row r="3131" spans="1:10" ht="15">
      <c r="A3131" s="21">
        <v>41201</v>
      </c>
      <c r="B3131" s="21">
        <v>41183</v>
      </c>
      <c r="C3131" s="17">
        <v>33</v>
      </c>
      <c r="D3131" s="17" t="s">
        <v>91</v>
      </c>
      <c r="E3131" s="14">
        <v>240597.36</v>
      </c>
      <c r="F3131" s="14">
        <v>224810.09</v>
      </c>
      <c r="G3131" s="14">
        <v>224810.09</v>
      </c>
      <c r="H3131" s="22">
        <f>F3131*(1+Assumptions!$B$6+IF(D3131="Yes",Assumptions!$C$6,0))</f>
        <v>231554.3927</v>
      </c>
      <c r="I3131" s="22">
        <f>F3131*(1+Assumptions!$B$7+IF(D3131="Yes",Assumptions!$C$7,0))</f>
        <v>236050.59450000001</v>
      </c>
      <c r="J3131" s="22">
        <f>F3131*(1+Assumptions!$B$8+IF(D3131="Yes",Assumptions!$C$8,0))</f>
        <v>227058.19089999999</v>
      </c>
    </row>
    <row r="3132" spans="1:10" ht="15">
      <c r="A3132" s="21">
        <v>41201</v>
      </c>
      <c r="B3132" s="21">
        <v>41183</v>
      </c>
      <c r="C3132" s="17">
        <v>34</v>
      </c>
      <c r="D3132" s="17" t="s">
        <v>91</v>
      </c>
      <c r="E3132" s="14">
        <v>526164.86</v>
      </c>
      <c r="F3132" s="14">
        <v>498133.75</v>
      </c>
      <c r="G3132" s="14">
        <v>498133.75</v>
      </c>
      <c r="H3132" s="22">
        <f>F3132*(1+Assumptions!$B$6+IF(D3132="Yes",Assumptions!$C$6,0))</f>
        <v>513077.76250000001</v>
      </c>
      <c r="I3132" s="22">
        <f>F3132*(1+Assumptions!$B$7+IF(D3132="Yes",Assumptions!$C$7,0))</f>
        <v>523040.4375</v>
      </c>
      <c r="J3132" s="22">
        <f>F3132*(1+Assumptions!$B$8+IF(D3132="Yes",Assumptions!$C$8,0))</f>
        <v>503115.08750000002</v>
      </c>
    </row>
    <row r="3133" spans="1:10" ht="15">
      <c r="A3133" s="21">
        <v>41201</v>
      </c>
      <c r="B3133" s="21">
        <v>41183</v>
      </c>
      <c r="C3133" s="17">
        <v>35</v>
      </c>
      <c r="D3133" s="17" t="s">
        <v>91</v>
      </c>
      <c r="E3133" s="14">
        <v>89090.26</v>
      </c>
      <c r="F3133" s="14">
        <v>104869.18</v>
      </c>
      <c r="G3133" s="14">
        <v>104869.18</v>
      </c>
      <c r="H3133" s="22">
        <f>F3133*(1+Assumptions!$B$6+IF(D3133="Yes",Assumptions!$C$6,0))</f>
        <v>108015.25539999999</v>
      </c>
      <c r="I3133" s="22">
        <f>F3133*(1+Assumptions!$B$7+IF(D3133="Yes",Assumptions!$C$7,0))</f>
        <v>110112.639</v>
      </c>
      <c r="J3133" s="22">
        <f>F3133*(1+Assumptions!$B$8+IF(D3133="Yes",Assumptions!$C$8,0))</f>
        <v>105917.87179999999</v>
      </c>
    </row>
    <row r="3134" spans="1:10" ht="15">
      <c r="A3134" s="21">
        <v>41201</v>
      </c>
      <c r="B3134" s="21">
        <v>41183</v>
      </c>
      <c r="C3134" s="17">
        <v>36</v>
      </c>
      <c r="D3134" s="17" t="s">
        <v>91</v>
      </c>
      <c r="E3134" s="14">
        <v>50965.65</v>
      </c>
      <c r="F3134" s="14">
        <v>56011.14</v>
      </c>
      <c r="G3134" s="14">
        <v>56011.14</v>
      </c>
      <c r="H3134" s="22">
        <f>F3134*(1+Assumptions!$B$6+IF(D3134="Yes",Assumptions!$C$6,0))</f>
        <v>57691.474200000004</v>
      </c>
      <c r="I3134" s="22">
        <f>F3134*(1+Assumptions!$B$7+IF(D3134="Yes",Assumptions!$C$7,0))</f>
        <v>58811.697</v>
      </c>
      <c r="J3134" s="22">
        <f>F3134*(1+Assumptions!$B$8+IF(D3134="Yes",Assumptions!$C$8,0))</f>
        <v>56571.251400000001</v>
      </c>
    </row>
    <row r="3135" spans="1:10" ht="15">
      <c r="A3135" s="21">
        <v>41201</v>
      </c>
      <c r="B3135" s="21">
        <v>41183</v>
      </c>
      <c r="C3135" s="17">
        <v>37</v>
      </c>
      <c r="D3135" s="17" t="s">
        <v>91</v>
      </c>
      <c r="E3135" s="14">
        <v>57658.45</v>
      </c>
      <c r="F3135" s="14">
        <v>58531.99</v>
      </c>
      <c r="G3135" s="14">
        <v>58531.99</v>
      </c>
      <c r="H3135" s="22">
        <f>F3135*(1+Assumptions!$B$6+IF(D3135="Yes",Assumptions!$C$6,0))</f>
        <v>60287.949699999997</v>
      </c>
      <c r="I3135" s="22">
        <f>F3135*(1+Assumptions!$B$7+IF(D3135="Yes",Assumptions!$C$7,0))</f>
        <v>61458.589500000002</v>
      </c>
      <c r="J3135" s="22">
        <f>F3135*(1+Assumptions!$B$8+IF(D3135="Yes",Assumptions!$C$8,0))</f>
        <v>59117.3099</v>
      </c>
    </row>
    <row r="3136" spans="1:10" ht="15">
      <c r="A3136" s="21">
        <v>41201</v>
      </c>
      <c r="B3136" s="21">
        <v>41183</v>
      </c>
      <c r="C3136" s="17">
        <v>38</v>
      </c>
      <c r="D3136" s="17" t="s">
        <v>91</v>
      </c>
      <c r="E3136" s="14">
        <v>2648561.3199999998</v>
      </c>
      <c r="F3136" s="14">
        <v>2701152.03</v>
      </c>
      <c r="G3136" s="14">
        <v>2701152.03</v>
      </c>
      <c r="H3136" s="22">
        <f>F3136*(1+Assumptions!$B$6+IF(D3136="Yes",Assumptions!$C$6,0))</f>
        <v>2782186.5908999997</v>
      </c>
      <c r="I3136" s="22">
        <f>F3136*(1+Assumptions!$B$7+IF(D3136="Yes",Assumptions!$C$7,0))</f>
        <v>2836209.6315000001</v>
      </c>
      <c r="J3136" s="22">
        <f>F3136*(1+Assumptions!$B$8+IF(D3136="Yes",Assumptions!$C$8,0))</f>
        <v>2728163.5502999998</v>
      </c>
    </row>
    <row r="3137" spans="1:10" ht="15">
      <c r="A3137" s="21">
        <v>41201</v>
      </c>
      <c r="B3137" s="21">
        <v>41183</v>
      </c>
      <c r="C3137" s="17">
        <v>40</v>
      </c>
      <c r="D3137" s="17" t="s">
        <v>91</v>
      </c>
      <c r="E3137" s="14">
        <v>2007722.1</v>
      </c>
      <c r="F3137" s="14">
        <v>1957107.19</v>
      </c>
      <c r="G3137" s="14">
        <v>1957107.19</v>
      </c>
      <c r="H3137" s="22">
        <f>F3137*(1+Assumptions!$B$6+IF(D3137="Yes",Assumptions!$C$6,0))</f>
        <v>2015820.4057</v>
      </c>
      <c r="I3137" s="22">
        <f>F3137*(1+Assumptions!$B$7+IF(D3137="Yes",Assumptions!$C$7,0))</f>
        <v>2054962.5495</v>
      </c>
      <c r="J3137" s="22">
        <f>F3137*(1+Assumptions!$B$8+IF(D3137="Yes",Assumptions!$C$8,0))</f>
        <v>1976678.2619</v>
      </c>
    </row>
    <row r="3138" spans="1:10" ht="15">
      <c r="A3138" s="21">
        <v>41201</v>
      </c>
      <c r="B3138" s="21">
        <v>41183</v>
      </c>
      <c r="C3138" s="17">
        <v>41</v>
      </c>
      <c r="D3138" s="17" t="s">
        <v>91</v>
      </c>
      <c r="E3138" s="14">
        <v>86492.87</v>
      </c>
      <c r="F3138" s="14">
        <v>111740.57</v>
      </c>
      <c r="G3138" s="14">
        <v>111740.57</v>
      </c>
      <c r="H3138" s="22">
        <f>F3138*(1+Assumptions!$B$6+IF(D3138="Yes",Assumptions!$C$6,0))</f>
        <v>115092.78710000002</v>
      </c>
      <c r="I3138" s="22">
        <f>F3138*(1+Assumptions!$B$7+IF(D3138="Yes",Assumptions!$C$7,0))</f>
        <v>117327.59850000001</v>
      </c>
      <c r="J3138" s="22">
        <f>F3138*(1+Assumptions!$B$8+IF(D3138="Yes",Assumptions!$C$8,0))</f>
        <v>112857.97570000001</v>
      </c>
    </row>
    <row r="3139" spans="1:10" ht="15">
      <c r="A3139" s="21">
        <v>41201</v>
      </c>
      <c r="B3139" s="21">
        <v>41183</v>
      </c>
      <c r="C3139" s="17">
        <v>42</v>
      </c>
      <c r="D3139" s="17" t="s">
        <v>91</v>
      </c>
      <c r="E3139" s="14">
        <v>242078.36</v>
      </c>
      <c r="F3139" s="14">
        <v>250071</v>
      </c>
      <c r="G3139" s="14">
        <v>250071</v>
      </c>
      <c r="H3139" s="22">
        <f>F3139*(1+Assumptions!$B$6+IF(D3139="Yes",Assumptions!$C$6,0))</f>
        <v>257573.13</v>
      </c>
      <c r="I3139" s="22">
        <f>F3139*(1+Assumptions!$B$7+IF(D3139="Yes",Assumptions!$C$7,0))</f>
        <v>262574.55</v>
      </c>
      <c r="J3139" s="22">
        <f>F3139*(1+Assumptions!$B$8+IF(D3139="Yes",Assumptions!$C$8,0))</f>
        <v>252571.71</v>
      </c>
    </row>
    <row r="3140" spans="1:10" ht="15">
      <c r="A3140" s="21">
        <v>41201</v>
      </c>
      <c r="B3140" s="21">
        <v>41183</v>
      </c>
      <c r="C3140" s="17">
        <v>44</v>
      </c>
      <c r="D3140" s="17" t="s">
        <v>91</v>
      </c>
      <c r="E3140" s="14">
        <v>209318.93</v>
      </c>
      <c r="F3140" s="14">
        <v>203104.96</v>
      </c>
      <c r="G3140" s="14">
        <v>203104.96</v>
      </c>
      <c r="H3140" s="22">
        <f>F3140*(1+Assumptions!$B$6+IF(D3140="Yes",Assumptions!$C$6,0))</f>
        <v>209198.10879999999</v>
      </c>
      <c r="I3140" s="22">
        <f>F3140*(1+Assumptions!$B$7+IF(D3140="Yes",Assumptions!$C$7,0))</f>
        <v>213260.20800000001</v>
      </c>
      <c r="J3140" s="22">
        <f>F3140*(1+Assumptions!$B$8+IF(D3140="Yes",Assumptions!$C$8,0))</f>
        <v>205136.00959999999</v>
      </c>
    </row>
    <row r="3141" spans="1:10" ht="15">
      <c r="A3141" s="21">
        <v>41201</v>
      </c>
      <c r="B3141" s="21">
        <v>41183</v>
      </c>
      <c r="C3141" s="17">
        <v>45</v>
      </c>
      <c r="D3141" s="17" t="s">
        <v>91</v>
      </c>
      <c r="E3141" s="14">
        <v>98.58</v>
      </c>
      <c r="F3141" s="14">
        <v>88.08</v>
      </c>
      <c r="G3141" s="14">
        <v>88.08</v>
      </c>
      <c r="H3141" s="22">
        <f>F3141*(1+Assumptions!$B$6+IF(D3141="Yes",Assumptions!$C$6,0))</f>
        <v>90.722400000000007</v>
      </c>
      <c r="I3141" s="22">
        <f>F3141*(1+Assumptions!$B$7+IF(D3141="Yes",Assumptions!$C$7,0))</f>
        <v>92.484000000000009</v>
      </c>
      <c r="J3141" s="22">
        <f>F3141*(1+Assumptions!$B$8+IF(D3141="Yes",Assumptions!$C$8,0))</f>
        <v>88.960800000000006</v>
      </c>
    </row>
    <row r="3142" spans="1:10" ht="15">
      <c r="A3142" s="21">
        <v>41201</v>
      </c>
      <c r="B3142" s="21">
        <v>41183</v>
      </c>
      <c r="C3142" s="17">
        <v>46</v>
      </c>
      <c r="D3142" s="17" t="s">
        <v>91</v>
      </c>
      <c r="E3142" s="14">
        <v>788171.4</v>
      </c>
      <c r="F3142" s="14">
        <v>799231.61</v>
      </c>
      <c r="G3142" s="14">
        <v>799231.61</v>
      </c>
      <c r="H3142" s="22">
        <f>F3142*(1+Assumptions!$B$6+IF(D3142="Yes",Assumptions!$C$6,0))</f>
        <v>823208.55830000003</v>
      </c>
      <c r="I3142" s="22">
        <f>F3142*(1+Assumptions!$B$7+IF(D3142="Yes",Assumptions!$C$7,0))</f>
        <v>839193.19050000003</v>
      </c>
      <c r="J3142" s="22">
        <f>F3142*(1+Assumptions!$B$8+IF(D3142="Yes",Assumptions!$C$8,0))</f>
        <v>807223.92610000004</v>
      </c>
    </row>
    <row r="3143" spans="1:10" ht="15">
      <c r="A3143" s="21">
        <v>41201</v>
      </c>
      <c r="B3143" s="21">
        <v>41183</v>
      </c>
      <c r="C3143" s="17">
        <v>48</v>
      </c>
      <c r="D3143" s="17" t="s">
        <v>91</v>
      </c>
      <c r="E3143" s="14">
        <v>43003</v>
      </c>
      <c r="F3143" s="14">
        <v>21920</v>
      </c>
      <c r="G3143" s="14">
        <v>21920</v>
      </c>
      <c r="H3143" s="22">
        <f>F3143*(1+Assumptions!$B$6+IF(D3143="Yes",Assumptions!$C$6,0))</f>
        <v>22577.600000000002</v>
      </c>
      <c r="I3143" s="22">
        <f>F3143*(1+Assumptions!$B$7+IF(D3143="Yes",Assumptions!$C$7,0))</f>
        <v>23016</v>
      </c>
      <c r="J3143" s="22">
        <f>F3143*(1+Assumptions!$B$8+IF(D3143="Yes",Assumptions!$C$8,0))</f>
        <v>22139.200000000001</v>
      </c>
    </row>
    <row r="3144" spans="1:10" ht="15">
      <c r="A3144" s="21">
        <v>41201</v>
      </c>
      <c r="B3144" s="21">
        <v>41183</v>
      </c>
      <c r="C3144" s="17">
        <v>49</v>
      </c>
      <c r="D3144" s="17" t="s">
        <v>91</v>
      </c>
      <c r="E3144" s="14">
        <v>277989.56</v>
      </c>
      <c r="F3144" s="14">
        <v>250717.03</v>
      </c>
      <c r="G3144" s="14">
        <v>250717.03</v>
      </c>
      <c r="H3144" s="22">
        <f>F3144*(1+Assumptions!$B$6+IF(D3144="Yes",Assumptions!$C$6,0))</f>
        <v>258238.54089999999</v>
      </c>
      <c r="I3144" s="22">
        <f>F3144*(1+Assumptions!$B$7+IF(D3144="Yes",Assumptions!$C$7,0))</f>
        <v>263252.88150000002</v>
      </c>
      <c r="J3144" s="22">
        <f>F3144*(1+Assumptions!$B$8+IF(D3144="Yes",Assumptions!$C$8,0))</f>
        <v>253224.2003</v>
      </c>
    </row>
    <row r="3145" spans="1:10" ht="15">
      <c r="A3145" s="21">
        <v>41201</v>
      </c>
      <c r="B3145" s="21">
        <v>41183</v>
      </c>
      <c r="C3145" s="17">
        <v>50</v>
      </c>
      <c r="D3145" s="17" t="s">
        <v>91</v>
      </c>
      <c r="E3145" s="14">
        <v>29062.5</v>
      </c>
      <c r="F3145" s="14">
        <v>30174.720000000001</v>
      </c>
      <c r="G3145" s="14">
        <v>30174.720000000001</v>
      </c>
      <c r="H3145" s="22">
        <f>F3145*(1+Assumptions!$B$6+IF(D3145="Yes",Assumptions!$C$6,0))</f>
        <v>31079.961600000002</v>
      </c>
      <c r="I3145" s="22">
        <f>F3145*(1+Assumptions!$B$7+IF(D3145="Yes",Assumptions!$C$7,0))</f>
        <v>31683.456000000002</v>
      </c>
      <c r="J3145" s="22">
        <f>F3145*(1+Assumptions!$B$8+IF(D3145="Yes",Assumptions!$C$8,0))</f>
        <v>30476.467200000003</v>
      </c>
    </row>
    <row r="3146" spans="1:10" ht="15">
      <c r="A3146" s="21">
        <v>41201</v>
      </c>
      <c r="B3146" s="21">
        <v>41183</v>
      </c>
      <c r="C3146" s="17">
        <v>52</v>
      </c>
      <c r="D3146" s="17" t="s">
        <v>91</v>
      </c>
      <c r="E3146" s="14">
        <v>79638.600000000006</v>
      </c>
      <c r="F3146" s="14">
        <v>96063.3</v>
      </c>
      <c r="G3146" s="14">
        <v>96063.3</v>
      </c>
      <c r="H3146" s="22">
        <f>F3146*(1+Assumptions!$B$6+IF(D3146="Yes",Assumptions!$C$6,0))</f>
        <v>98945.199000000008</v>
      </c>
      <c r="I3146" s="22">
        <f>F3146*(1+Assumptions!$B$7+IF(D3146="Yes",Assumptions!$C$7,0))</f>
        <v>100866.46500000001</v>
      </c>
      <c r="J3146" s="22">
        <f>F3146*(1+Assumptions!$B$8+IF(D3146="Yes",Assumptions!$C$8,0))</f>
        <v>97023.933000000005</v>
      </c>
    </row>
    <row r="3147" spans="1:10" ht="15">
      <c r="A3147" s="21">
        <v>41201</v>
      </c>
      <c r="B3147" s="21">
        <v>41183</v>
      </c>
      <c r="C3147" s="17">
        <v>54</v>
      </c>
      <c r="D3147" s="17" t="s">
        <v>91</v>
      </c>
      <c r="E3147" s="14">
        <v>793.04</v>
      </c>
      <c r="F3147" s="14">
        <v>1219.6000000000001</v>
      </c>
      <c r="G3147" s="14">
        <v>1219.6000000000001</v>
      </c>
      <c r="H3147" s="22">
        <f>F3147*(1+Assumptions!$B$6+IF(D3147="Yes",Assumptions!$C$6,0))</f>
        <v>1256.1880000000001</v>
      </c>
      <c r="I3147" s="22">
        <f>F3147*(1+Assumptions!$B$7+IF(D3147="Yes",Assumptions!$C$7,0))</f>
        <v>1280.5800000000002</v>
      </c>
      <c r="J3147" s="22">
        <f>F3147*(1+Assumptions!$B$8+IF(D3147="Yes",Assumptions!$C$8,0))</f>
        <v>1231.796</v>
      </c>
    </row>
    <row r="3148" spans="1:10" ht="15">
      <c r="A3148" s="21">
        <v>41201</v>
      </c>
      <c r="B3148" s="21">
        <v>41183</v>
      </c>
      <c r="C3148" s="17">
        <v>55</v>
      </c>
      <c r="D3148" s="17" t="s">
        <v>91</v>
      </c>
      <c r="E3148" s="14">
        <v>272799.68</v>
      </c>
      <c r="F3148" s="14">
        <v>375806.06</v>
      </c>
      <c r="G3148" s="14">
        <v>375806.06</v>
      </c>
      <c r="H3148" s="22">
        <f>F3148*(1+Assumptions!$B$6+IF(D3148="Yes",Assumptions!$C$6,0))</f>
        <v>387080.24180000002</v>
      </c>
      <c r="I3148" s="22">
        <f>F3148*(1+Assumptions!$B$7+IF(D3148="Yes",Assumptions!$C$7,0))</f>
        <v>394596.36300000001</v>
      </c>
      <c r="J3148" s="22">
        <f>F3148*(1+Assumptions!$B$8+IF(D3148="Yes",Assumptions!$C$8,0))</f>
        <v>379564.12060000002</v>
      </c>
    </row>
    <row r="3149" spans="1:10" ht="15">
      <c r="A3149" s="21">
        <v>41201</v>
      </c>
      <c r="B3149" s="21">
        <v>41183</v>
      </c>
      <c r="C3149" s="17">
        <v>56</v>
      </c>
      <c r="D3149" s="17" t="s">
        <v>91</v>
      </c>
      <c r="E3149" s="14">
        <v>44135.37</v>
      </c>
      <c r="F3149" s="14">
        <v>39185.82</v>
      </c>
      <c r="G3149" s="14">
        <v>39185.82</v>
      </c>
      <c r="H3149" s="22">
        <f>F3149*(1+Assumptions!$B$6+IF(D3149="Yes",Assumptions!$C$6,0))</f>
        <v>40361.3946</v>
      </c>
      <c r="I3149" s="22">
        <f>F3149*(1+Assumptions!$B$7+IF(D3149="Yes",Assumptions!$C$7,0))</f>
        <v>41145.111000000004</v>
      </c>
      <c r="J3149" s="22">
        <f>F3149*(1+Assumptions!$B$8+IF(D3149="Yes",Assumptions!$C$8,0))</f>
        <v>39577.678200000002</v>
      </c>
    </row>
    <row r="3150" spans="1:10" ht="15">
      <c r="A3150" s="21">
        <v>41201</v>
      </c>
      <c r="B3150" s="21">
        <v>41183</v>
      </c>
      <c r="C3150" s="17">
        <v>58</v>
      </c>
      <c r="D3150" s="17" t="s">
        <v>91</v>
      </c>
      <c r="E3150" s="14">
        <v>127012.97</v>
      </c>
      <c r="F3150" s="14">
        <v>104357.5</v>
      </c>
      <c r="G3150" s="14">
        <v>104357.5</v>
      </c>
      <c r="H3150" s="22">
        <f>F3150*(1+Assumptions!$B$6+IF(D3150="Yes",Assumptions!$C$6,0))</f>
        <v>107488.22500000001</v>
      </c>
      <c r="I3150" s="22">
        <f>F3150*(1+Assumptions!$B$7+IF(D3150="Yes",Assumptions!$C$7,0))</f>
        <v>109575.375</v>
      </c>
      <c r="J3150" s="22">
        <f>F3150*(1+Assumptions!$B$8+IF(D3150="Yes",Assumptions!$C$8,0))</f>
        <v>105401.075</v>
      </c>
    </row>
    <row r="3151" spans="1:10" ht="15">
      <c r="A3151" s="21">
        <v>41201</v>
      </c>
      <c r="B3151" s="21">
        <v>41183</v>
      </c>
      <c r="C3151" s="17">
        <v>59</v>
      </c>
      <c r="D3151" s="17" t="s">
        <v>91</v>
      </c>
      <c r="E3151" s="14">
        <v>7791.9400000000005</v>
      </c>
      <c r="F3151" s="14">
        <v>10425.27</v>
      </c>
      <c r="G3151" s="14">
        <v>10425.27</v>
      </c>
      <c r="H3151" s="22">
        <f>F3151*(1+Assumptions!$B$6+IF(D3151="Yes",Assumptions!$C$6,0))</f>
        <v>10738.028100000001</v>
      </c>
      <c r="I3151" s="22">
        <f>F3151*(1+Assumptions!$B$7+IF(D3151="Yes",Assumptions!$C$7,0))</f>
        <v>10946.533500000001</v>
      </c>
      <c r="J3151" s="22">
        <f>F3151*(1+Assumptions!$B$8+IF(D3151="Yes",Assumptions!$C$8,0))</f>
        <v>10529.522700000001</v>
      </c>
    </row>
    <row r="3152" spans="1:10" ht="15">
      <c r="A3152" s="21">
        <v>41201</v>
      </c>
      <c r="B3152" s="21">
        <v>41183</v>
      </c>
      <c r="C3152" s="17">
        <v>60</v>
      </c>
      <c r="D3152" s="17" t="s">
        <v>91</v>
      </c>
      <c r="E3152" s="14">
        <v>13517</v>
      </c>
      <c r="F3152" s="14">
        <v>13120.38</v>
      </c>
      <c r="G3152" s="14">
        <v>13120.38</v>
      </c>
      <c r="H3152" s="22">
        <f>F3152*(1+Assumptions!$B$6+IF(D3152="Yes",Assumptions!$C$6,0))</f>
        <v>13513.991399999999</v>
      </c>
      <c r="I3152" s="22">
        <f>F3152*(1+Assumptions!$B$7+IF(D3152="Yes",Assumptions!$C$7,0))</f>
        <v>13776.398999999999</v>
      </c>
      <c r="J3152" s="22">
        <f>F3152*(1+Assumptions!$B$8+IF(D3152="Yes",Assumptions!$C$8,0))</f>
        <v>13251.583799999999</v>
      </c>
    </row>
    <row r="3153" spans="1:10" ht="15">
      <c r="A3153" s="21">
        <v>41201</v>
      </c>
      <c r="B3153" s="21">
        <v>41183</v>
      </c>
      <c r="C3153" s="17">
        <v>65</v>
      </c>
      <c r="D3153" s="17" t="s">
        <v>91</v>
      </c>
      <c r="E3153" s="14">
        <v>46625.22</v>
      </c>
      <c r="F3153" s="14">
        <v>36678.370000000003</v>
      </c>
      <c r="G3153" s="14">
        <v>36678.370000000003</v>
      </c>
      <c r="H3153" s="22">
        <f>F3153*(1+Assumptions!$B$6+IF(D3153="Yes",Assumptions!$C$6,0))</f>
        <v>37778.721100000002</v>
      </c>
      <c r="I3153" s="22">
        <f>F3153*(1+Assumptions!$B$7+IF(D3153="Yes",Assumptions!$C$7,0))</f>
        <v>38512.288500000002</v>
      </c>
      <c r="J3153" s="22">
        <f>F3153*(1+Assumptions!$B$8+IF(D3153="Yes",Assumptions!$C$8,0))</f>
        <v>37045.153700000003</v>
      </c>
    </row>
    <row r="3154" spans="1:10" ht="15">
      <c r="A3154" s="21">
        <v>41201</v>
      </c>
      <c r="B3154" s="21">
        <v>41183</v>
      </c>
      <c r="C3154" s="17">
        <v>67</v>
      </c>
      <c r="D3154" s="17" t="s">
        <v>91</v>
      </c>
      <c r="E3154" s="14">
        <v>305771.40000000002</v>
      </c>
      <c r="F3154" s="14">
        <v>290536.63</v>
      </c>
      <c r="G3154" s="14">
        <v>290536.63</v>
      </c>
      <c r="H3154" s="22">
        <f>F3154*(1+Assumptions!$B$6+IF(D3154="Yes",Assumptions!$C$6,0))</f>
        <v>299252.72889999999</v>
      </c>
      <c r="I3154" s="22">
        <f>F3154*(1+Assumptions!$B$7+IF(D3154="Yes",Assumptions!$C$7,0))</f>
        <v>305063.46150000003</v>
      </c>
      <c r="J3154" s="22">
        <f>F3154*(1+Assumptions!$B$8+IF(D3154="Yes",Assumptions!$C$8,0))</f>
        <v>293441.9963</v>
      </c>
    </row>
    <row r="3155" spans="1:10" ht="15">
      <c r="A3155" s="21">
        <v>41201</v>
      </c>
      <c r="B3155" s="21">
        <v>41183</v>
      </c>
      <c r="C3155" s="17">
        <v>71</v>
      </c>
      <c r="D3155" s="17" t="s">
        <v>91</v>
      </c>
      <c r="E3155" s="14">
        <v>173194.64</v>
      </c>
      <c r="F3155" s="14">
        <v>176322.95</v>
      </c>
      <c r="G3155" s="14">
        <v>176322.95</v>
      </c>
      <c r="H3155" s="22">
        <f>F3155*(1+Assumptions!$B$6+IF(D3155="Yes",Assumptions!$C$6,0))</f>
        <v>181612.63850000003</v>
      </c>
      <c r="I3155" s="22">
        <f>F3155*(1+Assumptions!$B$7+IF(D3155="Yes",Assumptions!$C$7,0))</f>
        <v>185139.09750000003</v>
      </c>
      <c r="J3155" s="22">
        <f>F3155*(1+Assumptions!$B$8+IF(D3155="Yes",Assumptions!$C$8,0))</f>
        <v>178086.17950000003</v>
      </c>
    </row>
    <row r="3156" spans="1:10" ht="15">
      <c r="A3156" s="21">
        <v>41201</v>
      </c>
      <c r="B3156" s="21">
        <v>41183</v>
      </c>
      <c r="C3156" s="17">
        <v>72</v>
      </c>
      <c r="D3156" s="17" t="s">
        <v>91</v>
      </c>
      <c r="E3156" s="14">
        <v>1785404.42</v>
      </c>
      <c r="F3156" s="14">
        <v>2414423.4700000002</v>
      </c>
      <c r="G3156" s="14">
        <v>2414423.4700000002</v>
      </c>
      <c r="H3156" s="22">
        <f>F3156*(1+Assumptions!$B$6+IF(D3156="Yes",Assumptions!$C$6,0))</f>
        <v>2486856.1741000004</v>
      </c>
      <c r="I3156" s="22">
        <f>F3156*(1+Assumptions!$B$7+IF(D3156="Yes",Assumptions!$C$7,0))</f>
        <v>2535144.6435000002</v>
      </c>
      <c r="J3156" s="22">
        <f>F3156*(1+Assumptions!$B$8+IF(D3156="Yes",Assumptions!$C$8,0))</f>
        <v>2438567.7047000001</v>
      </c>
    </row>
    <row r="3157" spans="1:10" ht="15">
      <c r="A3157" s="21">
        <v>41201</v>
      </c>
      <c r="B3157" s="21">
        <v>41183</v>
      </c>
      <c r="C3157" s="17">
        <v>74</v>
      </c>
      <c r="D3157" s="17" t="s">
        <v>91</v>
      </c>
      <c r="E3157" s="14">
        <v>537500</v>
      </c>
      <c r="F3157" s="14">
        <v>562050.39</v>
      </c>
      <c r="G3157" s="14">
        <v>562050.39</v>
      </c>
      <c r="H3157" s="22">
        <f>F3157*(1+Assumptions!$B$6+IF(D3157="Yes",Assumptions!$C$6,0))</f>
        <v>578911.90170000005</v>
      </c>
      <c r="I3157" s="22">
        <f>F3157*(1+Assumptions!$B$7+IF(D3157="Yes",Assumptions!$C$7,0))</f>
        <v>590152.90950000007</v>
      </c>
      <c r="J3157" s="22">
        <f>F3157*(1+Assumptions!$B$8+IF(D3157="Yes",Assumptions!$C$8,0))</f>
        <v>567670.89390000002</v>
      </c>
    </row>
    <row r="3158" spans="1:10" ht="15">
      <c r="A3158" s="21">
        <v>41201</v>
      </c>
      <c r="B3158" s="21">
        <v>41183</v>
      </c>
      <c r="C3158" s="17">
        <v>79</v>
      </c>
      <c r="D3158" s="17" t="s">
        <v>91</v>
      </c>
      <c r="E3158" s="14">
        <v>918291.04</v>
      </c>
      <c r="F3158" s="14">
        <v>905240.57000000007</v>
      </c>
      <c r="G3158" s="14">
        <v>905240.57000000007</v>
      </c>
      <c r="H3158" s="22">
        <f>F3158*(1+Assumptions!$B$6+IF(D3158="Yes",Assumptions!$C$6,0))</f>
        <v>932397.78710000007</v>
      </c>
      <c r="I3158" s="22">
        <f>F3158*(1+Assumptions!$B$7+IF(D3158="Yes",Assumptions!$C$7,0))</f>
        <v>950502.59850000008</v>
      </c>
      <c r="J3158" s="22">
        <f>F3158*(1+Assumptions!$B$8+IF(D3158="Yes",Assumptions!$C$8,0))</f>
        <v>914292.97570000007</v>
      </c>
    </row>
    <row r="3159" spans="1:10" ht="15">
      <c r="A3159" s="21">
        <v>41201</v>
      </c>
      <c r="B3159" s="21">
        <v>41183</v>
      </c>
      <c r="C3159" s="17">
        <v>80</v>
      </c>
      <c r="D3159" s="17" t="s">
        <v>91</v>
      </c>
      <c r="E3159" s="14">
        <v>493498.6</v>
      </c>
      <c r="F3159" s="14">
        <v>495551.59</v>
      </c>
      <c r="G3159" s="14">
        <v>495551.59</v>
      </c>
      <c r="H3159" s="22">
        <f>F3159*(1+Assumptions!$B$6+IF(D3159="Yes",Assumptions!$C$6,0))</f>
        <v>510418.13770000002</v>
      </c>
      <c r="I3159" s="22">
        <f>F3159*(1+Assumptions!$B$7+IF(D3159="Yes",Assumptions!$C$7,0))</f>
        <v>520329.16950000008</v>
      </c>
      <c r="J3159" s="22">
        <f>F3159*(1+Assumptions!$B$8+IF(D3159="Yes",Assumptions!$C$8,0))</f>
        <v>500507.10590000002</v>
      </c>
    </row>
    <row r="3160" spans="1:10" ht="15">
      <c r="A3160" s="21">
        <v>41201</v>
      </c>
      <c r="B3160" s="21">
        <v>41183</v>
      </c>
      <c r="C3160" s="17">
        <v>81</v>
      </c>
      <c r="D3160" s="17" t="s">
        <v>91</v>
      </c>
      <c r="E3160" s="14">
        <v>678739.8</v>
      </c>
      <c r="F3160" s="14">
        <v>669770.61</v>
      </c>
      <c r="G3160" s="14">
        <v>669770.61</v>
      </c>
      <c r="H3160" s="22">
        <f>F3160*(1+Assumptions!$B$6+IF(D3160="Yes",Assumptions!$C$6,0))</f>
        <v>689863.72829999996</v>
      </c>
      <c r="I3160" s="22">
        <f>F3160*(1+Assumptions!$B$7+IF(D3160="Yes",Assumptions!$C$7,0))</f>
        <v>703259.14049999998</v>
      </c>
      <c r="J3160" s="22">
        <f>F3160*(1+Assumptions!$B$8+IF(D3160="Yes",Assumptions!$C$8,0))</f>
        <v>676468.31609999994</v>
      </c>
    </row>
    <row r="3161" spans="1:10" ht="15">
      <c r="A3161" s="21">
        <v>41201</v>
      </c>
      <c r="B3161" s="21">
        <v>41183</v>
      </c>
      <c r="C3161" s="17">
        <v>82</v>
      </c>
      <c r="D3161" s="17" t="s">
        <v>91</v>
      </c>
      <c r="E3161" s="14">
        <v>690125.53</v>
      </c>
      <c r="F3161" s="14">
        <v>656042.72</v>
      </c>
      <c r="G3161" s="14">
        <v>656042.72</v>
      </c>
      <c r="H3161" s="22">
        <f>F3161*(1+Assumptions!$B$6+IF(D3161="Yes",Assumptions!$C$6,0))</f>
        <v>675724.00159999996</v>
      </c>
      <c r="I3161" s="22">
        <f>F3161*(1+Assumptions!$B$7+IF(D3161="Yes",Assumptions!$C$7,0))</f>
        <v>688844.85600000003</v>
      </c>
      <c r="J3161" s="22">
        <f>F3161*(1+Assumptions!$B$8+IF(D3161="Yes",Assumptions!$C$8,0))</f>
        <v>662603.14720000001</v>
      </c>
    </row>
    <row r="3162" spans="1:10" ht="15">
      <c r="A3162" s="21">
        <v>41201</v>
      </c>
      <c r="B3162" s="21">
        <v>41183</v>
      </c>
      <c r="C3162" s="17">
        <v>83</v>
      </c>
      <c r="D3162" s="17" t="s">
        <v>91</v>
      </c>
      <c r="E3162" s="14">
        <v>123341.49</v>
      </c>
      <c r="F3162" s="14">
        <v>113960.5</v>
      </c>
      <c r="G3162" s="14">
        <v>113960.5</v>
      </c>
      <c r="H3162" s="22">
        <f>F3162*(1+Assumptions!$B$6+IF(D3162="Yes",Assumptions!$C$6,0))</f>
        <v>117379.315</v>
      </c>
      <c r="I3162" s="22">
        <f>F3162*(1+Assumptions!$B$7+IF(D3162="Yes",Assumptions!$C$7,0))</f>
        <v>119658.52500000001</v>
      </c>
      <c r="J3162" s="22">
        <f>F3162*(1+Assumptions!$B$8+IF(D3162="Yes",Assumptions!$C$8,0))</f>
        <v>115100.105</v>
      </c>
    </row>
    <row r="3163" spans="1:10" ht="15">
      <c r="A3163" s="21">
        <v>41201</v>
      </c>
      <c r="B3163" s="21">
        <v>41183</v>
      </c>
      <c r="C3163" s="17">
        <v>85</v>
      </c>
      <c r="D3163" s="17" t="s">
        <v>91</v>
      </c>
      <c r="E3163" s="14">
        <v>77988.19</v>
      </c>
      <c r="F3163" s="14">
        <v>86615.87</v>
      </c>
      <c r="G3163" s="14">
        <v>86615.87</v>
      </c>
      <c r="H3163" s="22">
        <f>F3163*(1+Assumptions!$B$6+IF(D3163="Yes",Assumptions!$C$6,0))</f>
        <v>89214.346099999995</v>
      </c>
      <c r="I3163" s="22">
        <f>F3163*(1+Assumptions!$B$7+IF(D3163="Yes",Assumptions!$C$7,0))</f>
        <v>90946.663499999995</v>
      </c>
      <c r="J3163" s="22">
        <f>F3163*(1+Assumptions!$B$8+IF(D3163="Yes",Assumptions!$C$8,0))</f>
        <v>87482.028699999995</v>
      </c>
    </row>
    <row r="3164" spans="1:10" ht="15">
      <c r="A3164" s="21">
        <v>41201</v>
      </c>
      <c r="B3164" s="21">
        <v>41183</v>
      </c>
      <c r="C3164" s="17">
        <v>87</v>
      </c>
      <c r="D3164" s="17" t="s">
        <v>91</v>
      </c>
      <c r="E3164" s="14">
        <v>645369.76</v>
      </c>
      <c r="F3164" s="14">
        <v>606659.37</v>
      </c>
      <c r="G3164" s="14">
        <v>606659.37</v>
      </c>
      <c r="H3164" s="22">
        <f>F3164*(1+Assumptions!$B$6+IF(D3164="Yes",Assumptions!$C$6,0))</f>
        <v>624859.15110000002</v>
      </c>
      <c r="I3164" s="22">
        <f>F3164*(1+Assumptions!$B$7+IF(D3164="Yes",Assumptions!$C$7,0))</f>
        <v>636992.33850000007</v>
      </c>
      <c r="J3164" s="22">
        <f>F3164*(1+Assumptions!$B$8+IF(D3164="Yes",Assumptions!$C$8,0))</f>
        <v>612725.96369999996</v>
      </c>
    </row>
    <row r="3165" spans="1:10" ht="15">
      <c r="A3165" s="21">
        <v>41201</v>
      </c>
      <c r="B3165" s="21">
        <v>41183</v>
      </c>
      <c r="C3165" s="17">
        <v>90</v>
      </c>
      <c r="D3165" s="17" t="s">
        <v>91</v>
      </c>
      <c r="E3165" s="14">
        <v>2106716.25</v>
      </c>
      <c r="F3165" s="14">
        <v>2098165.9700000002</v>
      </c>
      <c r="G3165" s="14">
        <v>2098165.9700000002</v>
      </c>
      <c r="H3165" s="22">
        <f>F3165*(1+Assumptions!$B$6+IF(D3165="Yes",Assumptions!$C$6,0))</f>
        <v>2161110.9491000003</v>
      </c>
      <c r="I3165" s="22">
        <f>F3165*(1+Assumptions!$B$7+IF(D3165="Yes",Assumptions!$C$7,0))</f>
        <v>2203074.2685000002</v>
      </c>
      <c r="J3165" s="22">
        <f>F3165*(1+Assumptions!$B$8+IF(D3165="Yes",Assumptions!$C$8,0))</f>
        <v>2119147.6297000004</v>
      </c>
    </row>
    <row r="3166" spans="1:10" ht="15">
      <c r="A3166" s="21">
        <v>41201</v>
      </c>
      <c r="B3166" s="21">
        <v>41183</v>
      </c>
      <c r="C3166" s="17">
        <v>91</v>
      </c>
      <c r="D3166" s="17" t="s">
        <v>91</v>
      </c>
      <c r="E3166" s="14">
        <v>1492627.75</v>
      </c>
      <c r="F3166" s="14">
        <v>1488245.47</v>
      </c>
      <c r="G3166" s="14">
        <v>1488245.47</v>
      </c>
      <c r="H3166" s="22">
        <f>F3166*(1+Assumptions!$B$6+IF(D3166="Yes",Assumptions!$C$6,0))</f>
        <v>1532892.8341000001</v>
      </c>
      <c r="I3166" s="22">
        <f>F3166*(1+Assumptions!$B$7+IF(D3166="Yes",Assumptions!$C$7,0))</f>
        <v>1562657.7435000001</v>
      </c>
      <c r="J3166" s="22">
        <f>F3166*(1+Assumptions!$B$8+IF(D3166="Yes",Assumptions!$C$8,0))</f>
        <v>1503127.9247000001</v>
      </c>
    </row>
    <row r="3167" spans="1:10" ht="15">
      <c r="A3167" s="21">
        <v>41201</v>
      </c>
      <c r="B3167" s="21">
        <v>41183</v>
      </c>
      <c r="C3167" s="17">
        <v>92</v>
      </c>
      <c r="D3167" s="17" t="s">
        <v>91</v>
      </c>
      <c r="E3167" s="14">
        <v>3570802.32</v>
      </c>
      <c r="F3167" s="14">
        <v>3426960.31</v>
      </c>
      <c r="G3167" s="14">
        <v>3426960.31</v>
      </c>
      <c r="H3167" s="22">
        <f>F3167*(1+Assumptions!$B$6+IF(D3167="Yes",Assumptions!$C$6,0))</f>
        <v>3529769.1193000004</v>
      </c>
      <c r="I3167" s="22">
        <f>F3167*(1+Assumptions!$B$7+IF(D3167="Yes",Assumptions!$C$7,0))</f>
        <v>3598308.3255000003</v>
      </c>
      <c r="J3167" s="22">
        <f>F3167*(1+Assumptions!$B$8+IF(D3167="Yes",Assumptions!$C$8,0))</f>
        <v>3461229.9131</v>
      </c>
    </row>
    <row r="3168" spans="1:10" ht="15">
      <c r="A3168" s="21">
        <v>41201</v>
      </c>
      <c r="B3168" s="21">
        <v>41183</v>
      </c>
      <c r="C3168" s="17">
        <v>93</v>
      </c>
      <c r="D3168" s="17" t="s">
        <v>91</v>
      </c>
      <c r="E3168" s="14">
        <v>1110092.0900000001</v>
      </c>
      <c r="F3168" s="14">
        <v>1044496.1</v>
      </c>
      <c r="G3168" s="14">
        <v>1044496.1</v>
      </c>
      <c r="H3168" s="22">
        <f>F3168*(1+Assumptions!$B$6+IF(D3168="Yes",Assumptions!$C$6,0))</f>
        <v>1075830.983</v>
      </c>
      <c r="I3168" s="22">
        <f>F3168*(1+Assumptions!$B$7+IF(D3168="Yes",Assumptions!$C$7,0))</f>
        <v>1096720.905</v>
      </c>
      <c r="J3168" s="22">
        <f>F3168*(1+Assumptions!$B$8+IF(D3168="Yes",Assumptions!$C$8,0))</f>
        <v>1054941.061</v>
      </c>
    </row>
    <row r="3169" spans="1:10" ht="15">
      <c r="A3169" s="21">
        <v>41201</v>
      </c>
      <c r="B3169" s="21">
        <v>41183</v>
      </c>
      <c r="C3169" s="17">
        <v>94</v>
      </c>
      <c r="D3169" s="17" t="s">
        <v>91</v>
      </c>
      <c r="E3169" s="14">
        <v>1303870.58</v>
      </c>
      <c r="F3169" s="14">
        <v>1228036.74</v>
      </c>
      <c r="G3169" s="14">
        <v>1228036.74</v>
      </c>
      <c r="H3169" s="22">
        <f>F3169*(1+Assumptions!$B$6+IF(D3169="Yes",Assumptions!$C$6,0))</f>
        <v>1264877.8422000001</v>
      </c>
      <c r="I3169" s="22">
        <f>F3169*(1+Assumptions!$B$7+IF(D3169="Yes",Assumptions!$C$7,0))</f>
        <v>1289438.577</v>
      </c>
      <c r="J3169" s="22">
        <f>F3169*(1+Assumptions!$B$8+IF(D3169="Yes",Assumptions!$C$8,0))</f>
        <v>1240317.1074000001</v>
      </c>
    </row>
    <row r="3170" spans="1:10" ht="15">
      <c r="A3170" s="21">
        <v>41201</v>
      </c>
      <c r="B3170" s="21">
        <v>41183</v>
      </c>
      <c r="C3170" s="17">
        <v>95</v>
      </c>
      <c r="D3170" s="17" t="s">
        <v>91</v>
      </c>
      <c r="E3170" s="14">
        <v>3017913.92</v>
      </c>
      <c r="F3170" s="14">
        <v>3029088.43</v>
      </c>
      <c r="G3170" s="14">
        <v>3029088.43</v>
      </c>
      <c r="H3170" s="22">
        <f>F3170*(1+Assumptions!$B$6+IF(D3170="Yes",Assumptions!$C$6,0))</f>
        <v>3119961.0829000003</v>
      </c>
      <c r="I3170" s="22">
        <f>F3170*(1+Assumptions!$B$7+IF(D3170="Yes",Assumptions!$C$7,0))</f>
        <v>3180542.8515000003</v>
      </c>
      <c r="J3170" s="22">
        <f>F3170*(1+Assumptions!$B$8+IF(D3170="Yes",Assumptions!$C$8,0))</f>
        <v>3059379.3143000002</v>
      </c>
    </row>
    <row r="3171" spans="1:10" ht="15">
      <c r="A3171" s="21">
        <v>41201</v>
      </c>
      <c r="B3171" s="21">
        <v>41183</v>
      </c>
      <c r="C3171" s="17">
        <v>96</v>
      </c>
      <c r="D3171" s="17" t="s">
        <v>91</v>
      </c>
      <c r="E3171" s="14">
        <v>533285.9</v>
      </c>
      <c r="F3171" s="14">
        <v>504338.84</v>
      </c>
      <c r="G3171" s="14">
        <v>504338.84</v>
      </c>
      <c r="H3171" s="22">
        <f>F3171*(1+Assumptions!$B$6+IF(D3171="Yes",Assumptions!$C$6,0))</f>
        <v>519469.00520000001</v>
      </c>
      <c r="I3171" s="22">
        <f>F3171*(1+Assumptions!$B$7+IF(D3171="Yes",Assumptions!$C$7,0))</f>
        <v>529555.78200000001</v>
      </c>
      <c r="J3171" s="22">
        <f>F3171*(1+Assumptions!$B$8+IF(D3171="Yes",Assumptions!$C$8,0))</f>
        <v>509382.22840000002</v>
      </c>
    </row>
    <row r="3172" spans="1:10" ht="15">
      <c r="A3172" s="21">
        <v>41201</v>
      </c>
      <c r="B3172" s="21">
        <v>41183</v>
      </c>
      <c r="C3172" s="17">
        <v>97</v>
      </c>
      <c r="D3172" s="17" t="s">
        <v>91</v>
      </c>
      <c r="E3172" s="14">
        <v>618701.15</v>
      </c>
      <c r="F3172" s="14">
        <v>607283.84</v>
      </c>
      <c r="G3172" s="14">
        <v>607283.84</v>
      </c>
      <c r="H3172" s="22">
        <f>F3172*(1+Assumptions!$B$6+IF(D3172="Yes",Assumptions!$C$6,0))</f>
        <v>625502.35519999999</v>
      </c>
      <c r="I3172" s="22">
        <f>F3172*(1+Assumptions!$B$7+IF(D3172="Yes",Assumptions!$C$7,0))</f>
        <v>637648.03200000001</v>
      </c>
      <c r="J3172" s="22">
        <f>F3172*(1+Assumptions!$B$8+IF(D3172="Yes",Assumptions!$C$8,0))</f>
        <v>613356.67839999998</v>
      </c>
    </row>
    <row r="3173" spans="1:10" ht="15">
      <c r="A3173" s="21">
        <v>41201</v>
      </c>
      <c r="B3173" s="21">
        <v>41183</v>
      </c>
      <c r="C3173" s="17">
        <v>98</v>
      </c>
      <c r="D3173" s="17" t="s">
        <v>91</v>
      </c>
      <c r="E3173" s="14">
        <v>292415.19</v>
      </c>
      <c r="F3173" s="14">
        <v>291454.27999999997</v>
      </c>
      <c r="G3173" s="14">
        <v>291454.27999999997</v>
      </c>
      <c r="H3173" s="22">
        <f>F3173*(1+Assumptions!$B$6+IF(D3173="Yes",Assumptions!$C$6,0))</f>
        <v>300197.90839999996</v>
      </c>
      <c r="I3173" s="22">
        <f>F3173*(1+Assumptions!$B$7+IF(D3173="Yes",Assumptions!$C$7,0))</f>
        <v>306026.99400000001</v>
      </c>
      <c r="J3173" s="22">
        <f>F3173*(1+Assumptions!$B$8+IF(D3173="Yes",Assumptions!$C$8,0))</f>
        <v>294368.82279999997</v>
      </c>
    </row>
    <row r="3174" spans="1:10" ht="15">
      <c r="A3174" s="21">
        <v>41208</v>
      </c>
      <c r="B3174" s="21">
        <v>41183</v>
      </c>
      <c r="C3174" s="17">
        <v>1</v>
      </c>
      <c r="D3174" s="17" t="s">
        <v>91</v>
      </c>
      <c r="E3174" s="14">
        <v>1295180.0900000001</v>
      </c>
      <c r="F3174" s="14">
        <v>1500794.42</v>
      </c>
      <c r="G3174" s="14">
        <v>1500794.42</v>
      </c>
      <c r="H3174" s="22">
        <f>F3174*(1+Assumptions!$B$6+IF(D3174="Yes",Assumptions!$C$6,0))</f>
        <v>1545818.2526</v>
      </c>
      <c r="I3174" s="22">
        <f>F3174*(1+Assumptions!$B$7+IF(D3174="Yes",Assumptions!$C$7,0))</f>
        <v>1575834.1410000001</v>
      </c>
      <c r="J3174" s="22">
        <f>F3174*(1+Assumptions!$B$8+IF(D3174="Yes",Assumptions!$C$8,0))</f>
        <v>1515802.3642</v>
      </c>
    </row>
    <row r="3175" spans="1:10" ht="15">
      <c r="A3175" s="21">
        <v>41208</v>
      </c>
      <c r="B3175" s="21">
        <v>41183</v>
      </c>
      <c r="C3175" s="17">
        <v>2</v>
      </c>
      <c r="D3175" s="17" t="s">
        <v>91</v>
      </c>
      <c r="E3175" s="14">
        <v>1871912.1500000001</v>
      </c>
      <c r="F3175" s="14">
        <v>1840577.85</v>
      </c>
      <c r="G3175" s="14">
        <v>1840577.85</v>
      </c>
      <c r="H3175" s="22">
        <f>F3175*(1+Assumptions!$B$6+IF(D3175="Yes",Assumptions!$C$6,0))</f>
        <v>1895795.1855000001</v>
      </c>
      <c r="I3175" s="22">
        <f>F3175*(1+Assumptions!$B$7+IF(D3175="Yes",Assumptions!$C$7,0))</f>
        <v>1932606.7425000002</v>
      </c>
      <c r="J3175" s="22">
        <f>F3175*(1+Assumptions!$B$8+IF(D3175="Yes",Assumptions!$C$8,0))</f>
        <v>1858983.6285000001</v>
      </c>
    </row>
    <row r="3176" spans="1:10" ht="15">
      <c r="A3176" s="21">
        <v>41208</v>
      </c>
      <c r="B3176" s="21">
        <v>41183</v>
      </c>
      <c r="C3176" s="17">
        <v>3</v>
      </c>
      <c r="D3176" s="17" t="s">
        <v>91</v>
      </c>
      <c r="E3176" s="14">
        <v>348032.25</v>
      </c>
      <c r="F3176" s="14">
        <v>341737.12</v>
      </c>
      <c r="G3176" s="14">
        <v>341737.12</v>
      </c>
      <c r="H3176" s="22">
        <f>F3176*(1+Assumptions!$B$6+IF(D3176="Yes",Assumptions!$C$6,0))</f>
        <v>351989.23359999998</v>
      </c>
      <c r="I3176" s="22">
        <f>F3176*(1+Assumptions!$B$7+IF(D3176="Yes",Assumptions!$C$7,0))</f>
        <v>358823.97600000002</v>
      </c>
      <c r="J3176" s="22">
        <f>F3176*(1+Assumptions!$B$8+IF(D3176="Yes",Assumptions!$C$8,0))</f>
        <v>345154.49119999999</v>
      </c>
    </row>
    <row r="3177" spans="1:10" ht="15">
      <c r="A3177" s="21">
        <v>41208</v>
      </c>
      <c r="B3177" s="21">
        <v>41183</v>
      </c>
      <c r="C3177" s="17">
        <v>4</v>
      </c>
      <c r="D3177" s="17" t="s">
        <v>91</v>
      </c>
      <c r="E3177" s="14">
        <v>1151035.43</v>
      </c>
      <c r="F3177" s="14">
        <v>1116052.48</v>
      </c>
      <c r="G3177" s="14">
        <v>1116052.48</v>
      </c>
      <c r="H3177" s="22">
        <f>F3177*(1+Assumptions!$B$6+IF(D3177="Yes",Assumptions!$C$6,0))</f>
        <v>1149534.0544</v>
      </c>
      <c r="I3177" s="22">
        <f>F3177*(1+Assumptions!$B$7+IF(D3177="Yes",Assumptions!$C$7,0))</f>
        <v>1171855.1040000001</v>
      </c>
      <c r="J3177" s="22">
        <f>F3177*(1+Assumptions!$B$8+IF(D3177="Yes",Assumptions!$C$8,0))</f>
        <v>1127213.0048</v>
      </c>
    </row>
    <row r="3178" spans="1:10" ht="15">
      <c r="A3178" s="21">
        <v>41208</v>
      </c>
      <c r="B3178" s="21">
        <v>41183</v>
      </c>
      <c r="C3178" s="17">
        <v>5</v>
      </c>
      <c r="D3178" s="17" t="s">
        <v>91</v>
      </c>
      <c r="E3178" s="14">
        <v>884644.80999999994</v>
      </c>
      <c r="F3178" s="14">
        <v>986102</v>
      </c>
      <c r="G3178" s="14">
        <v>986102</v>
      </c>
      <c r="H3178" s="22">
        <f>F3178*(1+Assumptions!$B$6+IF(D3178="Yes",Assumptions!$C$6,0))</f>
        <v>1015685.06</v>
      </c>
      <c r="I3178" s="22">
        <f>F3178*(1+Assumptions!$B$7+IF(D3178="Yes",Assumptions!$C$7,0))</f>
        <v>1035407.1000000001</v>
      </c>
      <c r="J3178" s="22">
        <f>F3178*(1+Assumptions!$B$8+IF(D3178="Yes",Assumptions!$C$8,0))</f>
        <v>995963.02</v>
      </c>
    </row>
    <row r="3179" spans="1:10" ht="15">
      <c r="A3179" s="21">
        <v>41208</v>
      </c>
      <c r="B3179" s="21">
        <v>41183</v>
      </c>
      <c r="C3179" s="17">
        <v>6</v>
      </c>
      <c r="D3179" s="17" t="s">
        <v>91</v>
      </c>
      <c r="E3179" s="14">
        <v>120232.07</v>
      </c>
      <c r="F3179" s="14">
        <v>162403.26999999999</v>
      </c>
      <c r="G3179" s="14">
        <v>162403.26999999999</v>
      </c>
      <c r="H3179" s="22">
        <f>F3179*(1+Assumptions!$B$6+IF(D3179="Yes",Assumptions!$C$6,0))</f>
        <v>167275.36809999999</v>
      </c>
      <c r="I3179" s="22">
        <f>F3179*(1+Assumptions!$B$7+IF(D3179="Yes",Assumptions!$C$7,0))</f>
        <v>170523.43349999998</v>
      </c>
      <c r="J3179" s="22">
        <f>F3179*(1+Assumptions!$B$8+IF(D3179="Yes",Assumptions!$C$8,0))</f>
        <v>164027.3027</v>
      </c>
    </row>
    <row r="3180" spans="1:10" ht="15">
      <c r="A3180" s="21">
        <v>41208</v>
      </c>
      <c r="B3180" s="21">
        <v>41183</v>
      </c>
      <c r="C3180" s="17">
        <v>7</v>
      </c>
      <c r="D3180" s="17" t="s">
        <v>91</v>
      </c>
      <c r="E3180" s="14">
        <v>919588.42</v>
      </c>
      <c r="F3180" s="14">
        <v>1033109.88</v>
      </c>
      <c r="G3180" s="14">
        <v>1033109.88</v>
      </c>
      <c r="H3180" s="22">
        <f>F3180*(1+Assumptions!$B$6+IF(D3180="Yes",Assumptions!$C$6,0))</f>
        <v>1064103.1764</v>
      </c>
      <c r="I3180" s="22">
        <f>F3180*(1+Assumptions!$B$7+IF(D3180="Yes",Assumptions!$C$7,0))</f>
        <v>1084765.3740000001</v>
      </c>
      <c r="J3180" s="22">
        <f>F3180*(1+Assumptions!$B$8+IF(D3180="Yes",Assumptions!$C$8,0))</f>
        <v>1043440.9788</v>
      </c>
    </row>
    <row r="3181" spans="1:10" ht="15">
      <c r="A3181" s="21">
        <v>41208</v>
      </c>
      <c r="B3181" s="21">
        <v>41183</v>
      </c>
      <c r="C3181" s="17">
        <v>8</v>
      </c>
      <c r="D3181" s="17" t="s">
        <v>91</v>
      </c>
      <c r="E3181" s="14">
        <v>1419593.31</v>
      </c>
      <c r="F3181" s="14">
        <v>1345712.45</v>
      </c>
      <c r="G3181" s="14">
        <v>1345712.45</v>
      </c>
      <c r="H3181" s="22">
        <f>F3181*(1+Assumptions!$B$6+IF(D3181="Yes",Assumptions!$C$6,0))</f>
        <v>1386083.8234999999</v>
      </c>
      <c r="I3181" s="22">
        <f>F3181*(1+Assumptions!$B$7+IF(D3181="Yes",Assumptions!$C$7,0))</f>
        <v>1412998.0725</v>
      </c>
      <c r="J3181" s="22">
        <f>F3181*(1+Assumptions!$B$8+IF(D3181="Yes",Assumptions!$C$8,0))</f>
        <v>1359169.5744999999</v>
      </c>
    </row>
    <row r="3182" spans="1:10" ht="15">
      <c r="A3182" s="21">
        <v>41208</v>
      </c>
      <c r="B3182" s="21">
        <v>41183</v>
      </c>
      <c r="C3182" s="17">
        <v>9</v>
      </c>
      <c r="D3182" s="17" t="s">
        <v>91</v>
      </c>
      <c r="E3182" s="14">
        <v>836914.38</v>
      </c>
      <c r="F3182" s="14">
        <v>729834.31</v>
      </c>
      <c r="G3182" s="14">
        <v>729834.31</v>
      </c>
      <c r="H3182" s="22">
        <f>F3182*(1+Assumptions!$B$6+IF(D3182="Yes",Assumptions!$C$6,0))</f>
        <v>751729.33930000011</v>
      </c>
      <c r="I3182" s="22">
        <f>F3182*(1+Assumptions!$B$7+IF(D3182="Yes",Assumptions!$C$7,0))</f>
        <v>766326.02550000011</v>
      </c>
      <c r="J3182" s="22">
        <f>F3182*(1+Assumptions!$B$8+IF(D3182="Yes",Assumptions!$C$8,0))</f>
        <v>737132.65310000011</v>
      </c>
    </row>
    <row r="3183" spans="1:10" ht="15">
      <c r="A3183" s="21">
        <v>41208</v>
      </c>
      <c r="B3183" s="21">
        <v>41183</v>
      </c>
      <c r="C3183" s="17">
        <v>10</v>
      </c>
      <c r="D3183" s="17" t="s">
        <v>91</v>
      </c>
      <c r="E3183" s="14">
        <v>845480.92</v>
      </c>
      <c r="F3183" s="14">
        <v>882048.55</v>
      </c>
      <c r="G3183" s="14">
        <v>882048.55</v>
      </c>
      <c r="H3183" s="22">
        <f>F3183*(1+Assumptions!$B$6+IF(D3183="Yes",Assumptions!$C$6,0))</f>
        <v>908510.00650000002</v>
      </c>
      <c r="I3183" s="22">
        <f>F3183*(1+Assumptions!$B$7+IF(D3183="Yes",Assumptions!$C$7,0))</f>
        <v>926150.97750000004</v>
      </c>
      <c r="J3183" s="22">
        <f>F3183*(1+Assumptions!$B$8+IF(D3183="Yes",Assumptions!$C$8,0))</f>
        <v>890869.0355</v>
      </c>
    </row>
    <row r="3184" spans="1:10" ht="15">
      <c r="A3184" s="21">
        <v>41208</v>
      </c>
      <c r="B3184" s="21">
        <v>41183</v>
      </c>
      <c r="C3184" s="17">
        <v>11</v>
      </c>
      <c r="D3184" s="17" t="s">
        <v>91</v>
      </c>
      <c r="E3184" s="14">
        <v>561561.74</v>
      </c>
      <c r="F3184" s="14">
        <v>607944.97</v>
      </c>
      <c r="G3184" s="14">
        <v>607944.97</v>
      </c>
      <c r="H3184" s="22">
        <f>F3184*(1+Assumptions!$B$6+IF(D3184="Yes",Assumptions!$C$6,0))</f>
        <v>626183.31909999996</v>
      </c>
      <c r="I3184" s="22">
        <f>F3184*(1+Assumptions!$B$7+IF(D3184="Yes",Assumptions!$C$7,0))</f>
        <v>638342.21849999996</v>
      </c>
      <c r="J3184" s="22">
        <f>F3184*(1+Assumptions!$B$8+IF(D3184="Yes",Assumptions!$C$8,0))</f>
        <v>614024.41969999997</v>
      </c>
    </row>
    <row r="3185" spans="1:10" ht="15">
      <c r="A3185" s="21">
        <v>41208</v>
      </c>
      <c r="B3185" s="21">
        <v>41183</v>
      </c>
      <c r="C3185" s="17">
        <v>12</v>
      </c>
      <c r="D3185" s="17" t="s">
        <v>91</v>
      </c>
      <c r="E3185" s="14">
        <v>183051.8</v>
      </c>
      <c r="F3185" s="14">
        <v>187173.65</v>
      </c>
      <c r="G3185" s="14">
        <v>187173.65</v>
      </c>
      <c r="H3185" s="22">
        <f>F3185*(1+Assumptions!$B$6+IF(D3185="Yes",Assumptions!$C$6,0))</f>
        <v>192788.85949999999</v>
      </c>
      <c r="I3185" s="22">
        <f>F3185*(1+Assumptions!$B$7+IF(D3185="Yes",Assumptions!$C$7,0))</f>
        <v>196532.33249999999</v>
      </c>
      <c r="J3185" s="22">
        <f>F3185*(1+Assumptions!$B$8+IF(D3185="Yes",Assumptions!$C$8,0))</f>
        <v>189045.38649999999</v>
      </c>
    </row>
    <row r="3186" spans="1:10" ht="15">
      <c r="A3186" s="21">
        <v>41208</v>
      </c>
      <c r="B3186" s="21">
        <v>41183</v>
      </c>
      <c r="C3186" s="17">
        <v>13</v>
      </c>
      <c r="D3186" s="17" t="s">
        <v>91</v>
      </c>
      <c r="E3186" s="14">
        <v>1352299.51</v>
      </c>
      <c r="F3186" s="14">
        <v>1342441.57</v>
      </c>
      <c r="G3186" s="14">
        <v>1342441.57</v>
      </c>
      <c r="H3186" s="22">
        <f>F3186*(1+Assumptions!$B$6+IF(D3186="Yes",Assumptions!$C$6,0))</f>
        <v>1382714.8171000001</v>
      </c>
      <c r="I3186" s="22">
        <f>F3186*(1+Assumptions!$B$7+IF(D3186="Yes",Assumptions!$C$7,0))</f>
        <v>1409563.6485000001</v>
      </c>
      <c r="J3186" s="22">
        <f>F3186*(1+Assumptions!$B$8+IF(D3186="Yes",Assumptions!$C$8,0))</f>
        <v>1355865.9857000001</v>
      </c>
    </row>
    <row r="3187" spans="1:10" ht="15">
      <c r="A3187" s="21">
        <v>41208</v>
      </c>
      <c r="B3187" s="21">
        <v>41183</v>
      </c>
      <c r="C3187" s="17">
        <v>14</v>
      </c>
      <c r="D3187" s="17" t="s">
        <v>91</v>
      </c>
      <c r="E3187" s="14">
        <v>580733.35</v>
      </c>
      <c r="F3187" s="14">
        <v>584939.1</v>
      </c>
      <c r="G3187" s="14">
        <v>584939.1</v>
      </c>
      <c r="H3187" s="22">
        <f>F3187*(1+Assumptions!$B$6+IF(D3187="Yes",Assumptions!$C$6,0))</f>
        <v>602487.27300000004</v>
      </c>
      <c r="I3187" s="22">
        <f>F3187*(1+Assumptions!$B$7+IF(D3187="Yes",Assumptions!$C$7,0))</f>
        <v>614186.05500000005</v>
      </c>
      <c r="J3187" s="22">
        <f>F3187*(1+Assumptions!$B$8+IF(D3187="Yes",Assumptions!$C$8,0))</f>
        <v>590788.49100000004</v>
      </c>
    </row>
    <row r="3188" spans="1:10" ht="15">
      <c r="A3188" s="21">
        <v>41208</v>
      </c>
      <c r="B3188" s="21">
        <v>41183</v>
      </c>
      <c r="C3188" s="17">
        <v>16</v>
      </c>
      <c r="D3188" s="17" t="s">
        <v>91</v>
      </c>
      <c r="E3188" s="14">
        <v>187242.27</v>
      </c>
      <c r="F3188" s="14">
        <v>191384.49</v>
      </c>
      <c r="G3188" s="14">
        <v>191384.49</v>
      </c>
      <c r="H3188" s="22">
        <f>F3188*(1+Assumptions!$B$6+IF(D3188="Yes",Assumptions!$C$6,0))</f>
        <v>197126.02470000001</v>
      </c>
      <c r="I3188" s="22">
        <f>F3188*(1+Assumptions!$B$7+IF(D3188="Yes",Assumptions!$C$7,0))</f>
        <v>200953.7145</v>
      </c>
      <c r="J3188" s="22">
        <f>F3188*(1+Assumptions!$B$8+IF(D3188="Yes",Assumptions!$C$8,0))</f>
        <v>193298.33489999999</v>
      </c>
    </row>
    <row r="3189" spans="1:10" ht="15">
      <c r="A3189" s="21">
        <v>41208</v>
      </c>
      <c r="B3189" s="21">
        <v>41183</v>
      </c>
      <c r="C3189" s="17">
        <v>17</v>
      </c>
      <c r="D3189" s="17" t="s">
        <v>91</v>
      </c>
      <c r="E3189" s="14">
        <v>438483.48</v>
      </c>
      <c r="F3189" s="14">
        <v>432216.96</v>
      </c>
      <c r="G3189" s="14">
        <v>432216.96</v>
      </c>
      <c r="H3189" s="22">
        <f>F3189*(1+Assumptions!$B$6+IF(D3189="Yes",Assumptions!$C$6,0))</f>
        <v>445183.46880000003</v>
      </c>
      <c r="I3189" s="22">
        <f>F3189*(1+Assumptions!$B$7+IF(D3189="Yes",Assumptions!$C$7,0))</f>
        <v>453827.80800000002</v>
      </c>
      <c r="J3189" s="22">
        <f>F3189*(1+Assumptions!$B$8+IF(D3189="Yes",Assumptions!$C$8,0))</f>
        <v>436539.12960000004</v>
      </c>
    </row>
    <row r="3190" spans="1:10" ht="15">
      <c r="A3190" s="21">
        <v>41208</v>
      </c>
      <c r="B3190" s="21">
        <v>41183</v>
      </c>
      <c r="C3190" s="17">
        <v>18</v>
      </c>
      <c r="D3190" s="17" t="s">
        <v>91</v>
      </c>
      <c r="E3190" s="14">
        <v>703747.59</v>
      </c>
      <c r="F3190" s="14">
        <v>813240.36</v>
      </c>
      <c r="G3190" s="14">
        <v>813240.36</v>
      </c>
      <c r="H3190" s="22">
        <f>F3190*(1+Assumptions!$B$6+IF(D3190="Yes",Assumptions!$C$6,0))</f>
        <v>837637.57079999999</v>
      </c>
      <c r="I3190" s="22">
        <f>F3190*(1+Assumptions!$B$7+IF(D3190="Yes",Assumptions!$C$7,0))</f>
        <v>853902.37800000003</v>
      </c>
      <c r="J3190" s="22">
        <f>F3190*(1+Assumptions!$B$8+IF(D3190="Yes",Assumptions!$C$8,0))</f>
        <v>821372.76359999995</v>
      </c>
    </row>
    <row r="3191" spans="1:10" ht="15">
      <c r="A3191" s="21">
        <v>41208</v>
      </c>
      <c r="B3191" s="21">
        <v>41183</v>
      </c>
      <c r="C3191" s="17">
        <v>19</v>
      </c>
      <c r="D3191" s="17" t="s">
        <v>91</v>
      </c>
      <c r="E3191" s="14">
        <v>59979.68</v>
      </c>
      <c r="F3191" s="14">
        <v>64676.43</v>
      </c>
      <c r="G3191" s="14">
        <v>64676.43</v>
      </c>
      <c r="H3191" s="22">
        <f>F3191*(1+Assumptions!$B$6+IF(D3191="Yes",Assumptions!$C$6,0))</f>
        <v>66616.722900000008</v>
      </c>
      <c r="I3191" s="22">
        <f>F3191*(1+Assumptions!$B$7+IF(D3191="Yes",Assumptions!$C$7,0))</f>
        <v>67910.251499999998</v>
      </c>
      <c r="J3191" s="22">
        <f>F3191*(1+Assumptions!$B$8+IF(D3191="Yes",Assumptions!$C$8,0))</f>
        <v>65323.194300000003</v>
      </c>
    </row>
    <row r="3192" spans="1:10" ht="15">
      <c r="A3192" s="21">
        <v>41208</v>
      </c>
      <c r="B3192" s="21">
        <v>41183</v>
      </c>
      <c r="C3192" s="17">
        <v>20</v>
      </c>
      <c r="D3192" s="17" t="s">
        <v>91</v>
      </c>
      <c r="E3192" s="14">
        <v>182274.62</v>
      </c>
      <c r="F3192" s="14">
        <v>182851.46</v>
      </c>
      <c r="G3192" s="14">
        <v>182851.46</v>
      </c>
      <c r="H3192" s="22">
        <f>F3192*(1+Assumptions!$B$6+IF(D3192="Yes",Assumptions!$C$6,0))</f>
        <v>188337.00380000001</v>
      </c>
      <c r="I3192" s="22">
        <f>F3192*(1+Assumptions!$B$7+IF(D3192="Yes",Assumptions!$C$7,0))</f>
        <v>191994.033</v>
      </c>
      <c r="J3192" s="22">
        <f>F3192*(1+Assumptions!$B$8+IF(D3192="Yes",Assumptions!$C$8,0))</f>
        <v>184679.97459999999</v>
      </c>
    </row>
    <row r="3193" spans="1:10" ht="15">
      <c r="A3193" s="21">
        <v>41208</v>
      </c>
      <c r="B3193" s="21">
        <v>41183</v>
      </c>
      <c r="C3193" s="17">
        <v>21</v>
      </c>
      <c r="D3193" s="17" t="s">
        <v>91</v>
      </c>
      <c r="E3193" s="14">
        <v>194038.01</v>
      </c>
      <c r="F3193" s="14">
        <v>214977.98</v>
      </c>
      <c r="G3193" s="14">
        <v>214977.98</v>
      </c>
      <c r="H3193" s="22">
        <f>F3193*(1+Assumptions!$B$6+IF(D3193="Yes",Assumptions!$C$6,0))</f>
        <v>221427.31940000001</v>
      </c>
      <c r="I3193" s="22">
        <f>F3193*(1+Assumptions!$B$7+IF(D3193="Yes",Assumptions!$C$7,0))</f>
        <v>225726.87900000002</v>
      </c>
      <c r="J3193" s="22">
        <f>F3193*(1+Assumptions!$B$8+IF(D3193="Yes",Assumptions!$C$8,0))</f>
        <v>217127.7598</v>
      </c>
    </row>
    <row r="3194" spans="1:10" ht="15">
      <c r="A3194" s="21">
        <v>41208</v>
      </c>
      <c r="B3194" s="21">
        <v>41183</v>
      </c>
      <c r="C3194" s="17">
        <v>22</v>
      </c>
      <c r="D3194" s="17" t="s">
        <v>91</v>
      </c>
      <c r="E3194" s="14">
        <v>376116.5</v>
      </c>
      <c r="F3194" s="14">
        <v>379720.68</v>
      </c>
      <c r="G3194" s="14">
        <v>379720.68</v>
      </c>
      <c r="H3194" s="22">
        <f>F3194*(1+Assumptions!$B$6+IF(D3194="Yes",Assumptions!$C$6,0))</f>
        <v>391112.30040000001</v>
      </c>
      <c r="I3194" s="22">
        <f>F3194*(1+Assumptions!$B$7+IF(D3194="Yes",Assumptions!$C$7,0))</f>
        <v>398706.71400000004</v>
      </c>
      <c r="J3194" s="22">
        <f>F3194*(1+Assumptions!$B$8+IF(D3194="Yes",Assumptions!$C$8,0))</f>
        <v>383517.88679999998</v>
      </c>
    </row>
    <row r="3195" spans="1:10" ht="15">
      <c r="A3195" s="21">
        <v>41208</v>
      </c>
      <c r="B3195" s="21">
        <v>41183</v>
      </c>
      <c r="C3195" s="17">
        <v>23</v>
      </c>
      <c r="D3195" s="17" t="s">
        <v>91</v>
      </c>
      <c r="E3195" s="14">
        <v>974845.69</v>
      </c>
      <c r="F3195" s="14">
        <v>1038389.8</v>
      </c>
      <c r="G3195" s="14">
        <v>1038389.8</v>
      </c>
      <c r="H3195" s="22">
        <f>F3195*(1+Assumptions!$B$6+IF(D3195="Yes",Assumptions!$C$6,0))</f>
        <v>1069541.4940000002</v>
      </c>
      <c r="I3195" s="22">
        <f>F3195*(1+Assumptions!$B$7+IF(D3195="Yes",Assumptions!$C$7,0))</f>
        <v>1090309.29</v>
      </c>
      <c r="J3195" s="22">
        <f>F3195*(1+Assumptions!$B$8+IF(D3195="Yes",Assumptions!$C$8,0))</f>
        <v>1048773.6980000001</v>
      </c>
    </row>
    <row r="3196" spans="1:10" ht="15">
      <c r="A3196" s="21">
        <v>41208</v>
      </c>
      <c r="B3196" s="21">
        <v>41183</v>
      </c>
      <c r="C3196" s="17">
        <v>24</v>
      </c>
      <c r="D3196" s="17" t="s">
        <v>91</v>
      </c>
      <c r="E3196" s="14">
        <v>257678.9</v>
      </c>
      <c r="F3196" s="14">
        <v>263433.32</v>
      </c>
      <c r="G3196" s="14">
        <v>263433.32</v>
      </c>
      <c r="H3196" s="22">
        <f>F3196*(1+Assumptions!$B$6+IF(D3196="Yes",Assumptions!$C$6,0))</f>
        <v>271336.31959999999</v>
      </c>
      <c r="I3196" s="22">
        <f>F3196*(1+Assumptions!$B$7+IF(D3196="Yes",Assumptions!$C$7,0))</f>
        <v>276604.98600000003</v>
      </c>
      <c r="J3196" s="22">
        <f>F3196*(1+Assumptions!$B$8+IF(D3196="Yes",Assumptions!$C$8,0))</f>
        <v>266067.6532</v>
      </c>
    </row>
    <row r="3197" spans="1:10" ht="15">
      <c r="A3197" s="21">
        <v>41208</v>
      </c>
      <c r="B3197" s="21">
        <v>41183</v>
      </c>
      <c r="C3197" s="17">
        <v>25</v>
      </c>
      <c r="D3197" s="17" t="s">
        <v>91</v>
      </c>
      <c r="E3197" s="14">
        <v>407239.79</v>
      </c>
      <c r="F3197" s="14">
        <v>446830.21</v>
      </c>
      <c r="G3197" s="14">
        <v>446830.21</v>
      </c>
      <c r="H3197" s="22">
        <f>F3197*(1+Assumptions!$B$6+IF(D3197="Yes",Assumptions!$C$6,0))</f>
        <v>460235.11630000005</v>
      </c>
      <c r="I3197" s="22">
        <f>F3197*(1+Assumptions!$B$7+IF(D3197="Yes",Assumptions!$C$7,0))</f>
        <v>469171.72050000005</v>
      </c>
      <c r="J3197" s="22">
        <f>F3197*(1+Assumptions!$B$8+IF(D3197="Yes",Assumptions!$C$8,0))</f>
        <v>451298.51210000005</v>
      </c>
    </row>
    <row r="3198" spans="1:10" ht="15">
      <c r="A3198" s="21">
        <v>41208</v>
      </c>
      <c r="B3198" s="21">
        <v>41183</v>
      </c>
      <c r="C3198" s="17">
        <v>26</v>
      </c>
      <c r="D3198" s="17" t="s">
        <v>91</v>
      </c>
      <c r="E3198" s="14">
        <v>345249.89</v>
      </c>
      <c r="F3198" s="14">
        <v>370973.95</v>
      </c>
      <c r="G3198" s="14">
        <v>370973.95</v>
      </c>
      <c r="H3198" s="22">
        <f>F3198*(1+Assumptions!$B$6+IF(D3198="Yes",Assumptions!$C$6,0))</f>
        <v>382103.16850000003</v>
      </c>
      <c r="I3198" s="22">
        <f>F3198*(1+Assumptions!$B$7+IF(D3198="Yes",Assumptions!$C$7,0))</f>
        <v>389522.64750000002</v>
      </c>
      <c r="J3198" s="22">
        <f>F3198*(1+Assumptions!$B$8+IF(D3198="Yes",Assumptions!$C$8,0))</f>
        <v>374683.68950000004</v>
      </c>
    </row>
    <row r="3199" spans="1:10" ht="15">
      <c r="A3199" s="21">
        <v>41208</v>
      </c>
      <c r="B3199" s="21">
        <v>41183</v>
      </c>
      <c r="C3199" s="17">
        <v>27</v>
      </c>
      <c r="D3199" s="17" t="s">
        <v>91</v>
      </c>
      <c r="E3199" s="14">
        <v>78910.03</v>
      </c>
      <c r="F3199" s="14">
        <v>71482.64</v>
      </c>
      <c r="G3199" s="14">
        <v>71482.64</v>
      </c>
      <c r="H3199" s="22">
        <f>F3199*(1+Assumptions!$B$6+IF(D3199="Yes",Assumptions!$C$6,0))</f>
        <v>73627.119200000001</v>
      </c>
      <c r="I3199" s="22">
        <f>F3199*(1+Assumptions!$B$7+IF(D3199="Yes",Assumptions!$C$7,0))</f>
        <v>75056.771999999997</v>
      </c>
      <c r="J3199" s="22">
        <f>F3199*(1+Assumptions!$B$8+IF(D3199="Yes",Assumptions!$C$8,0))</f>
        <v>72197.466400000005</v>
      </c>
    </row>
    <row r="3200" spans="1:10" ht="15">
      <c r="A3200" s="21">
        <v>41208</v>
      </c>
      <c r="B3200" s="21">
        <v>41183</v>
      </c>
      <c r="C3200" s="17">
        <v>28</v>
      </c>
      <c r="D3200" s="17" t="s">
        <v>91</v>
      </c>
      <c r="E3200" s="14">
        <v>42645.74</v>
      </c>
      <c r="F3200" s="14">
        <v>41878.080000000002</v>
      </c>
      <c r="G3200" s="14">
        <v>41878.080000000002</v>
      </c>
      <c r="H3200" s="22">
        <f>F3200*(1+Assumptions!$B$6+IF(D3200="Yes",Assumptions!$C$6,0))</f>
        <v>43134.422400000003</v>
      </c>
      <c r="I3200" s="22">
        <f>F3200*(1+Assumptions!$B$7+IF(D3200="Yes",Assumptions!$C$7,0))</f>
        <v>43971.984000000004</v>
      </c>
      <c r="J3200" s="22">
        <f>F3200*(1+Assumptions!$B$8+IF(D3200="Yes",Assumptions!$C$8,0))</f>
        <v>42296.860800000002</v>
      </c>
    </row>
    <row r="3201" spans="1:10" ht="15">
      <c r="A3201" s="21">
        <v>41208</v>
      </c>
      <c r="B3201" s="21">
        <v>41183</v>
      </c>
      <c r="C3201" s="17">
        <v>29</v>
      </c>
      <c r="D3201" s="17" t="s">
        <v>91</v>
      </c>
      <c r="E3201" s="14">
        <v>201788.41999999998</v>
      </c>
      <c r="F3201" s="14">
        <v>212333.99</v>
      </c>
      <c r="G3201" s="14">
        <v>212333.99</v>
      </c>
      <c r="H3201" s="22">
        <f>F3201*(1+Assumptions!$B$6+IF(D3201="Yes",Assumptions!$C$6,0))</f>
        <v>218704.0097</v>
      </c>
      <c r="I3201" s="22">
        <f>F3201*(1+Assumptions!$B$7+IF(D3201="Yes",Assumptions!$C$7,0))</f>
        <v>222950.68950000001</v>
      </c>
      <c r="J3201" s="22">
        <f>F3201*(1+Assumptions!$B$8+IF(D3201="Yes",Assumptions!$C$8,0))</f>
        <v>214457.32989999998</v>
      </c>
    </row>
    <row r="3202" spans="1:10" ht="15">
      <c r="A3202" s="21">
        <v>41208</v>
      </c>
      <c r="B3202" s="21">
        <v>41183</v>
      </c>
      <c r="C3202" s="17">
        <v>30</v>
      </c>
      <c r="D3202" s="17" t="s">
        <v>91</v>
      </c>
      <c r="E3202" s="14">
        <v>126613.56999999999</v>
      </c>
      <c r="F3202" s="14">
        <v>124472.64</v>
      </c>
      <c r="G3202" s="14">
        <v>124472.64</v>
      </c>
      <c r="H3202" s="22">
        <f>F3202*(1+Assumptions!$B$6+IF(D3202="Yes",Assumptions!$C$6,0))</f>
        <v>128206.8192</v>
      </c>
      <c r="I3202" s="22">
        <f>F3202*(1+Assumptions!$B$7+IF(D3202="Yes",Assumptions!$C$7,0))</f>
        <v>130696.27200000001</v>
      </c>
      <c r="J3202" s="22">
        <f>F3202*(1+Assumptions!$B$8+IF(D3202="Yes",Assumptions!$C$8,0))</f>
        <v>125717.3664</v>
      </c>
    </row>
    <row r="3203" spans="1:10" ht="15">
      <c r="A3203" s="21">
        <v>41208</v>
      </c>
      <c r="B3203" s="21">
        <v>41183</v>
      </c>
      <c r="C3203" s="17">
        <v>31</v>
      </c>
      <c r="D3203" s="17" t="s">
        <v>91</v>
      </c>
      <c r="E3203" s="14">
        <v>94121.85</v>
      </c>
      <c r="F3203" s="14">
        <v>95188.21</v>
      </c>
      <c r="G3203" s="14">
        <v>95188.21</v>
      </c>
      <c r="H3203" s="22">
        <f>F3203*(1+Assumptions!$B$6+IF(D3203="Yes",Assumptions!$C$6,0))</f>
        <v>98043.856300000014</v>
      </c>
      <c r="I3203" s="22">
        <f>F3203*(1+Assumptions!$B$7+IF(D3203="Yes",Assumptions!$C$7,0))</f>
        <v>99947.620500000005</v>
      </c>
      <c r="J3203" s="22">
        <f>F3203*(1+Assumptions!$B$8+IF(D3203="Yes",Assumptions!$C$8,0))</f>
        <v>96140.092100000009</v>
      </c>
    </row>
    <row r="3204" spans="1:10" ht="15">
      <c r="A3204" s="21">
        <v>41208</v>
      </c>
      <c r="B3204" s="21">
        <v>41183</v>
      </c>
      <c r="C3204" s="17">
        <v>32</v>
      </c>
      <c r="D3204" s="17" t="s">
        <v>91</v>
      </c>
      <c r="E3204" s="14">
        <v>210678.38999999998</v>
      </c>
      <c r="F3204" s="14">
        <v>223707.3</v>
      </c>
      <c r="G3204" s="14">
        <v>223707.3</v>
      </c>
      <c r="H3204" s="22">
        <f>F3204*(1+Assumptions!$B$6+IF(D3204="Yes",Assumptions!$C$6,0))</f>
        <v>230418.519</v>
      </c>
      <c r="I3204" s="22">
        <f>F3204*(1+Assumptions!$B$7+IF(D3204="Yes",Assumptions!$C$7,0))</f>
        <v>234892.66500000001</v>
      </c>
      <c r="J3204" s="22">
        <f>F3204*(1+Assumptions!$B$8+IF(D3204="Yes",Assumptions!$C$8,0))</f>
        <v>225944.37299999999</v>
      </c>
    </row>
    <row r="3205" spans="1:10" ht="15">
      <c r="A3205" s="21">
        <v>41208</v>
      </c>
      <c r="B3205" s="21">
        <v>41183</v>
      </c>
      <c r="C3205" s="17">
        <v>33</v>
      </c>
      <c r="D3205" s="17" t="s">
        <v>91</v>
      </c>
      <c r="E3205" s="14">
        <v>259892.38</v>
      </c>
      <c r="F3205" s="14">
        <v>265580.38</v>
      </c>
      <c r="G3205" s="14">
        <v>265580.38</v>
      </c>
      <c r="H3205" s="22">
        <f>F3205*(1+Assumptions!$B$6+IF(D3205="Yes",Assumptions!$C$6,0))</f>
        <v>273547.79139999999</v>
      </c>
      <c r="I3205" s="22">
        <f>F3205*(1+Assumptions!$B$7+IF(D3205="Yes",Assumptions!$C$7,0))</f>
        <v>278859.39900000003</v>
      </c>
      <c r="J3205" s="22">
        <f>F3205*(1+Assumptions!$B$8+IF(D3205="Yes",Assumptions!$C$8,0))</f>
        <v>268236.1838</v>
      </c>
    </row>
    <row r="3206" spans="1:10" ht="15">
      <c r="A3206" s="21">
        <v>41208</v>
      </c>
      <c r="B3206" s="21">
        <v>41183</v>
      </c>
      <c r="C3206" s="17">
        <v>34</v>
      </c>
      <c r="D3206" s="17" t="s">
        <v>91</v>
      </c>
      <c r="E3206" s="14">
        <v>552278.71</v>
      </c>
      <c r="F3206" s="14">
        <v>526472.94999999995</v>
      </c>
      <c r="G3206" s="14">
        <v>526472.94999999995</v>
      </c>
      <c r="H3206" s="22">
        <f>F3206*(1+Assumptions!$B$6+IF(D3206="Yes",Assumptions!$C$6,0))</f>
        <v>542267.1385</v>
      </c>
      <c r="I3206" s="22">
        <f>F3206*(1+Assumptions!$B$7+IF(D3206="Yes",Assumptions!$C$7,0))</f>
        <v>552796.59750000003</v>
      </c>
      <c r="J3206" s="22">
        <f>F3206*(1+Assumptions!$B$8+IF(D3206="Yes",Assumptions!$C$8,0))</f>
        <v>531737.67949999997</v>
      </c>
    </row>
    <row r="3207" spans="1:10" ht="15">
      <c r="A3207" s="21">
        <v>41208</v>
      </c>
      <c r="B3207" s="21">
        <v>41183</v>
      </c>
      <c r="C3207" s="17">
        <v>35</v>
      </c>
      <c r="D3207" s="17" t="s">
        <v>91</v>
      </c>
      <c r="E3207" s="14">
        <v>87932.51</v>
      </c>
      <c r="F3207" s="14">
        <v>101331.64</v>
      </c>
      <c r="G3207" s="14">
        <v>101331.64</v>
      </c>
      <c r="H3207" s="22">
        <f>F3207*(1+Assumptions!$B$6+IF(D3207="Yes",Assumptions!$C$6,0))</f>
        <v>104371.5892</v>
      </c>
      <c r="I3207" s="22">
        <f>F3207*(1+Assumptions!$B$7+IF(D3207="Yes",Assumptions!$C$7,0))</f>
        <v>106398.22200000001</v>
      </c>
      <c r="J3207" s="22">
        <f>F3207*(1+Assumptions!$B$8+IF(D3207="Yes",Assumptions!$C$8,0))</f>
        <v>102344.9564</v>
      </c>
    </row>
    <row r="3208" spans="1:10" ht="15">
      <c r="A3208" s="21">
        <v>41208</v>
      </c>
      <c r="B3208" s="21">
        <v>41183</v>
      </c>
      <c r="C3208" s="17">
        <v>36</v>
      </c>
      <c r="D3208" s="17" t="s">
        <v>91</v>
      </c>
      <c r="E3208" s="14">
        <v>54334.03</v>
      </c>
      <c r="F3208" s="14">
        <v>66560</v>
      </c>
      <c r="G3208" s="14">
        <v>66560</v>
      </c>
      <c r="H3208" s="22">
        <f>F3208*(1+Assumptions!$B$6+IF(D3208="Yes",Assumptions!$C$6,0))</f>
        <v>68556.800000000003</v>
      </c>
      <c r="I3208" s="22">
        <f>F3208*(1+Assumptions!$B$7+IF(D3208="Yes",Assumptions!$C$7,0))</f>
        <v>69888</v>
      </c>
      <c r="J3208" s="22">
        <f>F3208*(1+Assumptions!$B$8+IF(D3208="Yes",Assumptions!$C$8,0))</f>
        <v>67225.600000000006</v>
      </c>
    </row>
    <row r="3209" spans="1:10" ht="15">
      <c r="A3209" s="21">
        <v>41208</v>
      </c>
      <c r="B3209" s="21">
        <v>41183</v>
      </c>
      <c r="C3209" s="17">
        <v>37</v>
      </c>
      <c r="D3209" s="17" t="s">
        <v>91</v>
      </c>
      <c r="E3209" s="14">
        <v>55677.23</v>
      </c>
      <c r="F3209" s="14">
        <v>60166.840000000004</v>
      </c>
      <c r="G3209" s="14">
        <v>60166.840000000004</v>
      </c>
      <c r="H3209" s="22">
        <f>F3209*(1+Assumptions!$B$6+IF(D3209="Yes",Assumptions!$C$6,0))</f>
        <v>61971.845200000003</v>
      </c>
      <c r="I3209" s="22">
        <f>F3209*(1+Assumptions!$B$7+IF(D3209="Yes",Assumptions!$C$7,0))</f>
        <v>63175.182000000008</v>
      </c>
      <c r="J3209" s="22">
        <f>F3209*(1+Assumptions!$B$8+IF(D3209="Yes",Assumptions!$C$8,0))</f>
        <v>60768.508400000006</v>
      </c>
    </row>
    <row r="3210" spans="1:10" ht="15">
      <c r="A3210" s="21">
        <v>41208</v>
      </c>
      <c r="B3210" s="21">
        <v>41183</v>
      </c>
      <c r="C3210" s="17">
        <v>38</v>
      </c>
      <c r="D3210" s="17" t="s">
        <v>91</v>
      </c>
      <c r="E3210" s="14">
        <v>2610575.62</v>
      </c>
      <c r="F3210" s="14">
        <v>2649584.67</v>
      </c>
      <c r="G3210" s="14">
        <v>2649584.67</v>
      </c>
      <c r="H3210" s="22">
        <f>F3210*(1+Assumptions!$B$6+IF(D3210="Yes",Assumptions!$C$6,0))</f>
        <v>2729072.2100999998</v>
      </c>
      <c r="I3210" s="22">
        <f>F3210*(1+Assumptions!$B$7+IF(D3210="Yes",Assumptions!$C$7,0))</f>
        <v>2782063.9035</v>
      </c>
      <c r="J3210" s="22">
        <f>F3210*(1+Assumptions!$B$8+IF(D3210="Yes",Assumptions!$C$8,0))</f>
        <v>2676080.5167</v>
      </c>
    </row>
    <row r="3211" spans="1:10" ht="15">
      <c r="A3211" s="21">
        <v>41208</v>
      </c>
      <c r="B3211" s="21">
        <v>41183</v>
      </c>
      <c r="C3211" s="17">
        <v>40</v>
      </c>
      <c r="D3211" s="17" t="s">
        <v>91</v>
      </c>
      <c r="E3211" s="14">
        <v>2021902.02</v>
      </c>
      <c r="F3211" s="14">
        <v>1936450.6700000002</v>
      </c>
      <c r="G3211" s="14">
        <v>1936450.6700000002</v>
      </c>
      <c r="H3211" s="22">
        <f>F3211*(1+Assumptions!$B$6+IF(D3211="Yes",Assumptions!$C$6,0))</f>
        <v>1994544.1901000002</v>
      </c>
      <c r="I3211" s="22">
        <f>F3211*(1+Assumptions!$B$7+IF(D3211="Yes",Assumptions!$C$7,0))</f>
        <v>2033273.2035000003</v>
      </c>
      <c r="J3211" s="22">
        <f>F3211*(1+Assumptions!$B$8+IF(D3211="Yes",Assumptions!$C$8,0))</f>
        <v>1955815.1767000002</v>
      </c>
    </row>
    <row r="3212" spans="1:10" ht="15">
      <c r="A3212" s="21">
        <v>41208</v>
      </c>
      <c r="B3212" s="21">
        <v>41183</v>
      </c>
      <c r="C3212" s="17">
        <v>41</v>
      </c>
      <c r="D3212" s="17" t="s">
        <v>91</v>
      </c>
      <c r="E3212" s="14">
        <v>89185.93</v>
      </c>
      <c r="F3212" s="14">
        <v>102990.87</v>
      </c>
      <c r="G3212" s="14">
        <v>102990.87</v>
      </c>
      <c r="H3212" s="22">
        <f>F3212*(1+Assumptions!$B$6+IF(D3212="Yes",Assumptions!$C$6,0))</f>
        <v>106080.5961</v>
      </c>
      <c r="I3212" s="22">
        <f>F3212*(1+Assumptions!$B$7+IF(D3212="Yes",Assumptions!$C$7,0))</f>
        <v>108140.4135</v>
      </c>
      <c r="J3212" s="22">
        <f>F3212*(1+Assumptions!$B$8+IF(D3212="Yes",Assumptions!$C$8,0))</f>
        <v>104020.7787</v>
      </c>
    </row>
    <row r="3213" spans="1:10" ht="15">
      <c r="A3213" s="21">
        <v>41208</v>
      </c>
      <c r="B3213" s="21">
        <v>41183</v>
      </c>
      <c r="C3213" s="17">
        <v>42</v>
      </c>
      <c r="D3213" s="17" t="s">
        <v>91</v>
      </c>
      <c r="E3213" s="14">
        <v>241456.6</v>
      </c>
      <c r="F3213" s="14">
        <v>239967.24</v>
      </c>
      <c r="G3213" s="14">
        <v>239967.24</v>
      </c>
      <c r="H3213" s="22">
        <f>F3213*(1+Assumptions!$B$6+IF(D3213="Yes",Assumptions!$C$6,0))</f>
        <v>247166.25719999999</v>
      </c>
      <c r="I3213" s="22">
        <f>F3213*(1+Assumptions!$B$7+IF(D3213="Yes",Assumptions!$C$7,0))</f>
        <v>251965.60200000001</v>
      </c>
      <c r="J3213" s="22">
        <f>F3213*(1+Assumptions!$B$8+IF(D3213="Yes",Assumptions!$C$8,0))</f>
        <v>242366.9124</v>
      </c>
    </row>
    <row r="3214" spans="1:10" ht="15">
      <c r="A3214" s="21">
        <v>41208</v>
      </c>
      <c r="B3214" s="21">
        <v>41183</v>
      </c>
      <c r="C3214" s="17">
        <v>44</v>
      </c>
      <c r="D3214" s="17" t="s">
        <v>91</v>
      </c>
      <c r="E3214" s="14">
        <v>231085.75</v>
      </c>
      <c r="F3214" s="14">
        <v>225133.16999999998</v>
      </c>
      <c r="G3214" s="14">
        <v>225133.16999999998</v>
      </c>
      <c r="H3214" s="22">
        <f>F3214*(1+Assumptions!$B$6+IF(D3214="Yes",Assumptions!$C$6,0))</f>
        <v>231887.16509999998</v>
      </c>
      <c r="I3214" s="22">
        <f>F3214*(1+Assumptions!$B$7+IF(D3214="Yes",Assumptions!$C$7,0))</f>
        <v>236389.8285</v>
      </c>
      <c r="J3214" s="22">
        <f>F3214*(1+Assumptions!$B$8+IF(D3214="Yes",Assumptions!$C$8,0))</f>
        <v>227384.50169999999</v>
      </c>
    </row>
    <row r="3215" spans="1:10" ht="15">
      <c r="A3215" s="21">
        <v>41208</v>
      </c>
      <c r="B3215" s="21">
        <v>41183</v>
      </c>
      <c r="C3215" s="17">
        <v>45</v>
      </c>
      <c r="D3215" s="17" t="s">
        <v>91</v>
      </c>
      <c r="E3215" s="14">
        <v>98.61</v>
      </c>
      <c r="F3215" s="14">
        <v>107.55</v>
      </c>
      <c r="G3215" s="14">
        <v>107.55</v>
      </c>
      <c r="H3215" s="22">
        <f>F3215*(1+Assumptions!$B$6+IF(D3215="Yes",Assumptions!$C$6,0))</f>
        <v>110.7765</v>
      </c>
      <c r="I3215" s="22">
        <f>F3215*(1+Assumptions!$B$7+IF(D3215="Yes",Assumptions!$C$7,0))</f>
        <v>112.92749999999999</v>
      </c>
      <c r="J3215" s="22">
        <f>F3215*(1+Assumptions!$B$8+IF(D3215="Yes",Assumptions!$C$8,0))</f>
        <v>108.6255</v>
      </c>
    </row>
    <row r="3216" spans="1:10" ht="15">
      <c r="A3216" s="21">
        <v>41208</v>
      </c>
      <c r="B3216" s="21">
        <v>41183</v>
      </c>
      <c r="C3216" s="17">
        <v>46</v>
      </c>
      <c r="D3216" s="17" t="s">
        <v>91</v>
      </c>
      <c r="E3216" s="14">
        <v>813260.4</v>
      </c>
      <c r="F3216" s="14">
        <v>803493.03</v>
      </c>
      <c r="G3216" s="14">
        <v>803493.03</v>
      </c>
      <c r="H3216" s="22">
        <f>F3216*(1+Assumptions!$B$6+IF(D3216="Yes",Assumptions!$C$6,0))</f>
        <v>827597.82090000005</v>
      </c>
      <c r="I3216" s="22">
        <f>F3216*(1+Assumptions!$B$7+IF(D3216="Yes",Assumptions!$C$7,0))</f>
        <v>843667.68150000006</v>
      </c>
      <c r="J3216" s="22">
        <f>F3216*(1+Assumptions!$B$8+IF(D3216="Yes",Assumptions!$C$8,0))</f>
        <v>811527.96030000004</v>
      </c>
    </row>
    <row r="3217" spans="1:10" ht="15">
      <c r="A3217" s="21">
        <v>41208</v>
      </c>
      <c r="B3217" s="21">
        <v>41183</v>
      </c>
      <c r="C3217" s="17">
        <v>48</v>
      </c>
      <c r="D3217" s="17" t="s">
        <v>91</v>
      </c>
      <c r="E3217" s="14">
        <v>35458</v>
      </c>
      <c r="F3217" s="14">
        <v>15248.99</v>
      </c>
      <c r="G3217" s="14">
        <v>15248.99</v>
      </c>
      <c r="H3217" s="22">
        <f>F3217*(1+Assumptions!$B$6+IF(D3217="Yes",Assumptions!$C$6,0))</f>
        <v>15706.459699999999</v>
      </c>
      <c r="I3217" s="22">
        <f>F3217*(1+Assumptions!$B$7+IF(D3217="Yes",Assumptions!$C$7,0))</f>
        <v>16011.4395</v>
      </c>
      <c r="J3217" s="22">
        <f>F3217*(1+Assumptions!$B$8+IF(D3217="Yes",Assumptions!$C$8,0))</f>
        <v>15401.4799</v>
      </c>
    </row>
    <row r="3218" spans="1:10" ht="15">
      <c r="A3218" s="21">
        <v>41208</v>
      </c>
      <c r="B3218" s="21">
        <v>41183</v>
      </c>
      <c r="C3218" s="17">
        <v>49</v>
      </c>
      <c r="D3218" s="17" t="s">
        <v>91</v>
      </c>
      <c r="E3218" s="14">
        <v>253019.59</v>
      </c>
      <c r="F3218" s="14">
        <v>239721.44999999998</v>
      </c>
      <c r="G3218" s="14">
        <v>239721.44999999998</v>
      </c>
      <c r="H3218" s="22">
        <f>F3218*(1+Assumptions!$B$6+IF(D3218="Yes",Assumptions!$C$6,0))</f>
        <v>246913.09349999999</v>
      </c>
      <c r="I3218" s="22">
        <f>F3218*(1+Assumptions!$B$7+IF(D3218="Yes",Assumptions!$C$7,0))</f>
        <v>251707.52249999999</v>
      </c>
      <c r="J3218" s="22">
        <f>F3218*(1+Assumptions!$B$8+IF(D3218="Yes",Assumptions!$C$8,0))</f>
        <v>242118.66449999998</v>
      </c>
    </row>
    <row r="3219" spans="1:10" ht="15">
      <c r="A3219" s="21">
        <v>41208</v>
      </c>
      <c r="B3219" s="21">
        <v>41183</v>
      </c>
      <c r="C3219" s="17">
        <v>50</v>
      </c>
      <c r="D3219" s="17" t="s">
        <v>91</v>
      </c>
      <c r="E3219" s="14">
        <v>27430.98</v>
      </c>
      <c r="F3219" s="14">
        <v>26981.35</v>
      </c>
      <c r="G3219" s="14">
        <v>26981.35</v>
      </c>
      <c r="H3219" s="22">
        <f>F3219*(1+Assumptions!$B$6+IF(D3219="Yes",Assumptions!$C$6,0))</f>
        <v>27790.790499999999</v>
      </c>
      <c r="I3219" s="22">
        <f>F3219*(1+Assumptions!$B$7+IF(D3219="Yes",Assumptions!$C$7,0))</f>
        <v>28330.4175</v>
      </c>
      <c r="J3219" s="22">
        <f>F3219*(1+Assumptions!$B$8+IF(D3219="Yes",Assumptions!$C$8,0))</f>
        <v>27251.163499999999</v>
      </c>
    </row>
    <row r="3220" spans="1:10" ht="15">
      <c r="A3220" s="21">
        <v>41208</v>
      </c>
      <c r="B3220" s="21">
        <v>41183</v>
      </c>
      <c r="C3220" s="17">
        <v>52</v>
      </c>
      <c r="D3220" s="17" t="s">
        <v>91</v>
      </c>
      <c r="E3220" s="14">
        <v>86192.4</v>
      </c>
      <c r="F3220" s="14">
        <v>102370.22</v>
      </c>
      <c r="G3220" s="14">
        <v>102370.22</v>
      </c>
      <c r="H3220" s="22">
        <f>F3220*(1+Assumptions!$B$6+IF(D3220="Yes",Assumptions!$C$6,0))</f>
        <v>105441.3266</v>
      </c>
      <c r="I3220" s="22">
        <f>F3220*(1+Assumptions!$B$7+IF(D3220="Yes",Assumptions!$C$7,0))</f>
        <v>107488.731</v>
      </c>
      <c r="J3220" s="22">
        <f>F3220*(1+Assumptions!$B$8+IF(D3220="Yes",Assumptions!$C$8,0))</f>
        <v>103393.9222</v>
      </c>
    </row>
    <row r="3221" spans="1:10" ht="15">
      <c r="A3221" s="21">
        <v>41208</v>
      </c>
      <c r="B3221" s="21">
        <v>41183</v>
      </c>
      <c r="C3221" s="17">
        <v>54</v>
      </c>
      <c r="D3221" s="17" t="s">
        <v>91</v>
      </c>
      <c r="E3221" s="14">
        <v>802.36</v>
      </c>
      <c r="F3221" s="14">
        <v>1066.8599999999999</v>
      </c>
      <c r="G3221" s="14">
        <v>1066.8599999999999</v>
      </c>
      <c r="H3221" s="22">
        <f>F3221*(1+Assumptions!$B$6+IF(D3221="Yes",Assumptions!$C$6,0))</f>
        <v>1098.8658</v>
      </c>
      <c r="I3221" s="22">
        <f>F3221*(1+Assumptions!$B$7+IF(D3221="Yes",Assumptions!$C$7,0))</f>
        <v>1120.203</v>
      </c>
      <c r="J3221" s="22">
        <f>F3221*(1+Assumptions!$B$8+IF(D3221="Yes",Assumptions!$C$8,0))</f>
        <v>1077.5285999999999</v>
      </c>
    </row>
    <row r="3222" spans="1:10" ht="15">
      <c r="A3222" s="21">
        <v>41208</v>
      </c>
      <c r="B3222" s="21">
        <v>41183</v>
      </c>
      <c r="C3222" s="17">
        <v>55</v>
      </c>
      <c r="D3222" s="17" t="s">
        <v>91</v>
      </c>
      <c r="E3222" s="14">
        <v>337937.11</v>
      </c>
      <c r="F3222" s="14">
        <v>426838.99</v>
      </c>
      <c r="G3222" s="14">
        <v>426838.99</v>
      </c>
      <c r="H3222" s="22">
        <f>F3222*(1+Assumptions!$B$6+IF(D3222="Yes",Assumptions!$C$6,0))</f>
        <v>439644.15970000002</v>
      </c>
      <c r="I3222" s="22">
        <f>F3222*(1+Assumptions!$B$7+IF(D3222="Yes",Assumptions!$C$7,0))</f>
        <v>448180.93950000004</v>
      </c>
      <c r="J3222" s="22">
        <f>F3222*(1+Assumptions!$B$8+IF(D3222="Yes",Assumptions!$C$8,0))</f>
        <v>431107.3799</v>
      </c>
    </row>
    <row r="3223" spans="1:10" ht="15">
      <c r="A3223" s="21">
        <v>41208</v>
      </c>
      <c r="B3223" s="21">
        <v>41183</v>
      </c>
      <c r="C3223" s="17">
        <v>56</v>
      </c>
      <c r="D3223" s="17" t="s">
        <v>91</v>
      </c>
      <c r="E3223" s="14">
        <v>27915.89</v>
      </c>
      <c r="F3223" s="14">
        <v>27379.68</v>
      </c>
      <c r="G3223" s="14">
        <v>27379.68</v>
      </c>
      <c r="H3223" s="22">
        <f>F3223*(1+Assumptions!$B$6+IF(D3223="Yes",Assumptions!$C$6,0))</f>
        <v>28201.070400000001</v>
      </c>
      <c r="I3223" s="22">
        <f>F3223*(1+Assumptions!$B$7+IF(D3223="Yes",Assumptions!$C$7,0))</f>
        <v>28748.664000000001</v>
      </c>
      <c r="J3223" s="22">
        <f>F3223*(1+Assumptions!$B$8+IF(D3223="Yes",Assumptions!$C$8,0))</f>
        <v>27653.4768</v>
      </c>
    </row>
    <row r="3224" spans="1:10" ht="15">
      <c r="A3224" s="21">
        <v>41208</v>
      </c>
      <c r="B3224" s="21">
        <v>41183</v>
      </c>
      <c r="C3224" s="17">
        <v>58</v>
      </c>
      <c r="D3224" s="17" t="s">
        <v>91</v>
      </c>
      <c r="E3224" s="14">
        <v>145540</v>
      </c>
      <c r="F3224" s="14">
        <v>87181.5</v>
      </c>
      <c r="G3224" s="14">
        <v>87181.5</v>
      </c>
      <c r="H3224" s="22">
        <f>F3224*(1+Assumptions!$B$6+IF(D3224="Yes",Assumptions!$C$6,0))</f>
        <v>89796.945000000007</v>
      </c>
      <c r="I3224" s="22">
        <f>F3224*(1+Assumptions!$B$7+IF(D3224="Yes",Assumptions!$C$7,0))</f>
        <v>91540.574999999997</v>
      </c>
      <c r="J3224" s="22">
        <f>F3224*(1+Assumptions!$B$8+IF(D3224="Yes",Assumptions!$C$8,0))</f>
        <v>88053.315000000002</v>
      </c>
    </row>
    <row r="3225" spans="1:10" ht="15">
      <c r="A3225" s="21">
        <v>41208</v>
      </c>
      <c r="B3225" s="21">
        <v>41183</v>
      </c>
      <c r="C3225" s="17">
        <v>59</v>
      </c>
      <c r="D3225" s="17" t="s">
        <v>91</v>
      </c>
      <c r="E3225" s="14">
        <v>7857.28</v>
      </c>
      <c r="F3225" s="14">
        <v>10818.68</v>
      </c>
      <c r="G3225" s="14">
        <v>10818.68</v>
      </c>
      <c r="H3225" s="22">
        <f>F3225*(1+Assumptions!$B$6+IF(D3225="Yes",Assumptions!$C$6,0))</f>
        <v>11143.240400000001</v>
      </c>
      <c r="I3225" s="22">
        <f>F3225*(1+Assumptions!$B$7+IF(D3225="Yes",Assumptions!$C$7,0))</f>
        <v>11359.614000000001</v>
      </c>
      <c r="J3225" s="22">
        <f>F3225*(1+Assumptions!$B$8+IF(D3225="Yes",Assumptions!$C$8,0))</f>
        <v>10926.8668</v>
      </c>
    </row>
    <row r="3226" spans="1:10" ht="15">
      <c r="A3226" s="21">
        <v>41208</v>
      </c>
      <c r="B3226" s="21">
        <v>41183</v>
      </c>
      <c r="C3226" s="17">
        <v>60</v>
      </c>
      <c r="D3226" s="17" t="s">
        <v>91</v>
      </c>
      <c r="E3226" s="14">
        <v>13752</v>
      </c>
      <c r="F3226" s="14">
        <v>13216.4</v>
      </c>
      <c r="G3226" s="14">
        <v>13216.4</v>
      </c>
      <c r="H3226" s="22">
        <f>F3226*(1+Assumptions!$B$6+IF(D3226="Yes",Assumptions!$C$6,0))</f>
        <v>13612.892</v>
      </c>
      <c r="I3226" s="22">
        <f>F3226*(1+Assumptions!$B$7+IF(D3226="Yes",Assumptions!$C$7,0))</f>
        <v>13877.22</v>
      </c>
      <c r="J3226" s="22">
        <f>F3226*(1+Assumptions!$B$8+IF(D3226="Yes",Assumptions!$C$8,0))</f>
        <v>13348.564</v>
      </c>
    </row>
    <row r="3227" spans="1:10" ht="15">
      <c r="A3227" s="21">
        <v>41208</v>
      </c>
      <c r="B3227" s="21">
        <v>41183</v>
      </c>
      <c r="C3227" s="17">
        <v>65</v>
      </c>
      <c r="D3227" s="17" t="s">
        <v>91</v>
      </c>
      <c r="E3227" s="14">
        <v>41457.760000000002</v>
      </c>
      <c r="F3227" s="14">
        <v>33845.99</v>
      </c>
      <c r="G3227" s="14">
        <v>33845.99</v>
      </c>
      <c r="H3227" s="22">
        <f>F3227*(1+Assumptions!$B$6+IF(D3227="Yes",Assumptions!$C$6,0))</f>
        <v>34861.369699999996</v>
      </c>
      <c r="I3227" s="22">
        <f>F3227*(1+Assumptions!$B$7+IF(D3227="Yes",Assumptions!$C$7,0))</f>
        <v>35538.289499999999</v>
      </c>
      <c r="J3227" s="22">
        <f>F3227*(1+Assumptions!$B$8+IF(D3227="Yes",Assumptions!$C$8,0))</f>
        <v>34184.4499</v>
      </c>
    </row>
    <row r="3228" spans="1:10" ht="15">
      <c r="A3228" s="21">
        <v>41208</v>
      </c>
      <c r="B3228" s="21">
        <v>41183</v>
      </c>
      <c r="C3228" s="17">
        <v>67</v>
      </c>
      <c r="D3228" s="17" t="s">
        <v>91</v>
      </c>
      <c r="E3228" s="14">
        <v>308075.98</v>
      </c>
      <c r="F3228" s="14">
        <v>298605.55</v>
      </c>
      <c r="G3228" s="14">
        <v>298605.55</v>
      </c>
      <c r="H3228" s="22">
        <f>F3228*(1+Assumptions!$B$6+IF(D3228="Yes",Assumptions!$C$6,0))</f>
        <v>307563.71649999998</v>
      </c>
      <c r="I3228" s="22">
        <f>F3228*(1+Assumptions!$B$7+IF(D3228="Yes",Assumptions!$C$7,0))</f>
        <v>313535.82750000001</v>
      </c>
      <c r="J3228" s="22">
        <f>F3228*(1+Assumptions!$B$8+IF(D3228="Yes",Assumptions!$C$8,0))</f>
        <v>301591.60550000001</v>
      </c>
    </row>
    <row r="3229" spans="1:10" ht="15">
      <c r="A3229" s="21">
        <v>41208</v>
      </c>
      <c r="B3229" s="21">
        <v>41183</v>
      </c>
      <c r="C3229" s="17">
        <v>71</v>
      </c>
      <c r="D3229" s="17" t="s">
        <v>91</v>
      </c>
      <c r="E3229" s="14">
        <v>165450.84</v>
      </c>
      <c r="F3229" s="14">
        <v>167445.96</v>
      </c>
      <c r="G3229" s="14">
        <v>167445.96</v>
      </c>
      <c r="H3229" s="22">
        <f>F3229*(1+Assumptions!$B$6+IF(D3229="Yes",Assumptions!$C$6,0))</f>
        <v>172469.3388</v>
      </c>
      <c r="I3229" s="22">
        <f>F3229*(1+Assumptions!$B$7+IF(D3229="Yes",Assumptions!$C$7,0))</f>
        <v>175818.258</v>
      </c>
      <c r="J3229" s="22">
        <f>F3229*(1+Assumptions!$B$8+IF(D3229="Yes",Assumptions!$C$8,0))</f>
        <v>169120.41959999999</v>
      </c>
    </row>
    <row r="3230" spans="1:10" ht="15">
      <c r="A3230" s="21">
        <v>41208</v>
      </c>
      <c r="B3230" s="21">
        <v>41183</v>
      </c>
      <c r="C3230" s="17">
        <v>72</v>
      </c>
      <c r="D3230" s="17" t="s">
        <v>91</v>
      </c>
      <c r="E3230" s="14">
        <v>1781640.54</v>
      </c>
      <c r="F3230" s="14">
        <v>2207226.8799999999</v>
      </c>
      <c r="G3230" s="14">
        <v>2207226.8799999999</v>
      </c>
      <c r="H3230" s="22">
        <f>F3230*(1+Assumptions!$B$6+IF(D3230="Yes",Assumptions!$C$6,0))</f>
        <v>2273443.6864</v>
      </c>
      <c r="I3230" s="22">
        <f>F3230*(1+Assumptions!$B$7+IF(D3230="Yes",Assumptions!$C$7,0))</f>
        <v>2317588.2239999999</v>
      </c>
      <c r="J3230" s="22">
        <f>F3230*(1+Assumptions!$B$8+IF(D3230="Yes",Assumptions!$C$8,0))</f>
        <v>2229299.1488000001</v>
      </c>
    </row>
    <row r="3231" spans="1:10" ht="15">
      <c r="A3231" s="21">
        <v>41208</v>
      </c>
      <c r="B3231" s="21">
        <v>41183</v>
      </c>
      <c r="C3231" s="17">
        <v>74</v>
      </c>
      <c r="D3231" s="17" t="s">
        <v>91</v>
      </c>
      <c r="E3231" s="14">
        <v>533592.68000000005</v>
      </c>
      <c r="F3231" s="14">
        <v>541649.77</v>
      </c>
      <c r="G3231" s="14">
        <v>541649.77</v>
      </c>
      <c r="H3231" s="22">
        <f>F3231*(1+Assumptions!$B$6+IF(D3231="Yes",Assumptions!$C$6,0))</f>
        <v>557899.26309999998</v>
      </c>
      <c r="I3231" s="22">
        <f>F3231*(1+Assumptions!$B$7+IF(D3231="Yes",Assumptions!$C$7,0))</f>
        <v>568732.2585</v>
      </c>
      <c r="J3231" s="22">
        <f>F3231*(1+Assumptions!$B$8+IF(D3231="Yes",Assumptions!$C$8,0))</f>
        <v>547066.26769999997</v>
      </c>
    </row>
    <row r="3232" spans="1:10" ht="15">
      <c r="A3232" s="21">
        <v>41208</v>
      </c>
      <c r="B3232" s="21">
        <v>41183</v>
      </c>
      <c r="C3232" s="17">
        <v>79</v>
      </c>
      <c r="D3232" s="17" t="s">
        <v>91</v>
      </c>
      <c r="E3232" s="14">
        <v>907124.75</v>
      </c>
      <c r="F3232" s="14">
        <v>883904.86</v>
      </c>
      <c r="G3232" s="14">
        <v>883904.86</v>
      </c>
      <c r="H3232" s="22">
        <f>F3232*(1+Assumptions!$B$6+IF(D3232="Yes",Assumptions!$C$6,0))</f>
        <v>910422.00580000004</v>
      </c>
      <c r="I3232" s="22">
        <f>F3232*(1+Assumptions!$B$7+IF(D3232="Yes",Assumptions!$C$7,0))</f>
        <v>928100.103</v>
      </c>
      <c r="J3232" s="22">
        <f>F3232*(1+Assumptions!$B$8+IF(D3232="Yes",Assumptions!$C$8,0))</f>
        <v>892743.90859999997</v>
      </c>
    </row>
    <row r="3233" spans="1:10" ht="15">
      <c r="A3233" s="21">
        <v>41208</v>
      </c>
      <c r="B3233" s="21">
        <v>41183</v>
      </c>
      <c r="C3233" s="17">
        <v>80</v>
      </c>
      <c r="D3233" s="17" t="s">
        <v>91</v>
      </c>
      <c r="E3233" s="14">
        <v>483356.54</v>
      </c>
      <c r="F3233" s="14">
        <v>489226.97</v>
      </c>
      <c r="G3233" s="14">
        <v>489226.97</v>
      </c>
      <c r="H3233" s="22">
        <f>F3233*(1+Assumptions!$B$6+IF(D3233="Yes",Assumptions!$C$6,0))</f>
        <v>503903.77909999999</v>
      </c>
      <c r="I3233" s="22">
        <f>F3233*(1+Assumptions!$B$7+IF(D3233="Yes",Assumptions!$C$7,0))</f>
        <v>513688.31849999999</v>
      </c>
      <c r="J3233" s="22">
        <f>F3233*(1+Assumptions!$B$8+IF(D3233="Yes",Assumptions!$C$8,0))</f>
        <v>494119.23969999998</v>
      </c>
    </row>
    <row r="3234" spans="1:10" ht="15">
      <c r="A3234" s="21">
        <v>41208</v>
      </c>
      <c r="B3234" s="21">
        <v>41183</v>
      </c>
      <c r="C3234" s="17">
        <v>81</v>
      </c>
      <c r="D3234" s="17" t="s">
        <v>91</v>
      </c>
      <c r="E3234" s="14">
        <v>681254.67</v>
      </c>
      <c r="F3234" s="14">
        <v>659322.09</v>
      </c>
      <c r="G3234" s="14">
        <v>659322.09</v>
      </c>
      <c r="H3234" s="22">
        <f>F3234*(1+Assumptions!$B$6+IF(D3234="Yes",Assumptions!$C$6,0))</f>
        <v>679101.75269999995</v>
      </c>
      <c r="I3234" s="22">
        <f>F3234*(1+Assumptions!$B$7+IF(D3234="Yes",Assumptions!$C$7,0))</f>
        <v>692288.19449999998</v>
      </c>
      <c r="J3234" s="22">
        <f>F3234*(1+Assumptions!$B$8+IF(D3234="Yes",Assumptions!$C$8,0))</f>
        <v>665915.31089999992</v>
      </c>
    </row>
    <row r="3235" spans="1:10" ht="15">
      <c r="A3235" s="21">
        <v>41208</v>
      </c>
      <c r="B3235" s="21">
        <v>41183</v>
      </c>
      <c r="C3235" s="17">
        <v>82</v>
      </c>
      <c r="D3235" s="17" t="s">
        <v>91</v>
      </c>
      <c r="E3235" s="14">
        <v>759669.2</v>
      </c>
      <c r="F3235" s="14">
        <v>658460.71</v>
      </c>
      <c r="G3235" s="14">
        <v>658460.71</v>
      </c>
      <c r="H3235" s="22">
        <f>F3235*(1+Assumptions!$B$6+IF(D3235="Yes",Assumptions!$C$6,0))</f>
        <v>678214.53130000003</v>
      </c>
      <c r="I3235" s="22">
        <f>F3235*(1+Assumptions!$B$7+IF(D3235="Yes",Assumptions!$C$7,0))</f>
        <v>691383.74549999996</v>
      </c>
      <c r="J3235" s="22">
        <f>F3235*(1+Assumptions!$B$8+IF(D3235="Yes",Assumptions!$C$8,0))</f>
        <v>665045.31709999999</v>
      </c>
    </row>
    <row r="3236" spans="1:10" ht="15">
      <c r="A3236" s="21">
        <v>41208</v>
      </c>
      <c r="B3236" s="21">
        <v>41183</v>
      </c>
      <c r="C3236" s="17">
        <v>83</v>
      </c>
      <c r="D3236" s="17" t="s">
        <v>91</v>
      </c>
      <c r="E3236" s="14">
        <v>110915.85</v>
      </c>
      <c r="F3236" s="14">
        <v>105630.08</v>
      </c>
      <c r="G3236" s="14">
        <v>105630.08</v>
      </c>
      <c r="H3236" s="22">
        <f>F3236*(1+Assumptions!$B$6+IF(D3236="Yes",Assumptions!$C$6,0))</f>
        <v>108798.98240000001</v>
      </c>
      <c r="I3236" s="22">
        <f>F3236*(1+Assumptions!$B$7+IF(D3236="Yes",Assumptions!$C$7,0))</f>
        <v>110911.584</v>
      </c>
      <c r="J3236" s="22">
        <f>F3236*(1+Assumptions!$B$8+IF(D3236="Yes",Assumptions!$C$8,0))</f>
        <v>106686.3808</v>
      </c>
    </row>
    <row r="3237" spans="1:10" ht="15">
      <c r="A3237" s="21">
        <v>41208</v>
      </c>
      <c r="B3237" s="21">
        <v>41183</v>
      </c>
      <c r="C3237" s="17">
        <v>85</v>
      </c>
      <c r="D3237" s="17" t="s">
        <v>91</v>
      </c>
      <c r="E3237" s="14">
        <v>78314.44</v>
      </c>
      <c r="F3237" s="14">
        <v>85509.540000000008</v>
      </c>
      <c r="G3237" s="14">
        <v>85509.540000000008</v>
      </c>
      <c r="H3237" s="22">
        <f>F3237*(1+Assumptions!$B$6+IF(D3237="Yes",Assumptions!$C$6,0))</f>
        <v>88074.82620000001</v>
      </c>
      <c r="I3237" s="22">
        <f>F3237*(1+Assumptions!$B$7+IF(D3237="Yes",Assumptions!$C$7,0))</f>
        <v>89785.017000000007</v>
      </c>
      <c r="J3237" s="22">
        <f>F3237*(1+Assumptions!$B$8+IF(D3237="Yes",Assumptions!$C$8,0))</f>
        <v>86364.635400000014</v>
      </c>
    </row>
    <row r="3238" spans="1:10" ht="15">
      <c r="A3238" s="21">
        <v>41208</v>
      </c>
      <c r="B3238" s="21">
        <v>41183</v>
      </c>
      <c r="C3238" s="17">
        <v>87</v>
      </c>
      <c r="D3238" s="17" t="s">
        <v>91</v>
      </c>
      <c r="E3238" s="14">
        <v>654964.56999999995</v>
      </c>
      <c r="F3238" s="14">
        <v>575396.84</v>
      </c>
      <c r="G3238" s="14">
        <v>575396.84</v>
      </c>
      <c r="H3238" s="22">
        <f>F3238*(1+Assumptions!$B$6+IF(D3238="Yes",Assumptions!$C$6,0))</f>
        <v>592658.7452</v>
      </c>
      <c r="I3238" s="22">
        <f>F3238*(1+Assumptions!$B$7+IF(D3238="Yes",Assumptions!$C$7,0))</f>
        <v>604166.68200000003</v>
      </c>
      <c r="J3238" s="22">
        <f>F3238*(1+Assumptions!$B$8+IF(D3238="Yes",Assumptions!$C$8,0))</f>
        <v>581150.80839999998</v>
      </c>
    </row>
    <row r="3239" spans="1:10" ht="15">
      <c r="A3239" s="21">
        <v>41208</v>
      </c>
      <c r="B3239" s="21">
        <v>41183</v>
      </c>
      <c r="C3239" s="17">
        <v>90</v>
      </c>
      <c r="D3239" s="17" t="s">
        <v>91</v>
      </c>
      <c r="E3239" s="14">
        <v>2090093.94</v>
      </c>
      <c r="F3239" s="14">
        <v>2080516.78</v>
      </c>
      <c r="G3239" s="14">
        <v>2080516.78</v>
      </c>
      <c r="H3239" s="22">
        <f>F3239*(1+Assumptions!$B$6+IF(D3239="Yes",Assumptions!$C$6,0))</f>
        <v>2142932.2834000001</v>
      </c>
      <c r="I3239" s="22">
        <f>F3239*(1+Assumptions!$B$7+IF(D3239="Yes",Assumptions!$C$7,0))</f>
        <v>2184542.6189999999</v>
      </c>
      <c r="J3239" s="22">
        <f>F3239*(1+Assumptions!$B$8+IF(D3239="Yes",Assumptions!$C$8,0))</f>
        <v>2101321.9478000002</v>
      </c>
    </row>
    <row r="3240" spans="1:10" ht="15">
      <c r="A3240" s="21">
        <v>41208</v>
      </c>
      <c r="B3240" s="21">
        <v>41183</v>
      </c>
      <c r="C3240" s="17">
        <v>91</v>
      </c>
      <c r="D3240" s="17" t="s">
        <v>91</v>
      </c>
      <c r="E3240" s="14">
        <v>1413435.29</v>
      </c>
      <c r="F3240" s="14">
        <v>1408282.35</v>
      </c>
      <c r="G3240" s="14">
        <v>1408282.35</v>
      </c>
      <c r="H3240" s="22">
        <f>F3240*(1+Assumptions!$B$6+IF(D3240="Yes",Assumptions!$C$6,0))</f>
        <v>1450530.8205000001</v>
      </c>
      <c r="I3240" s="22">
        <f>F3240*(1+Assumptions!$B$7+IF(D3240="Yes",Assumptions!$C$7,0))</f>
        <v>1478696.4675000003</v>
      </c>
      <c r="J3240" s="22">
        <f>F3240*(1+Assumptions!$B$8+IF(D3240="Yes",Assumptions!$C$8,0))</f>
        <v>1422365.1735</v>
      </c>
    </row>
    <row r="3241" spans="1:10" ht="15">
      <c r="A3241" s="21">
        <v>41208</v>
      </c>
      <c r="B3241" s="21">
        <v>41183</v>
      </c>
      <c r="C3241" s="17">
        <v>92</v>
      </c>
      <c r="D3241" s="17" t="s">
        <v>91</v>
      </c>
      <c r="E3241" s="14">
        <v>3527936.66</v>
      </c>
      <c r="F3241" s="14">
        <v>3355012.38</v>
      </c>
      <c r="G3241" s="14">
        <v>3355012.38</v>
      </c>
      <c r="H3241" s="22">
        <f>F3241*(1+Assumptions!$B$6+IF(D3241="Yes",Assumptions!$C$6,0))</f>
        <v>3455662.7514</v>
      </c>
      <c r="I3241" s="22">
        <f>F3241*(1+Assumptions!$B$7+IF(D3241="Yes",Assumptions!$C$7,0))</f>
        <v>3522762.9989999998</v>
      </c>
      <c r="J3241" s="22">
        <f>F3241*(1+Assumptions!$B$8+IF(D3241="Yes",Assumptions!$C$8,0))</f>
        <v>3388562.5038000001</v>
      </c>
    </row>
    <row r="3242" spans="1:10" ht="15">
      <c r="A3242" s="21">
        <v>41208</v>
      </c>
      <c r="B3242" s="21">
        <v>41183</v>
      </c>
      <c r="C3242" s="17">
        <v>93</v>
      </c>
      <c r="D3242" s="17" t="s">
        <v>91</v>
      </c>
      <c r="E3242" s="14">
        <v>1049693.3400000001</v>
      </c>
      <c r="F3242" s="14">
        <v>987164.98</v>
      </c>
      <c r="G3242" s="14">
        <v>987164.98</v>
      </c>
      <c r="H3242" s="22">
        <f>F3242*(1+Assumptions!$B$6+IF(D3242="Yes",Assumptions!$C$6,0))</f>
        <v>1016779.9294</v>
      </c>
      <c r="I3242" s="22">
        <f>F3242*(1+Assumptions!$B$7+IF(D3242="Yes",Assumptions!$C$7,0))</f>
        <v>1036523.2290000001</v>
      </c>
      <c r="J3242" s="22">
        <f>F3242*(1+Assumptions!$B$8+IF(D3242="Yes",Assumptions!$C$8,0))</f>
        <v>997036.6298</v>
      </c>
    </row>
    <row r="3243" spans="1:10" ht="15">
      <c r="A3243" s="21">
        <v>41208</v>
      </c>
      <c r="B3243" s="21">
        <v>41183</v>
      </c>
      <c r="C3243" s="17">
        <v>94</v>
      </c>
      <c r="D3243" s="17" t="s">
        <v>91</v>
      </c>
      <c r="E3243" s="14">
        <v>1291357.6499999999</v>
      </c>
      <c r="F3243" s="14">
        <v>1226999.8800000001</v>
      </c>
      <c r="G3243" s="14">
        <v>1226999.8800000001</v>
      </c>
      <c r="H3243" s="22">
        <f>F3243*(1+Assumptions!$B$6+IF(D3243="Yes",Assumptions!$C$6,0))</f>
        <v>1263809.8764000002</v>
      </c>
      <c r="I3243" s="22">
        <f>F3243*(1+Assumptions!$B$7+IF(D3243="Yes",Assumptions!$C$7,0))</f>
        <v>1288349.8740000001</v>
      </c>
      <c r="J3243" s="22">
        <f>F3243*(1+Assumptions!$B$8+IF(D3243="Yes",Assumptions!$C$8,0))</f>
        <v>1239269.8788000001</v>
      </c>
    </row>
    <row r="3244" spans="1:10" ht="15">
      <c r="A3244" s="21">
        <v>41208</v>
      </c>
      <c r="B3244" s="21">
        <v>41183</v>
      </c>
      <c r="C3244" s="17">
        <v>95</v>
      </c>
      <c r="D3244" s="17" t="s">
        <v>91</v>
      </c>
      <c r="E3244" s="14">
        <v>3002617.27</v>
      </c>
      <c r="F3244" s="14">
        <v>2925289.83</v>
      </c>
      <c r="G3244" s="14">
        <v>2925289.83</v>
      </c>
      <c r="H3244" s="22">
        <f>F3244*(1+Assumptions!$B$6+IF(D3244="Yes",Assumptions!$C$6,0))</f>
        <v>3013048.5249000001</v>
      </c>
      <c r="I3244" s="22">
        <f>F3244*(1+Assumptions!$B$7+IF(D3244="Yes",Assumptions!$C$7,0))</f>
        <v>3071554.3215000001</v>
      </c>
      <c r="J3244" s="22">
        <f>F3244*(1+Assumptions!$B$8+IF(D3244="Yes",Assumptions!$C$8,0))</f>
        <v>2954542.7283000001</v>
      </c>
    </row>
    <row r="3245" spans="1:10" ht="15">
      <c r="A3245" s="21">
        <v>41208</v>
      </c>
      <c r="B3245" s="21">
        <v>41183</v>
      </c>
      <c r="C3245" s="17">
        <v>96</v>
      </c>
      <c r="D3245" s="17" t="s">
        <v>91</v>
      </c>
      <c r="E3245" s="14">
        <v>553337.96</v>
      </c>
      <c r="F3245" s="14">
        <v>514952.63</v>
      </c>
      <c r="G3245" s="14">
        <v>514952.63</v>
      </c>
      <c r="H3245" s="22">
        <f>F3245*(1+Assumptions!$B$6+IF(D3245="Yes",Assumptions!$C$6,0))</f>
        <v>530401.20889999997</v>
      </c>
      <c r="I3245" s="22">
        <f>F3245*(1+Assumptions!$B$7+IF(D3245="Yes",Assumptions!$C$7,0))</f>
        <v>540700.26150000002</v>
      </c>
      <c r="J3245" s="22">
        <f>F3245*(1+Assumptions!$B$8+IF(D3245="Yes",Assumptions!$C$8,0))</f>
        <v>520102.15630000003</v>
      </c>
    </row>
    <row r="3246" spans="1:10" ht="15">
      <c r="A3246" s="21">
        <v>41208</v>
      </c>
      <c r="B3246" s="21">
        <v>41183</v>
      </c>
      <c r="C3246" s="17">
        <v>97</v>
      </c>
      <c r="D3246" s="17" t="s">
        <v>91</v>
      </c>
      <c r="E3246" s="14">
        <v>596563.69999999995</v>
      </c>
      <c r="F3246" s="14">
        <v>577001.06000000006</v>
      </c>
      <c r="G3246" s="14">
        <v>577001.06000000006</v>
      </c>
      <c r="H3246" s="22">
        <f>F3246*(1+Assumptions!$B$6+IF(D3246="Yes",Assumptions!$C$6,0))</f>
        <v>594311.09180000005</v>
      </c>
      <c r="I3246" s="22">
        <f>F3246*(1+Assumptions!$B$7+IF(D3246="Yes",Assumptions!$C$7,0))</f>
        <v>605851.11300000013</v>
      </c>
      <c r="J3246" s="22">
        <f>F3246*(1+Assumptions!$B$8+IF(D3246="Yes",Assumptions!$C$8,0))</f>
        <v>582771.07060000009</v>
      </c>
    </row>
    <row r="3247" spans="1:10" ht="15">
      <c r="A3247" s="21">
        <v>41208</v>
      </c>
      <c r="B3247" s="21">
        <v>41183</v>
      </c>
      <c r="C3247" s="17">
        <v>98</v>
      </c>
      <c r="D3247" s="17" t="s">
        <v>91</v>
      </c>
      <c r="E3247" s="14">
        <v>302469.27999999997</v>
      </c>
      <c r="F3247" s="14">
        <v>314747.82</v>
      </c>
      <c r="G3247" s="14">
        <v>314747.82</v>
      </c>
      <c r="H3247" s="22">
        <f>F3247*(1+Assumptions!$B$6+IF(D3247="Yes",Assumptions!$C$6,0))</f>
        <v>324190.25460000004</v>
      </c>
      <c r="I3247" s="22">
        <f>F3247*(1+Assumptions!$B$7+IF(D3247="Yes",Assumptions!$C$7,0))</f>
        <v>330485.21100000001</v>
      </c>
      <c r="J3247" s="22">
        <f>F3247*(1+Assumptions!$B$8+IF(D3247="Yes",Assumptions!$C$8,0))</f>
        <v>317895.29820000002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1"/>
  <sheetViews>
    <sheetView showGridLines="0" workbookViewId="0">
      <selection activeCell="B5" sqref="B5"/>
    </sheetView>
  </sheetViews>
  <sheetFormatPr defaultRowHeight="14.25"/>
  <cols>
    <col min="1" max="1" width="34" customWidth="1"/>
    <col min="2" max="5" width="18" customWidth="1"/>
    <col min="6" max="7" width="34" customWidth="1"/>
  </cols>
  <sheetData>
    <row r="1" spans="1:7" ht="30" customHeight="1">
      <c r="A1" s="39" t="s">
        <v>96</v>
      </c>
      <c r="B1" s="39" t="s">
        <v>96</v>
      </c>
      <c r="C1" s="39" t="s">
        <v>96</v>
      </c>
      <c r="D1" s="39" t="s">
        <v>96</v>
      </c>
      <c r="E1" s="39" t="s">
        <v>96</v>
      </c>
      <c r="F1" s="39" t="s">
        <v>96</v>
      </c>
      <c r="G1" s="39" t="s">
        <v>96</v>
      </c>
    </row>
    <row r="2" spans="1:7" ht="30" customHeight="1">
      <c r="A2" s="39" t="s">
        <v>96</v>
      </c>
      <c r="B2" s="39" t="s">
        <v>96</v>
      </c>
      <c r="C2" s="39" t="s">
        <v>96</v>
      </c>
      <c r="D2" s="39" t="s">
        <v>96</v>
      </c>
      <c r="E2" s="39" t="s">
        <v>96</v>
      </c>
      <c r="F2" s="39" t="s">
        <v>96</v>
      </c>
      <c r="G2" s="39" t="s">
        <v>96</v>
      </c>
    </row>
    <row r="3" spans="1:7" ht="15">
      <c r="A3" s="11"/>
      <c r="B3" s="11"/>
      <c r="C3" s="11"/>
      <c r="D3" s="11"/>
      <c r="E3" s="11"/>
      <c r="F3" s="11"/>
      <c r="G3" s="11"/>
    </row>
    <row r="4" spans="1:7" ht="15">
      <c r="A4" s="12" t="s">
        <v>97</v>
      </c>
      <c r="B4" s="12" t="s">
        <v>98</v>
      </c>
      <c r="C4" s="12" t="s">
        <v>99</v>
      </c>
      <c r="D4" s="12" t="s">
        <v>100</v>
      </c>
      <c r="E4" s="12" t="s">
        <v>101</v>
      </c>
      <c r="F4" s="12" t="s">
        <v>78</v>
      </c>
      <c r="G4" s="12" t="s">
        <v>102</v>
      </c>
    </row>
    <row r="5" spans="1:7" ht="15">
      <c r="A5" s="23" t="s">
        <v>103</v>
      </c>
      <c r="B5" s="24">
        <f>SUM('Store Weekly'!$G$4:$G$1938)</f>
        <v>1999265475.8799994</v>
      </c>
      <c r="C5" s="24">
        <v>1999265475.8800001</v>
      </c>
      <c r="D5" s="25">
        <f t="shared" ref="D5:D10" si="0">ROUND(B5-C5,2)</f>
        <v>0</v>
      </c>
      <c r="E5" s="25">
        <v>1</v>
      </c>
      <c r="F5" s="26">
        <f t="shared" ref="F5:F10" si="1">IF(ABS(D5)&lt;=E5,1,0)</f>
        <v>1</v>
      </c>
      <c r="G5" s="23" t="s">
        <v>104</v>
      </c>
    </row>
    <row r="6" spans="1:7" ht="15">
      <c r="A6" s="23" t="s">
        <v>105</v>
      </c>
      <c r="B6" s="24">
        <f>SUM('Department Weekly'!$E$4:$E$3247)</f>
        <v>1999265475.8799994</v>
      </c>
      <c r="C6" s="24">
        <f>B5</f>
        <v>1999265475.8799994</v>
      </c>
      <c r="D6" s="25">
        <f t="shared" si="0"/>
        <v>0</v>
      </c>
      <c r="E6" s="25">
        <v>0.01</v>
      </c>
      <c r="F6" s="26">
        <f t="shared" si="1"/>
        <v>1</v>
      </c>
      <c r="G6" s="23" t="s">
        <v>106</v>
      </c>
    </row>
    <row r="7" spans="1:7" ht="15">
      <c r="A7" s="23" t="s">
        <v>107</v>
      </c>
      <c r="B7" s="24">
        <f>SUM('Store Weekly'!$J$4:$J$1938)</f>
        <v>2008222674.9307997</v>
      </c>
      <c r="C7" s="24">
        <v>2008222674.9300001</v>
      </c>
      <c r="D7" s="25">
        <f t="shared" si="0"/>
        <v>0</v>
      </c>
      <c r="E7" s="25">
        <v>1</v>
      </c>
      <c r="F7" s="26">
        <f t="shared" si="1"/>
        <v>1</v>
      </c>
      <c r="G7" s="23" t="s">
        <v>108</v>
      </c>
    </row>
    <row r="8" spans="1:7" ht="15">
      <c r="A8" s="23" t="s">
        <v>109</v>
      </c>
      <c r="B8" s="24">
        <f>'Scenario Summary'!B16</f>
        <v>1999265475.8800004</v>
      </c>
      <c r="C8" s="24">
        <f>B5</f>
        <v>1999265475.8799994</v>
      </c>
      <c r="D8" s="25">
        <f t="shared" si="0"/>
        <v>0</v>
      </c>
      <c r="E8" s="25">
        <v>0.01</v>
      </c>
      <c r="F8" s="26">
        <f t="shared" si="1"/>
        <v>1</v>
      </c>
      <c r="G8" s="23" t="s">
        <v>110</v>
      </c>
    </row>
    <row r="9" spans="1:7" ht="15">
      <c r="A9" s="23" t="s">
        <v>111</v>
      </c>
      <c r="B9" s="27">
        <f>IF(OR(Assumptions!$B$10="Base",Assumptions!$B$10="Upside",Assumptions!$B$10="Downside"),1,0)</f>
        <v>1</v>
      </c>
      <c r="C9" s="27">
        <v>1</v>
      </c>
      <c r="D9" s="27">
        <f t="shared" si="0"/>
        <v>0</v>
      </c>
      <c r="E9" s="27">
        <v>0.01</v>
      </c>
      <c r="F9" s="26">
        <f t="shared" si="1"/>
        <v>1</v>
      </c>
      <c r="G9" s="23" t="s">
        <v>112</v>
      </c>
    </row>
    <row r="10" spans="1:7" ht="15">
      <c r="A10" s="23" t="s">
        <v>113</v>
      </c>
      <c r="B10" s="27">
        <f>COUNT(Assumptions!$B$6:$C$8)</f>
        <v>6</v>
      </c>
      <c r="C10" s="27">
        <v>6</v>
      </c>
      <c r="D10" s="27">
        <f t="shared" si="0"/>
        <v>0</v>
      </c>
      <c r="E10" s="27">
        <v>0.01</v>
      </c>
      <c r="F10" s="26">
        <f t="shared" si="1"/>
        <v>1</v>
      </c>
      <c r="G10" s="23" t="s">
        <v>114</v>
      </c>
    </row>
    <row r="11" spans="1:7" ht="15">
      <c r="A11" s="23"/>
      <c r="B11" s="23"/>
      <c r="C11" s="23"/>
      <c r="D11" s="23"/>
      <c r="E11" s="23"/>
      <c r="F11" s="23"/>
      <c r="G11" s="23"/>
    </row>
    <row r="12" spans="1:7" ht="18.75">
      <c r="A12" s="28" t="s">
        <v>115</v>
      </c>
      <c r="B12" s="29">
        <f>IF(AND(COUNT(F5:F10)=6,SUM(F5:F10)=6),1,0)</f>
        <v>1</v>
      </c>
      <c r="C12" s="23"/>
      <c r="D12" s="23"/>
      <c r="E12" s="23"/>
      <c r="F12" s="23"/>
      <c r="G12" s="23"/>
    </row>
    <row r="13" spans="1:7" ht="15">
      <c r="A13" s="23"/>
      <c r="B13" s="23"/>
      <c r="C13" s="23"/>
      <c r="D13" s="23"/>
      <c r="E13" s="23"/>
      <c r="F13" s="23"/>
      <c r="G13" s="23"/>
    </row>
    <row r="14" spans="1:7" ht="15">
      <c r="A14" s="23"/>
      <c r="B14" s="23"/>
      <c r="C14" s="23"/>
      <c r="D14" s="23"/>
      <c r="E14" s="23"/>
      <c r="F14" s="23"/>
      <c r="G14" s="23"/>
    </row>
    <row r="15" spans="1:7" ht="15">
      <c r="A15" s="12" t="s">
        <v>116</v>
      </c>
      <c r="B15" s="12" t="s">
        <v>38</v>
      </c>
      <c r="C15" s="12" t="s">
        <v>39</v>
      </c>
      <c r="D15" s="12" t="s">
        <v>117</v>
      </c>
      <c r="E15" s="12" t="s">
        <v>118</v>
      </c>
      <c r="F15" s="12" t="s">
        <v>119</v>
      </c>
      <c r="G15" s="12" t="s">
        <v>41</v>
      </c>
    </row>
    <row r="16" spans="1:7" ht="30">
      <c r="A16" s="23" t="s">
        <v>120</v>
      </c>
      <c r="B16" s="30">
        <v>421570</v>
      </c>
      <c r="C16" s="23" t="s">
        <v>121</v>
      </c>
      <c r="D16" s="23" t="s">
        <v>122</v>
      </c>
      <c r="E16" s="23" t="s">
        <v>123</v>
      </c>
      <c r="F16" s="23" t="s">
        <v>124</v>
      </c>
      <c r="G16" s="23" t="s">
        <v>125</v>
      </c>
    </row>
    <row r="17" spans="1:7" ht="15">
      <c r="A17" s="23" t="s">
        <v>126</v>
      </c>
      <c r="B17" s="31">
        <v>1999265475.8800001</v>
      </c>
      <c r="C17" s="23" t="s">
        <v>61</v>
      </c>
      <c r="D17" s="23" t="s">
        <v>127</v>
      </c>
      <c r="E17" s="23" t="s">
        <v>58</v>
      </c>
      <c r="F17" s="23" t="s">
        <v>128</v>
      </c>
      <c r="G17" s="23" t="s">
        <v>129</v>
      </c>
    </row>
    <row r="18" spans="1:7" ht="15">
      <c r="A18" s="23" t="s">
        <v>130</v>
      </c>
      <c r="B18" s="31">
        <v>2008222674.9300001</v>
      </c>
      <c r="C18" s="23" t="s">
        <v>61</v>
      </c>
      <c r="D18" s="23" t="s">
        <v>127</v>
      </c>
      <c r="E18" s="23" t="s">
        <v>58</v>
      </c>
      <c r="F18" s="23" t="s">
        <v>128</v>
      </c>
      <c r="G18" s="23" t="s">
        <v>131</v>
      </c>
    </row>
    <row r="19" spans="1:7" ht="15">
      <c r="A19" s="23" t="s">
        <v>9</v>
      </c>
      <c r="B19" s="31">
        <v>1811.56</v>
      </c>
      <c r="C19" s="23" t="s">
        <v>132</v>
      </c>
      <c r="D19" s="23" t="s">
        <v>127</v>
      </c>
      <c r="E19" s="23" t="s">
        <v>58</v>
      </c>
      <c r="F19" s="23" t="s">
        <v>133</v>
      </c>
      <c r="G19" s="23" t="s">
        <v>57</v>
      </c>
    </row>
    <row r="20" spans="1:7" ht="15">
      <c r="A20" s="23" t="s">
        <v>134</v>
      </c>
      <c r="B20" s="31">
        <v>1818.03</v>
      </c>
      <c r="C20" s="23" t="s">
        <v>132</v>
      </c>
      <c r="D20" s="23" t="s">
        <v>127</v>
      </c>
      <c r="E20" s="23" t="s">
        <v>58</v>
      </c>
      <c r="F20" s="23" t="s">
        <v>133</v>
      </c>
      <c r="G20" s="23" t="s">
        <v>135</v>
      </c>
    </row>
    <row r="21" spans="1:7" ht="15">
      <c r="A21" s="23" t="s">
        <v>136</v>
      </c>
      <c r="B21" s="32" t="s">
        <v>137</v>
      </c>
      <c r="C21" s="23" t="s">
        <v>49</v>
      </c>
      <c r="D21" s="35">
        <v>2012</v>
      </c>
      <c r="E21" s="23" t="s">
        <v>50</v>
      </c>
      <c r="F21" s="23" t="s">
        <v>138</v>
      </c>
      <c r="G21" s="23" t="s">
        <v>139</v>
      </c>
    </row>
  </sheetData>
  <mergeCells count="1"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Assumptions</vt:lpstr>
      <vt:lpstr>Scenario Summary</vt:lpstr>
      <vt:lpstr>Store Performance</vt:lpstr>
      <vt:lpstr>Department Performance</vt:lpstr>
      <vt:lpstr>Monthly History</vt:lpstr>
      <vt:lpstr>Store Weekly</vt:lpstr>
      <vt:lpstr>Department Weekly</vt:lpstr>
      <vt:lpstr>Checks &amp;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Connor Ashley</cp:lastModifiedBy>
  <dcterms:modified xsi:type="dcterms:W3CDTF">2026-07-18T00:28:16Z</dcterms:modified>
</cp:coreProperties>
</file>